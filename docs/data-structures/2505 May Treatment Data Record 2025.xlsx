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aylr\Documents\RHHJ\Data Dec2025\Monthly treatment support\Load data\"/>
    </mc:Choice>
  </mc:AlternateContent>
  <xr:revisionPtr revIDLastSave="0" documentId="8_{6AAE8A03-872E-4374-B74F-5D5423584FB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reatment Record" sheetId="1" r:id="rId1"/>
    <sheet name="Treatment Data" sheetId="4" r:id="rId2"/>
    <sheet name="Treatment summary" sheetId="2" r:id="rId3"/>
    <sheet name="Monthly Summary" sheetId="3" r:id="rId4"/>
  </sheets>
  <definedNames>
    <definedName name="_xlnm._FilterDatabase" localSheetId="0" hidden="1">'Treatment Record'!$A$1:$AG$69</definedName>
    <definedName name="_xlnm._FilterDatabase" localSheetId="2" hidden="1">'Treatment summary'!$A$1:$N$42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fIoriPQZTUYmdol13KVifC9pLdvswdB33G2kCnErfZM="/>
    </ext>
  </extLst>
</workbook>
</file>

<file path=xl/calcChain.xml><?xml version="1.0" encoding="utf-8"?>
<calcChain xmlns="http://schemas.openxmlformats.org/spreadsheetml/2006/main">
  <c r="J91" i="3" l="1"/>
  <c r="J73" i="3"/>
  <c r="J55" i="3"/>
  <c r="J36" i="3"/>
  <c r="J17" i="3"/>
  <c r="E17" i="3"/>
  <c r="D17" i="3"/>
  <c r="R65" i="2"/>
  <c r="D53" i="2"/>
  <c r="D52" i="2"/>
  <c r="D51" i="2"/>
  <c r="D50" i="2"/>
  <c r="D49" i="2"/>
  <c r="D48" i="2"/>
  <c r="N42" i="2"/>
  <c r="L42" i="2"/>
  <c r="M41" i="2"/>
  <c r="K41" i="2"/>
  <c r="J41" i="2"/>
  <c r="I41" i="2"/>
  <c r="H41" i="2"/>
  <c r="G41" i="2"/>
  <c r="F41" i="2"/>
  <c r="E41" i="2"/>
  <c r="D41" i="2"/>
  <c r="C41" i="2"/>
  <c r="B41" i="2"/>
  <c r="M40" i="2"/>
  <c r="K40" i="2"/>
  <c r="J40" i="2"/>
  <c r="I40" i="2"/>
  <c r="H40" i="2"/>
  <c r="G40" i="2"/>
  <c r="F40" i="2"/>
  <c r="E40" i="2"/>
  <c r="D40" i="2"/>
  <c r="C40" i="2"/>
  <c r="B40" i="2"/>
  <c r="M39" i="2"/>
  <c r="K39" i="2"/>
  <c r="J39" i="2"/>
  <c r="I39" i="2"/>
  <c r="H39" i="2"/>
  <c r="G39" i="2"/>
  <c r="F39" i="2"/>
  <c r="E39" i="2"/>
  <c r="D39" i="2"/>
  <c r="C39" i="2"/>
  <c r="B39" i="2"/>
  <c r="M38" i="2"/>
  <c r="K38" i="2"/>
  <c r="J38" i="2"/>
  <c r="I38" i="2"/>
  <c r="H38" i="2"/>
  <c r="G38" i="2"/>
  <c r="F38" i="2"/>
  <c r="E38" i="2"/>
  <c r="D38" i="2"/>
  <c r="C38" i="2"/>
  <c r="B38" i="2"/>
  <c r="M37" i="2"/>
  <c r="K37" i="2"/>
  <c r="J37" i="2"/>
  <c r="I37" i="2"/>
  <c r="H37" i="2"/>
  <c r="G37" i="2"/>
  <c r="F37" i="2"/>
  <c r="E37" i="2"/>
  <c r="D37" i="2"/>
  <c r="C37" i="2"/>
  <c r="B37" i="2"/>
  <c r="M36" i="2"/>
  <c r="K36" i="2"/>
  <c r="J36" i="2"/>
  <c r="I36" i="2"/>
  <c r="H36" i="2"/>
  <c r="G36" i="2"/>
  <c r="F36" i="2"/>
  <c r="E36" i="2"/>
  <c r="D36" i="2"/>
  <c r="C36" i="2"/>
  <c r="B36" i="2"/>
  <c r="M35" i="2"/>
  <c r="K35" i="2"/>
  <c r="J35" i="2"/>
  <c r="I35" i="2"/>
  <c r="H35" i="2"/>
  <c r="G35" i="2"/>
  <c r="F35" i="2"/>
  <c r="E35" i="2"/>
  <c r="D35" i="2"/>
  <c r="C35" i="2"/>
  <c r="B35" i="2"/>
  <c r="M34" i="2"/>
  <c r="K34" i="2"/>
  <c r="J34" i="2"/>
  <c r="I34" i="2"/>
  <c r="H34" i="2"/>
  <c r="G34" i="2"/>
  <c r="F34" i="2"/>
  <c r="E34" i="2"/>
  <c r="D34" i="2"/>
  <c r="C34" i="2"/>
  <c r="B34" i="2"/>
  <c r="K33" i="2"/>
  <c r="J33" i="2"/>
  <c r="I33" i="2"/>
  <c r="H33" i="2"/>
  <c r="G33" i="2"/>
  <c r="F33" i="2"/>
  <c r="E33" i="2"/>
  <c r="D33" i="2"/>
  <c r="C33" i="2"/>
  <c r="B33" i="2"/>
  <c r="K32" i="2"/>
  <c r="J32" i="2"/>
  <c r="I32" i="2"/>
  <c r="H32" i="2"/>
  <c r="G32" i="2"/>
  <c r="F32" i="2"/>
  <c r="E32" i="2"/>
  <c r="D32" i="2"/>
  <c r="C32" i="2"/>
  <c r="B32" i="2"/>
  <c r="M31" i="2"/>
  <c r="K31" i="2"/>
  <c r="J31" i="2"/>
  <c r="I31" i="2"/>
  <c r="H31" i="2"/>
  <c r="G31" i="2"/>
  <c r="F31" i="2"/>
  <c r="E31" i="2"/>
  <c r="D31" i="2"/>
  <c r="C31" i="2"/>
  <c r="B31" i="2"/>
  <c r="M30" i="2"/>
  <c r="K30" i="2"/>
  <c r="J30" i="2"/>
  <c r="I30" i="2"/>
  <c r="H30" i="2"/>
  <c r="G30" i="2"/>
  <c r="F30" i="2"/>
  <c r="E30" i="2"/>
  <c r="D30" i="2"/>
  <c r="C30" i="2"/>
  <c r="B30" i="2"/>
  <c r="M29" i="2"/>
  <c r="K29" i="2"/>
  <c r="J29" i="2"/>
  <c r="I29" i="2"/>
  <c r="H29" i="2"/>
  <c r="G29" i="2"/>
  <c r="F29" i="2"/>
  <c r="E29" i="2"/>
  <c r="D29" i="2"/>
  <c r="C29" i="2"/>
  <c r="B29" i="2"/>
  <c r="M28" i="2"/>
  <c r="K28" i="2"/>
  <c r="J28" i="2"/>
  <c r="I28" i="2"/>
  <c r="H28" i="2"/>
  <c r="G28" i="2"/>
  <c r="F28" i="2"/>
  <c r="E28" i="2"/>
  <c r="D28" i="2"/>
  <c r="C28" i="2"/>
  <c r="B28" i="2"/>
  <c r="M27" i="2"/>
  <c r="K27" i="2"/>
  <c r="J27" i="2"/>
  <c r="I27" i="2"/>
  <c r="H27" i="2"/>
  <c r="G27" i="2"/>
  <c r="F27" i="2"/>
  <c r="E27" i="2"/>
  <c r="D27" i="2"/>
  <c r="C27" i="2"/>
  <c r="B27" i="2"/>
  <c r="M26" i="2"/>
  <c r="K26" i="2"/>
  <c r="J26" i="2"/>
  <c r="I26" i="2"/>
  <c r="H26" i="2"/>
  <c r="G26" i="2"/>
  <c r="F26" i="2"/>
  <c r="E26" i="2"/>
  <c r="D26" i="2"/>
  <c r="C26" i="2"/>
  <c r="B26" i="2"/>
  <c r="M25" i="2"/>
  <c r="K25" i="2"/>
  <c r="J25" i="2"/>
  <c r="I25" i="2"/>
  <c r="H25" i="2"/>
  <c r="G25" i="2"/>
  <c r="F25" i="2"/>
  <c r="E25" i="2"/>
  <c r="D25" i="2"/>
  <c r="C25" i="2"/>
  <c r="B25" i="2"/>
  <c r="M24" i="2"/>
  <c r="K24" i="2"/>
  <c r="J24" i="2"/>
  <c r="I24" i="2"/>
  <c r="H24" i="2"/>
  <c r="G24" i="2"/>
  <c r="F24" i="2"/>
  <c r="E24" i="2"/>
  <c r="D24" i="2"/>
  <c r="C24" i="2"/>
  <c r="B24" i="2"/>
  <c r="M23" i="2"/>
  <c r="K23" i="2"/>
  <c r="J23" i="2"/>
  <c r="I23" i="2"/>
  <c r="H23" i="2"/>
  <c r="G23" i="2"/>
  <c r="F23" i="2"/>
  <c r="E23" i="2"/>
  <c r="D23" i="2"/>
  <c r="C23" i="2"/>
  <c r="B23" i="2"/>
  <c r="M22" i="2"/>
  <c r="K22" i="2"/>
  <c r="J22" i="2"/>
  <c r="I22" i="2"/>
  <c r="H22" i="2"/>
  <c r="G22" i="2"/>
  <c r="F22" i="2"/>
  <c r="E22" i="2"/>
  <c r="D22" i="2"/>
  <c r="C22" i="2"/>
  <c r="B22" i="2"/>
  <c r="R21" i="2"/>
  <c r="M21" i="2"/>
  <c r="K21" i="2"/>
  <c r="J21" i="2"/>
  <c r="I21" i="2"/>
  <c r="H21" i="2"/>
  <c r="G21" i="2"/>
  <c r="F21" i="2"/>
  <c r="E21" i="2"/>
  <c r="D21" i="2"/>
  <c r="C21" i="2"/>
  <c r="B21" i="2"/>
  <c r="M20" i="2"/>
  <c r="K20" i="2"/>
  <c r="J20" i="2"/>
  <c r="I20" i="2"/>
  <c r="H20" i="2"/>
  <c r="G20" i="2"/>
  <c r="F20" i="2"/>
  <c r="E20" i="2"/>
  <c r="D20" i="2"/>
  <c r="C20" i="2"/>
  <c r="B20" i="2"/>
  <c r="M19" i="2"/>
  <c r="K19" i="2"/>
  <c r="J19" i="2"/>
  <c r="I19" i="2"/>
  <c r="H19" i="2"/>
  <c r="G19" i="2"/>
  <c r="F19" i="2"/>
  <c r="E19" i="2"/>
  <c r="D19" i="2"/>
  <c r="C19" i="2"/>
  <c r="B19" i="2"/>
  <c r="M18" i="2"/>
  <c r="K18" i="2"/>
  <c r="J18" i="2"/>
  <c r="I18" i="2"/>
  <c r="H18" i="2"/>
  <c r="G18" i="2"/>
  <c r="F18" i="2"/>
  <c r="E18" i="2"/>
  <c r="D18" i="2"/>
  <c r="C18" i="2"/>
  <c r="B18" i="2"/>
  <c r="M17" i="2"/>
  <c r="K17" i="2"/>
  <c r="J17" i="2"/>
  <c r="I17" i="2"/>
  <c r="H17" i="2"/>
  <c r="G17" i="2"/>
  <c r="F17" i="2"/>
  <c r="E17" i="2"/>
  <c r="D17" i="2"/>
  <c r="C17" i="2"/>
  <c r="B17" i="2"/>
  <c r="M16" i="2"/>
  <c r="K16" i="2"/>
  <c r="J16" i="2"/>
  <c r="I16" i="2"/>
  <c r="H16" i="2"/>
  <c r="G16" i="2"/>
  <c r="F16" i="2"/>
  <c r="E16" i="2"/>
  <c r="D16" i="2"/>
  <c r="C16" i="2"/>
  <c r="B16" i="2"/>
  <c r="M15" i="2"/>
  <c r="K15" i="2"/>
  <c r="J15" i="2"/>
  <c r="I15" i="2"/>
  <c r="H15" i="2"/>
  <c r="G15" i="2"/>
  <c r="F15" i="2"/>
  <c r="E15" i="2"/>
  <c r="D15" i="2"/>
  <c r="C15" i="2"/>
  <c r="B15" i="2"/>
  <c r="M14" i="2"/>
  <c r="K14" i="2"/>
  <c r="J14" i="2"/>
  <c r="I14" i="2"/>
  <c r="H14" i="2"/>
  <c r="G14" i="2"/>
  <c r="F14" i="2"/>
  <c r="E14" i="2"/>
  <c r="D14" i="2"/>
  <c r="C14" i="2"/>
  <c r="B14" i="2"/>
  <c r="M13" i="2"/>
  <c r="K13" i="2"/>
  <c r="J13" i="2"/>
  <c r="I13" i="2"/>
  <c r="H13" i="2"/>
  <c r="G13" i="2"/>
  <c r="F13" i="2"/>
  <c r="E13" i="2"/>
  <c r="D13" i="2"/>
  <c r="C13" i="2"/>
  <c r="B13" i="2"/>
  <c r="M12" i="2"/>
  <c r="K12" i="2"/>
  <c r="J12" i="2"/>
  <c r="I12" i="2"/>
  <c r="H12" i="2"/>
  <c r="G12" i="2"/>
  <c r="F12" i="2"/>
  <c r="E12" i="2"/>
  <c r="D12" i="2"/>
  <c r="C12" i="2"/>
  <c r="B12" i="2"/>
  <c r="M11" i="2"/>
  <c r="K11" i="2"/>
  <c r="J11" i="2"/>
  <c r="I11" i="2"/>
  <c r="H11" i="2"/>
  <c r="G11" i="2"/>
  <c r="F11" i="2"/>
  <c r="E11" i="2"/>
  <c r="D11" i="2"/>
  <c r="C11" i="2"/>
  <c r="B11" i="2"/>
  <c r="M10" i="2"/>
  <c r="K10" i="2"/>
  <c r="J10" i="2"/>
  <c r="I10" i="2"/>
  <c r="H10" i="2"/>
  <c r="G10" i="2"/>
  <c r="F10" i="2"/>
  <c r="E10" i="2"/>
  <c r="D10" i="2"/>
  <c r="C10" i="2"/>
  <c r="B10" i="2"/>
  <c r="M9" i="2"/>
  <c r="K9" i="2"/>
  <c r="J9" i="2"/>
  <c r="I9" i="2"/>
  <c r="H9" i="2"/>
  <c r="G9" i="2"/>
  <c r="F9" i="2"/>
  <c r="E9" i="2"/>
  <c r="D9" i="2"/>
  <c r="C9" i="2"/>
  <c r="B9" i="2"/>
  <c r="M8" i="2"/>
  <c r="K8" i="2"/>
  <c r="J8" i="2"/>
  <c r="I8" i="2"/>
  <c r="H8" i="2"/>
  <c r="G8" i="2"/>
  <c r="F8" i="2"/>
  <c r="E8" i="2"/>
  <c r="D8" i="2"/>
  <c r="C8" i="2"/>
  <c r="B8" i="2"/>
  <c r="M7" i="2"/>
  <c r="K7" i="2"/>
  <c r="J7" i="2"/>
  <c r="I7" i="2"/>
  <c r="H7" i="2"/>
  <c r="G7" i="2"/>
  <c r="F7" i="2"/>
  <c r="E7" i="2"/>
  <c r="D7" i="2"/>
  <c r="C7" i="2"/>
  <c r="B7" i="2"/>
  <c r="M6" i="2"/>
  <c r="K6" i="2"/>
  <c r="J6" i="2"/>
  <c r="I6" i="2"/>
  <c r="H6" i="2"/>
  <c r="G6" i="2"/>
  <c r="F6" i="2"/>
  <c r="E6" i="2"/>
  <c r="D6" i="2"/>
  <c r="C6" i="2"/>
  <c r="B6" i="2"/>
  <c r="M5" i="2"/>
  <c r="K5" i="2"/>
  <c r="J5" i="2"/>
  <c r="I5" i="2"/>
  <c r="H5" i="2"/>
  <c r="G5" i="2"/>
  <c r="F5" i="2"/>
  <c r="E5" i="2"/>
  <c r="D5" i="2"/>
  <c r="C5" i="2"/>
  <c r="B5" i="2"/>
  <c r="M4" i="2"/>
  <c r="K4" i="2"/>
  <c r="J4" i="2"/>
  <c r="I4" i="2"/>
  <c r="H4" i="2"/>
  <c r="G4" i="2"/>
  <c r="F4" i="2"/>
  <c r="E4" i="2"/>
  <c r="D4" i="2"/>
  <c r="C4" i="2"/>
  <c r="B4" i="2"/>
  <c r="M3" i="2"/>
  <c r="K3" i="2"/>
  <c r="J3" i="2"/>
  <c r="I3" i="2"/>
  <c r="H3" i="2"/>
  <c r="G3" i="2"/>
  <c r="F3" i="2"/>
  <c r="E3" i="2"/>
  <c r="D3" i="2"/>
  <c r="C3" i="2"/>
  <c r="B3" i="2"/>
  <c r="M2" i="2"/>
  <c r="K2" i="2"/>
  <c r="J2" i="2"/>
  <c r="I2" i="2"/>
  <c r="I42" i="2" s="1"/>
  <c r="H2" i="2"/>
  <c r="G2" i="2"/>
  <c r="F2" i="2"/>
  <c r="E2" i="2"/>
  <c r="D2" i="2"/>
  <c r="C2" i="2"/>
  <c r="B2" i="2"/>
  <c r="C42" i="2" l="1"/>
  <c r="K42" i="2"/>
  <c r="D42" i="2"/>
  <c r="J42" i="2"/>
  <c r="B42" i="2"/>
  <c r="R9" i="2" s="1"/>
  <c r="F42" i="2"/>
  <c r="R16" i="2" s="1"/>
  <c r="G42" i="2"/>
  <c r="R17" i="2" s="1"/>
  <c r="M42" i="2"/>
  <c r="H42" i="2"/>
  <c r="R19" i="2" s="1"/>
  <c r="E42" i="2"/>
  <c r="R15" i="2"/>
  <c r="R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8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ID#AAABkQa4Lgs
Rays of hope HospiceJinja    (2025-05-27 13:51:58)
CT planning</t>
        </r>
      </text>
    </comment>
    <comment ref="R32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ID#AAABkQa4Lg4
Rays of hope HospiceJinja    (2025-05-27 14:29:50)
PAP Smear
Cytology</t>
        </r>
      </text>
    </comment>
    <comment ref="V39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ID#AAABljs-hEs
Rays of hope HospiceJinja    (2025-06-11 05:02:28)
MRI</t>
        </r>
      </text>
    </comment>
    <comment ref="V40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ID#AAABlk-XhTY
Rays of hope HospiceJinja    (2025-06-11 05:03:59)
CT, Auss</t>
        </r>
      </text>
    </comment>
    <comment ref="R66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ID#AAABlmKRllQ
Rays of hope HospiceJinja    (2025-06-11 10:42:32)
Colonoscopy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rzXoCpEqa2kkpFIdEHZesW+HIt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8" authorId="0" shapeId="0" xr:uid="{5953A858-48D7-4FE9-8577-50C17A80A02C}">
      <text>
        <r>
          <rPr>
            <sz val="11"/>
            <color theme="1"/>
            <rFont val="Calibri"/>
            <scheme val="minor"/>
          </rPr>
          <t>======
ID#AAABkQa4Lgs
Rays of hope HospiceJinja    (2025-05-27 13:51:58)
CT planning</t>
        </r>
      </text>
    </comment>
    <comment ref="R32" authorId="0" shapeId="0" xr:uid="{714D1C85-A0A2-43A7-98D6-9CD9C1485AA6}">
      <text>
        <r>
          <rPr>
            <sz val="11"/>
            <color theme="1"/>
            <rFont val="Calibri"/>
            <scheme val="minor"/>
          </rPr>
          <t>======
ID#AAABkQa4Lg4
Rays of hope HospiceJinja    (2025-05-27 14:29:50)
PAP Smear
Cytology</t>
        </r>
      </text>
    </comment>
    <comment ref="V39" authorId="0" shapeId="0" xr:uid="{12910F9B-01B5-4FE9-B736-CC82330EBBB3}">
      <text>
        <r>
          <rPr>
            <sz val="11"/>
            <color theme="1"/>
            <rFont val="Calibri"/>
            <scheme val="minor"/>
          </rPr>
          <t>======
ID#AAABljs-hEs
Rays of hope HospiceJinja    (2025-06-11 05:02:28)
MRI</t>
        </r>
      </text>
    </comment>
    <comment ref="V40" authorId="0" shapeId="0" xr:uid="{1D9987CB-9D05-473A-8026-2E4F6D869265}">
      <text>
        <r>
          <rPr>
            <sz val="11"/>
            <color theme="1"/>
            <rFont val="Calibri"/>
            <scheme val="minor"/>
          </rPr>
          <t>======
ID#AAABlk-XhTY
Rays of hope HospiceJinja    (2025-06-11 05:03:59)
CT, Auss</t>
        </r>
      </text>
    </comment>
    <comment ref="R66" authorId="0" shapeId="0" xr:uid="{C187B91B-9160-4FB3-9C86-6ADCBD96346D}">
      <text>
        <r>
          <rPr>
            <sz val="11"/>
            <color theme="1"/>
            <rFont val="Calibri"/>
            <scheme val="minor"/>
          </rPr>
          <t>======
ID#AAABlmKRllQ
Rays of hope HospiceJinja    (2025-06-11 10:42:32)
Colonoscopy</t>
        </r>
      </text>
    </comment>
  </commentList>
</comments>
</file>

<file path=xl/sharedStrings.xml><?xml version="1.0" encoding="utf-8"?>
<sst xmlns="http://schemas.openxmlformats.org/spreadsheetml/2006/main" count="1021" uniqueCount="258">
  <si>
    <t>Date of referal</t>
  </si>
  <si>
    <t>Route</t>
  </si>
  <si>
    <t>IP.NO</t>
  </si>
  <si>
    <t>Name</t>
  </si>
  <si>
    <t>Age</t>
  </si>
  <si>
    <t>Child</t>
  </si>
  <si>
    <t xml:space="preserve">Sex </t>
  </si>
  <si>
    <t>Detail Diagnosis</t>
  </si>
  <si>
    <t>Category</t>
  </si>
  <si>
    <t>Very Weak</t>
  </si>
  <si>
    <t>Weak</t>
  </si>
  <si>
    <t>Fair</t>
  </si>
  <si>
    <t>Stable</t>
  </si>
  <si>
    <t>New pts</t>
  </si>
  <si>
    <t>Reviews</t>
  </si>
  <si>
    <t>Old pts</t>
  </si>
  <si>
    <t>Consultation</t>
  </si>
  <si>
    <t>Diagnositic Investigation</t>
  </si>
  <si>
    <t>Chemotharpy</t>
  </si>
  <si>
    <t>Radiotherapy</t>
  </si>
  <si>
    <t>Biopsy</t>
  </si>
  <si>
    <t>Scan</t>
  </si>
  <si>
    <t>X-ray</t>
  </si>
  <si>
    <t>Surgery</t>
  </si>
  <si>
    <t>Medicine</t>
  </si>
  <si>
    <t>Other Treatmt</t>
  </si>
  <si>
    <t>Up keep</t>
  </si>
  <si>
    <t>Histology</t>
  </si>
  <si>
    <t>Transport</t>
  </si>
  <si>
    <t>RIP</t>
  </si>
  <si>
    <t>No. of days on program</t>
  </si>
  <si>
    <t>Discharge</t>
  </si>
  <si>
    <t>Directions</t>
  </si>
  <si>
    <t>27/11/2024</t>
  </si>
  <si>
    <t xml:space="preserve">Iganga </t>
  </si>
  <si>
    <t>Bukenya Gerald</t>
  </si>
  <si>
    <t>M</t>
  </si>
  <si>
    <t>KS+HIV/AIDS</t>
  </si>
  <si>
    <t>Ca/HIV</t>
  </si>
  <si>
    <t>Budiima</t>
  </si>
  <si>
    <t>Nakimera Mary</t>
  </si>
  <si>
    <t>F</t>
  </si>
  <si>
    <t>HIV/AIDS</t>
  </si>
  <si>
    <t>HIV</t>
  </si>
  <si>
    <t>Kiyindi</t>
  </si>
  <si>
    <t>Nakajiri Angel</t>
  </si>
  <si>
    <t>14/10/2024</t>
  </si>
  <si>
    <t>Busembatia</t>
  </si>
  <si>
    <t>Nahyuha Betty</t>
  </si>
  <si>
    <t>Ca Breast</t>
  </si>
  <si>
    <t>Ca</t>
  </si>
  <si>
    <t>Kaliro</t>
  </si>
  <si>
    <t>Namulondo Eve</t>
  </si>
  <si>
    <t>Budondo</t>
  </si>
  <si>
    <t>Namulondo Jane</t>
  </si>
  <si>
    <t>13/01/2025</t>
  </si>
  <si>
    <t>Kayunga</t>
  </si>
  <si>
    <t>Namudira Alaisa</t>
  </si>
  <si>
    <t>Malignant Neoplasm</t>
  </si>
  <si>
    <t>29/03/2025</t>
  </si>
  <si>
    <t>Kiweewa Joseph</t>
  </si>
  <si>
    <t>Hodgkins Lymphoma</t>
  </si>
  <si>
    <t>25/04/2024</t>
  </si>
  <si>
    <t>Nazziwa Noeline</t>
  </si>
  <si>
    <t>Namayingo</t>
  </si>
  <si>
    <t>Nyawere Margret</t>
  </si>
  <si>
    <t>CaCx</t>
  </si>
  <si>
    <t>15/05/2025</t>
  </si>
  <si>
    <t>Buhemba</t>
  </si>
  <si>
    <t>Mukisa Elvis</t>
  </si>
  <si>
    <t>Non Hodgkins Lymphoma</t>
  </si>
  <si>
    <t>Bugiri</t>
  </si>
  <si>
    <t>Namukose Zaina</t>
  </si>
  <si>
    <t>Ad</t>
  </si>
  <si>
    <t>CaCx+HIV/AIDS</t>
  </si>
  <si>
    <t>19/08/2024</t>
  </si>
  <si>
    <t>Bugembe</t>
  </si>
  <si>
    <t>Mukunya Henry</t>
  </si>
  <si>
    <t>Ca Prostate</t>
  </si>
  <si>
    <t>29/09/2021</t>
  </si>
  <si>
    <t>Hospice</t>
  </si>
  <si>
    <t>Kairugavu Faisal</t>
  </si>
  <si>
    <t>Endmic KS</t>
  </si>
  <si>
    <t>24/10/2023</t>
  </si>
  <si>
    <t>Kiyunga</t>
  </si>
  <si>
    <t>Ntono Elizabeth</t>
  </si>
  <si>
    <t>Ca Breast+HIV/AIDS</t>
  </si>
  <si>
    <t>15/10/2024</t>
  </si>
  <si>
    <t>Namungalwe</t>
  </si>
  <si>
    <t>Edhiruma Fahad</t>
  </si>
  <si>
    <t>Soft tissue sarcoma</t>
  </si>
  <si>
    <t>24/05/2021</t>
  </si>
  <si>
    <t>Busedde</t>
  </si>
  <si>
    <t>Kasada Awali</t>
  </si>
  <si>
    <t>Ivukula</t>
  </si>
  <si>
    <t>Kabire Christine</t>
  </si>
  <si>
    <t>26/03/2024</t>
  </si>
  <si>
    <t>Walukuba</t>
  </si>
  <si>
    <t>Kagoya Sauda</t>
  </si>
  <si>
    <t>30/04/2024</t>
  </si>
  <si>
    <t>Buyende</t>
  </si>
  <si>
    <t>Tikyange Anasitanzia</t>
  </si>
  <si>
    <t>21/03/2023</t>
  </si>
  <si>
    <t>Alitra Alexander</t>
  </si>
  <si>
    <t>Ca Thyroid</t>
  </si>
  <si>
    <t>Kamuli</t>
  </si>
  <si>
    <t>Musiba Ruth</t>
  </si>
  <si>
    <t>27/01/2025</t>
  </si>
  <si>
    <t>Nairuba Lydia</t>
  </si>
  <si>
    <t>22/01/2025</t>
  </si>
  <si>
    <t>Kigozi Auther</t>
  </si>
  <si>
    <t>Rhabdomyosarcoma</t>
  </si>
  <si>
    <t>27/11/2023</t>
  </si>
  <si>
    <t>Nawanyago</t>
  </si>
  <si>
    <t>Atuhaire Lillian</t>
  </si>
  <si>
    <t>Bugaya</t>
  </si>
  <si>
    <t>Ewuliana Reagan</t>
  </si>
  <si>
    <t>Wilm's Tumor</t>
  </si>
  <si>
    <t>13/11/2024</t>
  </si>
  <si>
    <t>Kafuko Sophia</t>
  </si>
  <si>
    <t>Namukose Esereda</t>
  </si>
  <si>
    <t>Ca Rectum</t>
  </si>
  <si>
    <t>Bukungu</t>
  </si>
  <si>
    <t>Kigenyi Gideon</t>
  </si>
  <si>
    <t>Low grade Sarcoma</t>
  </si>
  <si>
    <t>Mbulamuti</t>
  </si>
  <si>
    <t>Eryevunye James</t>
  </si>
  <si>
    <t>Tibasima Fatuma</t>
  </si>
  <si>
    <t>Carvicitis</t>
  </si>
  <si>
    <t>Other</t>
  </si>
  <si>
    <t>Bakulimya Esther</t>
  </si>
  <si>
    <t>Nakisuyi Rose</t>
  </si>
  <si>
    <t>24/02/2025</t>
  </si>
  <si>
    <t>Nabukenya Ruth</t>
  </si>
  <si>
    <t>29/01/2025</t>
  </si>
  <si>
    <t>Guligo Swaibu</t>
  </si>
  <si>
    <t>Splenomegally</t>
  </si>
  <si>
    <t>Nerima Margrethe</t>
  </si>
  <si>
    <t>31/01/2025</t>
  </si>
  <si>
    <t>Odong John</t>
  </si>
  <si>
    <t>Kagulu</t>
  </si>
  <si>
    <t>Lubale Tom</t>
  </si>
  <si>
    <t>Nasal Melanoma</t>
  </si>
  <si>
    <t>Busia</t>
  </si>
  <si>
    <t>Nafula Immaculate</t>
  </si>
  <si>
    <t>Nabirye Edisa</t>
  </si>
  <si>
    <t>Ossifying Fibroma</t>
  </si>
  <si>
    <t>19/03/2024</t>
  </si>
  <si>
    <t>Bakita Monica</t>
  </si>
  <si>
    <t>28/01/2025</t>
  </si>
  <si>
    <t>Naisiga Aidah</t>
  </si>
  <si>
    <t>Early Acinic cell carcinoma</t>
  </si>
  <si>
    <t>26/05/2025</t>
  </si>
  <si>
    <t>Nabiryo Catherine</t>
  </si>
  <si>
    <t>Nansubuga Jalia</t>
  </si>
  <si>
    <t>Nantale Rebecca</t>
  </si>
  <si>
    <t>Lubega Shanik</t>
  </si>
  <si>
    <t>Retinoblastoma</t>
  </si>
  <si>
    <t>29/09/2022</t>
  </si>
  <si>
    <t>Isabirye Sulaiman</t>
  </si>
  <si>
    <t>29/04/2024</t>
  </si>
  <si>
    <t>Namugaaju Bernadette</t>
  </si>
  <si>
    <t>30/11/2021</t>
  </si>
  <si>
    <t>Annet Ngobi</t>
  </si>
  <si>
    <t>24/08/2020</t>
  </si>
  <si>
    <t>Buwenge</t>
  </si>
  <si>
    <t>Wamuluta Mary</t>
  </si>
  <si>
    <t>Gwatawe Jovia</t>
  </si>
  <si>
    <t>Nasopharyngeal Carcinoma</t>
  </si>
  <si>
    <t>16/08/2024</t>
  </si>
  <si>
    <t>Kintu Aggrey</t>
  </si>
  <si>
    <t>Tumushabe Maria</t>
  </si>
  <si>
    <t>Ca Colon</t>
  </si>
  <si>
    <t>14/03/2025</t>
  </si>
  <si>
    <t>Nabwire Dinah</t>
  </si>
  <si>
    <t>Kasubo Farida</t>
  </si>
  <si>
    <t>Paratoid tumour</t>
  </si>
  <si>
    <t>22/11/2023</t>
  </si>
  <si>
    <t>Muterere</t>
  </si>
  <si>
    <t>Namirimwe Shaluwa</t>
  </si>
  <si>
    <t>Nanangwe Sarah</t>
  </si>
  <si>
    <t>Naigaga Celementina</t>
  </si>
  <si>
    <t>Intra abdominal tumour</t>
  </si>
  <si>
    <t>14/05/2025</t>
  </si>
  <si>
    <t>Nabirye Damalie</t>
  </si>
  <si>
    <t>Namboyira Annet</t>
  </si>
  <si>
    <t>Namwendwa</t>
  </si>
  <si>
    <t>Nakyondwa Betty</t>
  </si>
  <si>
    <t>SCC</t>
  </si>
  <si>
    <t>Maaka Shakuru</t>
  </si>
  <si>
    <t>Small round blue cell tumour</t>
  </si>
  <si>
    <t>16/09/2024</t>
  </si>
  <si>
    <t>Kidera</t>
  </si>
  <si>
    <t>Muwanguzi Timothy</t>
  </si>
  <si>
    <t>Ca Testacles</t>
  </si>
  <si>
    <t>29/05/2025</t>
  </si>
  <si>
    <t>Nasirumbi Scovia</t>
  </si>
  <si>
    <t>Ondoma Charles</t>
  </si>
  <si>
    <t>Kalembe Rebecca</t>
  </si>
  <si>
    <t>Ameloblastoma</t>
  </si>
  <si>
    <t>13/05/2025</t>
  </si>
  <si>
    <t>Kunya Davide</t>
  </si>
  <si>
    <t>Ca Penis</t>
  </si>
  <si>
    <t>19/05/2025</t>
  </si>
  <si>
    <t>Madina Kyandiru</t>
  </si>
  <si>
    <t>Total</t>
  </si>
  <si>
    <t>Others</t>
  </si>
  <si>
    <t>New</t>
  </si>
  <si>
    <t>R/Chem</t>
  </si>
  <si>
    <t>M/Chem</t>
  </si>
  <si>
    <t>R/Radio</t>
  </si>
  <si>
    <t>M/Radio</t>
  </si>
  <si>
    <t>Banda</t>
  </si>
  <si>
    <t>Budiima/Butagaya</t>
  </si>
  <si>
    <t>PROFILE %</t>
  </si>
  <si>
    <t>Bugerere</t>
  </si>
  <si>
    <t>Male</t>
  </si>
  <si>
    <t>Bugulumbia/Lulyambuzi</t>
  </si>
  <si>
    <t>Female</t>
  </si>
  <si>
    <t>Diagnosis %</t>
  </si>
  <si>
    <t>Hospice Jinja</t>
  </si>
  <si>
    <t>Hospice NFO</t>
  </si>
  <si>
    <t>Iganga Ibulanka</t>
  </si>
  <si>
    <t>Children</t>
  </si>
  <si>
    <t>Kagumba</t>
  </si>
  <si>
    <t>Boys</t>
  </si>
  <si>
    <t>Girls</t>
  </si>
  <si>
    <t xml:space="preserve">Kiyindi </t>
  </si>
  <si>
    <t xml:space="preserve">Kiyunga </t>
  </si>
  <si>
    <t>Lumino</t>
  </si>
  <si>
    <t>Makuutu</t>
  </si>
  <si>
    <t>Mayuge</t>
  </si>
  <si>
    <t>Diagnosis</t>
  </si>
  <si>
    <t>Namasagali</t>
  </si>
  <si>
    <t>Nawampiti/Buyengo</t>
  </si>
  <si>
    <t>Nyenga</t>
  </si>
  <si>
    <t>TOTAL</t>
  </si>
  <si>
    <t>SURGERY</t>
  </si>
  <si>
    <t>X ray</t>
  </si>
  <si>
    <t>Dicharge</t>
  </si>
  <si>
    <t xml:space="preserve">  </t>
  </si>
  <si>
    <t>Year</t>
  </si>
  <si>
    <t>Month</t>
  </si>
  <si>
    <t>Old appts</t>
  </si>
  <si>
    <t>Discharg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</si>
  <si>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</si>
  <si>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</si>
  <si>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</si>
  <si>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</si>
  <si>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</si>
  <si>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</si>
  <si>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</si>
  <si>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</si>
  <si>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</si>
  <si>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</si>
  <si>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</si>
  <si>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</si>
  <si>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Number of patients supported 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</si>
</sst>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mm/dd/yyyy"/>
    <numFmt numFmtId="166" formatCode="0.0%"/>
  </numFmts>
  <fonts count="1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2"/>
      <color theme="1"/>
      <name val="Calibri"/>
    </font>
    <font>
      <sz val="11"/>
      <color rgb="FF000000"/>
      <name val="Calibri"/>
    </font>
    <font>
      <sz val="11"/>
      <color rgb="FF1F1F1F"/>
      <name val="Arial"/>
    </font>
    <font>
      <sz val="11"/>
      <color rgb="FF000000"/>
      <name val="Arial"/>
    </font>
    <font>
      <sz val="12"/>
      <color rgb="FF000000"/>
      <name val="Calibri"/>
    </font>
    <font>
      <b/>
      <sz val="12"/>
      <color rgb="FF000000"/>
      <name val="Calibri"/>
    </font>
    <font>
      <b/>
      <sz val="14"/>
      <color theme="1"/>
      <name val="Calibri"/>
    </font>
    <font>
      <b/>
      <sz val="11"/>
      <color rgb="FFFF0000"/>
      <name val="Calibri"/>
    </font>
    <font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/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65" fontId="3" fillId="0" borderId="0" xfId="0" applyNumberFormat="1" applyFont="1"/>
    <xf numFmtId="164" fontId="3" fillId="0" borderId="0" xfId="0" applyNumberFormat="1" applyFont="1"/>
    <xf numFmtId="0" fontId="5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9" fontId="3" fillId="0" borderId="1" xfId="0" applyNumberFormat="1" applyFont="1" applyBorder="1"/>
    <xf numFmtId="166" fontId="3" fillId="0" borderId="1" xfId="0" applyNumberFormat="1" applyFont="1" applyBorder="1"/>
    <xf numFmtId="166" fontId="3" fillId="0" borderId="0" xfId="0" applyNumberFormat="1" applyFont="1"/>
    <xf numFmtId="0" fontId="3" fillId="2" borderId="1" xfId="0" applyFont="1" applyFill="1" applyBorder="1"/>
    <xf numFmtId="0" fontId="6" fillId="0" borderId="1" xfId="0" applyFont="1" applyBorder="1" applyAlignment="1">
      <alignment horizontal="right"/>
    </xf>
    <xf numFmtId="0" fontId="6" fillId="2" borderId="1" xfId="0" applyFont="1" applyFill="1" applyBorder="1"/>
    <xf numFmtId="0" fontId="6" fillId="0" borderId="1" xfId="0" applyFont="1" applyBorder="1"/>
    <xf numFmtId="0" fontId="7" fillId="3" borderId="5" xfId="0" applyFont="1" applyFill="1" applyBorder="1"/>
    <xf numFmtId="0" fontId="8" fillId="2" borderId="1" xfId="0" applyFont="1" applyFill="1" applyBorder="1"/>
    <xf numFmtId="0" fontId="7" fillId="2" borderId="1" xfId="0" applyFont="1" applyFill="1" applyBorder="1"/>
    <xf numFmtId="0" fontId="5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9" fillId="0" borderId="1" xfId="0" applyFont="1" applyBorder="1"/>
    <xf numFmtId="0" fontId="10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4" borderId="5" xfId="0" applyFont="1" applyFill="1" applyBorder="1"/>
    <xf numFmtId="0" fontId="3" fillId="4" borderId="5" xfId="0" applyFont="1" applyFill="1" applyBorder="1"/>
    <xf numFmtId="0" fontId="3" fillId="4" borderId="11" xfId="0" applyFont="1" applyFill="1" applyBorder="1"/>
    <xf numFmtId="0" fontId="3" fillId="0" borderId="10" xfId="0" applyFont="1" applyBorder="1"/>
    <xf numFmtId="0" fontId="1" fillId="4" borderId="11" xfId="0" applyFont="1" applyFill="1" applyBorder="1"/>
    <xf numFmtId="0" fontId="1" fillId="0" borderId="13" xfId="0" applyFont="1" applyBorder="1"/>
    <xf numFmtId="0" fontId="1" fillId="0" borderId="14" xfId="0" applyFont="1" applyBorder="1"/>
    <xf numFmtId="0" fontId="12" fillId="0" borderId="0" xfId="0" applyFont="1"/>
    <xf numFmtId="0" fontId="13" fillId="0" borderId="0" xfId="0" applyFont="1"/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11" fillId="0" borderId="9" xfId="0" applyFont="1" applyBorder="1" applyAlignment="1">
      <alignment horizontal="center" vertical="center"/>
    </xf>
    <xf numFmtId="0" fontId="2" fillId="0" borderId="9" xfId="0" applyFont="1" applyBorder="1"/>
    <xf numFmtId="0" fontId="2" fillId="0" borderId="12" xfId="0" applyFont="1" applyBorder="1"/>
    <xf numFmtId="0" fontId="3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49"/>
  <sheetViews>
    <sheetView workbookViewId="0">
      <pane xSplit="4" ySplit="1" topLeftCell="L38" activePane="bottomRight" state="frozen"/>
      <selection pane="topRight" activeCell="E1" sqref="E1"/>
      <selection pane="bottomLeft" activeCell="A3" sqref="A3"/>
      <selection pane="bottomRight" sqref="A1:AG69"/>
    </sheetView>
  </sheetViews>
  <sheetFormatPr defaultColWidth="14.42578125" defaultRowHeight="15" customHeight="1" x14ac:dyDescent="0.25"/>
  <cols>
    <col min="1" max="1" width="16" customWidth="1"/>
    <col min="2" max="2" width="15" customWidth="1"/>
    <col min="3" max="3" width="8.85546875" customWidth="1"/>
    <col min="4" max="4" width="23.140625" customWidth="1"/>
    <col min="5" max="5" width="4.5703125" customWidth="1"/>
    <col min="6" max="6" width="5.5703125" customWidth="1"/>
    <col min="7" max="7" width="6.85546875" customWidth="1"/>
    <col min="8" max="8" width="22" customWidth="1"/>
    <col min="9" max="9" width="9" customWidth="1"/>
    <col min="10" max="10" width="10.42578125" customWidth="1"/>
    <col min="11" max="11" width="6.42578125" customWidth="1"/>
    <col min="12" max="12" width="5.140625" customWidth="1"/>
    <col min="13" max="13" width="7.140625" customWidth="1"/>
    <col min="14" max="14" width="8.5703125" customWidth="1"/>
    <col min="15" max="15" width="8.140625" customWidth="1"/>
    <col min="16" max="16" width="7.28515625" customWidth="1"/>
    <col min="17" max="17" width="8.7109375" customWidth="1"/>
    <col min="18" max="18" width="11.140625" customWidth="1"/>
    <col min="19" max="19" width="10.28515625" customWidth="1"/>
    <col min="20" max="20" width="12.5703125" customWidth="1"/>
    <col min="21" max="21" width="7" customWidth="1"/>
    <col min="22" max="22" width="5.28515625" customWidth="1"/>
    <col min="23" max="23" width="5.7109375" customWidth="1"/>
    <col min="24" max="24" width="7.5703125" customWidth="1"/>
    <col min="25" max="25" width="9.140625" customWidth="1"/>
    <col min="26" max="26" width="13.42578125" customWidth="1"/>
    <col min="27" max="27" width="8" customWidth="1"/>
    <col min="28" max="28" width="9.42578125" customWidth="1"/>
    <col min="29" max="29" width="9.85546875" customWidth="1"/>
    <col min="30" max="30" width="6.28515625" customWidth="1"/>
    <col min="31" max="31" width="11.42578125" customWidth="1"/>
    <col min="32" max="33" width="8.7109375" customWidth="1"/>
  </cols>
  <sheetData>
    <row r="1" spans="1:33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4" t="s">
        <v>32</v>
      </c>
    </row>
    <row r="2" spans="1:33" ht="15.75" customHeight="1" x14ac:dyDescent="0.25">
      <c r="A2" s="5" t="s">
        <v>33</v>
      </c>
      <c r="B2" s="6" t="s">
        <v>34</v>
      </c>
      <c r="D2" s="6" t="s">
        <v>35</v>
      </c>
      <c r="E2" s="6">
        <v>34</v>
      </c>
      <c r="G2" s="6" t="s">
        <v>36</v>
      </c>
      <c r="H2" s="6" t="s">
        <v>37</v>
      </c>
      <c r="I2" s="6" t="s">
        <v>38</v>
      </c>
      <c r="L2" s="6"/>
      <c r="M2" s="7">
        <v>1</v>
      </c>
      <c r="N2" s="6"/>
      <c r="P2" s="6">
        <v>1</v>
      </c>
      <c r="U2" s="6"/>
      <c r="Y2" s="6"/>
      <c r="AB2" s="6"/>
      <c r="AC2" s="6">
        <v>1</v>
      </c>
    </row>
    <row r="3" spans="1:33" ht="15.75" customHeight="1" x14ac:dyDescent="0.25">
      <c r="A3" s="8">
        <v>45081</v>
      </c>
      <c r="B3" s="6" t="s">
        <v>39</v>
      </c>
      <c r="D3" s="6" t="s">
        <v>40</v>
      </c>
      <c r="E3" s="6">
        <v>43</v>
      </c>
      <c r="G3" s="6" t="s">
        <v>41</v>
      </c>
      <c r="H3" s="6" t="s">
        <v>42</v>
      </c>
      <c r="I3" s="6" t="s">
        <v>43</v>
      </c>
      <c r="L3" s="6"/>
      <c r="M3" s="7">
        <v>1</v>
      </c>
      <c r="N3" s="6"/>
      <c r="P3" s="6">
        <v>1</v>
      </c>
      <c r="U3" s="6"/>
      <c r="Y3" s="6"/>
      <c r="AB3" s="6"/>
      <c r="AC3" s="6">
        <v>1</v>
      </c>
    </row>
    <row r="4" spans="1:33" ht="15.75" customHeight="1" x14ac:dyDescent="0.25">
      <c r="A4" s="9">
        <v>45332</v>
      </c>
      <c r="B4" s="6" t="s">
        <v>44</v>
      </c>
      <c r="D4" s="6" t="s">
        <v>45</v>
      </c>
      <c r="E4" s="6">
        <v>48</v>
      </c>
      <c r="G4" s="6" t="s">
        <v>41</v>
      </c>
      <c r="H4" s="6" t="s">
        <v>37</v>
      </c>
      <c r="I4" s="6" t="s">
        <v>38</v>
      </c>
      <c r="L4" s="6"/>
      <c r="M4" s="7">
        <v>1</v>
      </c>
      <c r="N4" s="6"/>
      <c r="P4" s="6">
        <v>1</v>
      </c>
      <c r="U4" s="6"/>
      <c r="Y4" s="6"/>
      <c r="AB4" s="6"/>
      <c r="AC4" s="7">
        <v>1</v>
      </c>
    </row>
    <row r="5" spans="1:33" ht="15.75" customHeight="1" x14ac:dyDescent="0.25">
      <c r="A5" s="5" t="s">
        <v>46</v>
      </c>
      <c r="B5" s="6" t="s">
        <v>47</v>
      </c>
      <c r="D5" s="6" t="s">
        <v>48</v>
      </c>
      <c r="E5" s="6">
        <v>27</v>
      </c>
      <c r="G5" s="6" t="s">
        <v>41</v>
      </c>
      <c r="H5" s="6" t="s">
        <v>49</v>
      </c>
      <c r="I5" s="6" t="s">
        <v>50</v>
      </c>
      <c r="L5" s="6"/>
      <c r="M5" s="7">
        <v>1</v>
      </c>
      <c r="N5" s="6"/>
      <c r="P5" s="6">
        <v>1</v>
      </c>
      <c r="S5" s="6"/>
      <c r="U5" s="6"/>
      <c r="V5" s="6"/>
      <c r="Y5" s="6"/>
      <c r="AA5" s="7">
        <v>1</v>
      </c>
      <c r="AB5" s="6"/>
      <c r="AC5" s="7">
        <v>1</v>
      </c>
    </row>
    <row r="6" spans="1:33" ht="15.75" customHeight="1" x14ac:dyDescent="0.25">
      <c r="A6" s="9">
        <v>45963</v>
      </c>
      <c r="B6" s="6" t="s">
        <v>51</v>
      </c>
      <c r="D6" s="6" t="s">
        <v>52</v>
      </c>
      <c r="E6" s="6">
        <v>37</v>
      </c>
      <c r="F6" s="6"/>
      <c r="G6" s="6" t="s">
        <v>41</v>
      </c>
      <c r="H6" s="6" t="s">
        <v>42</v>
      </c>
      <c r="I6" s="6" t="s">
        <v>43</v>
      </c>
      <c r="L6" s="6">
        <v>1</v>
      </c>
      <c r="N6" s="6"/>
      <c r="P6" s="6">
        <v>1</v>
      </c>
      <c r="T6" s="6">
        <v>1</v>
      </c>
      <c r="U6" s="6"/>
      <c r="Y6" s="6"/>
      <c r="AB6" s="6"/>
    </row>
    <row r="7" spans="1:33" ht="15.75" customHeight="1" x14ac:dyDescent="0.25">
      <c r="A7" s="9">
        <v>45449</v>
      </c>
      <c r="B7" s="6" t="s">
        <v>53</v>
      </c>
      <c r="D7" s="6" t="s">
        <v>54</v>
      </c>
      <c r="E7" s="6">
        <v>55</v>
      </c>
      <c r="G7" s="6" t="s">
        <v>41</v>
      </c>
      <c r="H7" s="6" t="s">
        <v>49</v>
      </c>
      <c r="I7" s="6" t="s">
        <v>50</v>
      </c>
      <c r="L7" s="6">
        <v>1</v>
      </c>
      <c r="N7" s="6"/>
      <c r="P7" s="6">
        <v>1</v>
      </c>
      <c r="S7" s="6"/>
      <c r="X7" s="7">
        <v>1</v>
      </c>
      <c r="Y7" s="6"/>
      <c r="AA7" s="7">
        <v>1</v>
      </c>
      <c r="AC7" s="6">
        <v>1</v>
      </c>
    </row>
    <row r="8" spans="1:33" ht="15.75" customHeight="1" x14ac:dyDescent="0.25">
      <c r="A8" s="5" t="s">
        <v>55</v>
      </c>
      <c r="B8" s="6" t="s">
        <v>56</v>
      </c>
      <c r="D8" s="6" t="s">
        <v>57</v>
      </c>
      <c r="E8" s="6">
        <v>26</v>
      </c>
      <c r="G8" s="6" t="s">
        <v>41</v>
      </c>
      <c r="H8" s="6" t="s">
        <v>58</v>
      </c>
      <c r="I8" s="6" t="s">
        <v>50</v>
      </c>
      <c r="L8" s="6">
        <v>1</v>
      </c>
      <c r="P8" s="6">
        <v>1</v>
      </c>
      <c r="R8" s="7">
        <v>1</v>
      </c>
      <c r="Y8" s="6"/>
      <c r="AC8" s="6"/>
    </row>
    <row r="9" spans="1:33" ht="15.75" customHeight="1" x14ac:dyDescent="0.25">
      <c r="A9" s="7" t="s">
        <v>59</v>
      </c>
      <c r="B9" s="6" t="s">
        <v>56</v>
      </c>
      <c r="D9" s="6" t="s">
        <v>60</v>
      </c>
      <c r="E9" s="6">
        <v>26</v>
      </c>
      <c r="G9" s="6" t="s">
        <v>36</v>
      </c>
      <c r="H9" s="6" t="s">
        <v>61</v>
      </c>
      <c r="I9" s="6" t="s">
        <v>50</v>
      </c>
      <c r="L9" s="6">
        <v>1</v>
      </c>
      <c r="P9" s="6">
        <v>1</v>
      </c>
      <c r="V9" s="7">
        <v>1</v>
      </c>
      <c r="W9" s="7">
        <v>1</v>
      </c>
      <c r="Y9" s="6"/>
      <c r="AC9" s="6"/>
    </row>
    <row r="10" spans="1:33" ht="15.75" customHeight="1" x14ac:dyDescent="0.25">
      <c r="A10" s="5" t="s">
        <v>62</v>
      </c>
      <c r="B10" s="6" t="s">
        <v>44</v>
      </c>
      <c r="D10" s="6" t="s">
        <v>63</v>
      </c>
      <c r="E10" s="6">
        <v>29</v>
      </c>
      <c r="F10" s="6"/>
      <c r="G10" s="6" t="s">
        <v>41</v>
      </c>
      <c r="H10" s="6" t="s">
        <v>49</v>
      </c>
      <c r="I10" s="6" t="s">
        <v>50</v>
      </c>
      <c r="K10" s="7">
        <v>1</v>
      </c>
      <c r="L10" s="6"/>
      <c r="N10" s="6"/>
      <c r="P10" s="6">
        <v>1</v>
      </c>
      <c r="T10" s="7">
        <v>1</v>
      </c>
      <c r="V10" s="7">
        <v>1</v>
      </c>
      <c r="Y10" s="6">
        <v>1</v>
      </c>
      <c r="AC10" s="6"/>
    </row>
    <row r="11" spans="1:33" ht="15.75" customHeight="1" x14ac:dyDescent="0.25">
      <c r="A11" s="9">
        <v>45904</v>
      </c>
      <c r="B11" s="6" t="s">
        <v>64</v>
      </c>
      <c r="D11" s="6" t="s">
        <v>65</v>
      </c>
      <c r="E11" s="6">
        <v>50</v>
      </c>
      <c r="G11" s="6" t="s">
        <v>41</v>
      </c>
      <c r="H11" s="6" t="s">
        <v>66</v>
      </c>
      <c r="I11" s="6" t="s">
        <v>50</v>
      </c>
      <c r="L11" s="6">
        <v>1</v>
      </c>
      <c r="P11" s="6">
        <v>1</v>
      </c>
      <c r="T11" s="7">
        <v>1</v>
      </c>
      <c r="Y11" s="6"/>
      <c r="AB11" s="7">
        <v>1</v>
      </c>
      <c r="AC11" s="6"/>
    </row>
    <row r="12" spans="1:33" ht="15.75" customHeight="1" x14ac:dyDescent="0.25">
      <c r="A12" s="5" t="s">
        <v>67</v>
      </c>
      <c r="B12" s="6" t="s">
        <v>68</v>
      </c>
      <c r="D12" s="6" t="s">
        <v>69</v>
      </c>
      <c r="E12" s="6">
        <v>13</v>
      </c>
      <c r="F12" s="7">
        <v>1</v>
      </c>
      <c r="G12" s="6" t="s">
        <v>36</v>
      </c>
      <c r="H12" s="6" t="s">
        <v>70</v>
      </c>
      <c r="I12" s="6" t="s">
        <v>50</v>
      </c>
      <c r="L12" s="6">
        <v>1</v>
      </c>
      <c r="M12" s="6"/>
      <c r="N12" s="7">
        <v>1</v>
      </c>
      <c r="P12" s="6"/>
      <c r="V12" s="7">
        <v>1</v>
      </c>
      <c r="Y12" s="6"/>
      <c r="AC12" s="6"/>
    </row>
    <row r="13" spans="1:33" ht="15.75" customHeight="1" x14ac:dyDescent="0.25">
      <c r="A13" s="9">
        <v>45813</v>
      </c>
      <c r="B13" s="6" t="s">
        <v>71</v>
      </c>
      <c r="D13" s="6" t="s">
        <v>72</v>
      </c>
      <c r="E13" s="6" t="s">
        <v>73</v>
      </c>
      <c r="G13" s="6" t="s">
        <v>41</v>
      </c>
      <c r="H13" s="6" t="s">
        <v>74</v>
      </c>
      <c r="I13" s="6" t="s">
        <v>50</v>
      </c>
      <c r="L13" s="6">
        <v>1</v>
      </c>
      <c r="M13" s="6"/>
      <c r="N13" s="7">
        <v>1</v>
      </c>
      <c r="P13" s="6"/>
      <c r="T13" s="7">
        <v>1</v>
      </c>
      <c r="Y13" s="6"/>
    </row>
    <row r="14" spans="1:33" ht="15.75" customHeight="1" x14ac:dyDescent="0.25">
      <c r="A14" s="5" t="s">
        <v>75</v>
      </c>
      <c r="B14" s="6" t="s">
        <v>76</v>
      </c>
      <c r="D14" s="6" t="s">
        <v>77</v>
      </c>
      <c r="E14" s="6">
        <v>70</v>
      </c>
      <c r="G14" s="6" t="s">
        <v>36</v>
      </c>
      <c r="H14" s="6" t="s">
        <v>78</v>
      </c>
      <c r="I14" s="6" t="s">
        <v>50</v>
      </c>
      <c r="L14" s="6">
        <v>1</v>
      </c>
      <c r="N14" s="6"/>
      <c r="P14" s="6">
        <v>1</v>
      </c>
      <c r="V14" s="7">
        <v>1</v>
      </c>
      <c r="Y14" s="6"/>
      <c r="AC14" s="6"/>
    </row>
    <row r="15" spans="1:33" ht="15.75" customHeight="1" x14ac:dyDescent="0.25">
      <c r="A15" s="5" t="s">
        <v>79</v>
      </c>
      <c r="B15" s="6" t="s">
        <v>80</v>
      </c>
      <c r="C15" s="6"/>
      <c r="D15" s="6" t="s">
        <v>81</v>
      </c>
      <c r="E15" s="6">
        <v>34</v>
      </c>
      <c r="F15" s="6"/>
      <c r="G15" s="6" t="s">
        <v>36</v>
      </c>
      <c r="H15" s="6" t="s">
        <v>82</v>
      </c>
      <c r="I15" s="6" t="s">
        <v>50</v>
      </c>
      <c r="L15" s="6"/>
      <c r="M15" s="7">
        <v>1</v>
      </c>
      <c r="N15" s="6"/>
      <c r="P15" s="6">
        <v>1</v>
      </c>
      <c r="R15" s="6"/>
      <c r="Y15" s="6"/>
      <c r="AC15" s="7">
        <v>1</v>
      </c>
    </row>
    <row r="16" spans="1:33" ht="15.75" customHeight="1" x14ac:dyDescent="0.25">
      <c r="A16" s="5" t="s">
        <v>83</v>
      </c>
      <c r="B16" s="6" t="s">
        <v>84</v>
      </c>
      <c r="C16" s="6"/>
      <c r="D16" s="6" t="s">
        <v>85</v>
      </c>
      <c r="E16" s="6">
        <v>41</v>
      </c>
      <c r="F16" s="6"/>
      <c r="G16" s="6" t="s">
        <v>41</v>
      </c>
      <c r="H16" s="6" t="s">
        <v>86</v>
      </c>
      <c r="I16" s="6" t="s">
        <v>38</v>
      </c>
      <c r="L16" s="6">
        <v>1</v>
      </c>
      <c r="M16" s="6"/>
      <c r="N16" s="6"/>
      <c r="P16" s="6">
        <v>1</v>
      </c>
      <c r="V16" s="7">
        <v>1</v>
      </c>
      <c r="Y16" s="6"/>
      <c r="AB16" s="6"/>
    </row>
    <row r="17" spans="1:30" ht="15.75" customHeight="1" x14ac:dyDescent="0.25">
      <c r="A17" s="5" t="s">
        <v>87</v>
      </c>
      <c r="B17" s="6" t="s">
        <v>88</v>
      </c>
      <c r="D17" s="6" t="s">
        <v>89</v>
      </c>
      <c r="E17" s="6">
        <v>23</v>
      </c>
      <c r="G17" s="6" t="s">
        <v>36</v>
      </c>
      <c r="H17" s="6" t="s">
        <v>90</v>
      </c>
      <c r="I17" s="6" t="s">
        <v>50</v>
      </c>
      <c r="K17" s="7">
        <v>1</v>
      </c>
      <c r="L17" s="6"/>
      <c r="P17" s="6">
        <v>1</v>
      </c>
      <c r="X17" s="7">
        <v>1</v>
      </c>
      <c r="Y17" s="6"/>
    </row>
    <row r="18" spans="1:30" ht="15.75" customHeight="1" x14ac:dyDescent="0.25">
      <c r="A18" s="5" t="s">
        <v>91</v>
      </c>
      <c r="B18" s="6" t="s">
        <v>92</v>
      </c>
      <c r="D18" s="6" t="s">
        <v>93</v>
      </c>
      <c r="E18" s="6">
        <v>57</v>
      </c>
      <c r="G18" s="6" t="s">
        <v>36</v>
      </c>
      <c r="H18" s="6" t="s">
        <v>82</v>
      </c>
      <c r="I18" s="6" t="s">
        <v>50</v>
      </c>
      <c r="L18" s="6"/>
      <c r="M18" s="7">
        <v>1</v>
      </c>
      <c r="P18" s="6">
        <v>1</v>
      </c>
      <c r="Y18" s="6"/>
      <c r="AC18" s="7">
        <v>1</v>
      </c>
    </row>
    <row r="19" spans="1:30" ht="15.75" customHeight="1" x14ac:dyDescent="0.25">
      <c r="A19" s="9">
        <v>45544</v>
      </c>
      <c r="B19" s="6" t="s">
        <v>94</v>
      </c>
      <c r="D19" s="6" t="s">
        <v>95</v>
      </c>
      <c r="E19" s="6">
        <v>55</v>
      </c>
      <c r="G19" s="6" t="s">
        <v>41</v>
      </c>
      <c r="H19" s="6" t="s">
        <v>66</v>
      </c>
      <c r="I19" s="6" t="s">
        <v>50</v>
      </c>
      <c r="L19" s="6">
        <v>1</v>
      </c>
      <c r="P19" s="6">
        <v>1</v>
      </c>
      <c r="Y19" s="6">
        <v>1</v>
      </c>
      <c r="AC19" s="6"/>
    </row>
    <row r="20" spans="1:30" ht="15.75" customHeight="1" x14ac:dyDescent="0.25">
      <c r="A20" s="5" t="s">
        <v>96</v>
      </c>
      <c r="B20" s="6" t="s">
        <v>97</v>
      </c>
      <c r="D20" s="6" t="s">
        <v>98</v>
      </c>
      <c r="E20" s="6">
        <v>37</v>
      </c>
      <c r="G20" s="6" t="s">
        <v>41</v>
      </c>
      <c r="H20" s="6" t="s">
        <v>66</v>
      </c>
      <c r="I20" s="6" t="s">
        <v>50</v>
      </c>
      <c r="L20" s="6">
        <v>1</v>
      </c>
      <c r="P20" s="6">
        <v>1</v>
      </c>
      <c r="S20" s="6"/>
      <c r="Y20" s="7">
        <v>1</v>
      </c>
    </row>
    <row r="21" spans="1:30" ht="15.75" customHeight="1" x14ac:dyDescent="0.25">
      <c r="A21" s="5" t="s">
        <v>99</v>
      </c>
      <c r="B21" s="6" t="s">
        <v>100</v>
      </c>
      <c r="D21" s="6" t="s">
        <v>101</v>
      </c>
      <c r="E21" s="6">
        <v>53</v>
      </c>
      <c r="G21" s="6" t="s">
        <v>41</v>
      </c>
      <c r="H21" s="6" t="s">
        <v>66</v>
      </c>
      <c r="I21" s="6" t="s">
        <v>50</v>
      </c>
      <c r="L21" s="6">
        <v>1</v>
      </c>
      <c r="P21" s="6">
        <v>1</v>
      </c>
      <c r="Y21" s="6">
        <v>1</v>
      </c>
      <c r="AC21" s="6"/>
    </row>
    <row r="22" spans="1:30" ht="15.75" customHeight="1" x14ac:dyDescent="0.25">
      <c r="A22" s="5" t="s">
        <v>102</v>
      </c>
      <c r="B22" s="6" t="s">
        <v>80</v>
      </c>
      <c r="D22" s="6" t="s">
        <v>103</v>
      </c>
      <c r="E22" s="6">
        <v>49</v>
      </c>
      <c r="G22" s="6" t="s">
        <v>36</v>
      </c>
      <c r="H22" s="6" t="s">
        <v>104</v>
      </c>
      <c r="I22" s="6" t="s">
        <v>50</v>
      </c>
      <c r="L22" s="7">
        <v>1</v>
      </c>
      <c r="M22" s="6"/>
      <c r="N22" s="7">
        <v>1</v>
      </c>
      <c r="P22" s="6"/>
      <c r="Y22" s="6">
        <v>1</v>
      </c>
    </row>
    <row r="23" spans="1:30" ht="15.75" customHeight="1" x14ac:dyDescent="0.25">
      <c r="A23" s="8">
        <v>43956</v>
      </c>
      <c r="B23" s="6" t="s">
        <v>105</v>
      </c>
      <c r="D23" s="6" t="s">
        <v>106</v>
      </c>
      <c r="E23" s="6">
        <v>65</v>
      </c>
      <c r="G23" s="6" t="s">
        <v>41</v>
      </c>
      <c r="H23" s="6" t="s">
        <v>49</v>
      </c>
      <c r="I23" s="6" t="s">
        <v>50</v>
      </c>
      <c r="L23" s="6">
        <v>1</v>
      </c>
      <c r="P23" s="6">
        <v>1</v>
      </c>
      <c r="Y23" s="6">
        <v>1</v>
      </c>
    </row>
    <row r="24" spans="1:30" ht="15.75" customHeight="1" x14ac:dyDescent="0.25">
      <c r="A24" s="5" t="s">
        <v>107</v>
      </c>
      <c r="B24" s="6" t="s">
        <v>51</v>
      </c>
      <c r="D24" s="6" t="s">
        <v>108</v>
      </c>
      <c r="E24" s="6">
        <v>37</v>
      </c>
      <c r="G24" s="6" t="s">
        <v>41</v>
      </c>
      <c r="H24" s="6" t="s">
        <v>49</v>
      </c>
      <c r="I24" s="6" t="s">
        <v>50</v>
      </c>
      <c r="K24" s="7">
        <v>1</v>
      </c>
      <c r="L24" s="6"/>
      <c r="P24" s="6">
        <v>1</v>
      </c>
      <c r="Y24" s="6">
        <v>1</v>
      </c>
      <c r="AD24" s="7">
        <v>1</v>
      </c>
    </row>
    <row r="25" spans="1:30" ht="15.75" customHeight="1" x14ac:dyDescent="0.25">
      <c r="A25" s="5" t="s">
        <v>109</v>
      </c>
      <c r="B25" s="6" t="s">
        <v>44</v>
      </c>
      <c r="D25" s="6" t="s">
        <v>110</v>
      </c>
      <c r="E25" s="6">
        <v>6</v>
      </c>
      <c r="F25" s="7">
        <v>1</v>
      </c>
      <c r="G25" s="6" t="s">
        <v>36</v>
      </c>
      <c r="H25" s="6" t="s">
        <v>111</v>
      </c>
      <c r="I25" s="6" t="s">
        <v>50</v>
      </c>
      <c r="M25" s="6"/>
      <c r="P25" s="6">
        <v>1</v>
      </c>
      <c r="Y25" s="6"/>
      <c r="AD25" s="7">
        <v>1</v>
      </c>
    </row>
    <row r="26" spans="1:30" ht="15.75" customHeight="1" x14ac:dyDescent="0.25">
      <c r="A26" s="5" t="s">
        <v>112</v>
      </c>
      <c r="B26" s="6" t="s">
        <v>113</v>
      </c>
      <c r="D26" s="6" t="s">
        <v>114</v>
      </c>
      <c r="E26" s="6">
        <v>32</v>
      </c>
      <c r="G26" s="6" t="s">
        <v>41</v>
      </c>
      <c r="H26" s="6" t="s">
        <v>49</v>
      </c>
      <c r="I26" s="6" t="s">
        <v>50</v>
      </c>
      <c r="L26" s="7">
        <v>1</v>
      </c>
      <c r="M26" s="6"/>
      <c r="P26" s="6">
        <v>1</v>
      </c>
      <c r="R26" s="6"/>
      <c r="V26" s="6"/>
      <c r="Y26" s="7">
        <v>1</v>
      </c>
      <c r="AA26" s="6"/>
    </row>
    <row r="27" spans="1:30" ht="15.75" customHeight="1" x14ac:dyDescent="0.25">
      <c r="A27" s="9">
        <v>45780</v>
      </c>
      <c r="B27" s="6" t="s">
        <v>115</v>
      </c>
      <c r="D27" s="6" t="s">
        <v>116</v>
      </c>
      <c r="E27" s="6">
        <v>11</v>
      </c>
      <c r="F27" s="7">
        <v>1</v>
      </c>
      <c r="G27" s="6" t="s">
        <v>36</v>
      </c>
      <c r="H27" s="6" t="s">
        <v>117</v>
      </c>
      <c r="I27" s="6" t="s">
        <v>50</v>
      </c>
      <c r="L27" s="7">
        <v>1</v>
      </c>
      <c r="M27" s="6"/>
      <c r="P27" s="6">
        <v>1</v>
      </c>
      <c r="R27" s="6"/>
      <c r="V27" s="6"/>
      <c r="Y27" s="7">
        <v>1</v>
      </c>
      <c r="AA27" s="6"/>
      <c r="AC27" s="6"/>
    </row>
    <row r="28" spans="1:30" ht="15.75" customHeight="1" x14ac:dyDescent="0.25">
      <c r="A28" s="5" t="s">
        <v>118</v>
      </c>
      <c r="B28" s="6" t="s">
        <v>92</v>
      </c>
      <c r="D28" s="6" t="s">
        <v>119</v>
      </c>
      <c r="E28" s="6">
        <v>72</v>
      </c>
      <c r="F28" s="6"/>
      <c r="G28" s="6" t="s">
        <v>41</v>
      </c>
      <c r="H28" s="6" t="s">
        <v>66</v>
      </c>
      <c r="I28" s="6" t="s">
        <v>50</v>
      </c>
      <c r="L28" s="6">
        <v>1</v>
      </c>
      <c r="P28" s="6">
        <v>1</v>
      </c>
      <c r="U28" s="6"/>
      <c r="V28" s="6"/>
      <c r="Y28" s="7">
        <v>1</v>
      </c>
    </row>
    <row r="29" spans="1:30" ht="15.75" customHeight="1" x14ac:dyDescent="0.25">
      <c r="A29" s="9">
        <v>45840</v>
      </c>
      <c r="B29" s="6" t="s">
        <v>88</v>
      </c>
      <c r="D29" s="6" t="s">
        <v>120</v>
      </c>
      <c r="E29" s="6">
        <v>50</v>
      </c>
      <c r="G29" s="6" t="s">
        <v>41</v>
      </c>
      <c r="H29" s="6" t="s">
        <v>121</v>
      </c>
      <c r="I29" s="6" t="s">
        <v>50</v>
      </c>
      <c r="L29" s="6">
        <v>1</v>
      </c>
      <c r="P29" s="6">
        <v>1</v>
      </c>
      <c r="Y29" s="7">
        <v>1</v>
      </c>
      <c r="AC29" s="6"/>
    </row>
    <row r="30" spans="1:30" ht="15.75" customHeight="1" x14ac:dyDescent="0.25">
      <c r="A30" s="9">
        <v>45874</v>
      </c>
      <c r="B30" s="6" t="s">
        <v>122</v>
      </c>
      <c r="D30" s="6" t="s">
        <v>123</v>
      </c>
      <c r="E30" s="6">
        <v>9</v>
      </c>
      <c r="F30" s="7">
        <v>1</v>
      </c>
      <c r="G30" s="6" t="s">
        <v>36</v>
      </c>
      <c r="H30" s="6" t="s">
        <v>124</v>
      </c>
      <c r="I30" s="6" t="s">
        <v>50</v>
      </c>
      <c r="L30" s="6">
        <v>1</v>
      </c>
      <c r="N30" s="7">
        <v>1</v>
      </c>
      <c r="P30" s="6"/>
      <c r="V30" s="6"/>
      <c r="Y30" s="7">
        <v>1</v>
      </c>
      <c r="AC30" s="6"/>
    </row>
    <row r="31" spans="1:30" ht="15.75" customHeight="1" x14ac:dyDescent="0.25">
      <c r="A31" s="9">
        <v>45874</v>
      </c>
      <c r="B31" s="6" t="s">
        <v>125</v>
      </c>
      <c r="D31" s="6" t="s">
        <v>126</v>
      </c>
      <c r="E31" s="6">
        <v>56</v>
      </c>
      <c r="G31" s="6" t="s">
        <v>36</v>
      </c>
      <c r="H31" s="6" t="s">
        <v>78</v>
      </c>
      <c r="I31" s="6" t="s">
        <v>50</v>
      </c>
      <c r="L31" s="6">
        <v>1</v>
      </c>
      <c r="N31" s="7">
        <v>1</v>
      </c>
      <c r="P31" s="6"/>
      <c r="V31" s="6"/>
      <c r="W31" s="6"/>
      <c r="Y31" s="7">
        <v>1</v>
      </c>
      <c r="AA31" s="6"/>
      <c r="AC31" s="6"/>
    </row>
    <row r="32" spans="1:30" ht="15.75" customHeight="1" x14ac:dyDescent="0.25">
      <c r="A32" s="9">
        <v>45693</v>
      </c>
      <c r="B32" s="6" t="s">
        <v>64</v>
      </c>
      <c r="D32" s="6" t="s">
        <v>127</v>
      </c>
      <c r="E32" s="6" t="s">
        <v>73</v>
      </c>
      <c r="G32" s="6" t="s">
        <v>41</v>
      </c>
      <c r="H32" s="6" t="s">
        <v>128</v>
      </c>
      <c r="I32" s="6" t="s">
        <v>129</v>
      </c>
      <c r="L32" s="6">
        <v>1</v>
      </c>
      <c r="N32" s="6">
        <v>1</v>
      </c>
      <c r="R32" s="7">
        <v>1</v>
      </c>
      <c r="V32" s="6"/>
    </row>
    <row r="33" spans="1:29" ht="15.75" customHeight="1" x14ac:dyDescent="0.25">
      <c r="A33" s="9">
        <v>45662</v>
      </c>
      <c r="B33" s="6" t="s">
        <v>64</v>
      </c>
      <c r="D33" s="6" t="s">
        <v>130</v>
      </c>
      <c r="E33" s="6" t="s">
        <v>73</v>
      </c>
      <c r="G33" s="6" t="s">
        <v>41</v>
      </c>
      <c r="H33" s="6" t="s">
        <v>66</v>
      </c>
      <c r="I33" s="6" t="s">
        <v>50</v>
      </c>
      <c r="L33" s="6">
        <v>1</v>
      </c>
      <c r="N33" s="7">
        <v>1</v>
      </c>
      <c r="P33" s="6"/>
      <c r="U33" s="6"/>
    </row>
    <row r="34" spans="1:29" ht="15.75" customHeight="1" x14ac:dyDescent="0.25">
      <c r="A34" s="8">
        <v>45721</v>
      </c>
      <c r="B34" s="6" t="s">
        <v>125</v>
      </c>
      <c r="D34" s="6" t="s">
        <v>131</v>
      </c>
      <c r="E34" s="6">
        <v>30</v>
      </c>
      <c r="G34" s="6" t="s">
        <v>41</v>
      </c>
      <c r="H34" s="6" t="s">
        <v>49</v>
      </c>
      <c r="I34" s="6" t="s">
        <v>50</v>
      </c>
      <c r="L34" s="6">
        <v>1</v>
      </c>
      <c r="N34" s="7">
        <v>1</v>
      </c>
      <c r="P34" s="6"/>
      <c r="T34" s="6"/>
      <c r="V34" s="7">
        <v>1</v>
      </c>
      <c r="W34" s="7">
        <v>1</v>
      </c>
      <c r="AC34" s="6"/>
    </row>
    <row r="35" spans="1:29" ht="15.75" customHeight="1" x14ac:dyDescent="0.25">
      <c r="A35" s="5" t="s">
        <v>132</v>
      </c>
      <c r="B35" s="6" t="s">
        <v>64</v>
      </c>
      <c r="D35" s="6" t="s">
        <v>133</v>
      </c>
      <c r="E35" s="6">
        <v>30</v>
      </c>
      <c r="G35" s="6" t="s">
        <v>41</v>
      </c>
      <c r="H35" s="6" t="s">
        <v>66</v>
      </c>
      <c r="I35" s="6" t="s">
        <v>50</v>
      </c>
      <c r="L35" s="6">
        <v>1</v>
      </c>
      <c r="P35" s="6">
        <v>1</v>
      </c>
      <c r="T35" s="7">
        <v>1</v>
      </c>
      <c r="V35" s="6"/>
      <c r="W35" s="6"/>
      <c r="Y35" s="7">
        <v>1</v>
      </c>
      <c r="AA35" s="7">
        <v>1</v>
      </c>
    </row>
    <row r="36" spans="1:29" ht="15.75" customHeight="1" x14ac:dyDescent="0.25">
      <c r="A36" s="5" t="s">
        <v>134</v>
      </c>
      <c r="B36" s="6" t="s">
        <v>94</v>
      </c>
      <c r="D36" s="6" t="s">
        <v>135</v>
      </c>
      <c r="E36" s="6">
        <v>25</v>
      </c>
      <c r="G36" s="6" t="s">
        <v>36</v>
      </c>
      <c r="H36" s="6" t="s">
        <v>136</v>
      </c>
      <c r="I36" s="6" t="s">
        <v>129</v>
      </c>
      <c r="K36" s="6"/>
      <c r="L36" s="7">
        <v>1</v>
      </c>
      <c r="P36" s="6">
        <v>1</v>
      </c>
      <c r="Y36" s="7">
        <v>1</v>
      </c>
      <c r="AA36" s="6"/>
      <c r="AC36" s="7">
        <v>1</v>
      </c>
    </row>
    <row r="37" spans="1:29" ht="15.75" customHeight="1" x14ac:dyDescent="0.25">
      <c r="A37" s="9">
        <v>45145</v>
      </c>
      <c r="B37" s="6" t="s">
        <v>64</v>
      </c>
      <c r="D37" s="6" t="s">
        <v>137</v>
      </c>
      <c r="E37" s="6">
        <v>60</v>
      </c>
      <c r="G37" s="6" t="s">
        <v>41</v>
      </c>
      <c r="H37" s="6" t="s">
        <v>49</v>
      </c>
      <c r="I37" s="6" t="s">
        <v>50</v>
      </c>
      <c r="L37" s="6">
        <v>1</v>
      </c>
      <c r="P37" s="6">
        <v>1</v>
      </c>
      <c r="T37" s="7">
        <v>1</v>
      </c>
      <c r="V37" s="6"/>
      <c r="W37" s="6"/>
      <c r="AA37" s="6"/>
      <c r="AC37" s="6">
        <v>1</v>
      </c>
    </row>
    <row r="38" spans="1:29" ht="15.75" customHeight="1" x14ac:dyDescent="0.25">
      <c r="A38" s="5" t="s">
        <v>138</v>
      </c>
      <c r="B38" s="6" t="s">
        <v>64</v>
      </c>
      <c r="D38" s="6" t="s">
        <v>139</v>
      </c>
      <c r="E38" s="6">
        <v>68</v>
      </c>
      <c r="G38" s="6" t="s">
        <v>36</v>
      </c>
      <c r="H38" s="6" t="s">
        <v>78</v>
      </c>
      <c r="I38" s="6" t="s">
        <v>50</v>
      </c>
      <c r="L38" s="7">
        <v>1</v>
      </c>
      <c r="M38" s="6"/>
      <c r="P38" s="6">
        <v>1</v>
      </c>
      <c r="Y38" s="7">
        <v>1</v>
      </c>
      <c r="AC38" s="6">
        <v>1</v>
      </c>
    </row>
    <row r="39" spans="1:29" ht="15.75" customHeight="1" x14ac:dyDescent="0.25">
      <c r="A39" s="8">
        <v>45058</v>
      </c>
      <c r="B39" s="6" t="s">
        <v>140</v>
      </c>
      <c r="D39" s="6" t="s">
        <v>141</v>
      </c>
      <c r="E39" s="6">
        <v>34</v>
      </c>
      <c r="G39" s="6" t="s">
        <v>36</v>
      </c>
      <c r="H39" s="6" t="s">
        <v>142</v>
      </c>
      <c r="I39" s="6" t="s">
        <v>50</v>
      </c>
      <c r="L39" s="6">
        <v>1</v>
      </c>
      <c r="P39" s="6">
        <v>1</v>
      </c>
      <c r="V39" s="7">
        <v>1</v>
      </c>
      <c r="AC39" s="6"/>
    </row>
    <row r="40" spans="1:29" ht="15.75" customHeight="1" x14ac:dyDescent="0.25">
      <c r="A40" s="9">
        <v>45996</v>
      </c>
      <c r="B40" s="6" t="s">
        <v>143</v>
      </c>
      <c r="D40" s="6" t="s">
        <v>144</v>
      </c>
      <c r="E40" s="6">
        <v>26</v>
      </c>
      <c r="G40" s="6" t="s">
        <v>41</v>
      </c>
      <c r="H40" s="6" t="s">
        <v>49</v>
      </c>
      <c r="I40" s="6" t="s">
        <v>50</v>
      </c>
      <c r="L40" s="6">
        <v>1</v>
      </c>
      <c r="N40" s="7">
        <v>1</v>
      </c>
      <c r="P40" s="6"/>
      <c r="V40" s="6">
        <v>2</v>
      </c>
      <c r="AA40" s="7">
        <v>1</v>
      </c>
    </row>
    <row r="41" spans="1:29" ht="15.75" customHeight="1" x14ac:dyDescent="0.25">
      <c r="A41" s="9">
        <v>45782</v>
      </c>
      <c r="B41" s="6" t="s">
        <v>51</v>
      </c>
      <c r="D41" s="6" t="s">
        <v>145</v>
      </c>
      <c r="E41" s="6">
        <v>68</v>
      </c>
      <c r="G41" s="6" t="s">
        <v>41</v>
      </c>
      <c r="H41" s="6" t="s">
        <v>146</v>
      </c>
      <c r="I41" s="6" t="s">
        <v>129</v>
      </c>
      <c r="L41" s="6">
        <v>1</v>
      </c>
      <c r="N41" s="7">
        <v>1</v>
      </c>
      <c r="P41" s="6"/>
      <c r="V41" s="6">
        <v>1</v>
      </c>
    </row>
    <row r="42" spans="1:29" ht="15.75" customHeight="1" x14ac:dyDescent="0.25">
      <c r="A42" s="5" t="s">
        <v>147</v>
      </c>
      <c r="B42" s="6" t="s">
        <v>56</v>
      </c>
      <c r="D42" s="6" t="s">
        <v>148</v>
      </c>
      <c r="E42" s="6">
        <v>55</v>
      </c>
      <c r="F42" s="6"/>
      <c r="G42" s="6" t="s">
        <v>41</v>
      </c>
      <c r="H42" s="6" t="s">
        <v>49</v>
      </c>
      <c r="I42" s="6" t="s">
        <v>50</v>
      </c>
      <c r="L42" s="6">
        <v>1</v>
      </c>
      <c r="N42" s="6"/>
      <c r="P42" s="7">
        <v>1</v>
      </c>
      <c r="V42" s="6"/>
      <c r="Y42" s="7">
        <v>1</v>
      </c>
      <c r="AA42" s="7">
        <v>1</v>
      </c>
      <c r="AC42" s="6"/>
    </row>
    <row r="43" spans="1:29" ht="15.75" customHeight="1" x14ac:dyDescent="0.25">
      <c r="A43" s="5" t="s">
        <v>149</v>
      </c>
      <c r="B43" s="6" t="s">
        <v>97</v>
      </c>
      <c r="D43" s="6" t="s">
        <v>150</v>
      </c>
      <c r="E43" s="6">
        <v>40</v>
      </c>
      <c r="G43" s="6" t="s">
        <v>41</v>
      </c>
      <c r="H43" s="6" t="s">
        <v>151</v>
      </c>
      <c r="I43" s="6" t="s">
        <v>50</v>
      </c>
      <c r="L43" s="6">
        <v>1</v>
      </c>
      <c r="N43" s="6"/>
      <c r="P43" s="7">
        <v>1</v>
      </c>
      <c r="T43" s="6"/>
      <c r="V43" s="6"/>
      <c r="X43" s="7">
        <v>1</v>
      </c>
      <c r="Y43" s="7">
        <v>1</v>
      </c>
      <c r="AC43" s="7">
        <v>1</v>
      </c>
    </row>
    <row r="44" spans="1:29" ht="15.75" customHeight="1" x14ac:dyDescent="0.25">
      <c r="A44" s="5" t="s">
        <v>152</v>
      </c>
      <c r="B44" s="6" t="s">
        <v>56</v>
      </c>
      <c r="D44" s="6" t="s">
        <v>153</v>
      </c>
      <c r="E44" s="6">
        <v>42</v>
      </c>
      <c r="G44" s="6" t="s">
        <v>41</v>
      </c>
      <c r="H44" s="6" t="s">
        <v>49</v>
      </c>
      <c r="I44" s="6" t="s">
        <v>50</v>
      </c>
      <c r="L44" s="6">
        <v>1</v>
      </c>
      <c r="N44" s="6">
        <v>1</v>
      </c>
      <c r="T44" s="6"/>
      <c r="V44" s="7">
        <v>1</v>
      </c>
    </row>
    <row r="45" spans="1:29" ht="15.75" customHeight="1" x14ac:dyDescent="0.25">
      <c r="A45" s="9">
        <v>45842</v>
      </c>
      <c r="B45" s="6" t="s">
        <v>56</v>
      </c>
      <c r="D45" s="6" t="s">
        <v>154</v>
      </c>
      <c r="E45" s="6">
        <v>39</v>
      </c>
      <c r="G45" s="6" t="s">
        <v>41</v>
      </c>
      <c r="H45" s="6" t="s">
        <v>49</v>
      </c>
      <c r="I45" s="6" t="s">
        <v>50</v>
      </c>
      <c r="L45" s="6">
        <v>1</v>
      </c>
      <c r="P45" s="6">
        <v>1</v>
      </c>
      <c r="S45" s="7">
        <v>1</v>
      </c>
      <c r="V45" s="6"/>
      <c r="W45" s="6"/>
      <c r="Y45" s="7">
        <v>1</v>
      </c>
    </row>
    <row r="46" spans="1:29" ht="15.75" customHeight="1" x14ac:dyDescent="0.25">
      <c r="A46" s="9">
        <v>45445</v>
      </c>
      <c r="B46" s="6" t="s">
        <v>56</v>
      </c>
      <c r="D46" s="6" t="s">
        <v>155</v>
      </c>
      <c r="E46" s="6">
        <v>37</v>
      </c>
      <c r="F46" s="6"/>
      <c r="G46" s="6" t="s">
        <v>41</v>
      </c>
      <c r="H46" s="6" t="s">
        <v>49</v>
      </c>
      <c r="I46" s="6" t="s">
        <v>50</v>
      </c>
      <c r="L46" s="6">
        <v>1</v>
      </c>
      <c r="P46" s="6">
        <v>1</v>
      </c>
      <c r="Y46" s="7">
        <v>1</v>
      </c>
      <c r="AC46" s="6"/>
    </row>
    <row r="47" spans="1:29" ht="15.75" customHeight="1" x14ac:dyDescent="0.25">
      <c r="A47" s="9">
        <v>45144</v>
      </c>
      <c r="B47" s="6" t="s">
        <v>56</v>
      </c>
      <c r="D47" s="6" t="s">
        <v>156</v>
      </c>
      <c r="E47" s="6">
        <v>2</v>
      </c>
      <c r="F47" s="7">
        <v>1</v>
      </c>
      <c r="G47" s="6" t="s">
        <v>36</v>
      </c>
      <c r="H47" s="6" t="s">
        <v>157</v>
      </c>
      <c r="I47" s="6" t="s">
        <v>50</v>
      </c>
      <c r="K47" s="6"/>
      <c r="L47" s="7">
        <v>1</v>
      </c>
      <c r="P47" s="6">
        <v>1</v>
      </c>
      <c r="Y47" s="7">
        <v>1</v>
      </c>
      <c r="AC47" s="6"/>
    </row>
    <row r="48" spans="1:29" ht="15.75" customHeight="1" x14ac:dyDescent="0.25">
      <c r="A48" s="5" t="s">
        <v>158</v>
      </c>
      <c r="B48" s="6" t="s">
        <v>105</v>
      </c>
      <c r="D48" s="6" t="s">
        <v>159</v>
      </c>
      <c r="E48" s="6">
        <v>73</v>
      </c>
      <c r="G48" s="6" t="s">
        <v>36</v>
      </c>
      <c r="H48" s="6" t="s">
        <v>78</v>
      </c>
      <c r="I48" s="6" t="s">
        <v>50</v>
      </c>
      <c r="L48" s="6">
        <v>1</v>
      </c>
      <c r="N48" s="6"/>
      <c r="P48" s="7">
        <v>1</v>
      </c>
      <c r="U48" s="6"/>
      <c r="V48" s="6"/>
      <c r="Y48" s="7">
        <v>1</v>
      </c>
    </row>
    <row r="49" spans="1:30" ht="15.75" customHeight="1" x14ac:dyDescent="0.25">
      <c r="A49" s="5" t="s">
        <v>160</v>
      </c>
      <c r="B49" s="6" t="s">
        <v>76</v>
      </c>
      <c r="D49" s="6" t="s">
        <v>161</v>
      </c>
      <c r="E49" s="6">
        <v>86</v>
      </c>
      <c r="G49" s="6" t="s">
        <v>41</v>
      </c>
      <c r="H49" s="6" t="s">
        <v>70</v>
      </c>
      <c r="I49" s="6" t="s">
        <v>50</v>
      </c>
      <c r="L49" s="6">
        <v>1</v>
      </c>
      <c r="P49" s="6">
        <v>1</v>
      </c>
      <c r="T49" s="6"/>
      <c r="Y49" s="7">
        <v>1</v>
      </c>
    </row>
    <row r="50" spans="1:30" ht="15.75" customHeight="1" x14ac:dyDescent="0.25">
      <c r="A50" s="5" t="s">
        <v>162</v>
      </c>
      <c r="B50" s="6" t="s">
        <v>76</v>
      </c>
      <c r="D50" s="6" t="s">
        <v>163</v>
      </c>
      <c r="E50" s="6">
        <v>47</v>
      </c>
      <c r="G50" s="6" t="s">
        <v>41</v>
      </c>
      <c r="H50" s="6" t="s">
        <v>49</v>
      </c>
      <c r="I50" s="6" t="s">
        <v>50</v>
      </c>
      <c r="L50" s="6"/>
      <c r="M50" s="7">
        <v>1</v>
      </c>
      <c r="P50" s="6">
        <v>1</v>
      </c>
      <c r="V50" s="6"/>
      <c r="Y50" s="7">
        <v>1</v>
      </c>
      <c r="AA50" s="6"/>
      <c r="AC50" s="6"/>
    </row>
    <row r="51" spans="1:30" ht="15.75" customHeight="1" x14ac:dyDescent="0.25">
      <c r="A51" s="5" t="s">
        <v>164</v>
      </c>
      <c r="B51" s="6" t="s">
        <v>165</v>
      </c>
      <c r="D51" s="6" t="s">
        <v>166</v>
      </c>
      <c r="E51" s="6">
        <v>45</v>
      </c>
      <c r="G51" s="6" t="s">
        <v>41</v>
      </c>
      <c r="H51" s="6" t="s">
        <v>49</v>
      </c>
      <c r="I51" s="6" t="s">
        <v>50</v>
      </c>
      <c r="L51" s="6">
        <v>1</v>
      </c>
      <c r="P51" s="6">
        <v>1</v>
      </c>
      <c r="T51" s="6"/>
      <c r="Y51" s="7">
        <v>1</v>
      </c>
    </row>
    <row r="52" spans="1:30" ht="15.75" customHeight="1" x14ac:dyDescent="0.25">
      <c r="A52" s="9">
        <v>45363</v>
      </c>
      <c r="B52" s="7" t="s">
        <v>113</v>
      </c>
      <c r="D52" s="6" t="s">
        <v>167</v>
      </c>
      <c r="E52" s="6">
        <v>19</v>
      </c>
      <c r="F52" s="6"/>
      <c r="G52" s="6" t="s">
        <v>41</v>
      </c>
      <c r="H52" s="6" t="s">
        <v>168</v>
      </c>
      <c r="I52" s="6" t="s">
        <v>50</v>
      </c>
      <c r="L52" s="6">
        <v>1</v>
      </c>
      <c r="P52" s="6">
        <v>1</v>
      </c>
      <c r="T52" s="6"/>
      <c r="Y52" s="7">
        <v>1</v>
      </c>
      <c r="AD52" s="6"/>
    </row>
    <row r="53" spans="1:30" ht="15.75" customHeight="1" x14ac:dyDescent="0.25">
      <c r="A53" s="5" t="s">
        <v>169</v>
      </c>
      <c r="B53" s="6" t="s">
        <v>53</v>
      </c>
      <c r="D53" s="6" t="s">
        <v>170</v>
      </c>
      <c r="E53" s="6">
        <v>64</v>
      </c>
      <c r="F53" s="6"/>
      <c r="G53" s="6" t="s">
        <v>36</v>
      </c>
      <c r="H53" s="6" t="s">
        <v>78</v>
      </c>
      <c r="I53" s="6" t="s">
        <v>50</v>
      </c>
      <c r="L53" s="6"/>
      <c r="M53" s="7">
        <v>1</v>
      </c>
      <c r="N53" s="6"/>
      <c r="P53" s="7">
        <v>1</v>
      </c>
      <c r="R53" s="6"/>
      <c r="V53" s="6"/>
      <c r="Y53" s="7">
        <v>1</v>
      </c>
    </row>
    <row r="54" spans="1:30" ht="15.75" customHeight="1" x14ac:dyDescent="0.25">
      <c r="A54" s="9">
        <v>45904</v>
      </c>
      <c r="B54" s="6" t="s">
        <v>92</v>
      </c>
      <c r="D54" s="6" t="s">
        <v>171</v>
      </c>
      <c r="E54" s="6">
        <v>43</v>
      </c>
      <c r="F54" s="6"/>
      <c r="G54" s="6" t="s">
        <v>41</v>
      </c>
      <c r="H54" s="6" t="s">
        <v>172</v>
      </c>
      <c r="I54" s="6" t="s">
        <v>50</v>
      </c>
      <c r="L54" s="6">
        <v>1</v>
      </c>
      <c r="N54" s="6"/>
      <c r="P54" s="7">
        <v>1</v>
      </c>
      <c r="V54" s="6"/>
      <c r="Y54" s="7">
        <v>1</v>
      </c>
    </row>
    <row r="55" spans="1:30" ht="15.75" customHeight="1" x14ac:dyDescent="0.25">
      <c r="A55" s="7" t="s">
        <v>173</v>
      </c>
      <c r="B55" s="6" t="s">
        <v>68</v>
      </c>
      <c r="D55" s="6" t="s">
        <v>174</v>
      </c>
      <c r="E55" s="6">
        <v>39</v>
      </c>
      <c r="G55" s="6" t="s">
        <v>41</v>
      </c>
      <c r="H55" s="6" t="s">
        <v>66</v>
      </c>
      <c r="I55" s="6" t="s">
        <v>50</v>
      </c>
      <c r="L55" s="6">
        <v>1</v>
      </c>
      <c r="P55" s="6">
        <v>1</v>
      </c>
      <c r="T55" s="6"/>
      <c r="Y55" s="6">
        <v>1</v>
      </c>
    </row>
    <row r="56" spans="1:30" ht="15.75" customHeight="1" x14ac:dyDescent="0.25">
      <c r="A56" s="5" t="s">
        <v>107</v>
      </c>
      <c r="B56" s="6" t="s">
        <v>47</v>
      </c>
      <c r="D56" s="6" t="s">
        <v>175</v>
      </c>
      <c r="E56" s="6">
        <v>43</v>
      </c>
      <c r="G56" s="6" t="s">
        <v>41</v>
      </c>
      <c r="H56" s="6" t="s">
        <v>176</v>
      </c>
      <c r="I56" s="6" t="s">
        <v>129</v>
      </c>
      <c r="L56" s="6">
        <v>1</v>
      </c>
      <c r="M56" s="6"/>
      <c r="P56" s="6">
        <v>1</v>
      </c>
      <c r="Y56" s="7">
        <v>1</v>
      </c>
      <c r="AC56" s="6"/>
    </row>
    <row r="57" spans="1:30" ht="15.75" customHeight="1" x14ac:dyDescent="0.25">
      <c r="A57" s="5" t="s">
        <v>177</v>
      </c>
      <c r="B57" s="6" t="s">
        <v>178</v>
      </c>
      <c r="D57" s="6" t="s">
        <v>179</v>
      </c>
      <c r="E57" s="6">
        <v>28</v>
      </c>
      <c r="G57" s="6" t="s">
        <v>41</v>
      </c>
      <c r="H57" s="6" t="s">
        <v>49</v>
      </c>
      <c r="I57" s="6" t="s">
        <v>50</v>
      </c>
      <c r="L57" s="6">
        <v>1</v>
      </c>
      <c r="O57" s="6"/>
      <c r="P57" s="6">
        <v>1</v>
      </c>
      <c r="Y57" s="7">
        <v>1</v>
      </c>
    </row>
    <row r="58" spans="1:30" ht="15.75" customHeight="1" x14ac:dyDescent="0.25">
      <c r="A58" s="8">
        <v>44661</v>
      </c>
      <c r="B58" s="6" t="s">
        <v>115</v>
      </c>
      <c r="D58" s="6" t="s">
        <v>180</v>
      </c>
      <c r="E58" s="6">
        <v>21</v>
      </c>
      <c r="G58" s="6" t="s">
        <v>41</v>
      </c>
      <c r="H58" s="6" t="s">
        <v>146</v>
      </c>
      <c r="I58" s="6" t="s">
        <v>129</v>
      </c>
      <c r="L58" s="6"/>
      <c r="M58" s="7">
        <v>1</v>
      </c>
      <c r="P58" s="6">
        <v>1</v>
      </c>
      <c r="Y58" s="6"/>
      <c r="AC58" s="7">
        <v>1</v>
      </c>
    </row>
    <row r="59" spans="1:30" ht="15.75" customHeight="1" x14ac:dyDescent="0.25">
      <c r="A59" s="9">
        <v>45996</v>
      </c>
      <c r="B59" s="6" t="s">
        <v>125</v>
      </c>
      <c r="D59" s="6" t="s">
        <v>181</v>
      </c>
      <c r="E59" s="6">
        <v>17</v>
      </c>
      <c r="F59" s="7">
        <v>1</v>
      </c>
      <c r="G59" s="6" t="s">
        <v>41</v>
      </c>
      <c r="H59" s="6" t="s">
        <v>182</v>
      </c>
      <c r="I59" s="6" t="s">
        <v>129</v>
      </c>
      <c r="L59" s="6">
        <v>1</v>
      </c>
      <c r="N59" s="7">
        <v>1</v>
      </c>
      <c r="P59" s="6"/>
      <c r="Y59" s="6"/>
      <c r="AC59" s="7">
        <v>1</v>
      </c>
    </row>
    <row r="60" spans="1:30" ht="15.75" customHeight="1" x14ac:dyDescent="0.25">
      <c r="A60" s="5" t="s">
        <v>183</v>
      </c>
      <c r="B60" s="6" t="s">
        <v>100</v>
      </c>
      <c r="D60" s="6" t="s">
        <v>184</v>
      </c>
      <c r="E60" s="6">
        <v>30</v>
      </c>
      <c r="G60" s="6" t="s">
        <v>41</v>
      </c>
      <c r="H60" s="6" t="s">
        <v>66</v>
      </c>
      <c r="I60" s="6" t="s">
        <v>50</v>
      </c>
      <c r="L60" s="6">
        <v>1</v>
      </c>
      <c r="N60" s="7">
        <v>1</v>
      </c>
      <c r="P60" s="6"/>
      <c r="Y60" s="6"/>
      <c r="AC60" s="7">
        <v>1</v>
      </c>
    </row>
    <row r="61" spans="1:30" ht="15.75" customHeight="1" x14ac:dyDescent="0.25">
      <c r="A61" s="9">
        <v>45326</v>
      </c>
      <c r="B61" s="6" t="s">
        <v>115</v>
      </c>
      <c r="D61" s="6" t="s">
        <v>185</v>
      </c>
      <c r="E61" s="6">
        <v>30</v>
      </c>
      <c r="G61" s="6" t="s">
        <v>41</v>
      </c>
      <c r="H61" s="6" t="s">
        <v>49</v>
      </c>
      <c r="I61" s="6" t="s">
        <v>50</v>
      </c>
      <c r="L61" s="6">
        <v>1</v>
      </c>
      <c r="P61" s="6">
        <v>1</v>
      </c>
      <c r="Y61" s="6"/>
      <c r="AC61" s="7">
        <v>1</v>
      </c>
    </row>
    <row r="62" spans="1:30" ht="15.75" customHeight="1" x14ac:dyDescent="0.25">
      <c r="A62" s="5" t="s">
        <v>152</v>
      </c>
      <c r="B62" s="6" t="s">
        <v>186</v>
      </c>
      <c r="D62" s="6" t="s">
        <v>187</v>
      </c>
      <c r="E62" s="6">
        <v>30</v>
      </c>
      <c r="G62" s="6" t="s">
        <v>41</v>
      </c>
      <c r="H62" s="6" t="s">
        <v>188</v>
      </c>
      <c r="I62" s="6" t="s">
        <v>50</v>
      </c>
      <c r="L62" s="6">
        <v>1</v>
      </c>
      <c r="N62" s="7">
        <v>1</v>
      </c>
      <c r="P62" s="6"/>
      <c r="Y62" s="6"/>
      <c r="AC62" s="7">
        <v>1</v>
      </c>
    </row>
    <row r="63" spans="1:30" ht="15.75" customHeight="1" x14ac:dyDescent="0.25">
      <c r="A63" s="9">
        <v>45752</v>
      </c>
      <c r="B63" s="6" t="s">
        <v>64</v>
      </c>
      <c r="D63" s="6" t="s">
        <v>189</v>
      </c>
      <c r="E63" s="6">
        <v>3</v>
      </c>
      <c r="F63" s="7">
        <v>1</v>
      </c>
      <c r="G63" s="6" t="s">
        <v>36</v>
      </c>
      <c r="H63" s="6" t="s">
        <v>190</v>
      </c>
      <c r="I63" s="6" t="s">
        <v>50</v>
      </c>
      <c r="L63" s="6">
        <v>1</v>
      </c>
      <c r="N63" s="6">
        <v>1</v>
      </c>
      <c r="Y63" s="6"/>
      <c r="AC63" s="7">
        <v>1</v>
      </c>
    </row>
    <row r="64" spans="1:30" ht="15.75" customHeight="1" x14ac:dyDescent="0.25">
      <c r="A64" s="5" t="s">
        <v>191</v>
      </c>
      <c r="B64" s="6" t="s">
        <v>192</v>
      </c>
      <c r="D64" s="6" t="s">
        <v>193</v>
      </c>
      <c r="E64" s="6">
        <v>17</v>
      </c>
      <c r="F64" s="7">
        <v>1</v>
      </c>
      <c r="G64" s="6" t="s">
        <v>36</v>
      </c>
      <c r="H64" s="6" t="s">
        <v>194</v>
      </c>
      <c r="I64" s="6" t="s">
        <v>50</v>
      </c>
      <c r="L64" s="6">
        <v>1</v>
      </c>
      <c r="P64" s="6">
        <v>1</v>
      </c>
      <c r="Y64" s="6"/>
      <c r="AC64" s="7">
        <v>1</v>
      </c>
    </row>
    <row r="65" spans="1:29" ht="15.75" customHeight="1" x14ac:dyDescent="0.25">
      <c r="A65" s="5" t="s">
        <v>195</v>
      </c>
      <c r="B65" s="6" t="s">
        <v>64</v>
      </c>
      <c r="D65" s="6" t="s">
        <v>196</v>
      </c>
      <c r="E65" s="6">
        <v>53</v>
      </c>
      <c r="G65" s="6" t="s">
        <v>41</v>
      </c>
      <c r="H65" s="6" t="s">
        <v>49</v>
      </c>
      <c r="I65" s="6" t="s">
        <v>50</v>
      </c>
      <c r="L65" s="6">
        <v>1</v>
      </c>
      <c r="N65" s="7">
        <v>1</v>
      </c>
      <c r="P65" s="6"/>
      <c r="Q65" s="7">
        <v>1</v>
      </c>
      <c r="V65" s="7">
        <v>1</v>
      </c>
      <c r="X65" s="7">
        <v>1</v>
      </c>
      <c r="Y65" s="6"/>
      <c r="AB65" s="7">
        <v>1</v>
      </c>
    </row>
    <row r="66" spans="1:29" ht="15.75" customHeight="1" x14ac:dyDescent="0.25">
      <c r="A66" s="9">
        <v>45905</v>
      </c>
      <c r="B66" s="6" t="s">
        <v>56</v>
      </c>
      <c r="D66" s="6" t="s">
        <v>197</v>
      </c>
      <c r="E66" s="6">
        <v>40</v>
      </c>
      <c r="G66" s="6" t="s">
        <v>36</v>
      </c>
      <c r="H66" s="6" t="s">
        <v>121</v>
      </c>
      <c r="I66" s="6" t="s">
        <v>50</v>
      </c>
      <c r="L66" s="6">
        <v>1</v>
      </c>
      <c r="N66" s="7">
        <v>1</v>
      </c>
      <c r="O66" s="7">
        <v>1</v>
      </c>
      <c r="P66" s="6"/>
      <c r="R66" s="7">
        <v>1</v>
      </c>
      <c r="Y66" s="6"/>
      <c r="AB66" s="7">
        <v>1</v>
      </c>
    </row>
    <row r="67" spans="1:29" ht="15.75" customHeight="1" x14ac:dyDescent="0.25">
      <c r="A67" s="9">
        <v>45996</v>
      </c>
      <c r="B67" s="6" t="s">
        <v>76</v>
      </c>
      <c r="D67" s="6" t="s">
        <v>198</v>
      </c>
      <c r="E67" s="6">
        <v>32</v>
      </c>
      <c r="G67" s="6" t="s">
        <v>41</v>
      </c>
      <c r="H67" s="6" t="s">
        <v>199</v>
      </c>
      <c r="I67" s="6" t="s">
        <v>129</v>
      </c>
      <c r="K67" s="6"/>
      <c r="L67" s="7">
        <v>1</v>
      </c>
      <c r="N67" s="7">
        <v>1</v>
      </c>
      <c r="O67" s="6"/>
      <c r="P67" s="6"/>
      <c r="Q67" s="7">
        <v>1</v>
      </c>
    </row>
    <row r="68" spans="1:29" ht="15.75" customHeight="1" x14ac:dyDescent="0.25">
      <c r="A68" s="5" t="s">
        <v>200</v>
      </c>
      <c r="B68" s="6" t="s">
        <v>51</v>
      </c>
      <c r="D68" s="6" t="s">
        <v>201</v>
      </c>
      <c r="E68" s="6">
        <v>46</v>
      </c>
      <c r="G68" s="6" t="s">
        <v>36</v>
      </c>
      <c r="H68" s="6" t="s">
        <v>202</v>
      </c>
      <c r="I68" s="6" t="s">
        <v>50</v>
      </c>
      <c r="L68" s="6">
        <v>1</v>
      </c>
      <c r="N68" s="6">
        <v>1</v>
      </c>
      <c r="O68" s="7">
        <v>1</v>
      </c>
      <c r="Q68" s="7">
        <v>1</v>
      </c>
      <c r="R68" s="6"/>
      <c r="U68" s="7">
        <v>1</v>
      </c>
      <c r="AB68" s="7">
        <v>1</v>
      </c>
    </row>
    <row r="69" spans="1:29" ht="15.75" customHeight="1" x14ac:dyDescent="0.25">
      <c r="A69" s="5" t="s">
        <v>203</v>
      </c>
      <c r="B69" s="6" t="s">
        <v>165</v>
      </c>
      <c r="D69" s="6" t="s">
        <v>204</v>
      </c>
      <c r="E69" s="6">
        <v>44</v>
      </c>
      <c r="G69" s="6" t="s">
        <v>41</v>
      </c>
      <c r="H69" s="6" t="s">
        <v>49</v>
      </c>
      <c r="I69" s="6" t="s">
        <v>50</v>
      </c>
      <c r="L69" s="6">
        <v>1</v>
      </c>
      <c r="N69" s="6">
        <v>1</v>
      </c>
      <c r="Q69" s="7">
        <v>1</v>
      </c>
      <c r="U69" s="7">
        <v>1</v>
      </c>
      <c r="AC69" s="6"/>
    </row>
    <row r="70" spans="1:29" ht="15.75" customHeight="1" x14ac:dyDescent="0.25">
      <c r="A70" s="6"/>
      <c r="B70" s="6"/>
      <c r="D70" s="6"/>
      <c r="E70" s="6"/>
      <c r="G70" s="6"/>
      <c r="H70" s="6"/>
      <c r="I70" s="6"/>
      <c r="M70" s="6"/>
      <c r="P70" s="6"/>
      <c r="AC70" s="6"/>
    </row>
    <row r="71" spans="1:29" ht="15.75" customHeight="1" x14ac:dyDescent="0.25">
      <c r="A71" s="10"/>
      <c r="B71" s="6"/>
      <c r="D71" s="6"/>
      <c r="E71" s="6"/>
      <c r="G71" s="6"/>
      <c r="H71" s="6"/>
      <c r="I71" s="6"/>
      <c r="L71" s="6"/>
      <c r="N71" s="6"/>
      <c r="AC71" s="6"/>
    </row>
    <row r="72" spans="1:29" ht="15.75" customHeight="1" x14ac:dyDescent="0.25">
      <c r="A72" s="11"/>
      <c r="B72" s="6"/>
      <c r="D72" s="6"/>
      <c r="E72" s="6"/>
      <c r="G72" s="6"/>
      <c r="H72" s="6"/>
      <c r="I72" s="6"/>
      <c r="L72" s="6"/>
      <c r="P72" s="6"/>
      <c r="AC72" s="6"/>
    </row>
    <row r="73" spans="1:29" ht="15.75" customHeight="1" x14ac:dyDescent="0.25">
      <c r="A73" s="6"/>
      <c r="B73" s="6"/>
      <c r="D73" s="6"/>
      <c r="E73" s="6"/>
      <c r="G73" s="6"/>
      <c r="H73" s="6"/>
      <c r="I73" s="6"/>
      <c r="L73" s="6"/>
      <c r="P73" s="6"/>
      <c r="AC73" s="6"/>
    </row>
    <row r="74" spans="1:29" ht="15.75" customHeight="1" x14ac:dyDescent="0.25">
      <c r="A74" s="6"/>
      <c r="B74" s="6"/>
      <c r="D74" s="6"/>
      <c r="E74" s="6"/>
      <c r="G74" s="6"/>
      <c r="H74" s="6"/>
      <c r="I74" s="6"/>
      <c r="L74" s="6"/>
      <c r="N74" s="6"/>
      <c r="AC74" s="6"/>
    </row>
    <row r="75" spans="1:29" ht="15.75" customHeight="1" x14ac:dyDescent="0.25">
      <c r="A75" s="6"/>
      <c r="B75" s="6"/>
      <c r="D75" s="6"/>
      <c r="E75" s="6"/>
      <c r="G75" s="6"/>
      <c r="H75" s="6"/>
      <c r="I75" s="6"/>
      <c r="M75" s="6"/>
      <c r="P75" s="6"/>
      <c r="AC75" s="6"/>
    </row>
    <row r="76" spans="1:29" ht="15.75" customHeight="1" x14ac:dyDescent="0.25"/>
    <row r="77" spans="1:29" ht="15.75" customHeight="1" x14ac:dyDescent="0.25"/>
    <row r="78" spans="1:29" ht="15.75" customHeight="1" x14ac:dyDescent="0.25"/>
    <row r="79" spans="1:29" ht="15.75" customHeight="1" x14ac:dyDescent="0.25"/>
    <row r="80" spans="1:29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</sheetData>
  <autoFilter ref="A1:AG69" xr:uid="{00000000-0009-0000-0000-000000000000}"/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F2568-4F9C-4E14-ABFC-EBE85B26F7CF}">
  <dimension ref="A1:AG69"/>
  <sheetViews>
    <sheetView tabSelected="1" workbookViewId="0">
      <selection sqref="A1:AG69"/>
    </sheetView>
  </sheetViews>
  <sheetFormatPr defaultRowHeight="15" x14ac:dyDescent="0.25"/>
  <sheetData>
    <row r="1" spans="1:33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4" t="s">
        <v>32</v>
      </c>
    </row>
    <row r="2" spans="1:33" x14ac:dyDescent="0.25">
      <c r="A2" s="5" t="s">
        <v>33</v>
      </c>
      <c r="B2" s="6" t="s">
        <v>34</v>
      </c>
      <c r="D2" s="6" t="s">
        <v>35</v>
      </c>
      <c r="E2" s="6">
        <v>34</v>
      </c>
      <c r="G2" s="6" t="s">
        <v>36</v>
      </c>
      <c r="H2" s="6" t="s">
        <v>37</v>
      </c>
      <c r="I2" s="6" t="s">
        <v>38</v>
      </c>
      <c r="L2" s="6"/>
      <c r="M2" s="7">
        <v>1</v>
      </c>
      <c r="N2" s="6"/>
      <c r="P2" s="6">
        <v>1</v>
      </c>
      <c r="U2" s="6"/>
      <c r="Y2" s="6"/>
      <c r="AB2" s="6"/>
      <c r="AC2" s="6">
        <v>1</v>
      </c>
    </row>
    <row r="3" spans="1:33" x14ac:dyDescent="0.25">
      <c r="A3" s="8">
        <v>45081</v>
      </c>
      <c r="B3" s="6" t="s">
        <v>39</v>
      </c>
      <c r="D3" s="6" t="s">
        <v>40</v>
      </c>
      <c r="E3" s="6">
        <v>43</v>
      </c>
      <c r="G3" s="6" t="s">
        <v>41</v>
      </c>
      <c r="H3" s="6" t="s">
        <v>42</v>
      </c>
      <c r="I3" s="6" t="s">
        <v>43</v>
      </c>
      <c r="L3" s="6"/>
      <c r="M3" s="7">
        <v>1</v>
      </c>
      <c r="N3" s="6"/>
      <c r="P3" s="6">
        <v>1</v>
      </c>
      <c r="U3" s="6"/>
      <c r="Y3" s="6"/>
      <c r="AB3" s="6"/>
      <c r="AC3" s="6">
        <v>1</v>
      </c>
    </row>
    <row r="4" spans="1:33" x14ac:dyDescent="0.25">
      <c r="A4" s="9">
        <v>45332</v>
      </c>
      <c r="B4" s="6" t="s">
        <v>44</v>
      </c>
      <c r="D4" s="6" t="s">
        <v>45</v>
      </c>
      <c r="E4" s="6">
        <v>48</v>
      </c>
      <c r="G4" s="6" t="s">
        <v>41</v>
      </c>
      <c r="H4" s="6" t="s">
        <v>37</v>
      </c>
      <c r="I4" s="6" t="s">
        <v>38</v>
      </c>
      <c r="L4" s="6"/>
      <c r="M4" s="7">
        <v>1</v>
      </c>
      <c r="N4" s="6"/>
      <c r="P4" s="6">
        <v>1</v>
      </c>
      <c r="U4" s="6"/>
      <c r="Y4" s="6"/>
      <c r="AB4" s="6"/>
      <c r="AC4" s="7">
        <v>1</v>
      </c>
    </row>
    <row r="5" spans="1:33" x14ac:dyDescent="0.25">
      <c r="A5" s="5" t="s">
        <v>46</v>
      </c>
      <c r="B5" s="6" t="s">
        <v>47</v>
      </c>
      <c r="D5" s="6" t="s">
        <v>48</v>
      </c>
      <c r="E5" s="6">
        <v>27</v>
      </c>
      <c r="G5" s="6" t="s">
        <v>41</v>
      </c>
      <c r="H5" s="6" t="s">
        <v>49</v>
      </c>
      <c r="I5" s="6" t="s">
        <v>50</v>
      </c>
      <c r="L5" s="6"/>
      <c r="M5" s="7">
        <v>1</v>
      </c>
      <c r="N5" s="6"/>
      <c r="P5" s="6">
        <v>1</v>
      </c>
      <c r="S5" s="6"/>
      <c r="U5" s="6"/>
      <c r="V5" s="6"/>
      <c r="Y5" s="6"/>
      <c r="AA5" s="7">
        <v>1</v>
      </c>
      <c r="AB5" s="6"/>
      <c r="AC5" s="7">
        <v>1</v>
      </c>
    </row>
    <row r="6" spans="1:33" x14ac:dyDescent="0.25">
      <c r="A6" s="9">
        <v>45963</v>
      </c>
      <c r="B6" s="6" t="s">
        <v>51</v>
      </c>
      <c r="D6" s="6" t="s">
        <v>52</v>
      </c>
      <c r="E6" s="6">
        <v>37</v>
      </c>
      <c r="F6" s="6"/>
      <c r="G6" s="6" t="s">
        <v>41</v>
      </c>
      <c r="H6" s="6" t="s">
        <v>42</v>
      </c>
      <c r="I6" s="6" t="s">
        <v>43</v>
      </c>
      <c r="L6" s="6">
        <v>1</v>
      </c>
      <c r="N6" s="6"/>
      <c r="P6" s="6">
        <v>1</v>
      </c>
      <c r="T6" s="6">
        <v>1</v>
      </c>
      <c r="U6" s="6"/>
      <c r="Y6" s="6"/>
      <c r="AB6" s="6"/>
    </row>
    <row r="7" spans="1:33" x14ac:dyDescent="0.25">
      <c r="A7" s="9">
        <v>45449</v>
      </c>
      <c r="B7" s="6" t="s">
        <v>53</v>
      </c>
      <c r="D7" s="6" t="s">
        <v>54</v>
      </c>
      <c r="E7" s="6">
        <v>55</v>
      </c>
      <c r="G7" s="6" t="s">
        <v>41</v>
      </c>
      <c r="H7" s="6" t="s">
        <v>49</v>
      </c>
      <c r="I7" s="6" t="s">
        <v>50</v>
      </c>
      <c r="L7" s="6">
        <v>1</v>
      </c>
      <c r="N7" s="6"/>
      <c r="P7" s="6">
        <v>1</v>
      </c>
      <c r="S7" s="6"/>
      <c r="X7" s="7">
        <v>1</v>
      </c>
      <c r="Y7" s="6"/>
      <c r="AA7" s="7">
        <v>1</v>
      </c>
      <c r="AC7" s="6">
        <v>1</v>
      </c>
    </row>
    <row r="8" spans="1:33" x14ac:dyDescent="0.25">
      <c r="A8" s="5" t="s">
        <v>55</v>
      </c>
      <c r="B8" s="6" t="s">
        <v>56</v>
      </c>
      <c r="D8" s="6" t="s">
        <v>57</v>
      </c>
      <c r="E8" s="6">
        <v>26</v>
      </c>
      <c r="G8" s="6" t="s">
        <v>41</v>
      </c>
      <c r="H8" s="6" t="s">
        <v>58</v>
      </c>
      <c r="I8" s="6" t="s">
        <v>50</v>
      </c>
      <c r="L8" s="6">
        <v>1</v>
      </c>
      <c r="P8" s="6">
        <v>1</v>
      </c>
      <c r="R8" s="7">
        <v>1</v>
      </c>
      <c r="Y8" s="6"/>
      <c r="AC8" s="6"/>
    </row>
    <row r="9" spans="1:33" x14ac:dyDescent="0.25">
      <c r="A9" s="7" t="s">
        <v>59</v>
      </c>
      <c r="B9" s="6" t="s">
        <v>56</v>
      </c>
      <c r="D9" s="6" t="s">
        <v>60</v>
      </c>
      <c r="E9" s="6">
        <v>26</v>
      </c>
      <c r="G9" s="6" t="s">
        <v>36</v>
      </c>
      <c r="H9" s="6" t="s">
        <v>61</v>
      </c>
      <c r="I9" s="6" t="s">
        <v>50</v>
      </c>
      <c r="L9" s="6">
        <v>1</v>
      </c>
      <c r="P9" s="6">
        <v>1</v>
      </c>
      <c r="V9" s="7">
        <v>1</v>
      </c>
      <c r="W9" s="7">
        <v>1</v>
      </c>
      <c r="Y9" s="6"/>
      <c r="AC9" s="6"/>
    </row>
    <row r="10" spans="1:33" x14ac:dyDescent="0.25">
      <c r="A10" s="5" t="s">
        <v>62</v>
      </c>
      <c r="B10" s="6" t="s">
        <v>44</v>
      </c>
      <c r="D10" s="6" t="s">
        <v>63</v>
      </c>
      <c r="E10" s="6">
        <v>29</v>
      </c>
      <c r="F10" s="6"/>
      <c r="G10" s="6" t="s">
        <v>41</v>
      </c>
      <c r="H10" s="6" t="s">
        <v>49</v>
      </c>
      <c r="I10" s="6" t="s">
        <v>50</v>
      </c>
      <c r="K10" s="7">
        <v>1</v>
      </c>
      <c r="L10" s="6"/>
      <c r="N10" s="6"/>
      <c r="P10" s="6">
        <v>1</v>
      </c>
      <c r="T10" s="7">
        <v>1</v>
      </c>
      <c r="V10" s="7">
        <v>1</v>
      </c>
      <c r="Y10" s="6">
        <v>1</v>
      </c>
      <c r="AC10" s="6"/>
    </row>
    <row r="11" spans="1:33" x14ac:dyDescent="0.25">
      <c r="A11" s="9">
        <v>45904</v>
      </c>
      <c r="B11" s="6" t="s">
        <v>64</v>
      </c>
      <c r="D11" s="6" t="s">
        <v>65</v>
      </c>
      <c r="E11" s="6">
        <v>50</v>
      </c>
      <c r="G11" s="6" t="s">
        <v>41</v>
      </c>
      <c r="H11" s="6" t="s">
        <v>66</v>
      </c>
      <c r="I11" s="6" t="s">
        <v>50</v>
      </c>
      <c r="L11" s="6">
        <v>1</v>
      </c>
      <c r="P11" s="6">
        <v>1</v>
      </c>
      <c r="T11" s="7">
        <v>1</v>
      </c>
      <c r="Y11" s="6"/>
      <c r="AB11" s="7">
        <v>1</v>
      </c>
      <c r="AC11" s="6"/>
    </row>
    <row r="12" spans="1:33" x14ac:dyDescent="0.25">
      <c r="A12" s="5" t="s">
        <v>67</v>
      </c>
      <c r="B12" s="6" t="s">
        <v>68</v>
      </c>
      <c r="D12" s="6" t="s">
        <v>69</v>
      </c>
      <c r="E12" s="6">
        <v>13</v>
      </c>
      <c r="F12" s="7">
        <v>1</v>
      </c>
      <c r="G12" s="6" t="s">
        <v>36</v>
      </c>
      <c r="H12" s="6" t="s">
        <v>70</v>
      </c>
      <c r="I12" s="6" t="s">
        <v>50</v>
      </c>
      <c r="L12" s="6">
        <v>1</v>
      </c>
      <c r="M12" s="6"/>
      <c r="N12" s="7">
        <v>1</v>
      </c>
      <c r="P12" s="6"/>
      <c r="V12" s="7">
        <v>1</v>
      </c>
      <c r="Y12" s="6"/>
      <c r="AC12" s="6"/>
    </row>
    <row r="13" spans="1:33" x14ac:dyDescent="0.25">
      <c r="A13" s="9">
        <v>45813</v>
      </c>
      <c r="B13" s="6" t="s">
        <v>71</v>
      </c>
      <c r="D13" s="6" t="s">
        <v>72</v>
      </c>
      <c r="E13" s="6" t="s">
        <v>73</v>
      </c>
      <c r="G13" s="6" t="s">
        <v>41</v>
      </c>
      <c r="H13" s="6" t="s">
        <v>74</v>
      </c>
      <c r="I13" s="6" t="s">
        <v>50</v>
      </c>
      <c r="L13" s="6">
        <v>1</v>
      </c>
      <c r="M13" s="6"/>
      <c r="N13" s="7">
        <v>1</v>
      </c>
      <c r="P13" s="6"/>
      <c r="T13" s="7">
        <v>1</v>
      </c>
      <c r="Y13" s="6"/>
    </row>
    <row r="14" spans="1:33" x14ac:dyDescent="0.25">
      <c r="A14" s="5" t="s">
        <v>75</v>
      </c>
      <c r="B14" s="6" t="s">
        <v>76</v>
      </c>
      <c r="D14" s="6" t="s">
        <v>77</v>
      </c>
      <c r="E14" s="6">
        <v>70</v>
      </c>
      <c r="G14" s="6" t="s">
        <v>36</v>
      </c>
      <c r="H14" s="6" t="s">
        <v>78</v>
      </c>
      <c r="I14" s="6" t="s">
        <v>50</v>
      </c>
      <c r="L14" s="6">
        <v>1</v>
      </c>
      <c r="N14" s="6"/>
      <c r="P14" s="6">
        <v>1</v>
      </c>
      <c r="V14" s="7">
        <v>1</v>
      </c>
      <c r="Y14" s="6"/>
      <c r="AC14" s="6"/>
    </row>
    <row r="15" spans="1:33" x14ac:dyDescent="0.25">
      <c r="A15" s="5" t="s">
        <v>79</v>
      </c>
      <c r="B15" s="6" t="s">
        <v>80</v>
      </c>
      <c r="C15" s="6"/>
      <c r="D15" s="6" t="s">
        <v>81</v>
      </c>
      <c r="E15" s="6">
        <v>34</v>
      </c>
      <c r="F15" s="6"/>
      <c r="G15" s="6" t="s">
        <v>36</v>
      </c>
      <c r="H15" s="6" t="s">
        <v>82</v>
      </c>
      <c r="I15" s="6" t="s">
        <v>50</v>
      </c>
      <c r="L15" s="6"/>
      <c r="M15" s="7">
        <v>1</v>
      </c>
      <c r="N15" s="6"/>
      <c r="P15" s="6">
        <v>1</v>
      </c>
      <c r="R15" s="6"/>
      <c r="Y15" s="6"/>
      <c r="AC15" s="7">
        <v>1</v>
      </c>
    </row>
    <row r="16" spans="1:33" x14ac:dyDescent="0.25">
      <c r="A16" s="5" t="s">
        <v>83</v>
      </c>
      <c r="B16" s="6" t="s">
        <v>84</v>
      </c>
      <c r="C16" s="6"/>
      <c r="D16" s="6" t="s">
        <v>85</v>
      </c>
      <c r="E16" s="6">
        <v>41</v>
      </c>
      <c r="F16" s="6"/>
      <c r="G16" s="6" t="s">
        <v>41</v>
      </c>
      <c r="H16" s="6" t="s">
        <v>86</v>
      </c>
      <c r="I16" s="6" t="s">
        <v>38</v>
      </c>
      <c r="L16" s="6">
        <v>1</v>
      </c>
      <c r="M16" s="6"/>
      <c r="N16" s="6"/>
      <c r="P16" s="6">
        <v>1</v>
      </c>
      <c r="V16" s="7">
        <v>1</v>
      </c>
      <c r="Y16" s="6"/>
      <c r="AB16" s="6"/>
    </row>
    <row r="17" spans="1:30" x14ac:dyDescent="0.25">
      <c r="A17" s="5" t="s">
        <v>87</v>
      </c>
      <c r="B17" s="6" t="s">
        <v>88</v>
      </c>
      <c r="D17" s="6" t="s">
        <v>89</v>
      </c>
      <c r="E17" s="6">
        <v>23</v>
      </c>
      <c r="G17" s="6" t="s">
        <v>36</v>
      </c>
      <c r="H17" s="6" t="s">
        <v>90</v>
      </c>
      <c r="I17" s="6" t="s">
        <v>50</v>
      </c>
      <c r="K17" s="7">
        <v>1</v>
      </c>
      <c r="L17" s="6"/>
      <c r="P17" s="6">
        <v>1</v>
      </c>
      <c r="X17" s="7">
        <v>1</v>
      </c>
      <c r="Y17" s="6"/>
    </row>
    <row r="18" spans="1:30" x14ac:dyDescent="0.25">
      <c r="A18" s="5" t="s">
        <v>91</v>
      </c>
      <c r="B18" s="6" t="s">
        <v>92</v>
      </c>
      <c r="D18" s="6" t="s">
        <v>93</v>
      </c>
      <c r="E18" s="6">
        <v>57</v>
      </c>
      <c r="G18" s="6" t="s">
        <v>36</v>
      </c>
      <c r="H18" s="6" t="s">
        <v>82</v>
      </c>
      <c r="I18" s="6" t="s">
        <v>50</v>
      </c>
      <c r="L18" s="6"/>
      <c r="M18" s="7">
        <v>1</v>
      </c>
      <c r="P18" s="6">
        <v>1</v>
      </c>
      <c r="Y18" s="6"/>
      <c r="AC18" s="7">
        <v>1</v>
      </c>
    </row>
    <row r="19" spans="1:30" x14ac:dyDescent="0.25">
      <c r="A19" s="9">
        <v>45544</v>
      </c>
      <c r="B19" s="6" t="s">
        <v>94</v>
      </c>
      <c r="D19" s="6" t="s">
        <v>95</v>
      </c>
      <c r="E19" s="6">
        <v>55</v>
      </c>
      <c r="G19" s="6" t="s">
        <v>41</v>
      </c>
      <c r="H19" s="6" t="s">
        <v>66</v>
      </c>
      <c r="I19" s="6" t="s">
        <v>50</v>
      </c>
      <c r="L19" s="6">
        <v>1</v>
      </c>
      <c r="P19" s="6">
        <v>1</v>
      </c>
      <c r="Y19" s="6">
        <v>1</v>
      </c>
      <c r="AC19" s="6"/>
    </row>
    <row r="20" spans="1:30" x14ac:dyDescent="0.25">
      <c r="A20" s="5" t="s">
        <v>96</v>
      </c>
      <c r="B20" s="6" t="s">
        <v>97</v>
      </c>
      <c r="D20" s="6" t="s">
        <v>98</v>
      </c>
      <c r="E20" s="6">
        <v>37</v>
      </c>
      <c r="G20" s="6" t="s">
        <v>41</v>
      </c>
      <c r="H20" s="6" t="s">
        <v>66</v>
      </c>
      <c r="I20" s="6" t="s">
        <v>50</v>
      </c>
      <c r="L20" s="6">
        <v>1</v>
      </c>
      <c r="P20" s="6">
        <v>1</v>
      </c>
      <c r="S20" s="6"/>
      <c r="Y20" s="7">
        <v>1</v>
      </c>
    </row>
    <row r="21" spans="1:30" x14ac:dyDescent="0.25">
      <c r="A21" s="5" t="s">
        <v>99</v>
      </c>
      <c r="B21" s="6" t="s">
        <v>100</v>
      </c>
      <c r="D21" s="6" t="s">
        <v>101</v>
      </c>
      <c r="E21" s="6">
        <v>53</v>
      </c>
      <c r="G21" s="6" t="s">
        <v>41</v>
      </c>
      <c r="H21" s="6" t="s">
        <v>66</v>
      </c>
      <c r="I21" s="6" t="s">
        <v>50</v>
      </c>
      <c r="L21" s="6">
        <v>1</v>
      </c>
      <c r="P21" s="6">
        <v>1</v>
      </c>
      <c r="Y21" s="6">
        <v>1</v>
      </c>
      <c r="AC21" s="6"/>
    </row>
    <row r="22" spans="1:30" x14ac:dyDescent="0.25">
      <c r="A22" s="5" t="s">
        <v>102</v>
      </c>
      <c r="B22" s="6" t="s">
        <v>80</v>
      </c>
      <c r="D22" s="6" t="s">
        <v>103</v>
      </c>
      <c r="E22" s="6">
        <v>49</v>
      </c>
      <c r="G22" s="6" t="s">
        <v>36</v>
      </c>
      <c r="H22" s="6" t="s">
        <v>104</v>
      </c>
      <c r="I22" s="6" t="s">
        <v>50</v>
      </c>
      <c r="L22" s="7">
        <v>1</v>
      </c>
      <c r="M22" s="6"/>
      <c r="N22" s="7">
        <v>1</v>
      </c>
      <c r="P22" s="6"/>
      <c r="Y22" s="6">
        <v>1</v>
      </c>
    </row>
    <row r="23" spans="1:30" x14ac:dyDescent="0.25">
      <c r="A23" s="8">
        <v>43956</v>
      </c>
      <c r="B23" s="6" t="s">
        <v>105</v>
      </c>
      <c r="D23" s="6" t="s">
        <v>106</v>
      </c>
      <c r="E23" s="6">
        <v>65</v>
      </c>
      <c r="G23" s="6" t="s">
        <v>41</v>
      </c>
      <c r="H23" s="6" t="s">
        <v>49</v>
      </c>
      <c r="I23" s="6" t="s">
        <v>50</v>
      </c>
      <c r="L23" s="6">
        <v>1</v>
      </c>
      <c r="P23" s="6">
        <v>1</v>
      </c>
      <c r="Y23" s="6">
        <v>1</v>
      </c>
    </row>
    <row r="24" spans="1:30" x14ac:dyDescent="0.25">
      <c r="A24" s="5" t="s">
        <v>107</v>
      </c>
      <c r="B24" s="6" t="s">
        <v>51</v>
      </c>
      <c r="D24" s="6" t="s">
        <v>108</v>
      </c>
      <c r="E24" s="6">
        <v>37</v>
      </c>
      <c r="G24" s="6" t="s">
        <v>41</v>
      </c>
      <c r="H24" s="6" t="s">
        <v>49</v>
      </c>
      <c r="I24" s="6" t="s">
        <v>50</v>
      </c>
      <c r="K24" s="7">
        <v>1</v>
      </c>
      <c r="L24" s="6"/>
      <c r="P24" s="6">
        <v>1</v>
      </c>
      <c r="Y24" s="6">
        <v>1</v>
      </c>
      <c r="AD24" s="7">
        <v>1</v>
      </c>
    </row>
    <row r="25" spans="1:30" x14ac:dyDescent="0.25">
      <c r="A25" s="5" t="s">
        <v>109</v>
      </c>
      <c r="B25" s="6" t="s">
        <v>44</v>
      </c>
      <c r="D25" s="6" t="s">
        <v>110</v>
      </c>
      <c r="E25" s="6">
        <v>6</v>
      </c>
      <c r="F25" s="7">
        <v>1</v>
      </c>
      <c r="G25" s="6" t="s">
        <v>36</v>
      </c>
      <c r="H25" s="6" t="s">
        <v>111</v>
      </c>
      <c r="I25" s="6" t="s">
        <v>50</v>
      </c>
      <c r="M25" s="6"/>
      <c r="P25" s="6">
        <v>1</v>
      </c>
      <c r="Y25" s="6"/>
      <c r="AD25" s="7">
        <v>1</v>
      </c>
    </row>
    <row r="26" spans="1:30" x14ac:dyDescent="0.25">
      <c r="A26" s="5" t="s">
        <v>112</v>
      </c>
      <c r="B26" s="6" t="s">
        <v>113</v>
      </c>
      <c r="D26" s="6" t="s">
        <v>114</v>
      </c>
      <c r="E26" s="6">
        <v>32</v>
      </c>
      <c r="G26" s="6" t="s">
        <v>41</v>
      </c>
      <c r="H26" s="6" t="s">
        <v>49</v>
      </c>
      <c r="I26" s="6" t="s">
        <v>50</v>
      </c>
      <c r="L26" s="7">
        <v>1</v>
      </c>
      <c r="M26" s="6"/>
      <c r="P26" s="6">
        <v>1</v>
      </c>
      <c r="R26" s="6"/>
      <c r="V26" s="6"/>
      <c r="Y26" s="7">
        <v>1</v>
      </c>
      <c r="AA26" s="6"/>
    </row>
    <row r="27" spans="1:30" x14ac:dyDescent="0.25">
      <c r="A27" s="9">
        <v>45780</v>
      </c>
      <c r="B27" s="6" t="s">
        <v>115</v>
      </c>
      <c r="D27" s="6" t="s">
        <v>116</v>
      </c>
      <c r="E27" s="6">
        <v>11</v>
      </c>
      <c r="F27" s="7">
        <v>1</v>
      </c>
      <c r="G27" s="6" t="s">
        <v>36</v>
      </c>
      <c r="H27" s="6" t="s">
        <v>117</v>
      </c>
      <c r="I27" s="6" t="s">
        <v>50</v>
      </c>
      <c r="L27" s="7">
        <v>1</v>
      </c>
      <c r="M27" s="6"/>
      <c r="P27" s="6">
        <v>1</v>
      </c>
      <c r="R27" s="6"/>
      <c r="V27" s="6"/>
      <c r="Y27" s="7">
        <v>1</v>
      </c>
      <c r="AA27" s="6"/>
      <c r="AC27" s="6"/>
    </row>
    <row r="28" spans="1:30" x14ac:dyDescent="0.25">
      <c r="A28" s="5" t="s">
        <v>118</v>
      </c>
      <c r="B28" s="6" t="s">
        <v>92</v>
      </c>
      <c r="D28" s="6" t="s">
        <v>119</v>
      </c>
      <c r="E28" s="6">
        <v>72</v>
      </c>
      <c r="F28" s="6"/>
      <c r="G28" s="6" t="s">
        <v>41</v>
      </c>
      <c r="H28" s="6" t="s">
        <v>66</v>
      </c>
      <c r="I28" s="6" t="s">
        <v>50</v>
      </c>
      <c r="L28" s="6">
        <v>1</v>
      </c>
      <c r="P28" s="6">
        <v>1</v>
      </c>
      <c r="U28" s="6"/>
      <c r="V28" s="6"/>
      <c r="Y28" s="7">
        <v>1</v>
      </c>
    </row>
    <row r="29" spans="1:30" x14ac:dyDescent="0.25">
      <c r="A29" s="9">
        <v>45840</v>
      </c>
      <c r="B29" s="6" t="s">
        <v>88</v>
      </c>
      <c r="D29" s="6" t="s">
        <v>120</v>
      </c>
      <c r="E29" s="6">
        <v>50</v>
      </c>
      <c r="G29" s="6" t="s">
        <v>41</v>
      </c>
      <c r="H29" s="6" t="s">
        <v>121</v>
      </c>
      <c r="I29" s="6" t="s">
        <v>50</v>
      </c>
      <c r="L29" s="6">
        <v>1</v>
      </c>
      <c r="P29" s="6">
        <v>1</v>
      </c>
      <c r="Y29" s="7">
        <v>1</v>
      </c>
      <c r="AC29" s="6"/>
    </row>
    <row r="30" spans="1:30" x14ac:dyDescent="0.25">
      <c r="A30" s="9">
        <v>45874</v>
      </c>
      <c r="B30" s="6" t="s">
        <v>122</v>
      </c>
      <c r="D30" s="6" t="s">
        <v>123</v>
      </c>
      <c r="E30" s="6">
        <v>9</v>
      </c>
      <c r="F30" s="7">
        <v>1</v>
      </c>
      <c r="G30" s="6" t="s">
        <v>36</v>
      </c>
      <c r="H30" s="6" t="s">
        <v>124</v>
      </c>
      <c r="I30" s="6" t="s">
        <v>50</v>
      </c>
      <c r="L30" s="6">
        <v>1</v>
      </c>
      <c r="N30" s="7">
        <v>1</v>
      </c>
      <c r="P30" s="6"/>
      <c r="V30" s="6"/>
      <c r="Y30" s="7">
        <v>1</v>
      </c>
      <c r="AC30" s="6"/>
    </row>
    <row r="31" spans="1:30" x14ac:dyDescent="0.25">
      <c r="A31" s="9">
        <v>45874</v>
      </c>
      <c r="B31" s="6" t="s">
        <v>125</v>
      </c>
      <c r="D31" s="6" t="s">
        <v>126</v>
      </c>
      <c r="E31" s="6">
        <v>56</v>
      </c>
      <c r="G31" s="6" t="s">
        <v>36</v>
      </c>
      <c r="H31" s="6" t="s">
        <v>78</v>
      </c>
      <c r="I31" s="6" t="s">
        <v>50</v>
      </c>
      <c r="L31" s="6">
        <v>1</v>
      </c>
      <c r="N31" s="7">
        <v>1</v>
      </c>
      <c r="P31" s="6"/>
      <c r="V31" s="6"/>
      <c r="W31" s="6"/>
      <c r="Y31" s="7">
        <v>1</v>
      </c>
      <c r="AA31" s="6"/>
      <c r="AC31" s="6"/>
    </row>
    <row r="32" spans="1:30" x14ac:dyDescent="0.25">
      <c r="A32" s="9">
        <v>45693</v>
      </c>
      <c r="B32" s="6" t="s">
        <v>64</v>
      </c>
      <c r="D32" s="6" t="s">
        <v>127</v>
      </c>
      <c r="E32" s="6" t="s">
        <v>73</v>
      </c>
      <c r="G32" s="6" t="s">
        <v>41</v>
      </c>
      <c r="H32" s="6" t="s">
        <v>128</v>
      </c>
      <c r="I32" s="6" t="s">
        <v>129</v>
      </c>
      <c r="L32" s="6">
        <v>1</v>
      </c>
      <c r="N32" s="6">
        <v>1</v>
      </c>
      <c r="R32" s="7">
        <v>1</v>
      </c>
      <c r="V32" s="6"/>
    </row>
    <row r="33" spans="1:29" x14ac:dyDescent="0.25">
      <c r="A33" s="9">
        <v>45662</v>
      </c>
      <c r="B33" s="6" t="s">
        <v>64</v>
      </c>
      <c r="D33" s="6" t="s">
        <v>130</v>
      </c>
      <c r="E33" s="6" t="s">
        <v>73</v>
      </c>
      <c r="G33" s="6" t="s">
        <v>41</v>
      </c>
      <c r="H33" s="6" t="s">
        <v>66</v>
      </c>
      <c r="I33" s="6" t="s">
        <v>50</v>
      </c>
      <c r="L33" s="6">
        <v>1</v>
      </c>
      <c r="N33" s="7">
        <v>1</v>
      </c>
      <c r="P33" s="6"/>
      <c r="U33" s="6"/>
    </row>
    <row r="34" spans="1:29" x14ac:dyDescent="0.25">
      <c r="A34" s="8">
        <v>45721</v>
      </c>
      <c r="B34" s="6" t="s">
        <v>125</v>
      </c>
      <c r="D34" s="6" t="s">
        <v>131</v>
      </c>
      <c r="E34" s="6">
        <v>30</v>
      </c>
      <c r="G34" s="6" t="s">
        <v>41</v>
      </c>
      <c r="H34" s="6" t="s">
        <v>49</v>
      </c>
      <c r="I34" s="6" t="s">
        <v>50</v>
      </c>
      <c r="L34" s="6">
        <v>1</v>
      </c>
      <c r="N34" s="7">
        <v>1</v>
      </c>
      <c r="P34" s="6"/>
      <c r="T34" s="6"/>
      <c r="V34" s="7">
        <v>1</v>
      </c>
      <c r="W34" s="7">
        <v>1</v>
      </c>
      <c r="AC34" s="6"/>
    </row>
    <row r="35" spans="1:29" x14ac:dyDescent="0.25">
      <c r="A35" s="5" t="s">
        <v>132</v>
      </c>
      <c r="B35" s="6" t="s">
        <v>64</v>
      </c>
      <c r="D35" s="6" t="s">
        <v>133</v>
      </c>
      <c r="E35" s="6">
        <v>30</v>
      </c>
      <c r="G35" s="6" t="s">
        <v>41</v>
      </c>
      <c r="H35" s="6" t="s">
        <v>66</v>
      </c>
      <c r="I35" s="6" t="s">
        <v>50</v>
      </c>
      <c r="L35" s="6">
        <v>1</v>
      </c>
      <c r="P35" s="6">
        <v>1</v>
      </c>
      <c r="T35" s="7">
        <v>1</v>
      </c>
      <c r="V35" s="6"/>
      <c r="W35" s="6"/>
      <c r="Y35" s="7">
        <v>1</v>
      </c>
      <c r="AA35" s="7">
        <v>1</v>
      </c>
    </row>
    <row r="36" spans="1:29" x14ac:dyDescent="0.25">
      <c r="A36" s="5" t="s">
        <v>134</v>
      </c>
      <c r="B36" s="6" t="s">
        <v>94</v>
      </c>
      <c r="D36" s="6" t="s">
        <v>135</v>
      </c>
      <c r="E36" s="6">
        <v>25</v>
      </c>
      <c r="G36" s="6" t="s">
        <v>36</v>
      </c>
      <c r="H36" s="6" t="s">
        <v>136</v>
      </c>
      <c r="I36" s="6" t="s">
        <v>129</v>
      </c>
      <c r="K36" s="6"/>
      <c r="L36" s="7">
        <v>1</v>
      </c>
      <c r="P36" s="6">
        <v>1</v>
      </c>
      <c r="Y36" s="7">
        <v>1</v>
      </c>
      <c r="AA36" s="6"/>
      <c r="AC36" s="7">
        <v>1</v>
      </c>
    </row>
    <row r="37" spans="1:29" x14ac:dyDescent="0.25">
      <c r="A37" s="9">
        <v>45145</v>
      </c>
      <c r="B37" s="6" t="s">
        <v>64</v>
      </c>
      <c r="D37" s="6" t="s">
        <v>137</v>
      </c>
      <c r="E37" s="6">
        <v>60</v>
      </c>
      <c r="G37" s="6" t="s">
        <v>41</v>
      </c>
      <c r="H37" s="6" t="s">
        <v>49</v>
      </c>
      <c r="I37" s="6" t="s">
        <v>50</v>
      </c>
      <c r="L37" s="6">
        <v>1</v>
      </c>
      <c r="P37" s="6">
        <v>1</v>
      </c>
      <c r="T37" s="7">
        <v>1</v>
      </c>
      <c r="V37" s="6"/>
      <c r="W37" s="6"/>
      <c r="AA37" s="6"/>
      <c r="AC37" s="6">
        <v>1</v>
      </c>
    </row>
    <row r="38" spans="1:29" x14ac:dyDescent="0.25">
      <c r="A38" s="5" t="s">
        <v>138</v>
      </c>
      <c r="B38" s="6" t="s">
        <v>64</v>
      </c>
      <c r="D38" s="6" t="s">
        <v>139</v>
      </c>
      <c r="E38" s="6">
        <v>68</v>
      </c>
      <c r="G38" s="6" t="s">
        <v>36</v>
      </c>
      <c r="H38" s="6" t="s">
        <v>78</v>
      </c>
      <c r="I38" s="6" t="s">
        <v>50</v>
      </c>
      <c r="L38" s="7">
        <v>1</v>
      </c>
      <c r="M38" s="6"/>
      <c r="P38" s="6">
        <v>1</v>
      </c>
      <c r="Y38" s="7">
        <v>1</v>
      </c>
      <c r="AC38" s="6">
        <v>1</v>
      </c>
    </row>
    <row r="39" spans="1:29" x14ac:dyDescent="0.25">
      <c r="A39" s="8">
        <v>45058</v>
      </c>
      <c r="B39" s="6" t="s">
        <v>140</v>
      </c>
      <c r="D39" s="6" t="s">
        <v>141</v>
      </c>
      <c r="E39" s="6">
        <v>34</v>
      </c>
      <c r="G39" s="6" t="s">
        <v>36</v>
      </c>
      <c r="H39" s="6" t="s">
        <v>142</v>
      </c>
      <c r="I39" s="6" t="s">
        <v>50</v>
      </c>
      <c r="L39" s="6">
        <v>1</v>
      </c>
      <c r="P39" s="6">
        <v>1</v>
      </c>
      <c r="V39" s="7">
        <v>1</v>
      </c>
      <c r="AC39" s="6"/>
    </row>
    <row r="40" spans="1:29" x14ac:dyDescent="0.25">
      <c r="A40" s="9">
        <v>45996</v>
      </c>
      <c r="B40" s="6" t="s">
        <v>143</v>
      </c>
      <c r="D40" s="6" t="s">
        <v>144</v>
      </c>
      <c r="E40" s="6">
        <v>26</v>
      </c>
      <c r="G40" s="6" t="s">
        <v>41</v>
      </c>
      <c r="H40" s="6" t="s">
        <v>49</v>
      </c>
      <c r="I40" s="6" t="s">
        <v>50</v>
      </c>
      <c r="L40" s="6">
        <v>1</v>
      </c>
      <c r="N40" s="7">
        <v>1</v>
      </c>
      <c r="P40" s="6"/>
      <c r="V40" s="6">
        <v>2</v>
      </c>
      <c r="AA40" s="7">
        <v>1</v>
      </c>
    </row>
    <row r="41" spans="1:29" x14ac:dyDescent="0.25">
      <c r="A41" s="9">
        <v>45782</v>
      </c>
      <c r="B41" s="6" t="s">
        <v>51</v>
      </c>
      <c r="D41" s="6" t="s">
        <v>145</v>
      </c>
      <c r="E41" s="6">
        <v>68</v>
      </c>
      <c r="G41" s="6" t="s">
        <v>41</v>
      </c>
      <c r="H41" s="6" t="s">
        <v>146</v>
      </c>
      <c r="I41" s="6" t="s">
        <v>129</v>
      </c>
      <c r="L41" s="6">
        <v>1</v>
      </c>
      <c r="N41" s="7">
        <v>1</v>
      </c>
      <c r="P41" s="6"/>
      <c r="V41" s="6">
        <v>1</v>
      </c>
    </row>
    <row r="42" spans="1:29" x14ac:dyDescent="0.25">
      <c r="A42" s="5" t="s">
        <v>147</v>
      </c>
      <c r="B42" s="6" t="s">
        <v>56</v>
      </c>
      <c r="D42" s="6" t="s">
        <v>148</v>
      </c>
      <c r="E42" s="6">
        <v>55</v>
      </c>
      <c r="F42" s="6"/>
      <c r="G42" s="6" t="s">
        <v>41</v>
      </c>
      <c r="H42" s="6" t="s">
        <v>49</v>
      </c>
      <c r="I42" s="6" t="s">
        <v>50</v>
      </c>
      <c r="L42" s="6">
        <v>1</v>
      </c>
      <c r="N42" s="6"/>
      <c r="P42" s="7">
        <v>1</v>
      </c>
      <c r="V42" s="6"/>
      <c r="Y42" s="7">
        <v>1</v>
      </c>
      <c r="AA42" s="7">
        <v>1</v>
      </c>
      <c r="AC42" s="6"/>
    </row>
    <row r="43" spans="1:29" x14ac:dyDescent="0.25">
      <c r="A43" s="5" t="s">
        <v>149</v>
      </c>
      <c r="B43" s="6" t="s">
        <v>97</v>
      </c>
      <c r="D43" s="6" t="s">
        <v>150</v>
      </c>
      <c r="E43" s="6">
        <v>40</v>
      </c>
      <c r="G43" s="6" t="s">
        <v>41</v>
      </c>
      <c r="H43" s="6" t="s">
        <v>151</v>
      </c>
      <c r="I43" s="6" t="s">
        <v>50</v>
      </c>
      <c r="L43" s="6">
        <v>1</v>
      </c>
      <c r="N43" s="6"/>
      <c r="P43" s="7">
        <v>1</v>
      </c>
      <c r="T43" s="6"/>
      <c r="V43" s="6"/>
      <c r="X43" s="7">
        <v>1</v>
      </c>
      <c r="Y43" s="7">
        <v>1</v>
      </c>
      <c r="AC43" s="7">
        <v>1</v>
      </c>
    </row>
    <row r="44" spans="1:29" x14ac:dyDescent="0.25">
      <c r="A44" s="5" t="s">
        <v>152</v>
      </c>
      <c r="B44" s="6" t="s">
        <v>56</v>
      </c>
      <c r="D44" s="6" t="s">
        <v>153</v>
      </c>
      <c r="E44" s="6">
        <v>42</v>
      </c>
      <c r="G44" s="6" t="s">
        <v>41</v>
      </c>
      <c r="H44" s="6" t="s">
        <v>49</v>
      </c>
      <c r="I44" s="6" t="s">
        <v>50</v>
      </c>
      <c r="L44" s="6">
        <v>1</v>
      </c>
      <c r="N44" s="6">
        <v>1</v>
      </c>
      <c r="T44" s="6"/>
      <c r="V44" s="7">
        <v>1</v>
      </c>
    </row>
    <row r="45" spans="1:29" x14ac:dyDescent="0.25">
      <c r="A45" s="9">
        <v>45842</v>
      </c>
      <c r="B45" s="6" t="s">
        <v>56</v>
      </c>
      <c r="D45" s="6" t="s">
        <v>154</v>
      </c>
      <c r="E45" s="6">
        <v>39</v>
      </c>
      <c r="G45" s="6" t="s">
        <v>41</v>
      </c>
      <c r="H45" s="6" t="s">
        <v>49</v>
      </c>
      <c r="I45" s="6" t="s">
        <v>50</v>
      </c>
      <c r="L45" s="6">
        <v>1</v>
      </c>
      <c r="P45" s="6">
        <v>1</v>
      </c>
      <c r="S45" s="7">
        <v>1</v>
      </c>
      <c r="V45" s="6"/>
      <c r="W45" s="6"/>
      <c r="Y45" s="7">
        <v>1</v>
      </c>
    </row>
    <row r="46" spans="1:29" x14ac:dyDescent="0.25">
      <c r="A46" s="9">
        <v>45445</v>
      </c>
      <c r="B46" s="6" t="s">
        <v>56</v>
      </c>
      <c r="D46" s="6" t="s">
        <v>155</v>
      </c>
      <c r="E46" s="6">
        <v>37</v>
      </c>
      <c r="F46" s="6"/>
      <c r="G46" s="6" t="s">
        <v>41</v>
      </c>
      <c r="H46" s="6" t="s">
        <v>49</v>
      </c>
      <c r="I46" s="6" t="s">
        <v>50</v>
      </c>
      <c r="L46" s="6">
        <v>1</v>
      </c>
      <c r="P46" s="6">
        <v>1</v>
      </c>
      <c r="Y46" s="7">
        <v>1</v>
      </c>
      <c r="AC46" s="6"/>
    </row>
    <row r="47" spans="1:29" x14ac:dyDescent="0.25">
      <c r="A47" s="9">
        <v>45144</v>
      </c>
      <c r="B47" s="6" t="s">
        <v>56</v>
      </c>
      <c r="D47" s="6" t="s">
        <v>156</v>
      </c>
      <c r="E47" s="6">
        <v>2</v>
      </c>
      <c r="F47" s="7">
        <v>1</v>
      </c>
      <c r="G47" s="6" t="s">
        <v>36</v>
      </c>
      <c r="H47" s="6" t="s">
        <v>157</v>
      </c>
      <c r="I47" s="6" t="s">
        <v>50</v>
      </c>
      <c r="K47" s="6"/>
      <c r="L47" s="7">
        <v>1</v>
      </c>
      <c r="P47" s="6">
        <v>1</v>
      </c>
      <c r="Y47" s="7">
        <v>1</v>
      </c>
      <c r="AC47" s="6"/>
    </row>
    <row r="48" spans="1:29" x14ac:dyDescent="0.25">
      <c r="A48" s="5" t="s">
        <v>158</v>
      </c>
      <c r="B48" s="6" t="s">
        <v>105</v>
      </c>
      <c r="D48" s="6" t="s">
        <v>159</v>
      </c>
      <c r="E48" s="6">
        <v>73</v>
      </c>
      <c r="G48" s="6" t="s">
        <v>36</v>
      </c>
      <c r="H48" s="6" t="s">
        <v>78</v>
      </c>
      <c r="I48" s="6" t="s">
        <v>50</v>
      </c>
      <c r="L48" s="6">
        <v>1</v>
      </c>
      <c r="N48" s="6"/>
      <c r="P48" s="7">
        <v>1</v>
      </c>
      <c r="U48" s="6"/>
      <c r="V48" s="6"/>
      <c r="Y48" s="7">
        <v>1</v>
      </c>
    </row>
    <row r="49" spans="1:30" x14ac:dyDescent="0.25">
      <c r="A49" s="5" t="s">
        <v>160</v>
      </c>
      <c r="B49" s="6" t="s">
        <v>76</v>
      </c>
      <c r="D49" s="6" t="s">
        <v>161</v>
      </c>
      <c r="E49" s="6">
        <v>86</v>
      </c>
      <c r="G49" s="6" t="s">
        <v>41</v>
      </c>
      <c r="H49" s="6" t="s">
        <v>70</v>
      </c>
      <c r="I49" s="6" t="s">
        <v>50</v>
      </c>
      <c r="L49" s="6">
        <v>1</v>
      </c>
      <c r="P49" s="6">
        <v>1</v>
      </c>
      <c r="T49" s="6"/>
      <c r="Y49" s="7">
        <v>1</v>
      </c>
    </row>
    <row r="50" spans="1:30" x14ac:dyDescent="0.25">
      <c r="A50" s="5" t="s">
        <v>162</v>
      </c>
      <c r="B50" s="6" t="s">
        <v>76</v>
      </c>
      <c r="D50" s="6" t="s">
        <v>163</v>
      </c>
      <c r="E50" s="6">
        <v>47</v>
      </c>
      <c r="G50" s="6" t="s">
        <v>41</v>
      </c>
      <c r="H50" s="6" t="s">
        <v>49</v>
      </c>
      <c r="I50" s="6" t="s">
        <v>50</v>
      </c>
      <c r="L50" s="6"/>
      <c r="M50" s="7">
        <v>1</v>
      </c>
      <c r="P50" s="6">
        <v>1</v>
      </c>
      <c r="V50" s="6"/>
      <c r="Y50" s="7">
        <v>1</v>
      </c>
      <c r="AA50" s="6"/>
      <c r="AC50" s="6"/>
    </row>
    <row r="51" spans="1:30" x14ac:dyDescent="0.25">
      <c r="A51" s="5" t="s">
        <v>164</v>
      </c>
      <c r="B51" s="6" t="s">
        <v>165</v>
      </c>
      <c r="D51" s="6" t="s">
        <v>166</v>
      </c>
      <c r="E51" s="6">
        <v>45</v>
      </c>
      <c r="G51" s="6" t="s">
        <v>41</v>
      </c>
      <c r="H51" s="6" t="s">
        <v>49</v>
      </c>
      <c r="I51" s="6" t="s">
        <v>50</v>
      </c>
      <c r="L51" s="6">
        <v>1</v>
      </c>
      <c r="P51" s="6">
        <v>1</v>
      </c>
      <c r="T51" s="6"/>
      <c r="Y51" s="7">
        <v>1</v>
      </c>
    </row>
    <row r="52" spans="1:30" x14ac:dyDescent="0.25">
      <c r="A52" s="9">
        <v>45363</v>
      </c>
      <c r="B52" s="7" t="s">
        <v>113</v>
      </c>
      <c r="D52" s="6" t="s">
        <v>167</v>
      </c>
      <c r="E52" s="6">
        <v>19</v>
      </c>
      <c r="F52" s="6"/>
      <c r="G52" s="6" t="s">
        <v>41</v>
      </c>
      <c r="H52" s="6" t="s">
        <v>168</v>
      </c>
      <c r="I52" s="6" t="s">
        <v>50</v>
      </c>
      <c r="L52" s="6">
        <v>1</v>
      </c>
      <c r="P52" s="6">
        <v>1</v>
      </c>
      <c r="T52" s="6"/>
      <c r="Y52" s="7">
        <v>1</v>
      </c>
      <c r="AD52" s="6"/>
    </row>
    <row r="53" spans="1:30" x14ac:dyDescent="0.25">
      <c r="A53" s="5" t="s">
        <v>169</v>
      </c>
      <c r="B53" s="6" t="s">
        <v>53</v>
      </c>
      <c r="D53" s="6" t="s">
        <v>170</v>
      </c>
      <c r="E53" s="6">
        <v>64</v>
      </c>
      <c r="F53" s="6"/>
      <c r="G53" s="6" t="s">
        <v>36</v>
      </c>
      <c r="H53" s="6" t="s">
        <v>78</v>
      </c>
      <c r="I53" s="6" t="s">
        <v>50</v>
      </c>
      <c r="L53" s="6"/>
      <c r="M53" s="7">
        <v>1</v>
      </c>
      <c r="N53" s="6"/>
      <c r="P53" s="7">
        <v>1</v>
      </c>
      <c r="R53" s="6"/>
      <c r="V53" s="6"/>
      <c r="Y53" s="7">
        <v>1</v>
      </c>
    </row>
    <row r="54" spans="1:30" x14ac:dyDescent="0.25">
      <c r="A54" s="9">
        <v>45904</v>
      </c>
      <c r="B54" s="6" t="s">
        <v>92</v>
      </c>
      <c r="D54" s="6" t="s">
        <v>171</v>
      </c>
      <c r="E54" s="6">
        <v>43</v>
      </c>
      <c r="F54" s="6"/>
      <c r="G54" s="6" t="s">
        <v>41</v>
      </c>
      <c r="H54" s="6" t="s">
        <v>172</v>
      </c>
      <c r="I54" s="6" t="s">
        <v>50</v>
      </c>
      <c r="L54" s="6">
        <v>1</v>
      </c>
      <c r="N54" s="6"/>
      <c r="P54" s="7">
        <v>1</v>
      </c>
      <c r="V54" s="6"/>
      <c r="Y54" s="7">
        <v>1</v>
      </c>
    </row>
    <row r="55" spans="1:30" x14ac:dyDescent="0.25">
      <c r="A55" s="7" t="s">
        <v>173</v>
      </c>
      <c r="B55" s="6" t="s">
        <v>68</v>
      </c>
      <c r="D55" s="6" t="s">
        <v>174</v>
      </c>
      <c r="E55" s="6">
        <v>39</v>
      </c>
      <c r="G55" s="6" t="s">
        <v>41</v>
      </c>
      <c r="H55" s="6" t="s">
        <v>66</v>
      </c>
      <c r="I55" s="6" t="s">
        <v>50</v>
      </c>
      <c r="L55" s="6">
        <v>1</v>
      </c>
      <c r="P55" s="6">
        <v>1</v>
      </c>
      <c r="T55" s="6"/>
      <c r="Y55" s="6">
        <v>1</v>
      </c>
    </row>
    <row r="56" spans="1:30" x14ac:dyDescent="0.25">
      <c r="A56" s="5" t="s">
        <v>107</v>
      </c>
      <c r="B56" s="6" t="s">
        <v>47</v>
      </c>
      <c r="D56" s="6" t="s">
        <v>175</v>
      </c>
      <c r="E56" s="6">
        <v>43</v>
      </c>
      <c r="G56" s="6" t="s">
        <v>41</v>
      </c>
      <c r="H56" s="6" t="s">
        <v>176</v>
      </c>
      <c r="I56" s="6" t="s">
        <v>129</v>
      </c>
      <c r="L56" s="6">
        <v>1</v>
      </c>
      <c r="M56" s="6"/>
      <c r="P56" s="6">
        <v>1</v>
      </c>
      <c r="Y56" s="7">
        <v>1</v>
      </c>
      <c r="AC56" s="6"/>
    </row>
    <row r="57" spans="1:30" x14ac:dyDescent="0.25">
      <c r="A57" s="5" t="s">
        <v>177</v>
      </c>
      <c r="B57" s="6" t="s">
        <v>178</v>
      </c>
      <c r="D57" s="6" t="s">
        <v>179</v>
      </c>
      <c r="E57" s="6">
        <v>28</v>
      </c>
      <c r="G57" s="6" t="s">
        <v>41</v>
      </c>
      <c r="H57" s="6" t="s">
        <v>49</v>
      </c>
      <c r="I57" s="6" t="s">
        <v>50</v>
      </c>
      <c r="L57" s="6">
        <v>1</v>
      </c>
      <c r="O57" s="6"/>
      <c r="P57" s="6">
        <v>1</v>
      </c>
      <c r="Y57" s="7">
        <v>1</v>
      </c>
    </row>
    <row r="58" spans="1:30" x14ac:dyDescent="0.25">
      <c r="A58" s="8">
        <v>44661</v>
      </c>
      <c r="B58" s="6" t="s">
        <v>115</v>
      </c>
      <c r="D58" s="6" t="s">
        <v>180</v>
      </c>
      <c r="E58" s="6">
        <v>21</v>
      </c>
      <c r="G58" s="6" t="s">
        <v>41</v>
      </c>
      <c r="H58" s="6" t="s">
        <v>146</v>
      </c>
      <c r="I58" s="6" t="s">
        <v>129</v>
      </c>
      <c r="L58" s="6"/>
      <c r="M58" s="7">
        <v>1</v>
      </c>
      <c r="P58" s="6">
        <v>1</v>
      </c>
      <c r="Y58" s="6"/>
      <c r="AC58" s="7">
        <v>1</v>
      </c>
    </row>
    <row r="59" spans="1:30" x14ac:dyDescent="0.25">
      <c r="A59" s="9">
        <v>45996</v>
      </c>
      <c r="B59" s="6" t="s">
        <v>125</v>
      </c>
      <c r="D59" s="6" t="s">
        <v>181</v>
      </c>
      <c r="E59" s="6">
        <v>17</v>
      </c>
      <c r="F59" s="7">
        <v>1</v>
      </c>
      <c r="G59" s="6" t="s">
        <v>41</v>
      </c>
      <c r="H59" s="6" t="s">
        <v>182</v>
      </c>
      <c r="I59" s="6" t="s">
        <v>129</v>
      </c>
      <c r="L59" s="6">
        <v>1</v>
      </c>
      <c r="N59" s="7">
        <v>1</v>
      </c>
      <c r="P59" s="6"/>
      <c r="Y59" s="6"/>
      <c r="AC59" s="7">
        <v>1</v>
      </c>
    </row>
    <row r="60" spans="1:30" x14ac:dyDescent="0.25">
      <c r="A60" s="5" t="s">
        <v>183</v>
      </c>
      <c r="B60" s="6" t="s">
        <v>100</v>
      </c>
      <c r="D60" s="6" t="s">
        <v>184</v>
      </c>
      <c r="E60" s="6">
        <v>30</v>
      </c>
      <c r="G60" s="6" t="s">
        <v>41</v>
      </c>
      <c r="H60" s="6" t="s">
        <v>66</v>
      </c>
      <c r="I60" s="6" t="s">
        <v>50</v>
      </c>
      <c r="L60" s="6">
        <v>1</v>
      </c>
      <c r="N60" s="7">
        <v>1</v>
      </c>
      <c r="P60" s="6"/>
      <c r="Y60" s="6"/>
      <c r="AC60" s="7">
        <v>1</v>
      </c>
    </row>
    <row r="61" spans="1:30" x14ac:dyDescent="0.25">
      <c r="A61" s="9">
        <v>45326</v>
      </c>
      <c r="B61" s="6" t="s">
        <v>115</v>
      </c>
      <c r="D61" s="6" t="s">
        <v>185</v>
      </c>
      <c r="E61" s="6">
        <v>30</v>
      </c>
      <c r="G61" s="6" t="s">
        <v>41</v>
      </c>
      <c r="H61" s="6" t="s">
        <v>49</v>
      </c>
      <c r="I61" s="6" t="s">
        <v>50</v>
      </c>
      <c r="L61" s="6">
        <v>1</v>
      </c>
      <c r="P61" s="6">
        <v>1</v>
      </c>
      <c r="Y61" s="6"/>
      <c r="AC61" s="7">
        <v>1</v>
      </c>
    </row>
    <row r="62" spans="1:30" x14ac:dyDescent="0.25">
      <c r="A62" s="5" t="s">
        <v>152</v>
      </c>
      <c r="B62" s="6" t="s">
        <v>186</v>
      </c>
      <c r="D62" s="6" t="s">
        <v>187</v>
      </c>
      <c r="E62" s="6">
        <v>30</v>
      </c>
      <c r="G62" s="6" t="s">
        <v>41</v>
      </c>
      <c r="H62" s="6" t="s">
        <v>188</v>
      </c>
      <c r="I62" s="6" t="s">
        <v>50</v>
      </c>
      <c r="L62" s="6">
        <v>1</v>
      </c>
      <c r="N62" s="7">
        <v>1</v>
      </c>
      <c r="P62" s="6"/>
      <c r="Y62" s="6"/>
      <c r="AC62" s="7">
        <v>1</v>
      </c>
    </row>
    <row r="63" spans="1:30" x14ac:dyDescent="0.25">
      <c r="A63" s="9">
        <v>45752</v>
      </c>
      <c r="B63" s="6" t="s">
        <v>64</v>
      </c>
      <c r="D63" s="6" t="s">
        <v>189</v>
      </c>
      <c r="E63" s="6">
        <v>3</v>
      </c>
      <c r="F63" s="7">
        <v>1</v>
      </c>
      <c r="G63" s="6" t="s">
        <v>36</v>
      </c>
      <c r="H63" s="6" t="s">
        <v>190</v>
      </c>
      <c r="I63" s="6" t="s">
        <v>50</v>
      </c>
      <c r="L63" s="6">
        <v>1</v>
      </c>
      <c r="N63" s="6">
        <v>1</v>
      </c>
      <c r="Y63" s="6"/>
      <c r="AC63" s="7">
        <v>1</v>
      </c>
    </row>
    <row r="64" spans="1:30" x14ac:dyDescent="0.25">
      <c r="A64" s="5" t="s">
        <v>191</v>
      </c>
      <c r="B64" s="6" t="s">
        <v>192</v>
      </c>
      <c r="D64" s="6" t="s">
        <v>193</v>
      </c>
      <c r="E64" s="6">
        <v>17</v>
      </c>
      <c r="F64" s="7">
        <v>1</v>
      </c>
      <c r="G64" s="6" t="s">
        <v>36</v>
      </c>
      <c r="H64" s="6" t="s">
        <v>194</v>
      </c>
      <c r="I64" s="6" t="s">
        <v>50</v>
      </c>
      <c r="L64" s="6">
        <v>1</v>
      </c>
      <c r="P64" s="6">
        <v>1</v>
      </c>
      <c r="Y64" s="6"/>
      <c r="AC64" s="7">
        <v>1</v>
      </c>
    </row>
    <row r="65" spans="1:29" x14ac:dyDescent="0.25">
      <c r="A65" s="5" t="s">
        <v>195</v>
      </c>
      <c r="B65" s="6" t="s">
        <v>64</v>
      </c>
      <c r="D65" s="6" t="s">
        <v>196</v>
      </c>
      <c r="E65" s="6">
        <v>53</v>
      </c>
      <c r="G65" s="6" t="s">
        <v>41</v>
      </c>
      <c r="H65" s="6" t="s">
        <v>49</v>
      </c>
      <c r="I65" s="6" t="s">
        <v>50</v>
      </c>
      <c r="L65" s="6">
        <v>1</v>
      </c>
      <c r="N65" s="7">
        <v>1</v>
      </c>
      <c r="P65" s="6"/>
      <c r="Q65" s="7">
        <v>1</v>
      </c>
      <c r="V65" s="7">
        <v>1</v>
      </c>
      <c r="X65" s="7">
        <v>1</v>
      </c>
      <c r="Y65" s="6"/>
      <c r="AB65" s="7">
        <v>1</v>
      </c>
    </row>
    <row r="66" spans="1:29" x14ac:dyDescent="0.25">
      <c r="A66" s="9">
        <v>45905</v>
      </c>
      <c r="B66" s="6" t="s">
        <v>56</v>
      </c>
      <c r="D66" s="6" t="s">
        <v>197</v>
      </c>
      <c r="E66" s="6">
        <v>40</v>
      </c>
      <c r="G66" s="6" t="s">
        <v>36</v>
      </c>
      <c r="H66" s="6" t="s">
        <v>121</v>
      </c>
      <c r="I66" s="6" t="s">
        <v>50</v>
      </c>
      <c r="L66" s="6">
        <v>1</v>
      </c>
      <c r="N66" s="7">
        <v>1</v>
      </c>
      <c r="O66" s="7">
        <v>1</v>
      </c>
      <c r="P66" s="6"/>
      <c r="R66" s="7">
        <v>1</v>
      </c>
      <c r="Y66" s="6"/>
      <c r="AB66" s="7">
        <v>1</v>
      </c>
    </row>
    <row r="67" spans="1:29" x14ac:dyDescent="0.25">
      <c r="A67" s="9">
        <v>45996</v>
      </c>
      <c r="B67" s="6" t="s">
        <v>76</v>
      </c>
      <c r="D67" s="6" t="s">
        <v>198</v>
      </c>
      <c r="E67" s="6">
        <v>32</v>
      </c>
      <c r="G67" s="6" t="s">
        <v>41</v>
      </c>
      <c r="H67" s="6" t="s">
        <v>199</v>
      </c>
      <c r="I67" s="6" t="s">
        <v>129</v>
      </c>
      <c r="K67" s="6"/>
      <c r="L67" s="7">
        <v>1</v>
      </c>
      <c r="N67" s="7">
        <v>1</v>
      </c>
      <c r="O67" s="6"/>
      <c r="P67" s="6"/>
      <c r="Q67" s="7">
        <v>1</v>
      </c>
    </row>
    <row r="68" spans="1:29" x14ac:dyDescent="0.25">
      <c r="A68" s="5" t="s">
        <v>200</v>
      </c>
      <c r="B68" s="6" t="s">
        <v>51</v>
      </c>
      <c r="D68" s="6" t="s">
        <v>201</v>
      </c>
      <c r="E68" s="6">
        <v>46</v>
      </c>
      <c r="G68" s="6" t="s">
        <v>36</v>
      </c>
      <c r="H68" s="6" t="s">
        <v>202</v>
      </c>
      <c r="I68" s="6" t="s">
        <v>50</v>
      </c>
      <c r="L68" s="6">
        <v>1</v>
      </c>
      <c r="N68" s="6">
        <v>1</v>
      </c>
      <c r="O68" s="7">
        <v>1</v>
      </c>
      <c r="Q68" s="7">
        <v>1</v>
      </c>
      <c r="R68" s="6"/>
      <c r="U68" s="7">
        <v>1</v>
      </c>
      <c r="AB68" s="7">
        <v>1</v>
      </c>
    </row>
    <row r="69" spans="1:29" x14ac:dyDescent="0.25">
      <c r="A69" s="5" t="s">
        <v>203</v>
      </c>
      <c r="B69" s="6" t="s">
        <v>165</v>
      </c>
      <c r="D69" s="6" t="s">
        <v>204</v>
      </c>
      <c r="E69" s="6">
        <v>44</v>
      </c>
      <c r="G69" s="6" t="s">
        <v>41</v>
      </c>
      <c r="H69" s="6" t="s">
        <v>49</v>
      </c>
      <c r="I69" s="6" t="s">
        <v>50</v>
      </c>
      <c r="L69" s="6">
        <v>1</v>
      </c>
      <c r="N69" s="6">
        <v>1</v>
      </c>
      <c r="Q69" s="7">
        <v>1</v>
      </c>
      <c r="U69" s="7">
        <v>1</v>
      </c>
      <c r="AC69" s="6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" customHeight="1" x14ac:dyDescent="0.25"/>
  <cols>
    <col min="1" max="1" width="23.7109375" customWidth="1"/>
    <col min="2" max="2" width="8.7109375" customWidth="1"/>
    <col min="3" max="3" width="11" customWidth="1"/>
    <col min="4" max="7" width="8.7109375" customWidth="1"/>
    <col min="8" max="8" width="9.5703125" customWidth="1"/>
    <col min="9" max="16" width="8.7109375" customWidth="1"/>
    <col min="17" max="17" width="16.140625" customWidth="1"/>
    <col min="18" max="18" width="11.42578125" customWidth="1"/>
  </cols>
  <sheetData>
    <row r="1" spans="1:18" ht="15.75" x14ac:dyDescent="0.25">
      <c r="A1" s="7" t="s">
        <v>1</v>
      </c>
      <c r="B1" s="7" t="s">
        <v>205</v>
      </c>
      <c r="C1" s="7" t="s">
        <v>36</v>
      </c>
      <c r="D1" s="7" t="s">
        <v>41</v>
      </c>
      <c r="E1" s="7" t="s">
        <v>50</v>
      </c>
      <c r="F1" s="7" t="s">
        <v>38</v>
      </c>
      <c r="G1" s="7" t="s">
        <v>43</v>
      </c>
      <c r="H1" s="7" t="s">
        <v>206</v>
      </c>
      <c r="I1" s="7" t="s">
        <v>207</v>
      </c>
      <c r="J1" s="7" t="s">
        <v>15</v>
      </c>
      <c r="K1" s="7" t="s">
        <v>208</v>
      </c>
      <c r="L1" s="7" t="s">
        <v>209</v>
      </c>
      <c r="M1" s="7" t="s">
        <v>210</v>
      </c>
      <c r="N1" s="7" t="s">
        <v>211</v>
      </c>
      <c r="O1" s="12"/>
    </row>
    <row r="2" spans="1:18" ht="13.5" customHeight="1" x14ac:dyDescent="0.25">
      <c r="A2" s="13" t="s">
        <v>212</v>
      </c>
      <c r="B2" s="6">
        <f>COUNTIF('Treatment Record'!B:B,"Banda")</f>
        <v>0</v>
      </c>
      <c r="C2" s="6">
        <f>COUNTIFS('Treatment Record'!B:B,"Banda", 'Treatment Record'!G:G, "M")</f>
        <v>0</v>
      </c>
      <c r="D2" s="6">
        <f>COUNTIFS('Treatment Record'!B:B,"Banda", 'Treatment Record'!G:G, "F")</f>
        <v>0</v>
      </c>
      <c r="E2" s="6">
        <f>COUNTIFS('Treatment Record'!B:B,"Banda", 'Treatment Record'!I:I, "Ca")</f>
        <v>0</v>
      </c>
      <c r="F2" s="6">
        <f>COUNTIFS('Treatment Record'!B:B,"Banda", 'Treatment Record'!I:I, "Ca/HIV")</f>
        <v>0</v>
      </c>
      <c r="G2" s="6">
        <f>COUNTIFS('Treatment Record'!B:B,"Banda", 'Treatment Record'!I:I, "HIV")</f>
        <v>0</v>
      </c>
      <c r="H2" s="6">
        <f>COUNTIFS('Treatment Record'!B:B,"Banda", 'Treatment Record'!I:I, "Other")</f>
        <v>0</v>
      </c>
      <c r="I2" s="6">
        <f>SUMIFS('Treatment Record'!N:N, 'Treatment Record'!B:B, "Banda")</f>
        <v>0</v>
      </c>
      <c r="J2" s="6">
        <f>SUMIFS('Treatment Record'!P:P, 'Treatment Record'!B:B, "Banda")</f>
        <v>0</v>
      </c>
      <c r="K2" s="6">
        <f>SUMIFS('Treatment Record'!S:S, 'Treatment Record'!B:B, "Banda")</f>
        <v>0</v>
      </c>
      <c r="L2" s="6">
        <v>0</v>
      </c>
      <c r="M2" s="6">
        <f>SUMIFS('Treatment Record'!T:T, 'Treatment Record'!B:B, "Banda")</f>
        <v>0</v>
      </c>
      <c r="N2" s="6">
        <v>0</v>
      </c>
    </row>
    <row r="3" spans="1:18" ht="13.5" customHeight="1" x14ac:dyDescent="0.25">
      <c r="A3" s="13" t="s">
        <v>213</v>
      </c>
      <c r="B3" s="6">
        <f>COUNTIF('Treatment Record'!B:B,"Budiima")</f>
        <v>1</v>
      </c>
      <c r="C3" s="6">
        <f>COUNTIFS('Treatment Record'!B:B,"Budiima", 'Treatment Record'!G:G, "M")</f>
        <v>0</v>
      </c>
      <c r="D3" s="6">
        <f>COUNTIFS('Treatment Record'!B:B,"Budiima", 'Treatment Record'!G:G, "F")</f>
        <v>1</v>
      </c>
      <c r="E3" s="6">
        <f>COUNTIFS('Treatment Record'!B:B,"Budiima", 'Treatment Record'!I:I, "Ca")</f>
        <v>0</v>
      </c>
      <c r="F3" s="6">
        <f>COUNTIFS('Treatment Record'!B:B,"Budiima", 'Treatment Record'!I:I, "Ca/HIV")</f>
        <v>0</v>
      </c>
      <c r="G3" s="6">
        <f>COUNTIFS('Treatment Record'!B:B,"Budiima", 'Treatment Record'!I:I, "HIV")</f>
        <v>1</v>
      </c>
      <c r="H3" s="6">
        <f>COUNTIFS('Treatment Record'!B:B,"Budiima", 'Treatment Record'!I:I, "Other")</f>
        <v>0</v>
      </c>
      <c r="I3" s="6">
        <f>SUMIFS('Treatment Record'!N:N, 'Treatment Record'!B:B, "Budiima")</f>
        <v>0</v>
      </c>
      <c r="J3" s="6">
        <f>SUMIFS('Treatment Record'!P:P, 'Treatment Record'!B:B, "Budiima")</f>
        <v>1</v>
      </c>
      <c r="K3" s="6">
        <f>SUMIFS('Treatment Record'!S:S, 'Treatment Record'!B:B, "Budiima")</f>
        <v>0</v>
      </c>
      <c r="L3" s="6">
        <v>0</v>
      </c>
      <c r="M3" s="6">
        <f>SUMIFS('Treatment Record'!T:T, 'Treatment Record'!B:B, "Budiima")</f>
        <v>0</v>
      </c>
      <c r="N3" s="6">
        <v>0</v>
      </c>
    </row>
    <row r="4" spans="1:18" x14ac:dyDescent="0.25">
      <c r="A4" s="13" t="s">
        <v>53</v>
      </c>
      <c r="B4" s="6">
        <f>COUNTIF('Treatment Record'!B:B,"Budondo")</f>
        <v>2</v>
      </c>
      <c r="C4" s="6">
        <f>COUNTIFS('Treatment Record'!B:B,"Budondo", 'Treatment Record'!G:G, "M")</f>
        <v>1</v>
      </c>
      <c r="D4" s="6">
        <f>COUNTIFS('Treatment Record'!B:B,"Budondo", 'Treatment Record'!G:G, "F")</f>
        <v>1</v>
      </c>
      <c r="E4" s="6">
        <f>COUNTIFS('Treatment Record'!B:B,"Budondo", 'Treatment Record'!I:I, "Ca")</f>
        <v>2</v>
      </c>
      <c r="F4" s="6">
        <f>COUNTIFS('Treatment Record'!B:B,"Budondo", 'Treatment Record'!I:I, "Ca/HIV")</f>
        <v>0</v>
      </c>
      <c r="G4" s="6">
        <f>COUNTIFS('Treatment Record'!B:B,"Budondo", 'Treatment Record'!I:I, "HIV")</f>
        <v>0</v>
      </c>
      <c r="H4" s="6">
        <f>COUNTIFS('Treatment Record'!B:B,"Budondo", 'Treatment Record'!I:I, "Other")</f>
        <v>0</v>
      </c>
      <c r="I4" s="6">
        <f>SUMIFS('Treatment Record'!N:N, 'Treatment Record'!B:B, "Budondo")</f>
        <v>0</v>
      </c>
      <c r="J4" s="6">
        <f>SUMIFS('Treatment Record'!P:P, 'Treatment Record'!B:B, "Budondo")</f>
        <v>2</v>
      </c>
      <c r="K4" s="6">
        <f>SUMIFS('Treatment Record'!S:S, 'Treatment Record'!B:B, "Budondo")</f>
        <v>0</v>
      </c>
      <c r="L4" s="6">
        <v>0</v>
      </c>
      <c r="M4" s="6">
        <f>SUMIFS('Treatment Record'!T:T, 'Treatment Record'!B:B, "Budondo")</f>
        <v>0</v>
      </c>
      <c r="N4" s="6">
        <v>0</v>
      </c>
      <c r="Q4" s="45" t="s">
        <v>214</v>
      </c>
      <c r="R4" s="46"/>
    </row>
    <row r="5" spans="1:18" x14ac:dyDescent="0.25">
      <c r="A5" s="13" t="s">
        <v>115</v>
      </c>
      <c r="B5" s="6">
        <f>COUNTIF('Treatment Record'!B:B,"Bugaya")</f>
        <v>3</v>
      </c>
      <c r="C5" s="6">
        <f>COUNTIFS('Treatment Record'!B:B,"Bugaya", 'Treatment Record'!G:G, "M")</f>
        <v>1</v>
      </c>
      <c r="D5" s="6">
        <f>COUNTIFS('Treatment Record'!B:B,"Bugaya", 'Treatment Record'!G:G, "F")</f>
        <v>2</v>
      </c>
      <c r="E5" s="6">
        <f>COUNTIFS('Treatment Record'!B:B,"Bugaya", 'Treatment Record'!I:I, "Ca")</f>
        <v>2</v>
      </c>
      <c r="F5" s="6">
        <f>COUNTIFS('Treatment Record'!B:B,"Bugaya", 'Treatment Record'!I:I, "Ca/HIV")</f>
        <v>0</v>
      </c>
      <c r="G5" s="6">
        <f>COUNTIFS('Treatment Record'!B:B,"Bugaya", 'Treatment Record'!I:I, "HIV")</f>
        <v>0</v>
      </c>
      <c r="H5" s="6">
        <f>COUNTIFS('Treatment Record'!B:B,"Bugaya", 'Treatment Record'!I:I, "Other")</f>
        <v>1</v>
      </c>
      <c r="I5" s="6">
        <f>SUMIFS('Treatment Record'!N:N, 'Treatment Record'!B:B, "Bugaya")</f>
        <v>0</v>
      </c>
      <c r="J5" s="6">
        <f>SUMIFS('Treatment Record'!P:P, 'Treatment Record'!B:B, "Bugaya")</f>
        <v>3</v>
      </c>
      <c r="K5" s="6">
        <f>SUMIFS('Treatment Record'!S:S, 'Treatment Record'!B:B, "Bugaya")</f>
        <v>0</v>
      </c>
      <c r="L5" s="6">
        <v>0</v>
      </c>
      <c r="M5" s="6">
        <f>SUMIFS('Treatment Record'!T:T, 'Treatment Record'!B:B, "Bugaya")</f>
        <v>0</v>
      </c>
      <c r="N5" s="6">
        <v>0</v>
      </c>
      <c r="Q5" s="3"/>
      <c r="R5" s="3"/>
    </row>
    <row r="6" spans="1:18" x14ac:dyDescent="0.25">
      <c r="A6" s="13" t="s">
        <v>76</v>
      </c>
      <c r="B6" s="6">
        <f>COUNTIF('Treatment Record'!B:B,"Bugembe")</f>
        <v>4</v>
      </c>
      <c r="C6" s="6">
        <f>COUNTIFS('Treatment Record'!B:B,"Bugembe", 'Treatment Record'!G:G, "M")</f>
        <v>1</v>
      </c>
      <c r="D6" s="6">
        <f>COUNTIFS('Treatment Record'!B:B,"Bugembe", 'Treatment Record'!G:G, "F")</f>
        <v>3</v>
      </c>
      <c r="E6" s="6">
        <f>COUNTIFS('Treatment Record'!B:B,"Bugembe", 'Treatment Record'!I:I, "Ca")</f>
        <v>3</v>
      </c>
      <c r="F6" s="6">
        <f>COUNTIFS('Treatment Record'!B:B,"Bugembe", 'Treatment Record'!I:I, "Ca/HIV")</f>
        <v>0</v>
      </c>
      <c r="G6" s="6">
        <f>COUNTIFS('Treatment Record'!B:B,"Bugembe", 'Treatment Record'!I:I, "HIV")</f>
        <v>0</v>
      </c>
      <c r="H6" s="6">
        <f>COUNTIFS('Treatment Record'!B:B,"Bugembe", 'Treatment Record'!I:I, "Other")</f>
        <v>1</v>
      </c>
      <c r="I6" s="6">
        <f>SUMIFS('Treatment Record'!N:N, 'Treatment Record'!B:B, "Bugembe")</f>
        <v>1</v>
      </c>
      <c r="J6" s="6">
        <f>SUMIFS('Treatment Record'!P:P, 'Treatment Record'!B:B, "Bugembe")</f>
        <v>3</v>
      </c>
      <c r="K6" s="6">
        <f>SUMIFS('Treatment Record'!S:S, 'Treatment Record'!B:B, "Bugembe")</f>
        <v>0</v>
      </c>
      <c r="L6" s="6">
        <v>0</v>
      </c>
      <c r="M6" s="6">
        <f>SUMIFS('Treatment Record'!T:T, 'Treatment Record'!B:B, "Bugembe")</f>
        <v>0</v>
      </c>
      <c r="N6" s="6">
        <v>0</v>
      </c>
      <c r="Q6" s="3"/>
      <c r="R6" s="3"/>
    </row>
    <row r="7" spans="1:18" x14ac:dyDescent="0.25">
      <c r="A7" s="13" t="s">
        <v>215</v>
      </c>
      <c r="B7" s="6">
        <f>COUNTIF('Treatment Record'!B:B,"Bugerere")</f>
        <v>0</v>
      </c>
      <c r="C7" s="6">
        <f>COUNTIFS('Treatment Record'!B:B,"Bugerere", 'Treatment Record'!G:G, "M")</f>
        <v>0</v>
      </c>
      <c r="D7" s="6">
        <f>COUNTIFS('Treatment Record'!B:B,"Bugerere", 'Treatment Record'!G:G, "F")</f>
        <v>0</v>
      </c>
      <c r="E7" s="6">
        <f>COUNTIFS('Treatment Record'!B:B,"Bugerere", 'Treatment Record'!I:I, "Ca")</f>
        <v>0</v>
      </c>
      <c r="F7" s="6">
        <f>COUNTIFS('Treatment Record'!B:B,"Bugerere", 'Treatment Record'!I:I, "Ca/HIV")</f>
        <v>0</v>
      </c>
      <c r="G7" s="6">
        <f>COUNTIFS('Treatment Record'!B:B,"Bugerere", 'Treatment Record'!I:I, "HIV")</f>
        <v>0</v>
      </c>
      <c r="H7" s="6">
        <f>COUNTIFS('Treatment Record'!B:B,"Bugerere", 'Treatment Record'!I:I, "Other")</f>
        <v>0</v>
      </c>
      <c r="I7" s="6">
        <f>SUMIFS('Treatment Record'!N:N, 'Treatment Record'!B:B, "Bugerere")</f>
        <v>0</v>
      </c>
      <c r="J7" s="6">
        <f>SUMIFS('Treatment Record'!P:P, 'Treatment Record'!B:B, "Bugerere")</f>
        <v>0</v>
      </c>
      <c r="K7" s="6">
        <f>SUMIFS('Treatment Record'!S:S, 'Treatment Record'!B:B, "Bugerere")</f>
        <v>0</v>
      </c>
      <c r="L7" s="6">
        <v>0</v>
      </c>
      <c r="M7" s="6">
        <f>SUMIFS('Treatment Record'!T:T, 'Treatment Record'!B:B, "Bugerere")</f>
        <v>0</v>
      </c>
      <c r="N7" s="6">
        <v>0</v>
      </c>
      <c r="Q7" s="3"/>
      <c r="R7" s="3"/>
    </row>
    <row r="8" spans="1:18" ht="15.75" customHeight="1" x14ac:dyDescent="0.25">
      <c r="A8" s="13" t="s">
        <v>71</v>
      </c>
      <c r="B8" s="6">
        <f>COUNTIF('Treatment Record'!B:B,"Bugiri")</f>
        <v>1</v>
      </c>
      <c r="C8" s="6">
        <f>COUNTIFS('Treatment Record'!B:B,"Bugiri", 'Treatment Record'!G:G, "M")</f>
        <v>0</v>
      </c>
      <c r="D8" s="6">
        <f>COUNTIFS('Treatment Record'!B:B,"Bugiri", 'Treatment Record'!G:G, "F")</f>
        <v>1</v>
      </c>
      <c r="E8" s="6">
        <f>COUNTIFS('Treatment Record'!B:B,"Bugiri", 'Treatment Record'!I:I, "Ca")</f>
        <v>1</v>
      </c>
      <c r="F8" s="6">
        <f>COUNTIFS('Treatment Record'!B:B,"Bugiri", 'Treatment Record'!I:I, "Ca/HIV")</f>
        <v>0</v>
      </c>
      <c r="G8" s="6">
        <f>COUNTIFS('Treatment Record'!B:B,"Bugiri", 'Treatment Record'!I:I, "HIV")</f>
        <v>0</v>
      </c>
      <c r="H8" s="6">
        <f>COUNTIFS('Treatment Record'!B:B,"Bugiri", 'Treatment Record'!I:I, "Other")</f>
        <v>0</v>
      </c>
      <c r="I8" s="6">
        <f>SUMIFS('Treatment Record'!N:N, 'Treatment Record'!B:B, "Bugiri")</f>
        <v>1</v>
      </c>
      <c r="J8" s="6">
        <f>SUMIFS('Treatment Record'!P:P, 'Treatment Record'!B:B, "Bugiri")</f>
        <v>0</v>
      </c>
      <c r="K8" s="6">
        <f>SUMIFS('Treatment Record'!S:S, 'Treatment Record'!B:B, "Bugiri")</f>
        <v>0</v>
      </c>
      <c r="L8" s="6">
        <v>0</v>
      </c>
      <c r="M8" s="6">
        <f>SUMIFS('Treatment Record'!T:T, 'Treatment Record'!B:B, "Bugiri")</f>
        <v>1</v>
      </c>
      <c r="N8" s="6">
        <v>0</v>
      </c>
      <c r="Q8" s="14" t="s">
        <v>216</v>
      </c>
      <c r="R8" s="15">
        <f>C42/B42</f>
        <v>0.3235294117647059</v>
      </c>
    </row>
    <row r="9" spans="1:18" x14ac:dyDescent="0.25">
      <c r="A9" s="6" t="s">
        <v>217</v>
      </c>
      <c r="B9" s="6">
        <f>COUNTIF('Treatment Record'!B:B,"Bugulumbya")</f>
        <v>0</v>
      </c>
      <c r="C9" s="6">
        <f>COUNTIFS('Treatment Record'!B:B,"Bugulumbya", 'Treatment Record'!G:G, "M")</f>
        <v>0</v>
      </c>
      <c r="D9" s="6">
        <f>COUNTIFS('Treatment Record'!B:B,"Bugulumbya", 'Treatment Record'!G:G, "F")</f>
        <v>0</v>
      </c>
      <c r="E9" s="6">
        <f>COUNTIFS('Treatment Record'!B:B,"Bugulumbya", 'Treatment Record'!I:I, "Ca")</f>
        <v>0</v>
      </c>
      <c r="F9" s="6">
        <f>COUNTIFS('Treatment Record'!B:B,"Bugulumbya", 'Treatment Record'!I:I, "Ca/HIV")</f>
        <v>0</v>
      </c>
      <c r="G9" s="6">
        <f>COUNTIFS('Treatment Record'!B:B,"Bugulumbya", 'Treatment Record'!I:I, "HIV")</f>
        <v>0</v>
      </c>
      <c r="H9" s="6">
        <f>COUNTIFS('Treatment Record'!B:B,"Bugulumbya", 'Treatment Record'!I:I, "Other")</f>
        <v>0</v>
      </c>
      <c r="I9" s="6">
        <f>SUMIFS('Treatment Record'!N:N, 'Treatment Record'!B:B, "Bugulumbya")</f>
        <v>0</v>
      </c>
      <c r="J9" s="6">
        <f>SUMIFS('Treatment Record'!P:P, 'Treatment Record'!B:B, "Bugulumbya")</f>
        <v>0</v>
      </c>
      <c r="K9" s="6">
        <f>SUMIFS('Treatment Record'!S:S, 'Treatment Record'!B:B, "Bugulumbya")</f>
        <v>0</v>
      </c>
      <c r="L9" s="6">
        <v>0</v>
      </c>
      <c r="M9" s="6">
        <f>SUMIFS('Treatment Record'!T:T, 'Treatment Record'!B:B, "Bugulumbya")</f>
        <v>0</v>
      </c>
      <c r="N9" s="6">
        <v>0</v>
      </c>
      <c r="Q9" s="14" t="s">
        <v>218</v>
      </c>
      <c r="R9" s="15">
        <f>D42/B42</f>
        <v>0.67647058823529416</v>
      </c>
    </row>
    <row r="10" spans="1:18" x14ac:dyDescent="0.25">
      <c r="A10" s="6" t="s">
        <v>68</v>
      </c>
      <c r="B10" s="6">
        <f>COUNTIF('Treatment Record'!B:B,"Buhemba")</f>
        <v>2</v>
      </c>
      <c r="C10" s="6">
        <f>COUNTIFS('Treatment Record'!B:B,"Buhemba", 'Treatment Record'!G:G, "M")</f>
        <v>1</v>
      </c>
      <c r="D10" s="6">
        <f>COUNTIFS('Treatment Record'!B:B,"Buhemba", 'Treatment Record'!G:G, "F")</f>
        <v>1</v>
      </c>
      <c r="E10" s="6">
        <f>COUNTIFS('Treatment Record'!B:B,"Buhemba", 'Treatment Record'!I:I, "Ca")</f>
        <v>2</v>
      </c>
      <c r="F10" s="6">
        <f>COUNTIFS('Treatment Record'!B:B,"Buhemba", 'Treatment Record'!I:I, "Ca/HIV")</f>
        <v>0</v>
      </c>
      <c r="G10" s="6">
        <f>COUNTIFS('Treatment Record'!B:B,"Buhemba", 'Treatment Record'!I:I, "HIV")</f>
        <v>0</v>
      </c>
      <c r="H10" s="6">
        <f>COUNTIFS('Treatment Record'!B:B,"Buhemba", 'Treatment Record'!I:I, "Other")</f>
        <v>0</v>
      </c>
      <c r="I10" s="6">
        <f>SUMIFS('Treatment Record'!N:N, 'Treatment Record'!B:B, "Buhemba")</f>
        <v>1</v>
      </c>
      <c r="J10" s="6">
        <f>SUMIFS('Treatment Record'!P:P, 'Treatment Record'!B:B, "Buhemba")</f>
        <v>1</v>
      </c>
      <c r="K10" s="6">
        <f>SUMIFS('Treatment Record'!S:S, 'Treatment Record'!B:B, "Buhemba")</f>
        <v>0</v>
      </c>
      <c r="L10" s="6">
        <v>0</v>
      </c>
      <c r="M10" s="6">
        <f>SUMIFS('Treatment Record'!T:T, 'Treatment Record'!B:B, "Buhemba")</f>
        <v>0</v>
      </c>
      <c r="N10" s="6">
        <v>0</v>
      </c>
      <c r="Q10" s="14"/>
      <c r="R10" s="15"/>
    </row>
    <row r="11" spans="1:18" x14ac:dyDescent="0.25">
      <c r="A11" s="6" t="s">
        <v>122</v>
      </c>
      <c r="B11" s="6">
        <f>COUNTIF('Treatment Record'!B:B,"Bukungu")</f>
        <v>1</v>
      </c>
      <c r="C11" s="6">
        <f>COUNTIFS('Treatment Record'!B:B,"Bukungu", 'Treatment Record'!G:G, "M")</f>
        <v>1</v>
      </c>
      <c r="D11" s="6">
        <f>COUNTIFS('Treatment Record'!B:B,"Bukungu", 'Treatment Record'!G:G, "F")</f>
        <v>0</v>
      </c>
      <c r="E11" s="6">
        <f>COUNTIFS('Treatment Record'!B:B,"Bukungu", 'Treatment Record'!I:I, "Ca")</f>
        <v>1</v>
      </c>
      <c r="F11" s="6">
        <f>COUNTIFS('Treatment Record'!B:B,"Bukungu", 'Treatment Record'!I:I, "Ca/HIV")</f>
        <v>0</v>
      </c>
      <c r="G11" s="6">
        <f>COUNTIFS('Treatment Record'!B:B,"Bukungu", 'Treatment Record'!I:I, "HIV")</f>
        <v>0</v>
      </c>
      <c r="H11" s="6">
        <f>COUNTIFS('Treatment Record'!B:B,"Bukungu", 'Treatment Record'!I:I, "Other")</f>
        <v>0</v>
      </c>
      <c r="I11" s="6">
        <f>SUMIFS('Treatment Record'!N:N, 'Treatment Record'!B:B, "Bukungu")</f>
        <v>1</v>
      </c>
      <c r="J11" s="6">
        <f>SUMIFS('Treatment Record'!P:P, 'Treatment Record'!B:B, "Bukungu")</f>
        <v>0</v>
      </c>
      <c r="K11" s="6">
        <f>SUMIFS('Treatment Record'!S:S, 'Treatment Record'!B:B, "Bukungu")</f>
        <v>0</v>
      </c>
      <c r="L11" s="6">
        <v>0</v>
      </c>
      <c r="M11" s="6">
        <f>SUMIFS('Treatment Record'!T:T, 'Treatment Record'!B:B, "Bukungu")</f>
        <v>0</v>
      </c>
      <c r="N11" s="6">
        <v>0</v>
      </c>
      <c r="Q11" s="14"/>
      <c r="R11" s="15"/>
    </row>
    <row r="12" spans="1:18" x14ac:dyDescent="0.25">
      <c r="A12" s="13" t="s">
        <v>92</v>
      </c>
      <c r="B12" s="6">
        <f>COUNTIF('Treatment Record'!B:B,"Busedde")</f>
        <v>3</v>
      </c>
      <c r="C12" s="6">
        <f>COUNTIFS('Treatment Record'!B:B,"Busedde", 'Treatment Record'!G:G, "M")</f>
        <v>1</v>
      </c>
      <c r="D12" s="6">
        <f>COUNTIFS('Treatment Record'!B:B,"Busedde", 'Treatment Record'!G:G, "F")</f>
        <v>2</v>
      </c>
      <c r="E12" s="6">
        <f>COUNTIFS('Treatment Record'!B:B,"Busedde", 'Treatment Record'!I:I, "Ca")</f>
        <v>3</v>
      </c>
      <c r="F12" s="6">
        <f>COUNTIFS('Treatment Record'!B:B,"Busedde", 'Treatment Record'!I:I, "Ca/HIV")</f>
        <v>0</v>
      </c>
      <c r="G12" s="6">
        <f>COUNTIFS('Treatment Record'!B:B,"Busedde", 'Treatment Record'!I:I, "HIV")</f>
        <v>0</v>
      </c>
      <c r="H12" s="6">
        <f>COUNTIFS('Treatment Record'!B:B,"Busedde", 'Treatment Record'!I:I, "Other")</f>
        <v>0</v>
      </c>
      <c r="I12" s="6">
        <f>SUMIFS('Treatment Record'!N:N, 'Treatment Record'!B:B, "Busedde")</f>
        <v>0</v>
      </c>
      <c r="J12" s="6">
        <f>SUMIFS('Treatment Record'!P:P, 'Treatment Record'!B:B, "Busedde")</f>
        <v>3</v>
      </c>
      <c r="K12" s="6">
        <f>SUMIFS('Treatment Record'!S:S, 'Treatment Record'!B:B, "Busedde")</f>
        <v>0</v>
      </c>
      <c r="L12" s="6">
        <v>0</v>
      </c>
      <c r="M12" s="6">
        <f>SUMIFS('Treatment Record'!T:T, 'Treatment Record'!B:B, "Busedde")</f>
        <v>0</v>
      </c>
      <c r="N12" s="6">
        <v>0</v>
      </c>
      <c r="Q12" s="14"/>
      <c r="R12" s="14"/>
    </row>
    <row r="13" spans="1:18" x14ac:dyDescent="0.25">
      <c r="A13" s="13" t="s">
        <v>47</v>
      </c>
      <c r="B13" s="6">
        <f>COUNTIF('Treatment Record'!B:B,"Busembatia")</f>
        <v>2</v>
      </c>
      <c r="C13" s="6">
        <f>COUNTIFS('Treatment Record'!B:B,"Busembatia", 'Treatment Record'!G:G, "M")</f>
        <v>0</v>
      </c>
      <c r="D13" s="6">
        <f>COUNTIFS('Treatment Record'!B:B,"Busembatia", 'Treatment Record'!G:G, "F")</f>
        <v>2</v>
      </c>
      <c r="E13" s="6">
        <f>COUNTIFS('Treatment Record'!B:B,"Busembatia", 'Treatment Record'!I:I, "Ca")</f>
        <v>1</v>
      </c>
      <c r="F13" s="6">
        <f>COUNTIFS('Treatment Record'!B:B,"Busembatia", 'Treatment Record'!I:I, "Ca/HIV")</f>
        <v>0</v>
      </c>
      <c r="G13" s="6">
        <f>COUNTIFS('Treatment Record'!B:B,"Busembatia", 'Treatment Record'!I:I, "HIV")</f>
        <v>0</v>
      </c>
      <c r="H13" s="6">
        <f>COUNTIFS('Treatment Record'!B:B,"Busembatia", 'Treatment Record'!I:I, "Other")</f>
        <v>1</v>
      </c>
      <c r="I13" s="6">
        <f>SUMIFS('Treatment Record'!N:N, 'Treatment Record'!B:B, "Busembatia")</f>
        <v>0</v>
      </c>
      <c r="J13" s="6">
        <f>SUMIFS('Treatment Record'!P:P, 'Treatment Record'!B:B, "Busembatia")</f>
        <v>2</v>
      </c>
      <c r="K13" s="6">
        <f>SUMIFS('Treatment Record'!S:S, 'Treatment Record'!B:B, "Busembatia")</f>
        <v>0</v>
      </c>
      <c r="L13" s="6">
        <v>0</v>
      </c>
      <c r="M13" s="6">
        <f>SUMIFS('Treatment Record'!T:T, 'Treatment Record'!B:B, "Busembatia")</f>
        <v>0</v>
      </c>
      <c r="N13" s="6">
        <v>0</v>
      </c>
      <c r="Q13" s="45" t="s">
        <v>219</v>
      </c>
      <c r="R13" s="46"/>
    </row>
    <row r="14" spans="1:18" x14ac:dyDescent="0.25">
      <c r="A14" s="13" t="s">
        <v>143</v>
      </c>
      <c r="B14" s="6">
        <f>COUNTIF('Treatment Record'!B:B,"Busia")</f>
        <v>1</v>
      </c>
      <c r="C14" s="6">
        <f>COUNTIFS('Treatment Record'!B:B,"Busia", 'Treatment Record'!G:G, "M")</f>
        <v>0</v>
      </c>
      <c r="D14" s="6">
        <f>COUNTIFS('Treatment Record'!B:B,"Busia", 'Treatment Record'!G:G, "F")</f>
        <v>1</v>
      </c>
      <c r="E14" s="6">
        <f>COUNTIFS('Treatment Record'!B:B,"Busia", 'Treatment Record'!I:I, "Ca")</f>
        <v>1</v>
      </c>
      <c r="F14" s="6">
        <f>COUNTIFS('Treatment Record'!B:B,"Busia", 'Treatment Record'!I:I, "Ca/HIV")</f>
        <v>0</v>
      </c>
      <c r="G14" s="6">
        <f>COUNTIFS('Treatment Record'!B:B,"Busia", 'Treatment Record'!I:I, "HIV")</f>
        <v>0</v>
      </c>
      <c r="H14" s="6">
        <f>COUNTIFS('Treatment Record'!B:B,"Busia", 'Treatment Record'!I:I, "Other")</f>
        <v>0</v>
      </c>
      <c r="I14" s="6">
        <f>SUMIFS('Treatment Record'!N:N, 'Treatment Record'!B:B, "Busia")</f>
        <v>1</v>
      </c>
      <c r="J14" s="6">
        <f>SUMIFS('Treatment Record'!P:P, 'Treatment Record'!B:B, "Busia")</f>
        <v>0</v>
      </c>
      <c r="K14" s="6">
        <f>SUMIFS('Treatment Record'!S:S, 'Treatment Record'!B:B, "Busia")</f>
        <v>0</v>
      </c>
      <c r="L14" s="6">
        <v>0</v>
      </c>
      <c r="M14" s="6">
        <f>SUMIFS('Treatment Record'!T:T, 'Treatment Record'!B:B, "Busia")</f>
        <v>0</v>
      </c>
      <c r="N14" s="6">
        <v>0</v>
      </c>
      <c r="Q14" s="14"/>
      <c r="R14" s="16"/>
    </row>
    <row r="15" spans="1:18" x14ac:dyDescent="0.25">
      <c r="A15" s="13" t="s">
        <v>165</v>
      </c>
      <c r="B15" s="6">
        <f>COUNTIF('Treatment Record'!B:B,"Buwenge")</f>
        <v>2</v>
      </c>
      <c r="C15" s="6">
        <f>COUNTIFS('Treatment Record'!B:B,"Buwenge", 'Treatment Record'!G:G, "M")</f>
        <v>0</v>
      </c>
      <c r="D15" s="6">
        <f>COUNTIFS('Treatment Record'!B:B,"Buwenge", 'Treatment Record'!G:G, "F")</f>
        <v>2</v>
      </c>
      <c r="E15" s="6">
        <f>COUNTIFS('Treatment Record'!B:B,"Buwenge", 'Treatment Record'!I:I, "Ca")</f>
        <v>2</v>
      </c>
      <c r="F15" s="6">
        <f>COUNTIFS('Treatment Record'!B:B,"Buwenge", 'Treatment Record'!I:I, "Ca/HIV")</f>
        <v>0</v>
      </c>
      <c r="G15" s="6">
        <f>COUNTIFS('Treatment Record'!B:B,"Buwenge", 'Treatment Record'!I:I, "HIV")</f>
        <v>0</v>
      </c>
      <c r="H15" s="6">
        <f>COUNTIFS('Treatment Record'!B:B,"Buwenge", 'Treatment Record'!I:I, "Other")</f>
        <v>0</v>
      </c>
      <c r="I15" s="6">
        <f>SUMIFS('Treatment Record'!N:N, 'Treatment Record'!B:B, "Buwenge")</f>
        <v>1</v>
      </c>
      <c r="J15" s="6">
        <f>SUMIFS('Treatment Record'!P:P, 'Treatment Record'!B:B, "Buwenge")</f>
        <v>1</v>
      </c>
      <c r="K15" s="6">
        <f>SUMIFS('Treatment Record'!S:S, 'Treatment Record'!B:B, "Buwenge")</f>
        <v>0</v>
      </c>
      <c r="L15" s="6">
        <v>0</v>
      </c>
      <c r="M15" s="6">
        <f>SUMIFS('Treatment Record'!T:T, 'Treatment Record'!B:B, "Buwenge")</f>
        <v>0</v>
      </c>
      <c r="N15" s="6">
        <v>0</v>
      </c>
      <c r="Q15" s="14" t="s">
        <v>50</v>
      </c>
      <c r="R15" s="16">
        <f>E42/B42</f>
        <v>0.82352941176470584</v>
      </c>
    </row>
    <row r="16" spans="1:18" x14ac:dyDescent="0.25">
      <c r="A16" s="13" t="s">
        <v>100</v>
      </c>
      <c r="B16" s="6">
        <f>COUNTIF('Treatment Record'!B:B,"Buyende")</f>
        <v>2</v>
      </c>
      <c r="C16" s="6">
        <f>COUNTIFS('Treatment Record'!B:B,"Buyende", 'Treatment Record'!G:G, "M")</f>
        <v>0</v>
      </c>
      <c r="D16" s="6">
        <f>COUNTIFS('Treatment Record'!B:B,"Buyende", 'Treatment Record'!G:G, "F")</f>
        <v>2</v>
      </c>
      <c r="E16" s="6">
        <f>COUNTIFS('Treatment Record'!B:B,"Buyende", 'Treatment Record'!I:I, "Ca")</f>
        <v>2</v>
      </c>
      <c r="F16" s="6">
        <f>COUNTIFS('Treatment Record'!B:B,"Buyende", 'Treatment Record'!I:I, "Ca/HIV")</f>
        <v>0</v>
      </c>
      <c r="G16" s="6">
        <f>COUNTIFS('Treatment Record'!B:B,"Buyende", 'Treatment Record'!I:I, "HIV")</f>
        <v>0</v>
      </c>
      <c r="H16" s="6">
        <f>COUNTIFS('Treatment Record'!B:B,"Buyende", 'Treatment Record'!I:I, "Other")</f>
        <v>0</v>
      </c>
      <c r="I16" s="6">
        <f>SUMIFS('Treatment Record'!N:N, 'Treatment Record'!B:B, "Buyende")</f>
        <v>1</v>
      </c>
      <c r="J16" s="6">
        <f>SUMIFS('Treatment Record'!P:P, 'Treatment Record'!B:B, "Buyende")</f>
        <v>1</v>
      </c>
      <c r="K16" s="6">
        <f>SUMIFS('Treatment Record'!S:S, 'Treatment Record'!B:B, "Buyende")</f>
        <v>0</v>
      </c>
      <c r="L16" s="6">
        <v>0</v>
      </c>
      <c r="M16" s="6">
        <f>SUMIFS('Treatment Record'!T:T, 'Treatment Record'!B:B, "Buyende")</f>
        <v>0</v>
      </c>
      <c r="N16" s="6">
        <v>0</v>
      </c>
      <c r="Q16" s="14" t="s">
        <v>38</v>
      </c>
      <c r="R16" s="16">
        <f>F42/B42</f>
        <v>4.4117647058823532E-2</v>
      </c>
    </row>
    <row r="17" spans="1:18" x14ac:dyDescent="0.25">
      <c r="A17" s="13" t="s">
        <v>220</v>
      </c>
      <c r="B17" s="6">
        <f>COUNTIF('Treatment Record'!B:B,"Hospice")</f>
        <v>2</v>
      </c>
      <c r="C17" s="6">
        <f>COUNTIFS('Treatment Record'!B:B,"Hospice", 'Treatment Record'!G:G, "M")</f>
        <v>2</v>
      </c>
      <c r="D17" s="6">
        <f>COUNTIFS('Treatment Record'!B:B,"Hospice", 'Treatment Record'!G:G, "F")</f>
        <v>0</v>
      </c>
      <c r="E17" s="6">
        <f>COUNTIFS('Treatment Record'!B:B,"Hospice", 'Treatment Record'!I:I, "Ca")</f>
        <v>2</v>
      </c>
      <c r="F17" s="6">
        <f>COUNTIFS('Treatment Record'!B:B,"Hospice", 'Treatment Record'!I:I, "Ca/HIV")</f>
        <v>0</v>
      </c>
      <c r="G17" s="6">
        <f>COUNTIFS('Treatment Record'!B:B,"Hospice", 'Treatment Record'!I:I, "HIV")</f>
        <v>0</v>
      </c>
      <c r="H17" s="6">
        <f>COUNTIFS('Treatment Record'!B:B,"Hospice", 'Treatment Record'!I:I, "Other")</f>
        <v>0</v>
      </c>
      <c r="I17" s="6">
        <f>SUMIFS('Treatment Record'!N:N, 'Treatment Record'!B:B, "Hospice")</f>
        <v>1</v>
      </c>
      <c r="J17" s="6">
        <f>SUMIFS('Treatment Record'!P:P, 'Treatment Record'!B:B, "Hospice")</f>
        <v>1</v>
      </c>
      <c r="K17" s="6">
        <f>SUMIFS('Treatment Record'!S:S, 'Treatment Record'!B:B, "Hospice")</f>
        <v>0</v>
      </c>
      <c r="L17" s="6">
        <v>0</v>
      </c>
      <c r="M17" s="6">
        <f>SUMIFS('Treatment Record'!T:T, 'Treatment Record'!B:B, "Hospice")</f>
        <v>0</v>
      </c>
      <c r="N17" s="6">
        <v>0</v>
      </c>
      <c r="Q17" s="14" t="s">
        <v>43</v>
      </c>
      <c r="R17" s="16">
        <f>G42/B42</f>
        <v>2.9411764705882353E-2</v>
      </c>
    </row>
    <row r="18" spans="1:18" x14ac:dyDescent="0.25">
      <c r="A18" s="13" t="s">
        <v>221</v>
      </c>
      <c r="B18" s="6">
        <f>COUNTIF('Treatment Record'!B:B,"Hospice NFO")</f>
        <v>0</v>
      </c>
      <c r="C18" s="6">
        <f>COUNTIFS('Treatment Record'!B:B,"Hospice NFO", 'Treatment Record'!G:G, "M")</f>
        <v>0</v>
      </c>
      <c r="D18" s="6">
        <f>COUNTIFS('Treatment Record'!B:B,"Hospice NFO", 'Treatment Record'!G:G, "F")</f>
        <v>0</v>
      </c>
      <c r="E18" s="6">
        <f>COUNTIFS('Treatment Record'!B:B,"Hospice NFO", 'Treatment Record'!I:I, "Ca")</f>
        <v>0</v>
      </c>
      <c r="F18" s="6">
        <f>COUNTIFS('Treatment Record'!B:B,"Hospice NFO", 'Treatment Record'!I:I, "Ca/HIV")</f>
        <v>0</v>
      </c>
      <c r="G18" s="6">
        <f>COUNTIFS('Treatment Record'!B:B,"Hospice NFO", 'Treatment Record'!I:I, "HIV")</f>
        <v>0</v>
      </c>
      <c r="H18" s="6">
        <f>COUNTIFS('Treatment Record'!B:B,"Hospice NFO", 'Treatment Record'!I:I, "Other")</f>
        <v>0</v>
      </c>
      <c r="I18" s="6">
        <f>SUMIFS('Treatment Record'!N:N, 'Treatment Record'!B:B, "Hospice NFO")</f>
        <v>0</v>
      </c>
      <c r="J18" s="6">
        <f>SUMIFS('Treatment Record'!P:P, 'Treatment Record'!B:B, "Hospice NFO")</f>
        <v>0</v>
      </c>
      <c r="K18" s="6">
        <f>SUMIFS('Treatment Record'!S:S, 'Treatment Record'!B:B, "Hospice NFO")</f>
        <v>0</v>
      </c>
      <c r="L18" s="6">
        <v>0</v>
      </c>
      <c r="M18" s="6">
        <f>SUMIFS('Treatment Record'!T:T, 'Treatment Record'!B:B, "Hospice NFO")</f>
        <v>0</v>
      </c>
      <c r="N18" s="6">
        <v>0</v>
      </c>
      <c r="Q18" s="14"/>
      <c r="R18" s="16"/>
    </row>
    <row r="19" spans="1:18" x14ac:dyDescent="0.25">
      <c r="A19" s="13" t="s">
        <v>222</v>
      </c>
      <c r="B19" s="6">
        <f>COUNTIF('Treatment Record'!B:B,"Iganga ")</f>
        <v>1</v>
      </c>
      <c r="C19" s="6">
        <f>COUNTIFS('Treatment Record'!B:B,"Iganga ", 'Treatment Record'!G:G, "M")</f>
        <v>1</v>
      </c>
      <c r="D19" s="6">
        <f>COUNTIFS('Treatment Record'!B:B,"Iganga ", 'Treatment Record'!G:G, "F")</f>
        <v>0</v>
      </c>
      <c r="E19" s="6">
        <f>COUNTIFS('Treatment Record'!B:B,"Iganga ", 'Treatment Record'!I:I, "Ca")</f>
        <v>0</v>
      </c>
      <c r="F19" s="6">
        <f>COUNTIFS('Treatment Record'!B:B,"Iganga ", 'Treatment Record'!I:I, "Ca/HIV")</f>
        <v>1</v>
      </c>
      <c r="G19" s="6">
        <f>COUNTIFS('Treatment Record'!B:B,"Iganga ", 'Treatment Record'!I:I, "HIV")</f>
        <v>0</v>
      </c>
      <c r="H19" s="6">
        <f>COUNTIFS('Treatment Record'!B:B,"Iganga ", 'Treatment Record'!I:I, "Other")</f>
        <v>0</v>
      </c>
      <c r="I19" s="6">
        <f>SUMIFS('Treatment Record'!N:N, 'Treatment Record'!B:B, "Iganga ")</f>
        <v>0</v>
      </c>
      <c r="J19" s="6">
        <f>SUMIFS('Treatment Record'!P:P, 'Treatment Record'!B:B, "Iganga ")</f>
        <v>1</v>
      </c>
      <c r="K19" s="6">
        <f>SUMIFS('Treatment Record'!S:S, 'Treatment Record'!B:B, "Iganga ")</f>
        <v>0</v>
      </c>
      <c r="L19" s="6">
        <v>0</v>
      </c>
      <c r="M19" s="6">
        <f>SUMIFS('Treatment Record'!T:T, 'Treatment Record'!B:B, "Iganga ")</f>
        <v>0</v>
      </c>
      <c r="N19" s="6">
        <v>0</v>
      </c>
      <c r="Q19" s="14" t="s">
        <v>206</v>
      </c>
      <c r="R19" s="16">
        <f>H42/B42</f>
        <v>0.10294117647058823</v>
      </c>
    </row>
    <row r="20" spans="1:18" x14ac:dyDescent="0.25">
      <c r="A20" s="13" t="s">
        <v>94</v>
      </c>
      <c r="B20" s="6">
        <f>COUNTIF('Treatment Record'!B:B,"Ivukula")</f>
        <v>2</v>
      </c>
      <c r="C20" s="6">
        <f>COUNTIFS('Treatment Record'!B:B,"Ivukula", 'Treatment Record'!G:G, "M")</f>
        <v>1</v>
      </c>
      <c r="D20" s="6">
        <f>COUNTIFS('Treatment Record'!B:B,"Ivukula", 'Treatment Record'!G:G, "F")</f>
        <v>1</v>
      </c>
      <c r="E20" s="6">
        <f>COUNTIFS('Treatment Record'!B:B,"Ivukula", 'Treatment Record'!I:I, "Ca")</f>
        <v>1</v>
      </c>
      <c r="F20" s="6">
        <f>COUNTIFS('Treatment Record'!B:B,"Ivukula", 'Treatment Record'!I:I, "Ca/HIV")</f>
        <v>0</v>
      </c>
      <c r="G20" s="6">
        <f>COUNTIFS('Treatment Record'!B:B,"Ivukula", 'Treatment Record'!I:I, "HIV")</f>
        <v>0</v>
      </c>
      <c r="H20" s="6">
        <f>COUNTIFS('Treatment Record'!B:B,"Ivukula", 'Treatment Record'!I:I, "Other")</f>
        <v>1</v>
      </c>
      <c r="I20" s="6">
        <f>SUMIFS('Treatment Record'!N:N, 'Treatment Record'!B:B, "Ivukula")</f>
        <v>0</v>
      </c>
      <c r="J20" s="6">
        <f>SUMIFS('Treatment Record'!P:P, 'Treatment Record'!B:B, "Ivukula")</f>
        <v>2</v>
      </c>
      <c r="K20" s="6">
        <f>SUMIFS('Treatment Record'!S:S, 'Treatment Record'!B:B, "Ivukula")</f>
        <v>0</v>
      </c>
      <c r="L20" s="6">
        <v>0</v>
      </c>
      <c r="M20" s="6">
        <f>SUMIFS('Treatment Record'!T:T, 'Treatment Record'!B:B, "Ivukula")</f>
        <v>0</v>
      </c>
      <c r="N20" s="6">
        <v>0</v>
      </c>
      <c r="R20" s="17"/>
    </row>
    <row r="21" spans="1:18" x14ac:dyDescent="0.25">
      <c r="A21" s="13" t="s">
        <v>140</v>
      </c>
      <c r="B21" s="6">
        <f>COUNTIF('Treatment Record'!B:B,"Kagulu")</f>
        <v>1</v>
      </c>
      <c r="C21" s="6">
        <f>COUNTIFS('Treatment Record'!B:B,"Kagulu", 'Treatment Record'!G:G, "M")</f>
        <v>1</v>
      </c>
      <c r="D21" s="6">
        <f>COUNTIFS('Treatment Record'!B:B,"Kagulu", 'Treatment Record'!G:G, "F")</f>
        <v>0</v>
      </c>
      <c r="E21" s="6">
        <f>COUNTIFS('Treatment Record'!B:B,"Kagulu", 'Treatment Record'!I:I, "Ca")</f>
        <v>1</v>
      </c>
      <c r="F21" s="6">
        <f>COUNTIFS('Treatment Record'!B:B,"Kagulu", 'Treatment Record'!I:I, "Ca/HIV")</f>
        <v>0</v>
      </c>
      <c r="G21" s="6">
        <f>COUNTIFS('Treatment Record'!B:B,"Kagulu", 'Treatment Record'!I:I, "HIV")</f>
        <v>0</v>
      </c>
      <c r="H21" s="6">
        <f>COUNTIFS('Treatment Record'!B:B,"Kagulu", 'Treatment Record'!I:I, "Other")</f>
        <v>0</v>
      </c>
      <c r="I21" s="6">
        <f>SUMIFS('Treatment Record'!N:N, 'Treatment Record'!B:B, "Kagulu")</f>
        <v>0</v>
      </c>
      <c r="J21" s="6">
        <f>SUMIFS('Treatment Record'!P:P, 'Treatment Record'!B:B, "Kagulu")</f>
        <v>1</v>
      </c>
      <c r="K21" s="6">
        <f>SUMIFS('Treatment Record'!S:S, 'Treatment Record'!B:B, "Kagulu")</f>
        <v>0</v>
      </c>
      <c r="L21" s="6">
        <v>0</v>
      </c>
      <c r="M21" s="6">
        <f>SUMIFS('Treatment Record'!T:T, 'Treatment Record'!B:B, "Kagulu")</f>
        <v>0</v>
      </c>
      <c r="N21" s="6">
        <v>0</v>
      </c>
      <c r="Q21" s="7" t="s">
        <v>223</v>
      </c>
      <c r="R21" s="6">
        <f>COUNT('Treatment Record'!F:F)</f>
        <v>8</v>
      </c>
    </row>
    <row r="22" spans="1:18" x14ac:dyDescent="0.25">
      <c r="A22" s="13" t="s">
        <v>224</v>
      </c>
      <c r="B22" s="6">
        <f>COUNTIF('Treatment Record'!B:B,"Kagumba")</f>
        <v>0</v>
      </c>
      <c r="C22" s="6">
        <f>COUNTIFS('Treatment Record'!B:B,"Kagumba", 'Treatment Record'!G:G, "M")</f>
        <v>0</v>
      </c>
      <c r="D22" s="6">
        <f>COUNTIFS('Treatment Record'!B:B,"Kagumba", 'Treatment Record'!G:G, "F")</f>
        <v>0</v>
      </c>
      <c r="E22" s="6">
        <f>COUNTIFS('Treatment Record'!B:B,"Kagumba", 'Treatment Record'!I:I, "Ca")</f>
        <v>0</v>
      </c>
      <c r="F22" s="6">
        <f>COUNTIFS('Treatment Record'!B:B,"Kagumba", 'Treatment Record'!I:I, "Ca/HIV")</f>
        <v>0</v>
      </c>
      <c r="G22" s="6">
        <f>COUNTIFS('Treatment Record'!B:B,"Kagumba", 'Treatment Record'!I:I, "HIV")</f>
        <v>0</v>
      </c>
      <c r="H22" s="6">
        <f>COUNTIFS('Treatment Record'!B:B,"Kagumba", 'Treatment Record'!I:I, "Other")</f>
        <v>0</v>
      </c>
      <c r="I22" s="6">
        <f>SUMIFS('Treatment Record'!N:N, 'Treatment Record'!B:B, "Kagumba")</f>
        <v>0</v>
      </c>
      <c r="J22" s="6">
        <f>SUMIFS('Treatment Record'!P:P, 'Treatment Record'!B:B, "Kagumba")</f>
        <v>0</v>
      </c>
      <c r="K22" s="6">
        <f>SUMIFS('Treatment Record'!S:S, 'Treatment Record'!B:B, "Kagumba")</f>
        <v>0</v>
      </c>
      <c r="L22" s="6">
        <v>0</v>
      </c>
      <c r="M22" s="6">
        <f>SUMIFS('Treatment Record'!T:T, 'Treatment Record'!B:B, "Kagumba")</f>
        <v>0</v>
      </c>
      <c r="N22" s="6">
        <v>0</v>
      </c>
      <c r="Q22" s="7" t="s">
        <v>225</v>
      </c>
      <c r="R22" s="6">
        <v>7</v>
      </c>
    </row>
    <row r="23" spans="1:18" x14ac:dyDescent="0.25">
      <c r="A23" s="13" t="s">
        <v>51</v>
      </c>
      <c r="B23" s="6">
        <f>COUNTIF('Treatment Record'!B:B,"Kaliro")</f>
        <v>4</v>
      </c>
      <c r="C23" s="6">
        <f>COUNTIFS('Treatment Record'!B:B,"Kaliro", 'Treatment Record'!G:G, "M")</f>
        <v>1</v>
      </c>
      <c r="D23" s="6">
        <f>COUNTIFS('Treatment Record'!B:B,"Kaliro", 'Treatment Record'!G:G, "F")</f>
        <v>3</v>
      </c>
      <c r="E23" s="6">
        <f>COUNTIFS('Treatment Record'!B:B,"Kaliro", 'Treatment Record'!I:I, "Ca")</f>
        <v>2</v>
      </c>
      <c r="F23" s="6">
        <f>COUNTIFS('Treatment Record'!B:B,"Kaliro", 'Treatment Record'!I:I, "Ca/HIV")</f>
        <v>0</v>
      </c>
      <c r="G23" s="6">
        <f>COUNTIFS('Treatment Record'!B:B,"Kaliro", 'Treatment Record'!I:I, "HIV")</f>
        <v>1</v>
      </c>
      <c r="H23" s="6">
        <f>COUNTIFS('Treatment Record'!B:B,"Kaliro", 'Treatment Record'!I:I, "Other")</f>
        <v>1</v>
      </c>
      <c r="I23" s="6">
        <f>SUMIFS('Treatment Record'!N:N, 'Treatment Record'!B:B, "Kaliro")</f>
        <v>2</v>
      </c>
      <c r="J23" s="6">
        <f>SUMIFS('Treatment Record'!P:P, 'Treatment Record'!B:B, "Kaliro")</f>
        <v>2</v>
      </c>
      <c r="K23" s="6">
        <f>SUMIFS('Treatment Record'!S:S, 'Treatment Record'!B:B, "Kaliro")</f>
        <v>0</v>
      </c>
      <c r="L23" s="6">
        <v>0</v>
      </c>
      <c r="M23" s="6">
        <f>SUMIFS('Treatment Record'!T:T, 'Treatment Record'!B:B, "Kaliro")</f>
        <v>1</v>
      </c>
      <c r="N23" s="6">
        <v>0</v>
      </c>
      <c r="Q23" s="7" t="s">
        <v>226</v>
      </c>
      <c r="R23" s="7">
        <v>1</v>
      </c>
    </row>
    <row r="24" spans="1:18" x14ac:dyDescent="0.25">
      <c r="A24" s="13" t="s">
        <v>105</v>
      </c>
      <c r="B24" s="6">
        <f>COUNTIF('Treatment Record'!B:B,"Kamuli")</f>
        <v>2</v>
      </c>
      <c r="C24" s="6">
        <f>COUNTIFS('Treatment Record'!B:B,"Kamuli", 'Treatment Record'!G:G, "M")</f>
        <v>1</v>
      </c>
      <c r="D24" s="6">
        <f>COUNTIFS('Treatment Record'!B:B,"Kamuli", 'Treatment Record'!G:G, "F")</f>
        <v>1</v>
      </c>
      <c r="E24" s="6">
        <f>COUNTIFS('Treatment Record'!B:B,"Kamuli", 'Treatment Record'!I:I, "Ca")</f>
        <v>2</v>
      </c>
      <c r="F24" s="6">
        <f>COUNTIFS('Treatment Record'!B:B,"Kamuli", 'Treatment Record'!I:I, "Ca/HIV")</f>
        <v>0</v>
      </c>
      <c r="G24" s="6">
        <f>COUNTIFS('Treatment Record'!B:B,"Kamuli", 'Treatment Record'!I:I, "HIV")</f>
        <v>0</v>
      </c>
      <c r="H24" s="6">
        <f>COUNTIFS('Treatment Record'!B:B,"Kamuli", 'Treatment Record'!I:I, "Other")</f>
        <v>0</v>
      </c>
      <c r="I24" s="6">
        <f>SUMIFS('Treatment Record'!N:N, 'Treatment Record'!B:B, "Kamuli")</f>
        <v>0</v>
      </c>
      <c r="J24" s="6">
        <f>SUMIFS('Treatment Record'!P:P, 'Treatment Record'!B:B, "Kamuli")</f>
        <v>2</v>
      </c>
      <c r="K24" s="6">
        <f>SUMIFS('Treatment Record'!S:S, 'Treatment Record'!B:B, "Kamuli")</f>
        <v>0</v>
      </c>
      <c r="L24" s="6">
        <v>0</v>
      </c>
      <c r="M24" s="6">
        <f>SUMIFS('Treatment Record'!T:T, 'Treatment Record'!B:B, "Kamuli")</f>
        <v>0</v>
      </c>
      <c r="N24" s="6">
        <v>0</v>
      </c>
    </row>
    <row r="25" spans="1:18" ht="15.75" customHeight="1" x14ac:dyDescent="0.25">
      <c r="A25" s="13" t="s">
        <v>56</v>
      </c>
      <c r="B25" s="6">
        <f>COUNTIF('Treatment Record'!B:B,"Kayunga")</f>
        <v>8</v>
      </c>
      <c r="C25" s="6">
        <f>COUNTIFS('Treatment Record'!B:B,"Kayunga", 'Treatment Record'!G:G, "M")</f>
        <v>3</v>
      </c>
      <c r="D25" s="6">
        <f>COUNTIFS('Treatment Record'!B:B,"Kayunga", 'Treatment Record'!G:G, "F")</f>
        <v>5</v>
      </c>
      <c r="E25" s="6">
        <f>COUNTIFS('Treatment Record'!B:B,"Kayunga", 'Treatment Record'!I:I, "Ca")</f>
        <v>8</v>
      </c>
      <c r="F25" s="6">
        <f>COUNTIFS('Treatment Record'!B:B,"Kayunga", 'Treatment Record'!I:I, "Ca/HIV")</f>
        <v>0</v>
      </c>
      <c r="G25" s="6">
        <f>COUNTIFS('Treatment Record'!B:B,"Kayunga", 'Treatment Record'!I:I, "HIV")</f>
        <v>0</v>
      </c>
      <c r="H25" s="6">
        <f>COUNTIFS('Treatment Record'!B:B,"Kayunga", 'Treatment Record'!I:I, "Other")</f>
        <v>0</v>
      </c>
      <c r="I25" s="6">
        <f>SUMIFS('Treatment Record'!N:N, 'Treatment Record'!B:B, "Kayunga")</f>
        <v>2</v>
      </c>
      <c r="J25" s="6">
        <f>SUMIFS('Treatment Record'!P:P, 'Treatment Record'!B:B, "Kayunga")</f>
        <v>6</v>
      </c>
      <c r="K25" s="6">
        <f>SUMIFS('Treatment Record'!S:S, 'Treatment Record'!B:B, "Kayunga")</f>
        <v>1</v>
      </c>
      <c r="L25" s="6">
        <v>0</v>
      </c>
      <c r="M25" s="6">
        <f>SUMIFS('Treatment Record'!T:T, 'Treatment Record'!B:B, "Kayunga")</f>
        <v>0</v>
      </c>
      <c r="N25" s="6">
        <v>0</v>
      </c>
    </row>
    <row r="26" spans="1:18" ht="15.75" customHeight="1" x14ac:dyDescent="0.25">
      <c r="A26" s="13" t="s">
        <v>192</v>
      </c>
      <c r="B26" s="6">
        <f>COUNTIF('Treatment Record'!B:B,"Kidera")</f>
        <v>1</v>
      </c>
      <c r="C26" s="6">
        <f>COUNTIFS('Treatment Record'!B:B,"Kidera", 'Treatment Record'!G:G, "M")</f>
        <v>1</v>
      </c>
      <c r="D26" s="6">
        <f>COUNTIFS('Treatment Record'!B:B,"Kidera", 'Treatment Record'!G:G, "F")</f>
        <v>0</v>
      </c>
      <c r="E26" s="6">
        <f>COUNTIFS('Treatment Record'!B:B,"Kidera", 'Treatment Record'!I:I, "Ca")</f>
        <v>1</v>
      </c>
      <c r="F26" s="6">
        <f>COUNTIFS('Treatment Record'!B:B,"Kidera", 'Treatment Record'!I:I, "Ca/HIV")</f>
        <v>0</v>
      </c>
      <c r="G26" s="6">
        <f>COUNTIFS('Treatment Record'!B:B,"Kidera", 'Treatment Record'!I:I, "HIV")</f>
        <v>0</v>
      </c>
      <c r="H26" s="6">
        <f>COUNTIFS('Treatment Record'!B:B,"Kidera", 'Treatment Record'!I:I, "Other")</f>
        <v>0</v>
      </c>
      <c r="I26" s="6">
        <f>SUMIFS('Treatment Record'!N:N, 'Treatment Record'!B:B, "Kidera")</f>
        <v>0</v>
      </c>
      <c r="J26" s="6">
        <f>SUMIFS('Treatment Record'!P:P, 'Treatment Record'!B:B, "Kidera")</f>
        <v>1</v>
      </c>
      <c r="K26" s="6">
        <f>SUMIFS('Treatment Record'!S:S, 'Treatment Record'!B:B, "Kidera")</f>
        <v>0</v>
      </c>
      <c r="L26" s="6">
        <v>0</v>
      </c>
      <c r="M26" s="6">
        <f>SUMIFS('Treatment Record'!T:T, 'Treatment Record'!B:B, "Kidera")</f>
        <v>0</v>
      </c>
      <c r="N26" s="6">
        <v>0</v>
      </c>
    </row>
    <row r="27" spans="1:18" ht="15.75" customHeight="1" x14ac:dyDescent="0.25">
      <c r="A27" s="13" t="s">
        <v>227</v>
      </c>
      <c r="B27" s="6">
        <f>COUNTIF('Treatment Record'!B:B,"Kiyindi")</f>
        <v>3</v>
      </c>
      <c r="C27" s="6">
        <f>COUNTIFS('Treatment Record'!B:B,"Kiyindi", 'Treatment Record'!G:G, "M")</f>
        <v>1</v>
      </c>
      <c r="D27" s="6">
        <f>COUNTIFS('Treatment Record'!B:B,"Kiyindi", 'Treatment Record'!G:G, "F")</f>
        <v>2</v>
      </c>
      <c r="E27" s="6">
        <f>COUNTIFS('Treatment Record'!B:B,"Kiyindi", 'Treatment Record'!I:I, "Ca")</f>
        <v>2</v>
      </c>
      <c r="F27" s="6">
        <f>COUNTIFS('Treatment Record'!B:B,"Kiyindi", 'Treatment Record'!I:I, "Ca/HIV")</f>
        <v>1</v>
      </c>
      <c r="G27" s="6">
        <f>COUNTIFS('Treatment Record'!B:B,"Kiyindi", 'Treatment Record'!I:I, "HIV")</f>
        <v>0</v>
      </c>
      <c r="H27" s="6">
        <f>COUNTIFS('Treatment Record'!B:B,"Kiyindi", 'Treatment Record'!I:I, "Other")</f>
        <v>0</v>
      </c>
      <c r="I27" s="6">
        <f>SUMIFS('Treatment Record'!N:N, 'Treatment Record'!B:B, "Kiyindi")</f>
        <v>0</v>
      </c>
      <c r="J27" s="6">
        <f>SUMIFS('Treatment Record'!P:P, 'Treatment Record'!B:B, "Kiyindi")</f>
        <v>3</v>
      </c>
      <c r="K27" s="6">
        <f>SUMIFS('Treatment Record'!S:S, 'Treatment Record'!B:B, "Kiyindi")</f>
        <v>0</v>
      </c>
      <c r="L27" s="6">
        <v>0</v>
      </c>
      <c r="M27" s="6">
        <f>SUMIFS('Treatment Record'!T:T, 'Treatment Record'!B:B, "Kiyindi")</f>
        <v>1</v>
      </c>
      <c r="N27" s="6">
        <v>0</v>
      </c>
    </row>
    <row r="28" spans="1:18" ht="15.75" customHeight="1" x14ac:dyDescent="0.25">
      <c r="A28" s="13" t="s">
        <v>228</v>
      </c>
      <c r="B28" s="6">
        <f>COUNTIF('Treatment Record'!B:B,"Kiyunga")</f>
        <v>1</v>
      </c>
      <c r="C28" s="6">
        <f>COUNTIFS('Treatment Record'!B:B,"Kiyunga", 'Treatment Record'!G:G, "M")</f>
        <v>0</v>
      </c>
      <c r="D28" s="6">
        <f>COUNTIFS('Treatment Record'!B:B,"Kiyunga", 'Treatment Record'!G:G, "F")</f>
        <v>1</v>
      </c>
      <c r="E28" s="6">
        <f>COUNTIFS('Treatment Record'!B:B,"Kiyunga", 'Treatment Record'!I:I, "Ca")</f>
        <v>0</v>
      </c>
      <c r="F28" s="6">
        <f>COUNTIFS('Treatment Record'!B:B,"Kiyunga", 'Treatment Record'!I:I, "Ca/HIV")</f>
        <v>1</v>
      </c>
      <c r="G28" s="6">
        <f>COUNTIFS('Treatment Record'!B:B,"Kiyunga", 'Treatment Record'!I:I, "HIV")</f>
        <v>0</v>
      </c>
      <c r="H28" s="6">
        <f>COUNTIFS('Treatment Record'!B:B,"Kiyunga", 'Treatment Record'!I:I, "Other")</f>
        <v>0</v>
      </c>
      <c r="I28" s="6">
        <f>SUMIFS('Treatment Record'!N:N, 'Treatment Record'!B:B, "Kiyunga")</f>
        <v>0</v>
      </c>
      <c r="J28" s="6">
        <f>SUMIFS('Treatment Record'!P:P, 'Treatment Record'!B:B, "Kiyunga")</f>
        <v>1</v>
      </c>
      <c r="K28" s="6">
        <f>SUMIFS('Treatment Record'!S:S, 'Treatment Record'!B:B, "Kiyunga")</f>
        <v>0</v>
      </c>
      <c r="L28" s="6">
        <v>0</v>
      </c>
      <c r="M28" s="6">
        <f>SUMIFS('Treatment Record'!T:T, 'Treatment Record'!B:B, "Kiyunga")</f>
        <v>0</v>
      </c>
      <c r="N28" s="6">
        <v>0</v>
      </c>
    </row>
    <row r="29" spans="1:18" ht="15.75" customHeight="1" x14ac:dyDescent="0.25">
      <c r="A29" s="13" t="s">
        <v>229</v>
      </c>
      <c r="B29" s="6">
        <f>COUNTIF('Treatment Record'!B:B,"Lumino")</f>
        <v>0</v>
      </c>
      <c r="C29" s="6">
        <f>COUNTIFS('Treatment Record'!B:B,"Lumino", 'Treatment Record'!G:G, "M")</f>
        <v>0</v>
      </c>
      <c r="D29" s="6">
        <f>COUNTIFS('Treatment Record'!B:B,"Lumino", 'Treatment Record'!G:G, "F")</f>
        <v>0</v>
      </c>
      <c r="E29" s="6">
        <f>COUNTIFS('Treatment Record'!B:B,"Lumino", 'Treatment Record'!I:I, "Ca")</f>
        <v>0</v>
      </c>
      <c r="F29" s="6">
        <f>COUNTIFS('Treatment Record'!B:B,"Lumino", 'Treatment Record'!I:I, "Ca/HIV")</f>
        <v>0</v>
      </c>
      <c r="G29" s="6">
        <f>COUNTIFS('Treatment Record'!B:B,"Lumino", 'Treatment Record'!I:I, "HIV")</f>
        <v>0</v>
      </c>
      <c r="H29" s="6">
        <f>COUNTIFS('Treatment Record'!B:B,"Lumino", 'Treatment Record'!I:I, "Other")</f>
        <v>0</v>
      </c>
      <c r="I29" s="6">
        <f>SUMIFS('Treatment Record'!N:N, 'Treatment Record'!B:B, "Lumino")</f>
        <v>0</v>
      </c>
      <c r="J29" s="6">
        <f>SUMIFS('Treatment Record'!P:P, 'Treatment Record'!B:B, "Lumino")</f>
        <v>0</v>
      </c>
      <c r="K29" s="6">
        <f>SUMIFS('Treatment Record'!S:S, 'Treatment Record'!B:B, "Lumino")</f>
        <v>0</v>
      </c>
      <c r="L29" s="6">
        <v>0</v>
      </c>
      <c r="M29" s="6">
        <f>SUMIFS('Treatment Record'!T:T, 'Treatment Record'!B:B, "Lumino")</f>
        <v>0</v>
      </c>
      <c r="N29" s="6">
        <v>0</v>
      </c>
    </row>
    <row r="30" spans="1:18" ht="15.75" customHeight="1" x14ac:dyDescent="0.25">
      <c r="A30" s="13" t="s">
        <v>230</v>
      </c>
      <c r="B30" s="6">
        <f>COUNTIF('Treatment Record'!B:B,"Makuutu")</f>
        <v>0</v>
      </c>
      <c r="C30" s="6">
        <f>COUNTIFS('Treatment Record'!B:B,"Makuutu", 'Treatment Record'!G:G, "M")</f>
        <v>0</v>
      </c>
      <c r="D30" s="6">
        <f>COUNTIFS('Treatment Record'!B:B,"Makuutu", 'Treatment Record'!G:G, "F")</f>
        <v>0</v>
      </c>
      <c r="E30" s="6">
        <f>COUNTIFS('Treatment Record'!B:B,"Makuutu", 'Treatment Record'!I:I, "Ca")</f>
        <v>0</v>
      </c>
      <c r="F30" s="6">
        <f>COUNTIFS('Treatment Record'!B:B,"Makuutu", 'Treatment Record'!I:I, "Ca/HIV")</f>
        <v>0</v>
      </c>
      <c r="G30" s="6">
        <f>COUNTIFS('Treatment Record'!B:B,"Makuutu", 'Treatment Record'!I:I, "HIV")</f>
        <v>0</v>
      </c>
      <c r="H30" s="6">
        <f>COUNTIFS('Treatment Record'!B:B,"Makuutu", 'Treatment Record'!I:I, "Other")</f>
        <v>0</v>
      </c>
      <c r="I30" s="6">
        <f>SUMIFS('Treatment Record'!N:N, 'Treatment Record'!B:B, "Makuutu")</f>
        <v>0</v>
      </c>
      <c r="J30" s="6">
        <f>SUMIFS('Treatment Record'!P:P, 'Treatment Record'!B:B, "Makuutu")</f>
        <v>0</v>
      </c>
      <c r="K30" s="6">
        <f>SUMIFS('Treatment Record'!S:S, 'Treatment Record'!B:B, "Makuutu")</f>
        <v>0</v>
      </c>
      <c r="L30" s="6">
        <v>0</v>
      </c>
      <c r="M30" s="6">
        <f>SUMIFS('Treatment Record'!T:T, 'Treatment Record'!B:B, "Makuutu")</f>
        <v>0</v>
      </c>
      <c r="N30" s="6">
        <v>0</v>
      </c>
    </row>
    <row r="31" spans="1:18" ht="15.75" customHeight="1" x14ac:dyDescent="0.25">
      <c r="A31" s="13" t="s">
        <v>231</v>
      </c>
      <c r="B31" s="6">
        <f>COUNTIF('Treatment Record'!B:B,"Mayuge")</f>
        <v>0</v>
      </c>
      <c r="C31" s="6">
        <f>COUNTIFS('Treatment Record'!B:B,"Mayuge", 'Treatment Record'!G:G, "M")</f>
        <v>0</v>
      </c>
      <c r="D31" s="6">
        <f>COUNTIFS('Treatment Record'!B:B,"Mayuge", 'Treatment Record'!G:G, "F")</f>
        <v>0</v>
      </c>
      <c r="E31" s="6">
        <f>COUNTIFS('Treatment Record'!B:B,"Mayuge", 'Treatment Record'!I:I, "Ca")</f>
        <v>0</v>
      </c>
      <c r="F31" s="6">
        <f>COUNTIFS('Treatment Record'!B:B,"Mayuge", 'Treatment Record'!I:I, "Ca/HIV")</f>
        <v>0</v>
      </c>
      <c r="G31" s="6">
        <f>COUNTIFS('Treatment Record'!B:B,"Mayuge", 'Treatment Record'!I:I, "HIV")</f>
        <v>0</v>
      </c>
      <c r="H31" s="6">
        <f>COUNTIFS('Treatment Record'!B:B,"Mayuge", 'Treatment Record'!I:I, "Other")</f>
        <v>0</v>
      </c>
      <c r="I31" s="6">
        <f>SUMIFS('Treatment Record'!N:N, 'Treatment Record'!B:B, "Mayuge")</f>
        <v>0</v>
      </c>
      <c r="J31" s="6">
        <f>SUMIFS('Treatment Record'!P:P, 'Treatment Record'!B:B, "Mayuge")</f>
        <v>0</v>
      </c>
      <c r="K31" s="6">
        <f>SUMIFS('Treatment Record'!S:S, 'Treatment Record'!B:B, "Mayuge")</f>
        <v>0</v>
      </c>
      <c r="L31" s="6">
        <v>0</v>
      </c>
      <c r="M31" s="6">
        <f>SUMIFS('Treatment Record'!T:T, 'Treatment Record'!B:B, "Mayuge")</f>
        <v>0</v>
      </c>
      <c r="N31" s="6">
        <v>0</v>
      </c>
    </row>
    <row r="32" spans="1:18" ht="15.75" customHeight="1" x14ac:dyDescent="0.25">
      <c r="A32" s="13" t="s">
        <v>125</v>
      </c>
      <c r="B32" s="6">
        <f>COUNTIF('Treatment Record'!B:B,"Mbulamuti")</f>
        <v>3</v>
      </c>
      <c r="C32" s="6">
        <f>COUNTIFS('Treatment Record'!B:B,"Mbulamuti", 'Treatment Record'!G:G, "M")</f>
        <v>1</v>
      </c>
      <c r="D32" s="6">
        <f>COUNTIFS('Treatment Record'!B:B,"Mbulamuti", 'Treatment Record'!G:G, "F")</f>
        <v>2</v>
      </c>
      <c r="E32" s="6">
        <f>COUNTIFS('Treatment Record'!B:B,"Mbulamuti", 'Treatment Record'!I:I, "Ca")</f>
        <v>2</v>
      </c>
      <c r="F32" s="6">
        <f>COUNTIFS('Treatment Record'!B:B,"Mbulamuti", 'Treatment Record'!I:I, "Ca/HIV")</f>
        <v>0</v>
      </c>
      <c r="G32" s="6">
        <f>COUNTIFS('Treatment Record'!B:B,"Mubulamuti", 'Treatment Record'!I:I, "HIV")</f>
        <v>0</v>
      </c>
      <c r="H32" s="6">
        <f>COUNTIFS('Treatment Record'!B:B,"Mbulamuti", 'Treatment Record'!I:I, "Other")</f>
        <v>1</v>
      </c>
      <c r="I32" s="6">
        <f>SUMIFS('Treatment Record'!N:N, 'Treatment Record'!B:B, "Mbulamuti")</f>
        <v>3</v>
      </c>
      <c r="J32" s="6">
        <f>SUMIFS('Treatment Record'!P:P, 'Treatment Record'!B:B, "Mbulamuti")</f>
        <v>0</v>
      </c>
      <c r="K32" s="6">
        <f>SUMIFS('Treatment Record'!S:S, 'Treatment Record'!B:B, "Mbulamuti")</f>
        <v>0</v>
      </c>
      <c r="L32" s="6">
        <v>0</v>
      </c>
      <c r="M32" s="6">
        <v>0</v>
      </c>
      <c r="N32" s="6">
        <v>0</v>
      </c>
      <c r="Q32" s="45" t="s">
        <v>232</v>
      </c>
      <c r="R32" s="46"/>
    </row>
    <row r="33" spans="1:18" ht="15.75" customHeight="1" x14ac:dyDescent="0.25">
      <c r="A33" s="13" t="s">
        <v>178</v>
      </c>
      <c r="B33" s="6">
        <f>COUNTIF('Treatment Record'!B:B,"Muterere")</f>
        <v>1</v>
      </c>
      <c r="C33" s="6">
        <f>COUNTIFS('Treatment Record'!B:B,"Mutererei", 'Treatment Record'!G:G, "M")</f>
        <v>0</v>
      </c>
      <c r="D33" s="6">
        <f>COUNTIFS('Treatment Record'!B:B,"Muterere", 'Treatment Record'!G:G, "F")</f>
        <v>1</v>
      </c>
      <c r="E33" s="6">
        <f>COUNTIFS('Treatment Record'!B:B,"Muterere", 'Treatment Record'!I:I, "Ca")</f>
        <v>1</v>
      </c>
      <c r="F33" s="6">
        <f>COUNTIFS('Treatment Record'!B:B,"Muterere", 'Treatment Record'!I:I, "Ca/HIV")</f>
        <v>0</v>
      </c>
      <c r="G33" s="6">
        <f>COUNTIFS('Treatment Record'!B:B,"Muterere", 'Treatment Record'!I:I, "HIV")</f>
        <v>0</v>
      </c>
      <c r="H33" s="6">
        <f>COUNTIFS('Treatment Record'!B:B,"Muterere", 'Treatment Record'!I:I, "Other")</f>
        <v>0</v>
      </c>
      <c r="I33" s="6">
        <f>SUMIFS('Treatment Record'!N:N, 'Treatment Record'!B:B, "Muterere")</f>
        <v>0</v>
      </c>
      <c r="J33" s="6">
        <f>SUMIFS('Treatment Record'!P:P, 'Treatment Record'!B:B, "Muterere")</f>
        <v>1</v>
      </c>
      <c r="K33" s="6">
        <f>SUMIFS('Treatment Record'!S:S, 'Treatment Record'!B:B, "Muterere")</f>
        <v>0</v>
      </c>
      <c r="L33" s="6">
        <v>0</v>
      </c>
      <c r="M33" s="6">
        <v>0</v>
      </c>
      <c r="N33" s="6">
        <v>0</v>
      </c>
      <c r="Q33" s="18" t="s">
        <v>199</v>
      </c>
      <c r="R33" s="19">
        <v>1</v>
      </c>
    </row>
    <row r="34" spans="1:18" ht="15.75" customHeight="1" x14ac:dyDescent="0.25">
      <c r="A34" s="13" t="s">
        <v>64</v>
      </c>
      <c r="B34" s="6">
        <f>COUNTIF('Treatment Record'!B:B,"Namayingo")</f>
        <v>8</v>
      </c>
      <c r="C34" s="6">
        <f>COUNTIFS('Treatment Record'!B:B,"Namayingo", 'Treatment Record'!G:G, "M")</f>
        <v>2</v>
      </c>
      <c r="D34" s="6">
        <f>COUNTIFS('Treatment Record'!B:B,"Namayingo", 'Treatment Record'!G:G, "F")</f>
        <v>6</v>
      </c>
      <c r="E34" s="6">
        <f>COUNTIFS('Treatment Record'!B:B,"Namayingo", 'Treatment Record'!I:I, "Ca")</f>
        <v>7</v>
      </c>
      <c r="F34" s="6">
        <f>COUNTIFS('Treatment Record'!B:B,"Namayingo", 'Treatment Record'!I:I, "Ca/HIV")</f>
        <v>0</v>
      </c>
      <c r="G34" s="6">
        <f>COUNTIFS('Treatment Record'!B:B,"Namayingo", 'Treatment Record'!I:I, "HIV")</f>
        <v>0</v>
      </c>
      <c r="H34" s="6">
        <f>COUNTIFS('Treatment Record'!B:B,"Namayingo", 'Treatment Record'!I:I, "Other")</f>
        <v>1</v>
      </c>
      <c r="I34" s="6">
        <f>SUMIFS('Treatment Record'!N:N, 'Treatment Record'!B:B, "Namayingo")</f>
        <v>4</v>
      </c>
      <c r="J34" s="6">
        <f>SUMIFS('Treatment Record'!P:P, 'Treatment Record'!B:B, "Namayingo")</f>
        <v>4</v>
      </c>
      <c r="K34" s="6">
        <f>SUMIFS('Treatment Record'!S:S, 'Treatment Record'!B:B, "Namayingo")</f>
        <v>0</v>
      </c>
      <c r="L34" s="6">
        <v>0</v>
      </c>
      <c r="M34" s="6">
        <f>SUMIFS('Treatment Record'!T:T, 'Treatment Record'!B:B, "Namayingo")</f>
        <v>3</v>
      </c>
      <c r="N34" s="6">
        <v>0</v>
      </c>
      <c r="Q34" s="20" t="s">
        <v>49</v>
      </c>
      <c r="R34" s="21">
        <v>19</v>
      </c>
    </row>
    <row r="35" spans="1:18" ht="15.75" customHeight="1" x14ac:dyDescent="0.25">
      <c r="A35" s="22" t="s">
        <v>233</v>
      </c>
      <c r="B35" s="6">
        <f>COUNTIF('Treatment Record'!B:B,"Namasagali")</f>
        <v>0</v>
      </c>
      <c r="C35" s="6">
        <f>COUNTIFS('Treatment Record'!B:B,"Namasagali", 'Treatment Record'!G:G, "M")</f>
        <v>0</v>
      </c>
      <c r="D35" s="6">
        <f>COUNTIFS('Treatment Record'!B:B,"Namasagali", 'Treatment Record'!G:G, "F")</f>
        <v>0</v>
      </c>
      <c r="E35" s="6">
        <f>COUNTIFS('Treatment Record'!B:B,"Namasagali", 'Treatment Record'!I:I, "Ca")</f>
        <v>0</v>
      </c>
      <c r="F35" s="6">
        <f>COUNTIFS('Treatment Record'!B:B,"Namasagali", 'Treatment Record'!I:I, "Ca/HIV")</f>
        <v>0</v>
      </c>
      <c r="G35" s="6">
        <f>COUNTIFS('Treatment Record'!B:B,"Namasagali", 'Treatment Record'!I:I, "HIV")</f>
        <v>0</v>
      </c>
      <c r="H35" s="6">
        <f>COUNTIFS('Treatment Record'!B:B,"Namasagali", 'Treatment Record'!I:I, "Other")</f>
        <v>0</v>
      </c>
      <c r="I35" s="6">
        <f>SUMIFS('Treatment Record'!N:N, 'Treatment Record'!B:B, "Namasagali")</f>
        <v>0</v>
      </c>
      <c r="J35" s="6">
        <f>SUMIFS('Treatment Record'!P:P, 'Treatment Record'!B:B, "Namasagali")</f>
        <v>0</v>
      </c>
      <c r="K35" s="6">
        <f>SUMIFS('Treatment Record'!S:S, 'Treatment Record'!B:B, "Namasagali")</f>
        <v>0</v>
      </c>
      <c r="L35" s="6">
        <v>0</v>
      </c>
      <c r="M35" s="6">
        <f>SUMIFS('Treatment Record'!T:T, 'Treatment Record'!B:B, "Namasagali")</f>
        <v>0</v>
      </c>
      <c r="N35" s="6">
        <v>0</v>
      </c>
      <c r="Q35" s="23" t="s">
        <v>86</v>
      </c>
      <c r="R35" s="21">
        <v>1</v>
      </c>
    </row>
    <row r="36" spans="1:18" ht="15.75" customHeight="1" x14ac:dyDescent="0.25">
      <c r="A36" s="13" t="s">
        <v>88</v>
      </c>
      <c r="B36" s="6">
        <f>COUNTIF('Treatment Record'!B:B,"Namungalwe")</f>
        <v>2</v>
      </c>
      <c r="C36" s="6">
        <f>COUNTIFS('Treatment Record'!B:B,"Namungalwe", 'Treatment Record'!G:G, "M")</f>
        <v>1</v>
      </c>
      <c r="D36" s="6">
        <f>COUNTIFS('Treatment Record'!B:B,"Namungalwe", 'Treatment Record'!G:G, "F")</f>
        <v>1</v>
      </c>
      <c r="E36" s="6">
        <f>COUNTIFS('Treatment Record'!B:B,"Namungalwe", 'Treatment Record'!I:I, "Ca")</f>
        <v>2</v>
      </c>
      <c r="F36" s="6">
        <f>COUNTIFS('Treatment Record'!B:B,"Namungalwe", 'Treatment Record'!I:I, "Ca/HIV")</f>
        <v>0</v>
      </c>
      <c r="G36" s="6">
        <f>COUNTIFS('Treatment Record'!B:B,"Namungalwe", 'Treatment Record'!I:I, "HIV")</f>
        <v>0</v>
      </c>
      <c r="H36" s="6">
        <f>COUNTIFS('Treatment Record'!B:B,"Namungalwe", 'Treatment Record'!I:I, "Other")</f>
        <v>0</v>
      </c>
      <c r="I36" s="6">
        <f>SUMIFS('Treatment Record'!N:N, 'Treatment Record'!B:B, "Namungalwe")</f>
        <v>0</v>
      </c>
      <c r="J36" s="6">
        <f>SUMIFS('Treatment Record'!P:P, 'Treatment Record'!B:B, "Namungalwe")</f>
        <v>2</v>
      </c>
      <c r="K36" s="6">
        <f>SUMIFS('Treatment Record'!S:S, 'Treatment Record'!B:B, "Namungalwe")</f>
        <v>0</v>
      </c>
      <c r="L36" s="6">
        <v>0</v>
      </c>
      <c r="M36" s="6">
        <f>SUMIFS('Treatment Record'!T:T, 'Treatment Record'!B:B, "Namungalwe")</f>
        <v>0</v>
      </c>
      <c r="N36" s="6">
        <v>0</v>
      </c>
      <c r="Q36" s="24" t="s">
        <v>172</v>
      </c>
      <c r="R36" s="21">
        <v>1</v>
      </c>
    </row>
    <row r="37" spans="1:18" ht="15.75" customHeight="1" x14ac:dyDescent="0.25">
      <c r="A37" s="13" t="s">
        <v>186</v>
      </c>
      <c r="B37" s="6">
        <f>COUNTIF('Treatment Record'!B:B,"Namwendwa")</f>
        <v>1</v>
      </c>
      <c r="C37" s="6">
        <f>COUNTIFS('Treatment Record'!B:B,"Namwendwa", 'Treatment Record'!G:G, "M")</f>
        <v>0</v>
      </c>
      <c r="D37" s="6">
        <f>COUNTIFS('Treatment Record'!B:B,"Namwendwa", 'Treatment Record'!G:G, "F")</f>
        <v>1</v>
      </c>
      <c r="E37" s="6">
        <f>COUNTIFS('Treatment Record'!B:B,"Namwendwa", 'Treatment Record'!I:I, "Ca")</f>
        <v>1</v>
      </c>
      <c r="F37" s="6">
        <f>COUNTIFS('Treatment Record'!B:B,"Namwendwa", 'Treatment Record'!I:I, "Ca/HIV")</f>
        <v>0</v>
      </c>
      <c r="G37" s="6">
        <f>COUNTIFS('Treatment Record'!B:B,"Namwendwa", 'Treatment Record'!I:I, "HIV")</f>
        <v>0</v>
      </c>
      <c r="H37" s="6">
        <f>COUNTIFS('Treatment Record'!B:B,"Namwendwa", 'Treatment Record'!I:I, "Other")</f>
        <v>0</v>
      </c>
      <c r="I37" s="6">
        <f>SUMIFS('Treatment Record'!N:N, 'Treatment Record'!B:B, "Namwendwa")</f>
        <v>1</v>
      </c>
      <c r="J37" s="6">
        <f>SUMIFS('Treatment Record'!P:P, 'Treatment Record'!B:B, "Namwendwa")</f>
        <v>0</v>
      </c>
      <c r="K37" s="6">
        <f>SUMIFS('Treatment Record'!S:S, 'Treatment Record'!B:B, "Namwendwa")</f>
        <v>0</v>
      </c>
      <c r="L37" s="6">
        <v>0</v>
      </c>
      <c r="M37" s="6">
        <f>SUMIFS('Treatment Record'!T:T, 'Treatment Record'!B:B, "Namwendwa")</f>
        <v>0</v>
      </c>
      <c r="N37" s="6">
        <v>0</v>
      </c>
      <c r="Q37" s="14" t="s">
        <v>202</v>
      </c>
      <c r="R37" s="21">
        <v>1</v>
      </c>
    </row>
    <row r="38" spans="1:18" ht="14.25" customHeight="1" x14ac:dyDescent="0.25">
      <c r="A38" s="13" t="s">
        <v>234</v>
      </c>
      <c r="B38" s="6">
        <f>COUNTIF('Treatment Record'!B:B,"Nawampiti")</f>
        <v>0</v>
      </c>
      <c r="C38" s="6">
        <f>COUNTIFS('Treatment Record'!B:B,"Nawampiti", 'Treatment Record'!G:G, "M")</f>
        <v>0</v>
      </c>
      <c r="D38" s="6">
        <f>COUNTIFS('Treatment Record'!B:B,"Nawampiti", 'Treatment Record'!G:G, "F")</f>
        <v>0</v>
      </c>
      <c r="E38" s="6">
        <f>COUNTIFS('Treatment Record'!B:B,"Nawampiti", 'Treatment Record'!I:I, "Ca")</f>
        <v>0</v>
      </c>
      <c r="F38" s="6">
        <f>COUNTIFS('Treatment Record'!B:B,"Nawampiti", 'Treatment Record'!I:I, "Ca/HIV")</f>
        <v>0</v>
      </c>
      <c r="G38" s="6">
        <f>COUNTIFS('Treatment Record'!B:B,"Nawampiti", 'Treatment Record'!I:I, "HIV")</f>
        <v>0</v>
      </c>
      <c r="H38" s="6">
        <f>COUNTIFS('Treatment Record'!B:B,"Nawampiti", 'Treatment Record'!I:I, "Other")</f>
        <v>0</v>
      </c>
      <c r="I38" s="6">
        <f>SUMIFS('Treatment Record'!N:N, 'Treatment Record'!B:B, "Nawampiti")</f>
        <v>0</v>
      </c>
      <c r="J38" s="6">
        <f>SUMIFS('Treatment Record'!P:P, 'Treatment Record'!B:B, "Nawampiti")</f>
        <v>0</v>
      </c>
      <c r="K38" s="6">
        <f>SUMIFS('Treatment Record'!S:S, 'Treatment Record'!B:B, "Nawampiti")</f>
        <v>0</v>
      </c>
      <c r="L38" s="6">
        <v>0</v>
      </c>
      <c r="M38" s="6">
        <f>SUMIFS('Treatment Record'!T:T, 'Treatment Record'!B:B, "Nawampiti")</f>
        <v>0</v>
      </c>
      <c r="N38" s="6">
        <v>0</v>
      </c>
      <c r="Q38" s="24" t="s">
        <v>78</v>
      </c>
      <c r="R38" s="21">
        <v>5</v>
      </c>
    </row>
    <row r="39" spans="1:18" ht="15.75" customHeight="1" x14ac:dyDescent="0.25">
      <c r="A39" s="13" t="s">
        <v>113</v>
      </c>
      <c r="B39" s="6">
        <f>COUNTIF('Treatment Record'!B:B,"Nawanyago")</f>
        <v>2</v>
      </c>
      <c r="C39" s="6">
        <f>COUNTIFS('Treatment Record'!B:B,"Nawanyago", 'Treatment Record'!G:G, "M")</f>
        <v>0</v>
      </c>
      <c r="D39" s="6">
        <f>COUNTIFS('Treatment Record'!B:B,"Nawanyago", 'Treatment Record'!G:G, "F")</f>
        <v>2</v>
      </c>
      <c r="E39" s="6">
        <f>COUNTIFS('Treatment Record'!B:B,"Nawanyago", 'Treatment Record'!I:I, "Ca")</f>
        <v>2</v>
      </c>
      <c r="F39" s="6">
        <f>COUNTIFS('Treatment Record'!B:B,"Nawanyago", 'Treatment Record'!I:I, "Ca/HIV")</f>
        <v>0</v>
      </c>
      <c r="G39" s="6">
        <f>COUNTIFS('Treatment Record'!B:B,"Nawanyago", 'Treatment Record'!I:I, "HIV")</f>
        <v>0</v>
      </c>
      <c r="H39" s="6">
        <f>COUNTIFS('Treatment Record'!B:B,"Nawanyago", 'Treatment Record'!I:I, "Other")</f>
        <v>0</v>
      </c>
      <c r="I39" s="6">
        <f>SUMIFS('Treatment Record'!N:N, 'Treatment Record'!B:B, "Nawanyago")</f>
        <v>0</v>
      </c>
      <c r="J39" s="6">
        <f>SUMIFS('Treatment Record'!P:P, 'Treatment Record'!B:B, "Nawanyago")</f>
        <v>2</v>
      </c>
      <c r="K39" s="6">
        <f>SUMIFS('Treatment Record'!S:S, 'Treatment Record'!B:B, "Nawanyago")</f>
        <v>0</v>
      </c>
      <c r="L39" s="6">
        <v>0</v>
      </c>
      <c r="M39" s="6">
        <f>SUMIFS('Treatment Record'!T:T, 'Treatment Record'!B:B, "Nawanyago")</f>
        <v>0</v>
      </c>
      <c r="N39" s="6">
        <v>0</v>
      </c>
      <c r="Q39" s="24" t="s">
        <v>121</v>
      </c>
      <c r="R39" s="21">
        <v>2</v>
      </c>
    </row>
    <row r="40" spans="1:18" ht="15.75" customHeight="1" x14ac:dyDescent="0.25">
      <c r="A40" s="13" t="s">
        <v>235</v>
      </c>
      <c r="B40" s="6">
        <f>COUNTIF('Treatment Record'!B:B,"Nyenga")</f>
        <v>0</v>
      </c>
      <c r="C40" s="6">
        <f>COUNTIFS('Treatment Record'!B:B,"Nyenga", 'Treatment Record'!G:G, "M")</f>
        <v>0</v>
      </c>
      <c r="D40" s="6">
        <f>COUNTIFS('Treatment Record'!B:B,"Nyenga", 'Treatment Record'!G:G, "F")</f>
        <v>0</v>
      </c>
      <c r="E40" s="6">
        <f>COUNTIFS('Treatment Record'!B:B,"Nyenga", 'Treatment Record'!I:I, "Ca")</f>
        <v>0</v>
      </c>
      <c r="F40" s="6">
        <f>COUNTIFS('Treatment Record'!B:B,"Nyenga", 'Treatment Record'!I:I, "Ca/HIV")</f>
        <v>0</v>
      </c>
      <c r="G40" s="6">
        <f>COUNTIFS('Treatment Record'!B:B,"Nyenga", 'Treatment Record'!I:I, "HIV")</f>
        <v>0</v>
      </c>
      <c r="H40" s="6">
        <f>COUNTIFS('Treatment Record'!B:B,"Nyenga", 'Treatment Record'!I:I, "Other")</f>
        <v>0</v>
      </c>
      <c r="I40" s="6">
        <f>SUMIFS('Treatment Record'!N:N, 'Treatment Record'!B:B, "Nyenga")</f>
        <v>0</v>
      </c>
      <c r="J40" s="6">
        <f>SUMIFS('Treatment Record'!P:P, 'Treatment Record'!B:B, "Nyenga")</f>
        <v>0</v>
      </c>
      <c r="K40" s="6">
        <f>SUMIFS('Treatment Record'!S:S, 'Treatment Record'!B:B, "Nyenga")</f>
        <v>0</v>
      </c>
      <c r="L40" s="6">
        <v>0</v>
      </c>
      <c r="M40" s="6">
        <f>SUMIFS('Treatment Record'!T:T, 'Treatment Record'!B:B, "Nyenga")</f>
        <v>0</v>
      </c>
      <c r="N40" s="6">
        <v>0</v>
      </c>
      <c r="Q40" s="24" t="s">
        <v>194</v>
      </c>
      <c r="R40" s="21">
        <v>1</v>
      </c>
    </row>
    <row r="41" spans="1:18" ht="15.75" customHeight="1" x14ac:dyDescent="0.25">
      <c r="A41" s="13" t="s">
        <v>97</v>
      </c>
      <c r="B41" s="6">
        <f>COUNTIF('Treatment Record'!B:B,"Walukuba")</f>
        <v>2</v>
      </c>
      <c r="C41" s="6">
        <f>COUNTIFS('Treatment Record'!B:B,"Walukuba", 'Treatment Record'!G:G, "M")</f>
        <v>0</v>
      </c>
      <c r="D41" s="6">
        <f>COUNTIFS('Treatment Record'!B:B,"Walukuba", 'Treatment Record'!G:G, "F")</f>
        <v>2</v>
      </c>
      <c r="E41" s="6">
        <f>COUNTIFS('Treatment Record'!B:B,"Walukuba", 'Treatment Record'!I:I, "Ca")</f>
        <v>2</v>
      </c>
      <c r="F41" s="6">
        <f>COUNTIFS('Treatment Record'!B:B,"Walukuba", 'Treatment Record'!I:I, "Ca/HIV")</f>
        <v>0</v>
      </c>
      <c r="G41" s="6">
        <f>COUNTIFS('Treatment Record'!B:B,"Walukuba", 'Treatment Record'!I:I, "HIV")</f>
        <v>0</v>
      </c>
      <c r="H41" s="6">
        <f>COUNTIFS('Treatment Record'!B:B,"Walukuba", 'Treatment Record'!I:I, "Other")</f>
        <v>0</v>
      </c>
      <c r="I41" s="6">
        <f>SUMIFS('Treatment Record'!N:N, 'Treatment Record'!B:B, "Walukuba")</f>
        <v>0</v>
      </c>
      <c r="J41" s="6">
        <f>SUMIFS('Treatment Record'!P:P, 'Treatment Record'!B:B, "Walukuba")</f>
        <v>2</v>
      </c>
      <c r="K41" s="6">
        <f>SUMIFS('Treatment Record'!S:S, 'Treatment Record'!B:B, "Walukuba")</f>
        <v>0</v>
      </c>
      <c r="L41" s="6">
        <v>0</v>
      </c>
      <c r="M41" s="6">
        <f>SUMIFS('Treatment Record'!T:T, 'Treatment Record'!B:B, "Walukuba")</f>
        <v>0</v>
      </c>
      <c r="N41" s="6">
        <v>0</v>
      </c>
      <c r="Q41" s="24" t="s">
        <v>104</v>
      </c>
      <c r="R41" s="21">
        <v>1</v>
      </c>
    </row>
    <row r="42" spans="1:18" ht="15.75" customHeight="1" x14ac:dyDescent="0.25">
      <c r="A42" s="25" t="s">
        <v>236</v>
      </c>
      <c r="B42" s="12">
        <f t="shared" ref="B42:N42" si="0">SUM(B2:B41)</f>
        <v>68</v>
      </c>
      <c r="C42" s="12">
        <f t="shared" si="0"/>
        <v>22</v>
      </c>
      <c r="D42" s="12">
        <f t="shared" si="0"/>
        <v>46</v>
      </c>
      <c r="E42" s="12">
        <f t="shared" si="0"/>
        <v>56</v>
      </c>
      <c r="F42" s="12">
        <f t="shared" si="0"/>
        <v>3</v>
      </c>
      <c r="G42" s="12">
        <f t="shared" si="0"/>
        <v>2</v>
      </c>
      <c r="H42" s="12">
        <f t="shared" si="0"/>
        <v>7</v>
      </c>
      <c r="I42" s="12">
        <f t="shared" si="0"/>
        <v>20</v>
      </c>
      <c r="J42" s="12">
        <f t="shared" si="0"/>
        <v>48</v>
      </c>
      <c r="K42" s="12">
        <f t="shared" si="0"/>
        <v>1</v>
      </c>
      <c r="L42" s="12">
        <f t="shared" si="0"/>
        <v>0</v>
      </c>
      <c r="M42" s="12">
        <f t="shared" si="0"/>
        <v>6</v>
      </c>
      <c r="N42" s="12">
        <f t="shared" si="0"/>
        <v>0</v>
      </c>
      <c r="O42" s="26"/>
      <c r="Q42" s="18" t="s">
        <v>66</v>
      </c>
      <c r="R42" s="21">
        <v>9</v>
      </c>
    </row>
    <row r="43" spans="1:18" ht="15.75" customHeight="1" x14ac:dyDescent="0.25">
      <c r="A43" s="27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Q43" s="24" t="s">
        <v>74</v>
      </c>
      <c r="R43" s="21">
        <v>1</v>
      </c>
    </row>
    <row r="44" spans="1:18" ht="15.75" customHeight="1" x14ac:dyDescent="0.25">
      <c r="A44" s="27"/>
      <c r="B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Q44" s="24" t="s">
        <v>128</v>
      </c>
      <c r="R44" s="21">
        <v>1</v>
      </c>
    </row>
    <row r="45" spans="1:18" ht="15.75" customHeight="1" x14ac:dyDescent="0.25">
      <c r="A45" s="27"/>
      <c r="B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Q45" s="18" t="s">
        <v>151</v>
      </c>
      <c r="R45" s="21">
        <v>1</v>
      </c>
    </row>
    <row r="46" spans="1:18" ht="15.75" customHeight="1" x14ac:dyDescent="0.25">
      <c r="A46" s="27"/>
      <c r="B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Q46" s="18" t="s">
        <v>82</v>
      </c>
      <c r="R46" s="21">
        <v>2</v>
      </c>
    </row>
    <row r="47" spans="1:18" ht="15.75" customHeight="1" x14ac:dyDescent="0.25">
      <c r="A47" s="27"/>
      <c r="B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Q47" s="18" t="s">
        <v>42</v>
      </c>
      <c r="R47" s="21">
        <v>2</v>
      </c>
    </row>
    <row r="48" spans="1:18" ht="15.75" customHeight="1" x14ac:dyDescent="0.25">
      <c r="A48" s="27"/>
      <c r="B48" s="26"/>
      <c r="C48" s="28" t="s">
        <v>237</v>
      </c>
      <c r="D48" s="29">
        <f>COUNT('Treatment Record'!X:X)</f>
        <v>4</v>
      </c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Q48" s="14" t="s">
        <v>61</v>
      </c>
      <c r="R48" s="21">
        <v>1</v>
      </c>
    </row>
    <row r="49" spans="1:18" ht="15.75" customHeight="1" x14ac:dyDescent="0.25">
      <c r="A49" s="27"/>
      <c r="B49" s="26"/>
      <c r="C49" s="28" t="s">
        <v>21</v>
      </c>
      <c r="D49" s="29">
        <f>COUNT('Treatment Record'!V:V)</f>
        <v>11</v>
      </c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Q49" s="14" t="s">
        <v>182</v>
      </c>
      <c r="R49" s="21">
        <v>1</v>
      </c>
    </row>
    <row r="50" spans="1:18" ht="15.75" customHeight="1" x14ac:dyDescent="0.25">
      <c r="A50" s="27"/>
      <c r="B50" s="26"/>
      <c r="C50" s="28" t="s">
        <v>238</v>
      </c>
      <c r="D50" s="29">
        <f>COUNT('Treatment Record'!W:W)</f>
        <v>2</v>
      </c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Q50" s="14" t="s">
        <v>37</v>
      </c>
      <c r="R50" s="21">
        <v>2</v>
      </c>
    </row>
    <row r="51" spans="1:18" ht="15.75" customHeight="1" x14ac:dyDescent="0.25">
      <c r="A51" s="27"/>
      <c r="B51" s="26"/>
      <c r="C51" s="2" t="s">
        <v>20</v>
      </c>
      <c r="D51" s="29">
        <f>COUNT('Treatment Record'!U:U)</f>
        <v>2</v>
      </c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Q51" s="14" t="s">
        <v>124</v>
      </c>
      <c r="R51" s="21">
        <v>1</v>
      </c>
    </row>
    <row r="52" spans="1:18" ht="15.75" customHeight="1" x14ac:dyDescent="0.25">
      <c r="A52" s="27"/>
      <c r="B52" s="26"/>
      <c r="C52" s="2" t="s">
        <v>239</v>
      </c>
      <c r="D52" s="29">
        <f>COUNT('Treatment Record'!AF:AF)</f>
        <v>0</v>
      </c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Q52" s="14" t="s">
        <v>58</v>
      </c>
      <c r="R52" s="21">
        <v>1</v>
      </c>
    </row>
    <row r="53" spans="1:18" ht="15.75" customHeight="1" x14ac:dyDescent="0.25">
      <c r="A53" s="27"/>
      <c r="B53" s="26"/>
      <c r="C53" s="2" t="s">
        <v>29</v>
      </c>
      <c r="D53" s="29">
        <f>COUNT('Treatment Record'!AD:AD)</f>
        <v>2</v>
      </c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Q53" s="14" t="s">
        <v>142</v>
      </c>
      <c r="R53" s="30">
        <v>1</v>
      </c>
    </row>
    <row r="54" spans="1:18" ht="15.75" customHeight="1" x14ac:dyDescent="0.25">
      <c r="A54" s="27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Q54" s="14" t="s">
        <v>168</v>
      </c>
      <c r="R54" s="30">
        <v>1</v>
      </c>
    </row>
    <row r="55" spans="1:18" ht="15.75" customHeight="1" x14ac:dyDescent="0.25">
      <c r="A55" s="27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Q55" s="14" t="s">
        <v>70</v>
      </c>
      <c r="R55" s="30">
        <v>2</v>
      </c>
    </row>
    <row r="56" spans="1:18" ht="15.75" customHeight="1" x14ac:dyDescent="0.25">
      <c r="A56" s="27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Q56" s="14" t="s">
        <v>146</v>
      </c>
      <c r="R56" s="30">
        <v>2</v>
      </c>
    </row>
    <row r="57" spans="1:18" ht="15.75" customHeight="1" x14ac:dyDescent="0.25">
      <c r="A57" s="27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Q57" s="14" t="s">
        <v>176</v>
      </c>
      <c r="R57" s="30">
        <v>1</v>
      </c>
    </row>
    <row r="58" spans="1:18" ht="15.75" customHeight="1" x14ac:dyDescent="0.25">
      <c r="A58" s="27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Q58" s="14" t="s">
        <v>157</v>
      </c>
      <c r="R58" s="30">
        <v>1</v>
      </c>
    </row>
    <row r="59" spans="1:18" ht="15.75" customHeight="1" x14ac:dyDescent="0.25">
      <c r="A59" s="27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Q59" s="14" t="s">
        <v>111</v>
      </c>
      <c r="R59" s="30">
        <v>1</v>
      </c>
    </row>
    <row r="60" spans="1:18" ht="15.75" customHeight="1" x14ac:dyDescent="0.25">
      <c r="A60" s="27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Q60" s="14" t="s">
        <v>188</v>
      </c>
      <c r="R60" s="30">
        <v>1</v>
      </c>
    </row>
    <row r="61" spans="1:18" ht="15.75" customHeight="1" x14ac:dyDescent="0.25">
      <c r="A61" s="27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Q61" s="14" t="s">
        <v>190</v>
      </c>
      <c r="R61" s="30">
        <v>1</v>
      </c>
    </row>
    <row r="62" spans="1:18" ht="15.75" customHeight="1" x14ac:dyDescent="0.25">
      <c r="A62" s="27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Q62" s="14" t="s">
        <v>90</v>
      </c>
      <c r="R62" s="30">
        <v>1</v>
      </c>
    </row>
    <row r="63" spans="1:18" ht="15.75" customHeight="1" x14ac:dyDescent="0.25">
      <c r="A63" s="27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Q63" s="14" t="s">
        <v>136</v>
      </c>
      <c r="R63" s="30">
        <v>1</v>
      </c>
    </row>
    <row r="64" spans="1:18" ht="15.75" customHeight="1" x14ac:dyDescent="0.25">
      <c r="A64" s="27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Q64" s="14" t="s">
        <v>117</v>
      </c>
      <c r="R64" s="30">
        <v>1</v>
      </c>
    </row>
    <row r="65" spans="1:18" ht="15.75" customHeight="1" x14ac:dyDescent="0.25">
      <c r="A65" s="27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Q65" s="31" t="s">
        <v>205</v>
      </c>
      <c r="R65" s="31">
        <f>SUM(R33:R64)</f>
        <v>68</v>
      </c>
    </row>
    <row r="66" spans="1:18" ht="15.75" customHeight="1" x14ac:dyDescent="0.25">
      <c r="A66" s="27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Q66" s="12"/>
      <c r="R66" s="12"/>
    </row>
    <row r="67" spans="1:18" ht="15.75" customHeight="1" x14ac:dyDescent="0.25">
      <c r="A67" s="27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</row>
    <row r="68" spans="1:18" ht="15.75" customHeight="1" x14ac:dyDescent="0.25">
      <c r="A68" s="27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</row>
    <row r="69" spans="1:18" ht="15.75" customHeight="1" x14ac:dyDescent="0.25">
      <c r="A69" s="27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</row>
    <row r="70" spans="1:18" ht="15.75" customHeight="1" x14ac:dyDescent="0.25">
      <c r="A70" s="27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</row>
    <row r="71" spans="1:18" ht="15.75" customHeight="1" x14ac:dyDescent="0.25">
      <c r="A71" s="27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</row>
    <row r="72" spans="1:18" ht="15.75" customHeight="1" x14ac:dyDescent="0.25">
      <c r="A72" s="27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</row>
    <row r="73" spans="1:18" ht="15.75" customHeight="1" x14ac:dyDescent="0.25">
      <c r="A73" s="27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</row>
    <row r="74" spans="1:18" ht="15.75" customHeight="1" x14ac:dyDescent="0.25">
      <c r="A74" s="27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</row>
    <row r="75" spans="1:18" ht="15.75" customHeight="1" x14ac:dyDescent="0.25">
      <c r="A75" s="27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</row>
    <row r="76" spans="1:18" ht="15.75" customHeight="1" x14ac:dyDescent="0.25">
      <c r="A76" s="27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</row>
    <row r="77" spans="1:18" ht="15.75" customHeight="1" x14ac:dyDescent="0.25">
      <c r="A77" s="27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</row>
    <row r="78" spans="1:18" ht="15.75" customHeight="1" x14ac:dyDescent="0.25">
      <c r="A78" s="27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</row>
    <row r="79" spans="1:18" ht="15.75" customHeight="1" x14ac:dyDescent="0.25">
      <c r="A79" s="27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</row>
    <row r="80" spans="1:18" ht="15.75" customHeight="1" x14ac:dyDescent="0.25">
      <c r="A80" s="27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</row>
    <row r="81" spans="1:15" ht="15.75" customHeight="1" x14ac:dyDescent="0.25">
      <c r="A81" s="27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</row>
    <row r="82" spans="1:15" ht="15.75" customHeight="1" x14ac:dyDescent="0.25">
      <c r="A82" s="27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</row>
    <row r="83" spans="1:15" ht="15.75" customHeight="1" x14ac:dyDescent="0.25">
      <c r="A83" s="27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</row>
    <row r="84" spans="1:15" ht="15.75" customHeight="1" x14ac:dyDescent="0.25">
      <c r="A84" s="27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</row>
    <row r="85" spans="1:15" ht="15.75" customHeight="1" x14ac:dyDescent="0.25">
      <c r="A85" s="27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</row>
    <row r="86" spans="1:15" ht="15.75" customHeight="1" x14ac:dyDescent="0.25">
      <c r="A86" s="27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</row>
    <row r="87" spans="1:15" ht="15.75" customHeight="1" x14ac:dyDescent="0.25">
      <c r="A87" s="27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</row>
    <row r="88" spans="1:15" ht="15.75" customHeight="1" x14ac:dyDescent="0.25">
      <c r="A88" s="27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</row>
    <row r="89" spans="1:15" ht="15.75" customHeight="1" x14ac:dyDescent="0.25">
      <c r="A89" s="27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</row>
    <row r="90" spans="1:15" ht="15.75" customHeight="1" x14ac:dyDescent="0.25"/>
    <row r="91" spans="1:15" ht="15.75" customHeight="1" x14ac:dyDescent="0.25">
      <c r="A91" s="27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</row>
    <row r="92" spans="1:15" ht="15.75" customHeight="1" x14ac:dyDescent="0.25">
      <c r="A92" s="27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</row>
    <row r="93" spans="1:15" ht="15.75" customHeight="1" x14ac:dyDescent="0.25">
      <c r="A93" s="27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</row>
    <row r="94" spans="1:15" ht="15.75" customHeight="1" x14ac:dyDescent="0.25">
      <c r="A94" s="27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</row>
    <row r="95" spans="1:15" ht="15.75" customHeight="1" x14ac:dyDescent="0.25">
      <c r="A95" s="27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</row>
    <row r="96" spans="1:15" ht="15.75" customHeight="1" x14ac:dyDescent="0.25">
      <c r="A96" s="27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</row>
    <row r="97" spans="1:15" ht="15.75" customHeight="1" x14ac:dyDescent="0.25"/>
    <row r="98" spans="1:15" ht="15.75" customHeight="1" x14ac:dyDescent="0.25"/>
    <row r="99" spans="1:15" ht="15.75" customHeight="1" x14ac:dyDescent="0.25"/>
    <row r="100" spans="1:15" ht="15.75" customHeight="1" x14ac:dyDescent="0.25">
      <c r="A100" s="27" t="s">
        <v>240</v>
      </c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</row>
    <row r="101" spans="1:15" ht="15.75" customHeight="1" x14ac:dyDescent="0.25">
      <c r="A101" s="27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</row>
    <row r="102" spans="1:15" ht="15.75" customHeight="1" x14ac:dyDescent="0.25">
      <c r="A102" s="27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</row>
    <row r="103" spans="1:15" ht="15.75" customHeight="1" x14ac:dyDescent="0.25">
      <c r="A103" s="27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</row>
    <row r="104" spans="1:15" ht="15.75" customHeight="1" x14ac:dyDescent="0.25">
      <c r="A104" s="27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</row>
    <row r="105" spans="1:15" ht="15.75" customHeight="1" x14ac:dyDescent="0.25">
      <c r="A105" s="27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</row>
    <row r="106" spans="1:15" ht="15.75" customHeight="1" x14ac:dyDescent="0.25">
      <c r="A106" s="27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</row>
    <row r="107" spans="1:15" ht="15.75" customHeight="1" x14ac:dyDescent="0.25">
      <c r="A107" s="27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</row>
    <row r="108" spans="1:15" ht="15.75" customHeight="1" x14ac:dyDescent="0.25">
      <c r="A108" s="27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</row>
    <row r="109" spans="1:15" ht="15.75" customHeight="1" x14ac:dyDescent="0.25">
      <c r="A109" s="27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</row>
    <row r="110" spans="1:15" ht="15.75" customHeight="1" x14ac:dyDescent="0.25">
      <c r="A110" s="27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</row>
    <row r="111" spans="1:15" ht="15.75" customHeight="1" x14ac:dyDescent="0.25">
      <c r="A111" s="27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</row>
    <row r="112" spans="1:15" ht="15.75" customHeight="1" x14ac:dyDescent="0.25">
      <c r="A112" s="27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</row>
    <row r="113" spans="1:15" ht="15.75" customHeight="1" x14ac:dyDescent="0.25">
      <c r="A113" s="27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</row>
    <row r="114" spans="1:15" ht="15.75" customHeight="1" x14ac:dyDescent="0.25">
      <c r="A114" s="27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</row>
    <row r="115" spans="1:15" ht="15.75" customHeight="1" x14ac:dyDescent="0.25"/>
    <row r="116" spans="1:15" ht="15.75" customHeight="1" x14ac:dyDescent="0.25"/>
    <row r="117" spans="1:15" ht="15.75" customHeight="1" x14ac:dyDescent="0.25"/>
    <row r="118" spans="1:15" ht="15.75" customHeight="1" x14ac:dyDescent="0.25"/>
    <row r="119" spans="1:15" ht="15.75" customHeight="1" x14ac:dyDescent="0.25"/>
    <row r="120" spans="1:15" ht="15.75" customHeight="1" x14ac:dyDescent="0.25"/>
    <row r="121" spans="1:15" ht="15.75" customHeight="1" x14ac:dyDescent="0.25"/>
    <row r="122" spans="1:15" ht="15.75" customHeight="1" x14ac:dyDescent="0.25"/>
    <row r="123" spans="1:15" ht="15.75" customHeight="1" x14ac:dyDescent="0.25"/>
    <row r="124" spans="1:15" ht="15.75" customHeight="1" x14ac:dyDescent="0.25"/>
    <row r="125" spans="1:15" ht="15.75" customHeight="1" x14ac:dyDescent="0.25"/>
    <row r="126" spans="1:15" ht="15.75" customHeight="1" x14ac:dyDescent="0.25"/>
    <row r="127" spans="1:15" ht="15.75" customHeight="1" x14ac:dyDescent="0.25"/>
    <row r="128" spans="1:15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autoFilter ref="A1:N42" xr:uid="{00000000-0009-0000-0000-000001000000}"/>
  <mergeCells count="3">
    <mergeCell ref="Q4:R4"/>
    <mergeCell ref="Q13:R13"/>
    <mergeCell ref="Q32:R3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4.42578125" defaultRowHeight="15" customHeight="1" x14ac:dyDescent="0.25"/>
  <cols>
    <col min="1" max="1" width="8.7109375" customWidth="1"/>
    <col min="2" max="2" width="11.42578125" customWidth="1"/>
    <col min="3" max="5" width="8.7109375" customWidth="1"/>
    <col min="6" max="6" width="5.85546875" customWidth="1"/>
    <col min="7" max="10" width="8.7109375" customWidth="1"/>
    <col min="11" max="11" width="10.140625" customWidth="1"/>
    <col min="12" max="13" width="8.7109375" customWidth="1"/>
  </cols>
  <sheetData>
    <row r="1" spans="1:13" x14ac:dyDescent="0.25">
      <c r="A1" s="32" t="s">
        <v>241</v>
      </c>
      <c r="B1" s="33" t="s">
        <v>242</v>
      </c>
      <c r="C1" s="33" t="s">
        <v>205</v>
      </c>
      <c r="D1" s="33" t="s">
        <v>36</v>
      </c>
      <c r="E1" s="33" t="s">
        <v>41</v>
      </c>
      <c r="F1" s="33" t="s">
        <v>50</v>
      </c>
      <c r="G1" s="33" t="s">
        <v>38</v>
      </c>
      <c r="H1" s="33" t="s">
        <v>43</v>
      </c>
      <c r="I1" s="33" t="s">
        <v>206</v>
      </c>
      <c r="J1" s="33" t="s">
        <v>207</v>
      </c>
      <c r="K1" s="33" t="s">
        <v>243</v>
      </c>
      <c r="L1" s="33" t="s">
        <v>244</v>
      </c>
      <c r="M1" s="34" t="s">
        <v>29</v>
      </c>
    </row>
    <row r="2" spans="1:13" x14ac:dyDescent="0.25">
      <c r="A2" s="47">
        <v>2020</v>
      </c>
      <c r="B2" s="26" t="s">
        <v>245</v>
      </c>
      <c r="C2" s="26">
        <v>40</v>
      </c>
      <c r="D2" s="26">
        <v>14</v>
      </c>
      <c r="E2" s="26">
        <v>26</v>
      </c>
      <c r="F2" s="26">
        <v>32</v>
      </c>
      <c r="G2" s="26">
        <v>6</v>
      </c>
      <c r="H2" s="26">
        <v>0</v>
      </c>
      <c r="I2" s="26">
        <v>2</v>
      </c>
      <c r="J2" s="26">
        <v>15</v>
      </c>
      <c r="K2" s="26">
        <v>25</v>
      </c>
      <c r="L2" s="26">
        <v>0</v>
      </c>
      <c r="M2" s="35">
        <v>0</v>
      </c>
    </row>
    <row r="3" spans="1:13" x14ac:dyDescent="0.25">
      <c r="A3" s="48"/>
      <c r="B3" s="26" t="s">
        <v>246</v>
      </c>
      <c r="C3" s="26">
        <v>39</v>
      </c>
      <c r="D3" s="26">
        <v>17</v>
      </c>
      <c r="E3" s="26">
        <v>22</v>
      </c>
      <c r="F3" s="26">
        <v>31</v>
      </c>
      <c r="G3" s="26">
        <v>4</v>
      </c>
      <c r="H3" s="26">
        <v>0</v>
      </c>
      <c r="I3" s="26">
        <v>4</v>
      </c>
      <c r="J3" s="26">
        <v>14</v>
      </c>
      <c r="K3" s="26">
        <v>25</v>
      </c>
      <c r="L3" s="26">
        <v>0</v>
      </c>
      <c r="M3" s="35">
        <v>0</v>
      </c>
    </row>
    <row r="4" spans="1:13" x14ac:dyDescent="0.25">
      <c r="A4" s="48"/>
      <c r="B4" s="26" t="s">
        <v>247</v>
      </c>
      <c r="C4" s="26">
        <v>36</v>
      </c>
      <c r="D4" s="26">
        <v>15</v>
      </c>
      <c r="E4" s="26">
        <v>21</v>
      </c>
      <c r="F4" s="26">
        <v>29</v>
      </c>
      <c r="G4" s="26">
        <v>3</v>
      </c>
      <c r="H4" s="26">
        <v>1</v>
      </c>
      <c r="I4" s="26">
        <v>3</v>
      </c>
      <c r="J4" s="26">
        <v>5</v>
      </c>
      <c r="K4" s="26">
        <v>31</v>
      </c>
      <c r="L4" s="26">
        <v>0</v>
      </c>
      <c r="M4" s="35">
        <v>5</v>
      </c>
    </row>
    <row r="5" spans="1:13" x14ac:dyDescent="0.25">
      <c r="A5" s="48"/>
      <c r="B5" s="36"/>
      <c r="C5" s="37"/>
      <c r="D5" s="37"/>
      <c r="E5" s="37"/>
      <c r="F5" s="37"/>
      <c r="G5" s="37"/>
      <c r="H5" s="37"/>
      <c r="I5" s="37"/>
      <c r="J5" s="37"/>
      <c r="K5" s="37"/>
      <c r="L5" s="37"/>
      <c r="M5" s="38"/>
    </row>
    <row r="6" spans="1:13" x14ac:dyDescent="0.25">
      <c r="A6" s="48"/>
      <c r="B6" s="26" t="s">
        <v>248</v>
      </c>
      <c r="C6" s="26">
        <v>14</v>
      </c>
      <c r="D6" s="26">
        <v>7</v>
      </c>
      <c r="E6" s="26">
        <v>7</v>
      </c>
      <c r="F6" s="26">
        <v>12</v>
      </c>
      <c r="G6" s="26">
        <v>1</v>
      </c>
      <c r="H6" s="26">
        <v>0</v>
      </c>
      <c r="I6" s="26">
        <v>1</v>
      </c>
      <c r="J6" s="26">
        <v>0</v>
      </c>
      <c r="K6" s="26">
        <v>14</v>
      </c>
      <c r="L6" s="26">
        <v>0</v>
      </c>
      <c r="M6" s="39">
        <v>1</v>
      </c>
    </row>
    <row r="7" spans="1:13" x14ac:dyDescent="0.25">
      <c r="A7" s="48"/>
      <c r="B7" s="26" t="s">
        <v>249</v>
      </c>
      <c r="C7" s="26">
        <v>11</v>
      </c>
      <c r="D7" s="26">
        <v>5</v>
      </c>
      <c r="E7" s="26">
        <v>6</v>
      </c>
      <c r="F7" s="26">
        <v>10</v>
      </c>
      <c r="G7" s="26">
        <v>0</v>
      </c>
      <c r="H7" s="26">
        <v>0</v>
      </c>
      <c r="I7" s="26">
        <v>1</v>
      </c>
      <c r="J7" s="26">
        <v>1</v>
      </c>
      <c r="K7" s="26">
        <v>10</v>
      </c>
      <c r="L7" s="26">
        <v>0</v>
      </c>
      <c r="M7" s="39">
        <v>0</v>
      </c>
    </row>
    <row r="8" spans="1:13" x14ac:dyDescent="0.25">
      <c r="A8" s="48"/>
      <c r="B8" s="26" t="s">
        <v>250</v>
      </c>
      <c r="C8" s="26">
        <v>24</v>
      </c>
      <c r="D8" s="26">
        <v>10</v>
      </c>
      <c r="E8" s="26">
        <v>14</v>
      </c>
      <c r="F8" s="26">
        <v>15</v>
      </c>
      <c r="G8" s="26">
        <v>3</v>
      </c>
      <c r="H8" s="26">
        <v>0</v>
      </c>
      <c r="I8" s="26">
        <v>6</v>
      </c>
      <c r="J8" s="26">
        <v>10</v>
      </c>
      <c r="K8" s="26">
        <v>14</v>
      </c>
      <c r="L8" s="26">
        <v>0</v>
      </c>
      <c r="M8" s="39">
        <v>0</v>
      </c>
    </row>
    <row r="9" spans="1:13" x14ac:dyDescent="0.25">
      <c r="A9" s="48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40"/>
    </row>
    <row r="10" spans="1:13" x14ac:dyDescent="0.25">
      <c r="A10" s="48"/>
      <c r="B10" s="26" t="s">
        <v>251</v>
      </c>
      <c r="C10" s="26">
        <v>28</v>
      </c>
      <c r="D10" s="26">
        <v>12</v>
      </c>
      <c r="E10" s="26">
        <v>16</v>
      </c>
      <c r="F10" s="26">
        <v>23</v>
      </c>
      <c r="G10" s="26">
        <v>2</v>
      </c>
      <c r="H10" s="26">
        <v>0</v>
      </c>
      <c r="I10" s="26">
        <v>3</v>
      </c>
      <c r="J10" s="26">
        <v>0</v>
      </c>
      <c r="K10" s="26">
        <v>25</v>
      </c>
      <c r="L10" s="26">
        <v>1</v>
      </c>
      <c r="M10" s="35">
        <v>1</v>
      </c>
    </row>
    <row r="11" spans="1:13" x14ac:dyDescent="0.25">
      <c r="A11" s="48"/>
      <c r="B11" s="26" t="s">
        <v>252</v>
      </c>
      <c r="C11" s="26">
        <v>32</v>
      </c>
      <c r="D11" s="26">
        <v>9</v>
      </c>
      <c r="E11" s="26">
        <v>23</v>
      </c>
      <c r="F11" s="26">
        <v>25</v>
      </c>
      <c r="G11" s="26">
        <v>3</v>
      </c>
      <c r="H11" s="26">
        <v>0</v>
      </c>
      <c r="I11" s="26">
        <v>4</v>
      </c>
      <c r="J11" s="26">
        <v>13</v>
      </c>
      <c r="K11" s="26">
        <v>18</v>
      </c>
      <c r="L11" s="26">
        <v>0</v>
      </c>
      <c r="M11" s="35">
        <v>0</v>
      </c>
    </row>
    <row r="12" spans="1:13" x14ac:dyDescent="0.25">
      <c r="A12" s="48"/>
      <c r="B12" s="26" t="s">
        <v>253</v>
      </c>
      <c r="C12" s="26">
        <v>20</v>
      </c>
      <c r="D12" s="26">
        <v>8</v>
      </c>
      <c r="E12" s="26">
        <v>12</v>
      </c>
      <c r="F12" s="26">
        <v>16</v>
      </c>
      <c r="G12" s="26">
        <v>3</v>
      </c>
      <c r="H12" s="26">
        <v>0</v>
      </c>
      <c r="I12" s="26">
        <v>2</v>
      </c>
      <c r="J12" s="26">
        <v>6</v>
      </c>
      <c r="K12" s="26">
        <v>14</v>
      </c>
      <c r="L12" s="26">
        <v>0</v>
      </c>
      <c r="M12" s="39">
        <v>3</v>
      </c>
    </row>
    <row r="13" spans="1:13" x14ac:dyDescent="0.25">
      <c r="A13" s="48"/>
      <c r="B13" s="36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8"/>
    </row>
    <row r="14" spans="1:13" x14ac:dyDescent="0.25">
      <c r="A14" s="48"/>
      <c r="B14" s="26" t="s">
        <v>254</v>
      </c>
      <c r="C14" s="26">
        <v>39</v>
      </c>
      <c r="D14" s="26">
        <v>14</v>
      </c>
      <c r="E14" s="26">
        <v>25</v>
      </c>
      <c r="F14" s="26">
        <v>25</v>
      </c>
      <c r="G14" s="26">
        <v>6</v>
      </c>
      <c r="H14" s="26">
        <v>1</v>
      </c>
      <c r="I14" s="26">
        <v>7</v>
      </c>
      <c r="J14" s="26">
        <v>14</v>
      </c>
      <c r="K14" s="26">
        <v>25</v>
      </c>
      <c r="L14" s="26">
        <v>0</v>
      </c>
      <c r="M14" s="39">
        <v>2</v>
      </c>
    </row>
    <row r="15" spans="1:13" x14ac:dyDescent="0.25">
      <c r="A15" s="48"/>
      <c r="B15" s="26" t="s">
        <v>255</v>
      </c>
      <c r="C15" s="26">
        <v>43</v>
      </c>
      <c r="D15" s="26">
        <v>17</v>
      </c>
      <c r="E15" s="26">
        <v>26</v>
      </c>
      <c r="F15" s="26">
        <v>28</v>
      </c>
      <c r="G15" s="26">
        <v>6</v>
      </c>
      <c r="H15" s="26">
        <v>1</v>
      </c>
      <c r="I15" s="26">
        <v>7</v>
      </c>
      <c r="J15" s="26">
        <v>14</v>
      </c>
      <c r="K15" s="26">
        <v>29</v>
      </c>
      <c r="L15" s="26">
        <v>1</v>
      </c>
      <c r="M15" s="39">
        <v>3</v>
      </c>
    </row>
    <row r="16" spans="1:13" x14ac:dyDescent="0.25">
      <c r="A16" s="49"/>
      <c r="B16" s="41" t="s">
        <v>256</v>
      </c>
      <c r="C16" s="41">
        <v>19</v>
      </c>
      <c r="D16" s="41">
        <v>5</v>
      </c>
      <c r="E16" s="41">
        <v>14</v>
      </c>
      <c r="F16" s="41">
        <v>13</v>
      </c>
      <c r="G16" s="41">
        <v>3</v>
      </c>
      <c r="H16" s="41">
        <v>0</v>
      </c>
      <c r="I16" s="41">
        <v>3</v>
      </c>
      <c r="J16" s="41">
        <v>2</v>
      </c>
      <c r="K16" s="41">
        <v>18</v>
      </c>
      <c r="L16" s="41">
        <v>0</v>
      </c>
      <c r="M16" s="42">
        <v>2</v>
      </c>
    </row>
    <row r="17" spans="1:13" x14ac:dyDescent="0.25">
      <c r="D17" s="6">
        <f t="shared" ref="D17:E17" si="0">SUM(D2:D16)</f>
        <v>133</v>
      </c>
      <c r="E17" s="6">
        <f t="shared" si="0"/>
        <v>212</v>
      </c>
      <c r="J17" s="6">
        <f>SUM(J2:J16)</f>
        <v>94</v>
      </c>
    </row>
    <row r="19" spans="1:13" x14ac:dyDescent="0.25">
      <c r="E19" s="50" t="s">
        <v>257</v>
      </c>
      <c r="F19" s="51"/>
      <c r="G19" s="51"/>
      <c r="H19" s="51"/>
      <c r="I19" s="43">
        <v>119</v>
      </c>
    </row>
    <row r="21" spans="1:13" ht="15.75" customHeight="1" x14ac:dyDescent="0.25">
      <c r="A21" s="47">
        <v>2021</v>
      </c>
      <c r="B21" s="26" t="s">
        <v>245</v>
      </c>
      <c r="C21" s="26">
        <v>22</v>
      </c>
      <c r="D21" s="26">
        <v>7</v>
      </c>
      <c r="E21" s="26">
        <v>14</v>
      </c>
      <c r="F21" s="26">
        <v>15</v>
      </c>
      <c r="G21" s="26">
        <v>2</v>
      </c>
      <c r="H21" s="26">
        <v>1</v>
      </c>
      <c r="I21" s="26">
        <v>1</v>
      </c>
      <c r="J21" s="26">
        <v>1</v>
      </c>
      <c r="K21" s="26">
        <v>16</v>
      </c>
      <c r="L21" s="26">
        <v>0</v>
      </c>
      <c r="M21" s="35">
        <v>0</v>
      </c>
    </row>
    <row r="22" spans="1:13" ht="15.75" customHeight="1" x14ac:dyDescent="0.25">
      <c r="A22" s="48"/>
      <c r="B22" s="26" t="s">
        <v>246</v>
      </c>
      <c r="C22" s="26">
        <v>37</v>
      </c>
      <c r="D22" s="26">
        <v>15</v>
      </c>
      <c r="E22" s="26">
        <v>22</v>
      </c>
      <c r="F22" s="26">
        <v>28</v>
      </c>
      <c r="G22" s="26">
        <v>4</v>
      </c>
      <c r="H22" s="26">
        <v>0</v>
      </c>
      <c r="I22" s="26">
        <v>5</v>
      </c>
      <c r="J22" s="26">
        <v>12</v>
      </c>
      <c r="K22" s="26">
        <v>25</v>
      </c>
      <c r="L22" s="26">
        <v>0</v>
      </c>
      <c r="M22" s="35">
        <v>0</v>
      </c>
    </row>
    <row r="23" spans="1:13" ht="15.75" customHeight="1" x14ac:dyDescent="0.25">
      <c r="A23" s="48"/>
      <c r="B23" s="26" t="s">
        <v>247</v>
      </c>
      <c r="C23" s="26">
        <v>43</v>
      </c>
      <c r="D23" s="26">
        <v>13</v>
      </c>
      <c r="E23" s="26">
        <v>30</v>
      </c>
      <c r="F23" s="26">
        <v>29</v>
      </c>
      <c r="G23" s="26">
        <v>6</v>
      </c>
      <c r="H23" s="26">
        <v>0</v>
      </c>
      <c r="I23" s="26">
        <v>8</v>
      </c>
      <c r="J23" s="26">
        <v>14</v>
      </c>
      <c r="K23" s="26">
        <v>29</v>
      </c>
      <c r="L23" s="26">
        <v>0</v>
      </c>
      <c r="M23" s="35">
        <v>0</v>
      </c>
    </row>
    <row r="24" spans="1:13" ht="15.75" customHeight="1" x14ac:dyDescent="0.25">
      <c r="A24" s="48"/>
      <c r="B24" s="36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8"/>
    </row>
    <row r="25" spans="1:13" ht="15.75" customHeight="1" x14ac:dyDescent="0.25">
      <c r="A25" s="48"/>
      <c r="B25" s="26" t="s">
        <v>248</v>
      </c>
      <c r="C25" s="26">
        <v>43</v>
      </c>
      <c r="D25" s="26">
        <v>12</v>
      </c>
      <c r="E25" s="26">
        <v>31</v>
      </c>
      <c r="F25" s="26">
        <v>25</v>
      </c>
      <c r="G25" s="26">
        <v>2</v>
      </c>
      <c r="H25" s="26">
        <v>1</v>
      </c>
      <c r="I25" s="26">
        <v>15</v>
      </c>
      <c r="J25" s="26">
        <v>10</v>
      </c>
      <c r="K25" s="26">
        <v>33</v>
      </c>
      <c r="L25" s="26">
        <v>0</v>
      </c>
      <c r="M25" s="39">
        <v>1</v>
      </c>
    </row>
    <row r="26" spans="1:13" ht="15.75" customHeight="1" x14ac:dyDescent="0.25">
      <c r="A26" s="48"/>
      <c r="B26" s="26" t="s">
        <v>249</v>
      </c>
      <c r="C26" s="26">
        <v>42</v>
      </c>
      <c r="D26" s="26">
        <v>13</v>
      </c>
      <c r="E26" s="26">
        <v>29</v>
      </c>
      <c r="F26" s="26">
        <v>32</v>
      </c>
      <c r="G26" s="26">
        <v>4</v>
      </c>
      <c r="H26" s="26">
        <v>0</v>
      </c>
      <c r="I26" s="26">
        <v>5</v>
      </c>
      <c r="J26" s="26">
        <v>15</v>
      </c>
      <c r="K26" s="26">
        <v>27</v>
      </c>
      <c r="L26" s="26">
        <v>0</v>
      </c>
      <c r="M26" s="39">
        <v>3</v>
      </c>
    </row>
    <row r="27" spans="1:13" ht="15.75" customHeight="1" x14ac:dyDescent="0.25">
      <c r="A27" s="48"/>
      <c r="B27" s="26" t="s">
        <v>250</v>
      </c>
      <c r="C27" s="26">
        <v>45</v>
      </c>
      <c r="D27" s="26">
        <v>9</v>
      </c>
      <c r="E27" s="26">
        <v>36</v>
      </c>
      <c r="F27" s="26">
        <v>37</v>
      </c>
      <c r="G27" s="26">
        <v>4</v>
      </c>
      <c r="H27" s="26">
        <v>1</v>
      </c>
      <c r="I27" s="26">
        <v>3</v>
      </c>
      <c r="J27" s="26">
        <v>14</v>
      </c>
      <c r="K27" s="26">
        <v>31</v>
      </c>
      <c r="L27" s="26">
        <v>0</v>
      </c>
      <c r="M27" s="39">
        <v>2</v>
      </c>
    </row>
    <row r="28" spans="1:13" ht="15.75" customHeight="1" x14ac:dyDescent="0.25">
      <c r="A28" s="48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40"/>
    </row>
    <row r="29" spans="1:13" ht="15.75" customHeight="1" x14ac:dyDescent="0.25">
      <c r="A29" s="48"/>
      <c r="B29" s="26" t="s">
        <v>251</v>
      </c>
      <c r="C29" s="26">
        <v>44</v>
      </c>
      <c r="D29" s="26">
        <v>15</v>
      </c>
      <c r="E29" s="26">
        <v>29</v>
      </c>
      <c r="F29" s="26">
        <v>36</v>
      </c>
      <c r="G29" s="26">
        <v>6</v>
      </c>
      <c r="H29" s="26">
        <v>0</v>
      </c>
      <c r="I29" s="26">
        <v>2</v>
      </c>
      <c r="J29" s="26">
        <v>6</v>
      </c>
      <c r="K29" s="26">
        <v>38</v>
      </c>
      <c r="L29" s="26">
        <v>0</v>
      </c>
      <c r="M29" s="35">
        <v>0</v>
      </c>
    </row>
    <row r="30" spans="1:13" ht="15.75" customHeight="1" x14ac:dyDescent="0.25">
      <c r="A30" s="48"/>
      <c r="B30" s="26" t="s">
        <v>252</v>
      </c>
      <c r="C30" s="26">
        <v>37</v>
      </c>
      <c r="D30" s="26">
        <v>11</v>
      </c>
      <c r="E30" s="26">
        <v>26</v>
      </c>
      <c r="F30" s="26">
        <v>30</v>
      </c>
      <c r="G30" s="26">
        <v>6</v>
      </c>
      <c r="H30" s="26">
        <v>0</v>
      </c>
      <c r="I30" s="26">
        <v>1</v>
      </c>
      <c r="J30" s="26">
        <v>10</v>
      </c>
      <c r="K30" s="26">
        <v>26</v>
      </c>
      <c r="L30" s="26">
        <v>1</v>
      </c>
      <c r="M30" s="35">
        <v>0</v>
      </c>
    </row>
    <row r="31" spans="1:13" ht="15.75" customHeight="1" x14ac:dyDescent="0.25">
      <c r="A31" s="48"/>
      <c r="B31" s="26" t="s">
        <v>253</v>
      </c>
      <c r="C31" s="26">
        <v>63</v>
      </c>
      <c r="D31" s="26">
        <v>20</v>
      </c>
      <c r="E31" s="26">
        <v>43</v>
      </c>
      <c r="F31" s="26">
        <v>48</v>
      </c>
      <c r="G31" s="26">
        <v>7</v>
      </c>
      <c r="H31" s="26">
        <v>0</v>
      </c>
      <c r="I31" s="26">
        <v>8</v>
      </c>
      <c r="J31" s="26">
        <v>8</v>
      </c>
      <c r="K31" s="26">
        <v>55</v>
      </c>
      <c r="L31" s="26">
        <v>2</v>
      </c>
      <c r="M31" s="39">
        <v>0</v>
      </c>
    </row>
    <row r="32" spans="1:13" ht="15.75" customHeight="1" x14ac:dyDescent="0.25">
      <c r="A32" s="48"/>
      <c r="B32" s="36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8"/>
    </row>
    <row r="33" spans="1:13" ht="15.75" customHeight="1" x14ac:dyDescent="0.25">
      <c r="A33" s="48"/>
      <c r="B33" s="26" t="s">
        <v>254</v>
      </c>
      <c r="C33" s="26">
        <v>55</v>
      </c>
      <c r="D33" s="26">
        <v>13</v>
      </c>
      <c r="E33" s="26">
        <v>42</v>
      </c>
      <c r="F33" s="26">
        <v>45</v>
      </c>
      <c r="G33" s="26">
        <v>8</v>
      </c>
      <c r="H33" s="26">
        <v>0</v>
      </c>
      <c r="I33" s="26">
        <v>2</v>
      </c>
      <c r="J33" s="26">
        <v>26</v>
      </c>
      <c r="K33" s="26">
        <v>29</v>
      </c>
      <c r="L33" s="26">
        <v>0</v>
      </c>
      <c r="M33" s="39">
        <v>0</v>
      </c>
    </row>
    <row r="34" spans="1:13" ht="15.75" customHeight="1" x14ac:dyDescent="0.25">
      <c r="A34" s="48"/>
      <c r="B34" s="26" t="s">
        <v>255</v>
      </c>
      <c r="C34" s="26">
        <v>84</v>
      </c>
      <c r="D34" s="26">
        <v>27</v>
      </c>
      <c r="E34" s="26">
        <v>57</v>
      </c>
      <c r="F34" s="26">
        <v>69</v>
      </c>
      <c r="G34" s="26">
        <v>8</v>
      </c>
      <c r="H34" s="26">
        <v>0</v>
      </c>
      <c r="I34" s="26">
        <v>7</v>
      </c>
      <c r="J34" s="26">
        <v>27</v>
      </c>
      <c r="K34" s="26">
        <v>57</v>
      </c>
      <c r="L34" s="26">
        <v>0</v>
      </c>
      <c r="M34" s="39">
        <v>5</v>
      </c>
    </row>
    <row r="35" spans="1:13" ht="15.75" customHeight="1" x14ac:dyDescent="0.25">
      <c r="A35" s="49"/>
      <c r="B35" s="41" t="s">
        <v>256</v>
      </c>
      <c r="C35" s="41">
        <v>47</v>
      </c>
      <c r="D35" s="41">
        <v>10</v>
      </c>
      <c r="E35" s="41">
        <v>37</v>
      </c>
      <c r="F35" s="41">
        <v>37</v>
      </c>
      <c r="G35" s="41">
        <v>4</v>
      </c>
      <c r="H35" s="41">
        <v>0</v>
      </c>
      <c r="I35" s="41">
        <v>6</v>
      </c>
      <c r="J35" s="41">
        <v>12</v>
      </c>
      <c r="K35" s="41">
        <v>35</v>
      </c>
      <c r="L35" s="41">
        <v>0</v>
      </c>
      <c r="M35" s="42">
        <v>2</v>
      </c>
    </row>
    <row r="36" spans="1:13" ht="15.75" customHeight="1" x14ac:dyDescent="0.25">
      <c r="J36" s="6">
        <f>SUM(J21:J35)</f>
        <v>155</v>
      </c>
    </row>
    <row r="37" spans="1:13" ht="15.75" customHeight="1" x14ac:dyDescent="0.25"/>
    <row r="38" spans="1:13" ht="15.75" customHeight="1" x14ac:dyDescent="0.25"/>
    <row r="39" spans="1:13" ht="15.75" customHeight="1" x14ac:dyDescent="0.25">
      <c r="A39" s="47">
        <v>2022</v>
      </c>
      <c r="B39" s="26" t="s">
        <v>245</v>
      </c>
      <c r="C39" s="26">
        <v>30</v>
      </c>
      <c r="D39" s="26">
        <v>8</v>
      </c>
      <c r="E39" s="26">
        <v>22</v>
      </c>
      <c r="F39" s="26">
        <v>21</v>
      </c>
      <c r="G39" s="26">
        <v>3</v>
      </c>
      <c r="H39" s="26">
        <v>0</v>
      </c>
      <c r="I39" s="26">
        <v>4</v>
      </c>
      <c r="J39" s="26">
        <v>10</v>
      </c>
      <c r="K39" s="26">
        <v>20</v>
      </c>
      <c r="L39" s="26">
        <v>0</v>
      </c>
      <c r="M39" s="35">
        <v>0</v>
      </c>
    </row>
    <row r="40" spans="1:13" ht="15.75" customHeight="1" x14ac:dyDescent="0.25">
      <c r="A40" s="48"/>
      <c r="B40" s="26" t="s">
        <v>246</v>
      </c>
      <c r="C40" s="26">
        <v>58</v>
      </c>
      <c r="D40" s="26">
        <v>23</v>
      </c>
      <c r="E40" s="26">
        <v>35</v>
      </c>
      <c r="F40" s="26">
        <v>45</v>
      </c>
      <c r="G40" s="26">
        <v>6</v>
      </c>
      <c r="H40" s="26">
        <v>0</v>
      </c>
      <c r="I40" s="26">
        <v>7</v>
      </c>
      <c r="J40" s="26">
        <v>11</v>
      </c>
      <c r="K40" s="26">
        <v>47</v>
      </c>
      <c r="L40" s="26">
        <v>1</v>
      </c>
      <c r="M40" s="35">
        <v>0</v>
      </c>
    </row>
    <row r="41" spans="1:13" ht="15.75" customHeight="1" x14ac:dyDescent="0.25">
      <c r="A41" s="48"/>
      <c r="B41" s="26" t="s">
        <v>247</v>
      </c>
      <c r="C41" s="26">
        <v>78</v>
      </c>
      <c r="D41" s="26">
        <v>27</v>
      </c>
      <c r="E41" s="26">
        <v>51</v>
      </c>
      <c r="F41" s="26">
        <v>59</v>
      </c>
      <c r="G41" s="26">
        <v>8</v>
      </c>
      <c r="H41" s="26">
        <v>1</v>
      </c>
      <c r="I41" s="26">
        <v>10</v>
      </c>
      <c r="J41" s="26">
        <v>13</v>
      </c>
      <c r="K41" s="26">
        <v>65</v>
      </c>
      <c r="L41" s="26">
        <v>1</v>
      </c>
      <c r="M41" s="35">
        <v>3</v>
      </c>
    </row>
    <row r="42" spans="1:13" ht="15.75" customHeight="1" x14ac:dyDescent="0.25">
      <c r="A42" s="48"/>
      <c r="B42" s="36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8"/>
    </row>
    <row r="43" spans="1:13" ht="15.75" customHeight="1" x14ac:dyDescent="0.25">
      <c r="A43" s="48"/>
      <c r="B43" s="26" t="s">
        <v>248</v>
      </c>
      <c r="C43" s="26">
        <v>48</v>
      </c>
      <c r="D43" s="26">
        <v>19</v>
      </c>
      <c r="E43" s="26">
        <v>29</v>
      </c>
      <c r="F43" s="26">
        <v>40</v>
      </c>
      <c r="G43" s="26">
        <v>4</v>
      </c>
      <c r="H43" s="26">
        <v>0</v>
      </c>
      <c r="I43" s="26">
        <v>4</v>
      </c>
      <c r="J43" s="26">
        <v>8</v>
      </c>
      <c r="K43" s="26">
        <v>40</v>
      </c>
      <c r="L43" s="26">
        <v>0</v>
      </c>
      <c r="M43" s="39">
        <v>1</v>
      </c>
    </row>
    <row r="44" spans="1:13" ht="15.75" customHeight="1" x14ac:dyDescent="0.25">
      <c r="A44" s="48"/>
      <c r="B44" s="26" t="s">
        <v>249</v>
      </c>
      <c r="C44" s="26">
        <v>60</v>
      </c>
      <c r="D44" s="26">
        <v>30</v>
      </c>
      <c r="E44" s="26">
        <v>30</v>
      </c>
      <c r="F44" s="26">
        <v>48</v>
      </c>
      <c r="G44" s="26">
        <v>5</v>
      </c>
      <c r="H44" s="26">
        <v>0</v>
      </c>
      <c r="I44" s="26">
        <v>7</v>
      </c>
      <c r="J44" s="26">
        <v>14</v>
      </c>
      <c r="K44" s="26">
        <v>46</v>
      </c>
      <c r="L44" s="26">
        <v>0</v>
      </c>
      <c r="M44" s="39">
        <v>2</v>
      </c>
    </row>
    <row r="45" spans="1:13" ht="15.75" customHeight="1" x14ac:dyDescent="0.25">
      <c r="A45" s="48"/>
      <c r="B45" s="26" t="s">
        <v>250</v>
      </c>
      <c r="C45" s="26">
        <v>66</v>
      </c>
      <c r="D45" s="26">
        <v>27</v>
      </c>
      <c r="E45" s="26">
        <v>39</v>
      </c>
      <c r="F45" s="26">
        <v>46</v>
      </c>
      <c r="G45" s="26">
        <v>7</v>
      </c>
      <c r="H45" s="26">
        <v>2</v>
      </c>
      <c r="I45" s="26">
        <v>11</v>
      </c>
      <c r="J45" s="26">
        <v>13</v>
      </c>
      <c r="K45" s="26">
        <v>54</v>
      </c>
      <c r="L45" s="26">
        <v>0</v>
      </c>
      <c r="M45" s="39">
        <v>0</v>
      </c>
    </row>
    <row r="46" spans="1:13" ht="15.75" customHeight="1" x14ac:dyDescent="0.25">
      <c r="A46" s="48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40"/>
    </row>
    <row r="47" spans="1:13" ht="15.75" customHeight="1" x14ac:dyDescent="0.25">
      <c r="A47" s="48"/>
      <c r="B47" s="26" t="s">
        <v>251</v>
      </c>
      <c r="C47" s="26">
        <v>68</v>
      </c>
      <c r="D47" s="26">
        <v>20</v>
      </c>
      <c r="E47" s="26">
        <v>48</v>
      </c>
      <c r="F47" s="26">
        <v>47</v>
      </c>
      <c r="G47" s="26">
        <v>6</v>
      </c>
      <c r="H47" s="26">
        <v>4</v>
      </c>
      <c r="I47" s="26">
        <v>11</v>
      </c>
      <c r="J47" s="26">
        <v>18</v>
      </c>
      <c r="K47" s="26">
        <v>50</v>
      </c>
      <c r="L47" s="26">
        <v>0</v>
      </c>
      <c r="M47" s="35">
        <v>4</v>
      </c>
    </row>
    <row r="48" spans="1:13" ht="15.75" customHeight="1" x14ac:dyDescent="0.25">
      <c r="A48" s="48"/>
      <c r="B48" s="26" t="s">
        <v>252</v>
      </c>
      <c r="C48" s="26">
        <v>68</v>
      </c>
      <c r="D48" s="26">
        <v>26</v>
      </c>
      <c r="E48" s="26">
        <v>42</v>
      </c>
      <c r="F48" s="26">
        <v>50</v>
      </c>
      <c r="G48" s="26">
        <v>7</v>
      </c>
      <c r="H48" s="26">
        <v>0</v>
      </c>
      <c r="I48" s="26">
        <v>11</v>
      </c>
      <c r="J48" s="26">
        <v>13</v>
      </c>
      <c r="K48" s="26">
        <v>55</v>
      </c>
      <c r="L48" s="26">
        <v>0</v>
      </c>
      <c r="M48" s="35">
        <v>1</v>
      </c>
    </row>
    <row r="49" spans="1:13" ht="15.75" customHeight="1" x14ac:dyDescent="0.25">
      <c r="A49" s="48"/>
      <c r="B49" s="26" t="s">
        <v>253</v>
      </c>
      <c r="C49" s="26">
        <v>68</v>
      </c>
      <c r="D49" s="26">
        <v>26</v>
      </c>
      <c r="E49" s="26">
        <v>42</v>
      </c>
      <c r="F49" s="26">
        <v>48</v>
      </c>
      <c r="G49" s="26">
        <v>8</v>
      </c>
      <c r="H49" s="26">
        <v>1</v>
      </c>
      <c r="I49" s="26">
        <v>11</v>
      </c>
      <c r="J49" s="26">
        <v>9</v>
      </c>
      <c r="K49" s="26">
        <v>59</v>
      </c>
      <c r="L49" s="26">
        <v>0</v>
      </c>
      <c r="M49" s="39">
        <v>2</v>
      </c>
    </row>
    <row r="50" spans="1:13" ht="15.75" customHeight="1" x14ac:dyDescent="0.25">
      <c r="A50" s="48"/>
      <c r="B50" s="36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8"/>
    </row>
    <row r="51" spans="1:13" ht="15.75" customHeight="1" x14ac:dyDescent="0.25">
      <c r="A51" s="48"/>
      <c r="B51" s="26" t="s">
        <v>254</v>
      </c>
      <c r="C51" s="26">
        <v>49</v>
      </c>
      <c r="D51" s="26">
        <v>16</v>
      </c>
      <c r="E51" s="26">
        <v>33</v>
      </c>
      <c r="F51" s="26">
        <v>30</v>
      </c>
      <c r="G51" s="26">
        <v>7</v>
      </c>
      <c r="H51" s="26">
        <v>3</v>
      </c>
      <c r="I51" s="26">
        <v>9</v>
      </c>
      <c r="J51" s="26">
        <v>11</v>
      </c>
      <c r="K51" s="26">
        <v>38</v>
      </c>
      <c r="L51" s="26">
        <v>0</v>
      </c>
      <c r="M51" s="39">
        <v>1</v>
      </c>
    </row>
    <row r="52" spans="1:13" ht="15.75" customHeight="1" x14ac:dyDescent="0.25">
      <c r="A52" s="48"/>
      <c r="B52" s="26" t="s">
        <v>255</v>
      </c>
      <c r="C52" s="26">
        <v>66</v>
      </c>
      <c r="D52" s="26">
        <v>27</v>
      </c>
      <c r="E52" s="26">
        <v>38</v>
      </c>
      <c r="F52" s="26">
        <v>41</v>
      </c>
      <c r="G52" s="26">
        <v>9</v>
      </c>
      <c r="H52" s="26">
        <v>0</v>
      </c>
      <c r="I52" s="26">
        <v>15</v>
      </c>
      <c r="J52" s="26">
        <v>16</v>
      </c>
      <c r="K52" s="26">
        <v>50</v>
      </c>
      <c r="L52" s="26">
        <v>0</v>
      </c>
      <c r="M52" s="39">
        <v>2</v>
      </c>
    </row>
    <row r="53" spans="1:13" ht="15.75" customHeight="1" x14ac:dyDescent="0.25">
      <c r="A53" s="49"/>
      <c r="B53" s="41" t="s">
        <v>256</v>
      </c>
      <c r="C53" s="41">
        <v>38</v>
      </c>
      <c r="D53" s="41">
        <v>17</v>
      </c>
      <c r="E53" s="41">
        <v>21</v>
      </c>
      <c r="F53" s="41">
        <v>27</v>
      </c>
      <c r="G53" s="41">
        <v>5</v>
      </c>
      <c r="H53" s="41">
        <v>1</v>
      </c>
      <c r="I53" s="41">
        <v>5</v>
      </c>
      <c r="J53" s="41">
        <v>6</v>
      </c>
      <c r="K53" s="41">
        <v>32</v>
      </c>
      <c r="L53" s="41">
        <v>1</v>
      </c>
      <c r="M53" s="42">
        <v>2</v>
      </c>
    </row>
    <row r="54" spans="1:13" ht="15.75" customHeight="1" x14ac:dyDescent="0.25"/>
    <row r="55" spans="1:13" ht="15.75" customHeight="1" x14ac:dyDescent="0.25">
      <c r="J55" s="6">
        <f>SUM(J39:J53)</f>
        <v>142</v>
      </c>
    </row>
    <row r="56" spans="1:13" ht="15.75" customHeight="1" x14ac:dyDescent="0.25"/>
    <row r="57" spans="1:13" ht="15.75" customHeight="1" x14ac:dyDescent="0.25"/>
    <row r="58" spans="1:13" ht="15.75" customHeight="1" x14ac:dyDescent="0.25">
      <c r="A58" s="47">
        <v>2023</v>
      </c>
      <c r="B58" s="26" t="s">
        <v>245</v>
      </c>
      <c r="C58" s="26">
        <v>50</v>
      </c>
      <c r="D58" s="26">
        <v>19</v>
      </c>
      <c r="E58" s="26">
        <v>31</v>
      </c>
      <c r="F58" s="26">
        <v>38</v>
      </c>
      <c r="G58" s="26">
        <v>3</v>
      </c>
      <c r="H58" s="26">
        <v>1</v>
      </c>
      <c r="I58" s="26">
        <v>8</v>
      </c>
      <c r="J58" s="26">
        <v>11</v>
      </c>
      <c r="K58" s="26">
        <v>39</v>
      </c>
      <c r="L58" s="26">
        <v>0</v>
      </c>
      <c r="M58" s="35">
        <v>0</v>
      </c>
    </row>
    <row r="59" spans="1:13" ht="15.75" customHeight="1" x14ac:dyDescent="0.25">
      <c r="A59" s="48"/>
      <c r="B59" s="26" t="s">
        <v>246</v>
      </c>
      <c r="C59" s="26">
        <v>63</v>
      </c>
      <c r="D59" s="26">
        <v>17</v>
      </c>
      <c r="E59" s="26">
        <v>46</v>
      </c>
      <c r="F59" s="26">
        <v>51</v>
      </c>
      <c r="G59" s="26">
        <v>4</v>
      </c>
      <c r="H59" s="26">
        <v>0</v>
      </c>
      <c r="I59" s="26">
        <v>8</v>
      </c>
      <c r="J59" s="26">
        <v>11</v>
      </c>
      <c r="K59" s="26">
        <v>52</v>
      </c>
      <c r="L59" s="26">
        <v>0</v>
      </c>
      <c r="M59" s="35">
        <v>3</v>
      </c>
    </row>
    <row r="60" spans="1:13" ht="15.75" customHeight="1" x14ac:dyDescent="0.25">
      <c r="A60" s="48"/>
      <c r="B60" s="26" t="s">
        <v>247</v>
      </c>
      <c r="C60" s="26">
        <v>52</v>
      </c>
      <c r="D60" s="26">
        <v>18</v>
      </c>
      <c r="E60" s="26">
        <v>34</v>
      </c>
      <c r="F60" s="26">
        <v>36</v>
      </c>
      <c r="G60" s="26">
        <v>5</v>
      </c>
      <c r="H60" s="26">
        <v>1</v>
      </c>
      <c r="I60" s="26">
        <v>10</v>
      </c>
      <c r="J60" s="26">
        <v>7</v>
      </c>
      <c r="K60" s="26">
        <v>45</v>
      </c>
      <c r="L60" s="26">
        <v>1</v>
      </c>
      <c r="M60" s="35">
        <v>1</v>
      </c>
    </row>
    <row r="61" spans="1:13" ht="15.75" customHeight="1" x14ac:dyDescent="0.25">
      <c r="A61" s="48"/>
      <c r="B61" s="36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8"/>
    </row>
    <row r="62" spans="1:13" ht="15.75" customHeight="1" x14ac:dyDescent="0.25">
      <c r="A62" s="48"/>
      <c r="B62" s="26" t="s">
        <v>248</v>
      </c>
      <c r="C62" s="26">
        <v>52</v>
      </c>
      <c r="D62" s="26">
        <v>18</v>
      </c>
      <c r="E62" s="26">
        <v>34</v>
      </c>
      <c r="F62" s="26">
        <v>35</v>
      </c>
      <c r="G62" s="26">
        <v>7</v>
      </c>
      <c r="H62" s="26">
        <v>2</v>
      </c>
      <c r="I62" s="26">
        <v>8</v>
      </c>
      <c r="J62" s="26">
        <v>17</v>
      </c>
      <c r="K62" s="26">
        <v>35</v>
      </c>
      <c r="L62" s="26">
        <v>0</v>
      </c>
      <c r="M62" s="39">
        <v>2</v>
      </c>
    </row>
    <row r="63" spans="1:13" ht="15.75" customHeight="1" x14ac:dyDescent="0.25">
      <c r="A63" s="48"/>
      <c r="B63" s="26" t="s">
        <v>249</v>
      </c>
      <c r="C63" s="26">
        <v>68</v>
      </c>
      <c r="D63" s="26">
        <v>31</v>
      </c>
      <c r="E63" s="26">
        <v>37</v>
      </c>
      <c r="F63" s="26">
        <v>43</v>
      </c>
      <c r="G63" s="26">
        <v>12</v>
      </c>
      <c r="H63" s="26">
        <v>1</v>
      </c>
      <c r="I63" s="26">
        <v>12</v>
      </c>
      <c r="J63" s="26">
        <v>21</v>
      </c>
      <c r="K63" s="26">
        <v>47</v>
      </c>
      <c r="L63" s="26">
        <v>1</v>
      </c>
      <c r="M63" s="39">
        <v>1</v>
      </c>
    </row>
    <row r="64" spans="1:13" ht="15.75" customHeight="1" x14ac:dyDescent="0.25">
      <c r="A64" s="48"/>
      <c r="B64" s="26" t="s">
        <v>250</v>
      </c>
      <c r="C64" s="26">
        <v>77</v>
      </c>
      <c r="D64" s="26">
        <v>29</v>
      </c>
      <c r="E64" s="26">
        <v>48</v>
      </c>
      <c r="F64" s="26">
        <v>55</v>
      </c>
      <c r="G64" s="26">
        <v>8</v>
      </c>
      <c r="H64" s="26">
        <v>1</v>
      </c>
      <c r="I64" s="26">
        <v>13</v>
      </c>
      <c r="J64" s="26">
        <v>27</v>
      </c>
      <c r="K64" s="26">
        <v>50</v>
      </c>
      <c r="L64" s="26">
        <v>0</v>
      </c>
      <c r="M64" s="39">
        <v>1</v>
      </c>
    </row>
    <row r="65" spans="1:13" ht="15.75" customHeight="1" x14ac:dyDescent="0.25">
      <c r="A65" s="48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40"/>
    </row>
    <row r="66" spans="1:13" ht="15.75" customHeight="1" x14ac:dyDescent="0.25">
      <c r="A66" s="48"/>
      <c r="B66" s="26" t="s">
        <v>251</v>
      </c>
      <c r="C66" s="26">
        <v>85</v>
      </c>
      <c r="D66" s="26">
        <v>32</v>
      </c>
      <c r="E66" s="26">
        <v>53</v>
      </c>
      <c r="F66" s="26">
        <v>62</v>
      </c>
      <c r="G66" s="26">
        <v>8</v>
      </c>
      <c r="H66" s="26">
        <v>1</v>
      </c>
      <c r="I66" s="26">
        <v>14</v>
      </c>
      <c r="J66" s="26">
        <v>25</v>
      </c>
      <c r="K66" s="26">
        <v>60</v>
      </c>
      <c r="L66" s="26">
        <v>0</v>
      </c>
      <c r="M66" s="35">
        <v>2</v>
      </c>
    </row>
    <row r="67" spans="1:13" ht="15.75" customHeight="1" x14ac:dyDescent="0.25">
      <c r="A67" s="48"/>
      <c r="B67" s="26" t="s">
        <v>252</v>
      </c>
      <c r="C67" s="26">
        <v>83</v>
      </c>
      <c r="D67" s="26">
        <v>37</v>
      </c>
      <c r="E67" s="26">
        <v>46</v>
      </c>
      <c r="F67" s="26">
        <v>61</v>
      </c>
      <c r="G67" s="26">
        <v>12</v>
      </c>
      <c r="H67" s="26">
        <v>0</v>
      </c>
      <c r="I67" s="26">
        <v>10</v>
      </c>
      <c r="J67" s="26">
        <v>22</v>
      </c>
      <c r="K67" s="26">
        <v>61</v>
      </c>
      <c r="L67" s="26">
        <v>0</v>
      </c>
      <c r="M67" s="35">
        <v>2</v>
      </c>
    </row>
    <row r="68" spans="1:13" ht="15.75" customHeight="1" x14ac:dyDescent="0.25">
      <c r="A68" s="48"/>
      <c r="B68" s="26" t="s">
        <v>253</v>
      </c>
      <c r="C68" s="26">
        <v>71</v>
      </c>
      <c r="D68" s="26">
        <v>29</v>
      </c>
      <c r="E68" s="26">
        <v>42</v>
      </c>
      <c r="F68" s="26">
        <v>58</v>
      </c>
      <c r="G68" s="26">
        <v>6</v>
      </c>
      <c r="H68" s="26">
        <v>1</v>
      </c>
      <c r="I68" s="26">
        <v>6</v>
      </c>
      <c r="J68" s="26">
        <v>15</v>
      </c>
      <c r="K68" s="26">
        <v>56</v>
      </c>
      <c r="L68" s="26">
        <v>0</v>
      </c>
      <c r="M68" s="39">
        <v>1</v>
      </c>
    </row>
    <row r="69" spans="1:13" ht="15.75" customHeight="1" x14ac:dyDescent="0.25">
      <c r="A69" s="48"/>
      <c r="B69" s="36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8"/>
    </row>
    <row r="70" spans="1:13" ht="15.75" customHeight="1" x14ac:dyDescent="0.25">
      <c r="A70" s="48"/>
      <c r="B70" s="26" t="s">
        <v>254</v>
      </c>
      <c r="C70" s="26">
        <v>59</v>
      </c>
      <c r="D70" s="26">
        <v>18</v>
      </c>
      <c r="E70" s="26">
        <v>41</v>
      </c>
      <c r="F70" s="26">
        <v>39</v>
      </c>
      <c r="G70" s="26">
        <v>12</v>
      </c>
      <c r="H70" s="26">
        <v>1</v>
      </c>
      <c r="I70" s="26">
        <v>7</v>
      </c>
      <c r="J70" s="26">
        <v>17</v>
      </c>
      <c r="K70" s="26">
        <v>42</v>
      </c>
      <c r="L70" s="26">
        <v>0</v>
      </c>
      <c r="M70" s="39">
        <v>0</v>
      </c>
    </row>
    <row r="71" spans="1:13" ht="15.75" customHeight="1" x14ac:dyDescent="0.25">
      <c r="A71" s="48"/>
      <c r="B71" s="26" t="s">
        <v>255</v>
      </c>
      <c r="C71" s="26">
        <v>82</v>
      </c>
      <c r="D71" s="26">
        <v>29</v>
      </c>
      <c r="E71" s="26">
        <v>53</v>
      </c>
      <c r="F71" s="26">
        <v>57</v>
      </c>
      <c r="G71" s="26">
        <v>14</v>
      </c>
      <c r="H71" s="26">
        <v>0</v>
      </c>
      <c r="I71" s="26">
        <v>11</v>
      </c>
      <c r="J71" s="26">
        <v>18</v>
      </c>
      <c r="K71" s="26">
        <v>64</v>
      </c>
      <c r="L71" s="26">
        <v>0</v>
      </c>
      <c r="M71" s="39">
        <v>0</v>
      </c>
    </row>
    <row r="72" spans="1:13" ht="15.75" customHeight="1" x14ac:dyDescent="0.25">
      <c r="A72" s="49"/>
      <c r="B72" s="41" t="s">
        <v>256</v>
      </c>
      <c r="C72" s="41">
        <v>60</v>
      </c>
      <c r="D72" s="41">
        <v>25</v>
      </c>
      <c r="E72" s="41">
        <v>35</v>
      </c>
      <c r="F72" s="41">
        <v>47</v>
      </c>
      <c r="G72" s="41">
        <v>5</v>
      </c>
      <c r="H72" s="41">
        <v>0</v>
      </c>
      <c r="I72" s="41">
        <v>8</v>
      </c>
      <c r="J72" s="41">
        <v>15</v>
      </c>
      <c r="K72" s="41">
        <v>45</v>
      </c>
      <c r="L72" s="41">
        <v>0</v>
      </c>
      <c r="M72" s="42">
        <v>0</v>
      </c>
    </row>
    <row r="73" spans="1:13" ht="15.75" customHeight="1" x14ac:dyDescent="0.25">
      <c r="J73" s="6">
        <f>SUM(J58:J72)</f>
        <v>206</v>
      </c>
    </row>
    <row r="74" spans="1:13" ht="15.75" customHeight="1" x14ac:dyDescent="0.25"/>
    <row r="75" spans="1:13" ht="15.75" customHeight="1" x14ac:dyDescent="0.25"/>
    <row r="76" spans="1:13" ht="15.75" customHeight="1" x14ac:dyDescent="0.25">
      <c r="A76" s="47">
        <v>2024</v>
      </c>
      <c r="B76" s="26" t="s">
        <v>245</v>
      </c>
      <c r="C76" s="26">
        <v>85</v>
      </c>
      <c r="D76" s="26">
        <v>29</v>
      </c>
      <c r="E76" s="26">
        <v>56</v>
      </c>
      <c r="F76" s="26">
        <v>74</v>
      </c>
      <c r="G76" s="26">
        <v>7</v>
      </c>
      <c r="H76" s="26">
        <v>0</v>
      </c>
      <c r="I76" s="26">
        <v>4</v>
      </c>
      <c r="J76" s="26">
        <v>12</v>
      </c>
      <c r="K76" s="26">
        <v>73</v>
      </c>
      <c r="L76" s="26">
        <v>0</v>
      </c>
      <c r="M76" s="35">
        <v>0</v>
      </c>
    </row>
    <row r="77" spans="1:13" ht="15.75" customHeight="1" x14ac:dyDescent="0.25">
      <c r="A77" s="48"/>
      <c r="B77" s="26" t="s">
        <v>246</v>
      </c>
      <c r="C77" s="44">
        <v>74</v>
      </c>
      <c r="D77" s="44">
        <v>27</v>
      </c>
      <c r="E77" s="44">
        <v>47</v>
      </c>
      <c r="F77" s="44">
        <v>57</v>
      </c>
      <c r="G77" s="44">
        <v>7</v>
      </c>
      <c r="H77" s="44">
        <v>0</v>
      </c>
      <c r="I77" s="44">
        <v>10</v>
      </c>
      <c r="J77" s="44">
        <v>23</v>
      </c>
      <c r="K77" s="44">
        <v>51</v>
      </c>
      <c r="L77" s="26">
        <v>2</v>
      </c>
      <c r="M77" s="35">
        <v>1</v>
      </c>
    </row>
    <row r="78" spans="1:13" ht="15.75" customHeight="1" x14ac:dyDescent="0.25">
      <c r="A78" s="48"/>
      <c r="B78" s="26" t="s">
        <v>247</v>
      </c>
      <c r="C78" s="26">
        <v>69</v>
      </c>
      <c r="D78" s="26">
        <v>20</v>
      </c>
      <c r="E78" s="26">
        <v>49</v>
      </c>
      <c r="F78" s="26">
        <v>53</v>
      </c>
      <c r="G78" s="26">
        <v>4</v>
      </c>
      <c r="H78" s="26">
        <v>0</v>
      </c>
      <c r="I78" s="26">
        <v>12</v>
      </c>
      <c r="J78" s="26">
        <v>15</v>
      </c>
      <c r="K78" s="26">
        <v>54</v>
      </c>
      <c r="L78" s="26">
        <v>0</v>
      </c>
      <c r="M78" s="35">
        <v>0</v>
      </c>
    </row>
    <row r="79" spans="1:13" ht="15.75" customHeight="1" x14ac:dyDescent="0.25">
      <c r="A79" s="48"/>
      <c r="B79" s="36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8"/>
    </row>
    <row r="80" spans="1:13" ht="15.75" customHeight="1" x14ac:dyDescent="0.25">
      <c r="A80" s="48"/>
      <c r="B80" s="26" t="s">
        <v>248</v>
      </c>
      <c r="C80" s="26">
        <v>57</v>
      </c>
      <c r="D80" s="26">
        <v>20</v>
      </c>
      <c r="E80" s="26">
        <v>37</v>
      </c>
      <c r="F80" s="26">
        <v>50</v>
      </c>
      <c r="G80" s="26">
        <v>2</v>
      </c>
      <c r="H80" s="26">
        <v>0</v>
      </c>
      <c r="I80" s="26">
        <v>5</v>
      </c>
      <c r="J80" s="26">
        <v>9</v>
      </c>
      <c r="K80" s="26">
        <v>48</v>
      </c>
      <c r="L80" s="26">
        <v>0</v>
      </c>
      <c r="M80" s="39">
        <v>0</v>
      </c>
    </row>
    <row r="81" spans="1:13" ht="15.75" customHeight="1" x14ac:dyDescent="0.25">
      <c r="A81" s="48"/>
      <c r="B81" s="26" t="s">
        <v>249</v>
      </c>
      <c r="C81" s="26">
        <v>85</v>
      </c>
      <c r="D81" s="26">
        <v>25</v>
      </c>
      <c r="E81" s="26">
        <v>60</v>
      </c>
      <c r="F81" s="26">
        <v>68</v>
      </c>
      <c r="G81" s="26">
        <v>6</v>
      </c>
      <c r="H81" s="26">
        <v>0</v>
      </c>
      <c r="I81" s="26">
        <v>11</v>
      </c>
      <c r="J81" s="26">
        <v>25</v>
      </c>
      <c r="K81" s="26">
        <v>60</v>
      </c>
      <c r="L81" s="26">
        <v>1</v>
      </c>
      <c r="M81" s="39">
        <v>4</v>
      </c>
    </row>
    <row r="82" spans="1:13" ht="15.75" customHeight="1" x14ac:dyDescent="0.25">
      <c r="A82" s="48"/>
      <c r="B82" s="26" t="s">
        <v>250</v>
      </c>
      <c r="C82" s="26">
        <v>55</v>
      </c>
      <c r="D82" s="26">
        <v>13</v>
      </c>
      <c r="E82" s="26">
        <v>42</v>
      </c>
      <c r="F82" s="26">
        <v>38</v>
      </c>
      <c r="G82" s="26">
        <v>3</v>
      </c>
      <c r="H82" s="26">
        <v>1</v>
      </c>
      <c r="I82" s="26">
        <v>13</v>
      </c>
      <c r="J82" s="26">
        <v>14</v>
      </c>
      <c r="K82" s="26">
        <v>41</v>
      </c>
      <c r="L82" s="26">
        <v>1</v>
      </c>
      <c r="M82" s="39">
        <v>2</v>
      </c>
    </row>
    <row r="83" spans="1:13" ht="15.75" customHeight="1" x14ac:dyDescent="0.25">
      <c r="A83" s="48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40"/>
    </row>
    <row r="84" spans="1:13" ht="15.75" customHeight="1" x14ac:dyDescent="0.25">
      <c r="A84" s="48"/>
      <c r="B84" s="26" t="s">
        <v>251</v>
      </c>
      <c r="C84" s="26">
        <v>62</v>
      </c>
      <c r="D84" s="26">
        <v>18</v>
      </c>
      <c r="E84" s="26">
        <v>44</v>
      </c>
      <c r="F84" s="26">
        <v>53</v>
      </c>
      <c r="G84" s="26">
        <v>3</v>
      </c>
      <c r="H84" s="26">
        <v>1</v>
      </c>
      <c r="I84" s="26">
        <v>5</v>
      </c>
      <c r="J84" s="26">
        <v>10</v>
      </c>
      <c r="K84" s="26">
        <v>52</v>
      </c>
      <c r="L84" s="26">
        <v>0</v>
      </c>
      <c r="M84" s="35">
        <v>0</v>
      </c>
    </row>
    <row r="85" spans="1:13" ht="15.75" customHeight="1" x14ac:dyDescent="0.25">
      <c r="A85" s="48"/>
      <c r="B85" s="26" t="s">
        <v>252</v>
      </c>
      <c r="C85" s="26">
        <v>72</v>
      </c>
      <c r="D85" s="26">
        <v>24</v>
      </c>
      <c r="E85" s="26">
        <v>48</v>
      </c>
      <c r="F85" s="26">
        <v>66</v>
      </c>
      <c r="G85" s="26">
        <v>3</v>
      </c>
      <c r="H85" s="26">
        <v>0</v>
      </c>
      <c r="I85" s="26">
        <v>3</v>
      </c>
      <c r="J85" s="26">
        <v>8</v>
      </c>
      <c r="K85" s="26">
        <v>64</v>
      </c>
      <c r="L85" s="26">
        <v>0</v>
      </c>
      <c r="M85" s="35">
        <v>1</v>
      </c>
    </row>
    <row r="86" spans="1:13" ht="15.75" customHeight="1" x14ac:dyDescent="0.25">
      <c r="A86" s="48"/>
      <c r="B86" s="26" t="s">
        <v>253</v>
      </c>
      <c r="C86" s="26">
        <v>77</v>
      </c>
      <c r="D86" s="26">
        <v>14</v>
      </c>
      <c r="E86" s="26">
        <v>63</v>
      </c>
      <c r="F86" s="26">
        <v>62</v>
      </c>
      <c r="G86" s="26">
        <v>7</v>
      </c>
      <c r="H86" s="26">
        <v>1</v>
      </c>
      <c r="I86" s="26">
        <v>7</v>
      </c>
      <c r="J86" s="26">
        <v>18</v>
      </c>
      <c r="K86" s="26">
        <v>59</v>
      </c>
      <c r="L86" s="26">
        <v>2</v>
      </c>
      <c r="M86" s="39">
        <v>0</v>
      </c>
    </row>
    <row r="87" spans="1:13" ht="15.75" customHeight="1" x14ac:dyDescent="0.25">
      <c r="A87" s="48"/>
      <c r="B87" s="36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8"/>
    </row>
    <row r="88" spans="1:13" ht="15.75" customHeight="1" x14ac:dyDescent="0.25">
      <c r="A88" s="48"/>
      <c r="B88" s="26" t="s">
        <v>254</v>
      </c>
      <c r="C88" s="26">
        <v>90</v>
      </c>
      <c r="D88" s="26">
        <v>27</v>
      </c>
      <c r="E88" s="26">
        <v>63</v>
      </c>
      <c r="F88" s="26">
        <v>66</v>
      </c>
      <c r="G88" s="26">
        <v>14</v>
      </c>
      <c r="H88" s="26">
        <v>0</v>
      </c>
      <c r="I88" s="26">
        <v>10</v>
      </c>
      <c r="J88" s="26">
        <v>20</v>
      </c>
      <c r="K88" s="26">
        <v>70</v>
      </c>
      <c r="L88" s="26">
        <v>0</v>
      </c>
      <c r="M88" s="39">
        <v>1</v>
      </c>
    </row>
    <row r="89" spans="1:13" ht="15.75" customHeight="1" x14ac:dyDescent="0.25">
      <c r="A89" s="48"/>
      <c r="B89" s="26" t="s">
        <v>255</v>
      </c>
      <c r="C89" s="26">
        <v>72</v>
      </c>
      <c r="D89" s="26">
        <v>15</v>
      </c>
      <c r="E89" s="26">
        <v>57</v>
      </c>
      <c r="F89" s="26">
        <v>56</v>
      </c>
      <c r="G89" s="26">
        <v>10</v>
      </c>
      <c r="H89" s="26">
        <v>1</v>
      </c>
      <c r="I89" s="26">
        <v>5</v>
      </c>
      <c r="J89" s="26">
        <v>13</v>
      </c>
      <c r="K89" s="26">
        <v>59</v>
      </c>
      <c r="L89" s="26">
        <v>0</v>
      </c>
      <c r="M89" s="39">
        <v>4</v>
      </c>
    </row>
    <row r="90" spans="1:13" ht="15.75" customHeight="1" x14ac:dyDescent="0.25">
      <c r="A90" s="49"/>
      <c r="B90" s="41" t="s">
        <v>256</v>
      </c>
      <c r="C90" s="41">
        <v>38</v>
      </c>
      <c r="D90" s="41">
        <v>12</v>
      </c>
      <c r="E90" s="41">
        <v>26</v>
      </c>
      <c r="F90" s="41">
        <v>34</v>
      </c>
      <c r="G90" s="41">
        <v>4</v>
      </c>
      <c r="H90" s="41">
        <v>0</v>
      </c>
      <c r="I90" s="41">
        <v>0</v>
      </c>
      <c r="J90" s="41">
        <v>4</v>
      </c>
      <c r="K90" s="41">
        <v>34</v>
      </c>
      <c r="L90" s="41">
        <v>0</v>
      </c>
      <c r="M90" s="42">
        <v>1</v>
      </c>
    </row>
    <row r="91" spans="1:13" ht="15.75" customHeight="1" x14ac:dyDescent="0.25">
      <c r="J91" s="6">
        <f>SUM(J76:J90)</f>
        <v>171</v>
      </c>
    </row>
    <row r="92" spans="1:13" ht="15.75" customHeight="1" x14ac:dyDescent="0.25">
      <c r="J92" s="6">
        <v>73</v>
      </c>
    </row>
    <row r="93" spans="1:13" ht="15.75" customHeight="1" x14ac:dyDescent="0.25"/>
    <row r="94" spans="1:13" ht="15.75" customHeight="1" x14ac:dyDescent="0.25">
      <c r="A94" s="47">
        <v>2025</v>
      </c>
      <c r="B94" s="26" t="s">
        <v>245</v>
      </c>
      <c r="C94" s="26">
        <v>83</v>
      </c>
      <c r="D94" s="26">
        <v>26</v>
      </c>
      <c r="E94" s="26">
        <v>57</v>
      </c>
      <c r="F94" s="26">
        <v>72</v>
      </c>
      <c r="G94" s="26">
        <v>7</v>
      </c>
      <c r="H94" s="26">
        <v>0</v>
      </c>
      <c r="I94" s="26">
        <v>4</v>
      </c>
      <c r="J94" s="26">
        <v>26</v>
      </c>
      <c r="K94" s="26">
        <v>57</v>
      </c>
      <c r="L94" s="26">
        <v>4</v>
      </c>
      <c r="M94" s="35">
        <v>3</v>
      </c>
    </row>
    <row r="95" spans="1:13" ht="15.75" customHeight="1" x14ac:dyDescent="0.25">
      <c r="A95" s="48"/>
      <c r="B95" s="26" t="s">
        <v>246</v>
      </c>
      <c r="C95" s="12">
        <v>88</v>
      </c>
      <c r="D95" s="12">
        <v>22</v>
      </c>
      <c r="E95" s="12">
        <v>66</v>
      </c>
      <c r="F95" s="12">
        <v>67</v>
      </c>
      <c r="G95" s="12">
        <v>11</v>
      </c>
      <c r="H95" s="12">
        <v>1</v>
      </c>
      <c r="I95" s="12">
        <v>9</v>
      </c>
      <c r="J95" s="12">
        <v>24</v>
      </c>
      <c r="K95" s="12">
        <v>64</v>
      </c>
      <c r="L95" s="26">
        <v>0</v>
      </c>
      <c r="M95" s="35">
        <v>1</v>
      </c>
    </row>
    <row r="96" spans="1:13" ht="15.75" customHeight="1" x14ac:dyDescent="0.25">
      <c r="A96" s="48"/>
      <c r="B96" s="26" t="s">
        <v>247</v>
      </c>
      <c r="C96" s="26">
        <v>71</v>
      </c>
      <c r="D96" s="26">
        <v>22</v>
      </c>
      <c r="E96" s="26">
        <v>49</v>
      </c>
      <c r="F96" s="26">
        <v>56</v>
      </c>
      <c r="G96" s="26">
        <v>8</v>
      </c>
      <c r="H96" s="26">
        <v>0</v>
      </c>
      <c r="I96" s="26">
        <v>7</v>
      </c>
      <c r="J96" s="26">
        <v>21</v>
      </c>
      <c r="K96" s="26">
        <v>50</v>
      </c>
      <c r="L96" s="26">
        <v>0</v>
      </c>
      <c r="M96" s="35">
        <v>1</v>
      </c>
    </row>
    <row r="97" spans="1:13" ht="15.75" customHeight="1" x14ac:dyDescent="0.25">
      <c r="A97" s="48"/>
      <c r="B97" s="36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8"/>
    </row>
    <row r="98" spans="1:13" ht="15.75" customHeight="1" x14ac:dyDescent="0.25">
      <c r="A98" s="48"/>
      <c r="B98" s="26" t="s">
        <v>248</v>
      </c>
      <c r="C98" s="26">
        <v>75</v>
      </c>
      <c r="D98" s="26">
        <v>20</v>
      </c>
      <c r="E98" s="26">
        <v>55</v>
      </c>
      <c r="F98" s="26">
        <v>66</v>
      </c>
      <c r="G98" s="26">
        <v>6</v>
      </c>
      <c r="H98" s="26">
        <v>1</v>
      </c>
      <c r="I98" s="26">
        <v>2</v>
      </c>
      <c r="J98" s="26">
        <v>12</v>
      </c>
      <c r="K98" s="26">
        <v>63</v>
      </c>
      <c r="L98" s="26">
        <v>0</v>
      </c>
      <c r="M98" s="39">
        <v>1</v>
      </c>
    </row>
    <row r="99" spans="1:13" ht="15.75" customHeight="1" x14ac:dyDescent="0.25">
      <c r="A99" s="48"/>
      <c r="B99" s="26" t="s">
        <v>249</v>
      </c>
      <c r="C99" s="26">
        <v>68</v>
      </c>
      <c r="D99" s="26">
        <v>22</v>
      </c>
      <c r="E99" s="26">
        <v>46</v>
      </c>
      <c r="F99" s="26">
        <v>56</v>
      </c>
      <c r="G99" s="26">
        <v>3</v>
      </c>
      <c r="H99" s="26">
        <v>2</v>
      </c>
      <c r="I99" s="26">
        <v>7</v>
      </c>
      <c r="J99" s="26">
        <v>20</v>
      </c>
      <c r="K99" s="26">
        <v>48</v>
      </c>
      <c r="L99" s="26">
        <v>0</v>
      </c>
      <c r="M99" s="39">
        <v>2</v>
      </c>
    </row>
    <row r="100" spans="1:13" ht="15.75" customHeight="1" x14ac:dyDescent="0.25">
      <c r="A100" s="48"/>
      <c r="B100" s="26" t="s">
        <v>250</v>
      </c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39"/>
    </row>
    <row r="101" spans="1:13" ht="15.75" customHeight="1" x14ac:dyDescent="0.25">
      <c r="A101" s="48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40"/>
    </row>
    <row r="102" spans="1:13" ht="15.75" customHeight="1" x14ac:dyDescent="0.25">
      <c r="A102" s="48"/>
      <c r="B102" s="26" t="s">
        <v>251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35"/>
    </row>
    <row r="103" spans="1:13" ht="15.75" customHeight="1" x14ac:dyDescent="0.25">
      <c r="A103" s="48"/>
      <c r="B103" s="26" t="s">
        <v>252</v>
      </c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35"/>
    </row>
    <row r="104" spans="1:13" ht="15.75" customHeight="1" x14ac:dyDescent="0.25">
      <c r="A104" s="48"/>
      <c r="B104" s="26" t="s">
        <v>253</v>
      </c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39"/>
    </row>
    <row r="105" spans="1:13" ht="15.75" customHeight="1" x14ac:dyDescent="0.25">
      <c r="A105" s="48"/>
      <c r="B105" s="36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8"/>
    </row>
    <row r="106" spans="1:13" ht="15.75" customHeight="1" x14ac:dyDescent="0.25">
      <c r="A106" s="48"/>
      <c r="B106" s="26" t="s">
        <v>254</v>
      </c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39"/>
    </row>
    <row r="107" spans="1:13" ht="15.75" customHeight="1" x14ac:dyDescent="0.25">
      <c r="A107" s="48"/>
      <c r="B107" s="26" t="s">
        <v>255</v>
      </c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39"/>
    </row>
    <row r="108" spans="1:13" ht="15.75" customHeight="1" x14ac:dyDescent="0.25">
      <c r="A108" s="49"/>
      <c r="B108" s="41" t="s">
        <v>256</v>
      </c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2"/>
    </row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76:A90"/>
    <mergeCell ref="A94:A108"/>
    <mergeCell ref="A2:A16"/>
    <mergeCell ref="E19:H19"/>
    <mergeCell ref="A21:A35"/>
    <mergeCell ref="A39:A53"/>
    <mergeCell ref="A58:A7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Treatment Record</vt:lpstr>
      <vt:lpstr>Treatment Data</vt:lpstr>
      <vt:lpstr>Treatment summary</vt:lpstr>
      <vt:lpstr>Monthly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Ransom, Ray (CDC/GHC/DGHT)</cp:lastModifiedBy>
  <dcterms:created xsi:type="dcterms:W3CDTF">2020-01-07T12:53:51Z</dcterms:created>
  <dcterms:modified xsi:type="dcterms:W3CDTF">2026-01-15T12:28:59Z</dcterms:modified>
</cp:coreProperties>
</file>