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B8487DE1-ABA4-4DD6-9EC2-8501B453E5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Record'!$A$1:$AG$76</definedName>
    <definedName name="_xlnm._FilterDatabase" localSheetId="2" hidden="1">'Treatment summary'!$A$1:$N$42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i6bp533UlZGt4KsMXHbQp4ac2Ix8AfbmWtaZ0jkh+4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R66" i="2"/>
  <c r="D53" i="2"/>
  <c r="D52" i="2"/>
  <c r="D51" i="2"/>
  <c r="D50" i="2"/>
  <c r="D49" i="2"/>
  <c r="D48" i="2"/>
  <c r="N42" i="2"/>
  <c r="L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R21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I42" i="2" s="1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J42" i="2" s="1"/>
  <c r="I2" i="2"/>
  <c r="H2" i="2"/>
  <c r="G2" i="2"/>
  <c r="F2" i="2"/>
  <c r="E2" i="2"/>
  <c r="D2" i="2"/>
  <c r="C2" i="2"/>
  <c r="B2" i="2"/>
  <c r="B42" i="2" s="1"/>
  <c r="D42" i="2" l="1"/>
  <c r="Q5" i="2" s="1"/>
  <c r="M42" i="2"/>
  <c r="C42" i="2"/>
  <c r="E42" i="2"/>
  <c r="Q9" i="2" s="1"/>
  <c r="F42" i="2"/>
  <c r="Q10" i="2" s="1"/>
  <c r="G42" i="2"/>
  <c r="Q11" i="2" s="1"/>
  <c r="K42" i="2"/>
  <c r="H42" i="2"/>
  <c r="Q12" i="2" s="1"/>
  <c r="Q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6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ID#AAABm7AdCsk
Rays of hope HospiceJinja    (2025-07-03 10:41:18)
Mamogram</t>
        </r>
      </text>
    </comment>
    <comment ref="R7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ID#AAABm7AdCso
Rays of hope HospiceJinja    (2025-07-03 10:43:16)
ECG&amp;ECHO</t>
        </r>
      </text>
    </comment>
    <comment ref="R13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ID#AAABm7AdCsw
Rays of hope HospiceJinja    (2025-07-03 11:04:38)
Audiometry</t>
        </r>
      </text>
    </comment>
    <comment ref="V16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ID#AAABm7AdCs8
Rays of hope HospiceJinja    (2025-07-03 11:12:35)
Doppler scan</t>
        </r>
      </text>
    </comment>
    <comment ref="R1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ID#AAABm7AdCtE
Rays of hope HospiceJinja    (2025-07-03 11:21:01)
OPG</t>
        </r>
      </text>
    </comment>
    <comment ref="R20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ID#AAABm7AdCtM
Rays of hope HospiceJinja    (2025-07-03 11:24:43)
ECHO/ECG</t>
        </r>
      </text>
    </comment>
    <comment ref="V20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ID#AAABm7AdCtI
Rays of hope HospiceJinja    (2025-07-03 11:23:47)
CT &amp; AUSS</t>
        </r>
      </text>
    </comment>
    <comment ref="R6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ID#AAABm8jjmHM
Rays of hope HospiceJinja    (2025-07-04 04:51:13)
Audiometry</t>
        </r>
      </text>
    </comment>
    <comment ref="R6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ID#AAABm8jjmHQ
Rays of hope HospiceJinja    (2025-07-04 04:53:10)
ECG/ECHO</t>
        </r>
      </text>
    </comment>
    <comment ref="V63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ID#AAABm8jjmHU
Rays of hope HospiceJinja    (2025-07-04 04:56:12)
AUSS+CT Scan</t>
        </r>
      </text>
    </comment>
    <comment ref="R6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ID#AAABm8jjmHY
Rays of hope HospiceJinja    (2025-07-04 05:02:20)
Doppler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UHF8/KOoFOhCZit97Q8DulGP7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6" authorId="0" shapeId="0" xr:uid="{E7539894-854E-426B-8422-DBEB33C6FCD3}">
      <text>
        <r>
          <rPr>
            <sz val="11"/>
            <color theme="1"/>
            <rFont val="Calibri"/>
            <scheme val="minor"/>
          </rPr>
          <t>======
ID#AAABm7AdCsk
Rays of hope HospiceJinja    (2025-07-03 10:41:18)
Mamogram</t>
        </r>
      </text>
    </comment>
    <comment ref="R7" authorId="0" shapeId="0" xr:uid="{9503D692-E9F5-461D-9906-C10A971B37C6}">
      <text>
        <r>
          <rPr>
            <sz val="11"/>
            <color theme="1"/>
            <rFont val="Calibri"/>
            <scheme val="minor"/>
          </rPr>
          <t>======
ID#AAABm7AdCso
Rays of hope HospiceJinja    (2025-07-03 10:43:16)
ECG&amp;ECHO</t>
        </r>
      </text>
    </comment>
    <comment ref="R12" authorId="0" shapeId="0" xr:uid="{4F8B8848-CF11-4321-9693-80FED5340392}">
      <text>
        <r>
          <rPr>
            <sz val="11"/>
            <color theme="1"/>
            <rFont val="Calibri"/>
            <scheme val="minor"/>
          </rPr>
          <t>======
ID#AAABm7AdCsw
Rays of hope HospiceJinja    (2025-07-03 11:04:38)
Audiometry</t>
        </r>
      </text>
    </comment>
    <comment ref="R17" authorId="0" shapeId="0" xr:uid="{D12D7868-5719-4373-B77D-0C2C0D12FD26}">
      <text>
        <r>
          <rPr>
            <sz val="11"/>
            <color theme="1"/>
            <rFont val="Calibri"/>
            <scheme val="minor"/>
          </rPr>
          <t>======
ID#AAABm7AdCtM
Rays of hope HospiceJinja    (2025-07-03 11:24:43)
ECHO/ECG</t>
        </r>
      </text>
    </comment>
    <comment ref="V17" authorId="0" shapeId="0" xr:uid="{686AD324-B41A-4649-953F-4E55E88A4487}">
      <text>
        <r>
          <rPr>
            <sz val="11"/>
            <color theme="1"/>
            <rFont val="Calibri"/>
            <scheme val="minor"/>
          </rPr>
          <t>======
ID#AAABm7AdCtI
Rays of hope HospiceJinja    (2025-07-03 11:23:47)
CT &amp; AUSS</t>
        </r>
      </text>
    </comment>
    <comment ref="R52" authorId="0" shapeId="0" xr:uid="{8D05F6B8-8FE6-44EF-B8EF-0F06640C1D35}">
      <text>
        <r>
          <rPr>
            <sz val="11"/>
            <color theme="1"/>
            <rFont val="Calibri"/>
            <scheme val="minor"/>
          </rPr>
          <t>======
ID#AAABm8jjmHM
Rays of hope HospiceJinja    (2025-07-04 04:51:13)
Audiometry</t>
        </r>
      </text>
    </comment>
  </commentList>
</comments>
</file>

<file path=xl/sharedStrings.xml><?xml version="1.0" encoding="utf-8"?>
<sst xmlns="http://schemas.openxmlformats.org/spreadsheetml/2006/main" count="1037" uniqueCount="283">
  <si>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</si>
  <si>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</si>
  <si>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</si>
  <si>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</si>
  <si>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</si>
  <si>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</si>
  <si>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</si>
  <si>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</si>
  <si>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</si>
  <si>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</si>
  <si>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</si>
  <si>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</si>
  <si>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</si>
  <si>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</si>
  <si>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</si>
  <si>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</si>
  <si>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</si>
  <si>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</si>
  <si>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</si>
  <si>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</si>
  <si>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</si>
  <si>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</si>
  <si>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</si>
  <si>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</si>
  <si>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</si>
  <si>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</si>
  <si>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</si>
  <si>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</si>
  <si>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</si>
  <si>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</si>
  <si>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</si>
  <si>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</si>
  <si>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</si>
  <si>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Namayingo</t>
  </si>
  <si>
    <t>Maka Shakur</t>
  </si>
  <si>
    <t>M</t>
  </si>
  <si>
    <t>Small round blue cell tumour</t>
  </si>
  <si>
    <t>Ca</t>
  </si>
  <si>
    <t>Kaliro</t>
  </si>
  <si>
    <t>Namulondo Eve</t>
  </si>
  <si>
    <t>F</t>
  </si>
  <si>
    <t>HIV/AIDS</t>
  </si>
  <si>
    <t>HIV</t>
  </si>
  <si>
    <t>Bugerere</t>
  </si>
  <si>
    <t>Lubega Shanik</t>
  </si>
  <si>
    <t>Retinoblastoma</t>
  </si>
  <si>
    <t>26/05/2025</t>
  </si>
  <si>
    <t>Namwendwa</t>
  </si>
  <si>
    <t>Nanyondwa Betty</t>
  </si>
  <si>
    <t>Ca Skin</t>
  </si>
  <si>
    <t>Kamuli</t>
  </si>
  <si>
    <t>Birungi Jesca</t>
  </si>
  <si>
    <t>Ca Breast</t>
  </si>
  <si>
    <t>Kayunga</t>
  </si>
  <si>
    <t>Nabirye Catherine</t>
  </si>
  <si>
    <t>28/01/2025</t>
  </si>
  <si>
    <t>Walukuba</t>
  </si>
  <si>
    <t>Naisiga Aidah</t>
  </si>
  <si>
    <t>Early Acinic Cell Carcinoma</t>
  </si>
  <si>
    <t>Kiyindi</t>
  </si>
  <si>
    <t>Nakajiri Angel</t>
  </si>
  <si>
    <t>KS+HIV</t>
  </si>
  <si>
    <t>Ca/Hiv</t>
  </si>
  <si>
    <t>24/07/2023</t>
  </si>
  <si>
    <t>Buwenge</t>
  </si>
  <si>
    <t>Lubega Joseph</t>
  </si>
  <si>
    <t>Endemic K.S</t>
  </si>
  <si>
    <t>Budiima</t>
  </si>
  <si>
    <t>Nabirye Lydia</t>
  </si>
  <si>
    <t>CaCx+HIV/AIDS</t>
  </si>
  <si>
    <t>Ca/HIV</t>
  </si>
  <si>
    <t>Bugaya</t>
  </si>
  <si>
    <t>Ewuliana Regan</t>
  </si>
  <si>
    <t>Wilm's Tumour</t>
  </si>
  <si>
    <t>25/09/2021</t>
  </si>
  <si>
    <t>Hospice</t>
  </si>
  <si>
    <t>Kairugavu Faizal</t>
  </si>
  <si>
    <t>Nabirye Edisa</t>
  </si>
  <si>
    <t>Ossifying Fibroma</t>
  </si>
  <si>
    <t>Other</t>
  </si>
  <si>
    <t>Nakato Anna</t>
  </si>
  <si>
    <t>Ca. Thyroid</t>
  </si>
  <si>
    <t>20/06/2025</t>
  </si>
  <si>
    <t>Bukungu</t>
  </si>
  <si>
    <t>Mukaaya Yakub</t>
  </si>
  <si>
    <t>Osteosarcoma</t>
  </si>
  <si>
    <t>15/05/2025</t>
  </si>
  <si>
    <t>Buhemba</t>
  </si>
  <si>
    <t>Mukisa Elvis</t>
  </si>
  <si>
    <t>Lymphoma</t>
  </si>
  <si>
    <t>17/03/2025</t>
  </si>
  <si>
    <t>Babirye Resty</t>
  </si>
  <si>
    <t>Ivukula</t>
  </si>
  <si>
    <t>Nakaswa Nulu</t>
  </si>
  <si>
    <t>Amelablastoma</t>
  </si>
  <si>
    <t>19/05/2025</t>
  </si>
  <si>
    <t>Kyandiru Madina</t>
  </si>
  <si>
    <t>Mugere Lwanga John</t>
  </si>
  <si>
    <t>Ca Prostate</t>
  </si>
  <si>
    <t>25/04/2025</t>
  </si>
  <si>
    <t>Banda</t>
  </si>
  <si>
    <t>Egesa Patrick</t>
  </si>
  <si>
    <t>High Grade Sarcoma</t>
  </si>
  <si>
    <t>26/03/2024</t>
  </si>
  <si>
    <t>Kagoya Saudha</t>
  </si>
  <si>
    <t>CaCx</t>
  </si>
  <si>
    <t>29/04/2024</t>
  </si>
  <si>
    <t>Bugembe</t>
  </si>
  <si>
    <t>Namugaaju Bernadette</t>
  </si>
  <si>
    <t>22/11/2023</t>
  </si>
  <si>
    <t>Muterere</t>
  </si>
  <si>
    <t>Namirimwe Shaluwa</t>
  </si>
  <si>
    <t>22/07/2024</t>
  </si>
  <si>
    <t>Nabirye Jesca</t>
  </si>
  <si>
    <t>Ca Oesophagus</t>
  </si>
  <si>
    <t>Mayuge</t>
  </si>
  <si>
    <t>Afayo Oketch</t>
  </si>
  <si>
    <t>21/11/2022</t>
  </si>
  <si>
    <t>Kyakuwaire Teopista</t>
  </si>
  <si>
    <t>15/10/2024</t>
  </si>
  <si>
    <t>Kiyunga</t>
  </si>
  <si>
    <t>Nzala Joyce</t>
  </si>
  <si>
    <t>14/02/2022</t>
  </si>
  <si>
    <t>Alachai Phillip</t>
  </si>
  <si>
    <t>14/03/2025</t>
  </si>
  <si>
    <t>Nabwire Dinah</t>
  </si>
  <si>
    <t>Kidera</t>
  </si>
  <si>
    <t>Mustesi Hellen</t>
  </si>
  <si>
    <t>Sinonasal Carcinoma</t>
  </si>
  <si>
    <t>18/08/2020</t>
  </si>
  <si>
    <t>Budondo</t>
  </si>
  <si>
    <t>Mutemo Dison</t>
  </si>
  <si>
    <t>22/04/20225</t>
  </si>
  <si>
    <t>Naigaga Rebecca</t>
  </si>
  <si>
    <t>27/08/2024</t>
  </si>
  <si>
    <t>Mbulamuti</t>
  </si>
  <si>
    <t>Namaganda Susan</t>
  </si>
  <si>
    <t>24/02/2025</t>
  </si>
  <si>
    <t>Nabukenya Ruth</t>
  </si>
  <si>
    <t>Namasagali</t>
  </si>
  <si>
    <t>Nampuli Monica</t>
  </si>
  <si>
    <t>Wangira Freddie Steven</t>
  </si>
  <si>
    <t>24/10/2023</t>
  </si>
  <si>
    <t>Ntono Hailati Elizabeth</t>
  </si>
  <si>
    <t>Nantale Rebecca</t>
  </si>
  <si>
    <t>Nawanyago</t>
  </si>
  <si>
    <t>Gwotawe Jovia</t>
  </si>
  <si>
    <t>Nasopharyngeal Carcinoma</t>
  </si>
  <si>
    <t>25/04/2024</t>
  </si>
  <si>
    <t>Nazziwa Noeline</t>
  </si>
  <si>
    <t>17/01/2022</t>
  </si>
  <si>
    <t>Namungalwe</t>
  </si>
  <si>
    <t>Nakku Faridah</t>
  </si>
  <si>
    <t>26/11/2024</t>
  </si>
  <si>
    <t>Nambilo Aidha Nayiga</t>
  </si>
  <si>
    <t>23/08/2022</t>
  </si>
  <si>
    <t>Nyenga</t>
  </si>
  <si>
    <t>Babigumila Zuula</t>
  </si>
  <si>
    <t>SCC</t>
  </si>
  <si>
    <t>31/01/2025</t>
  </si>
  <si>
    <t>Aliko Kevin</t>
  </si>
  <si>
    <t>Leiomyosarcoma</t>
  </si>
  <si>
    <t>Eryevunye James</t>
  </si>
  <si>
    <t>Isabirye Salimu</t>
  </si>
  <si>
    <t>Hepatoblastoma</t>
  </si>
  <si>
    <t>21/11/2024</t>
  </si>
  <si>
    <t>Ali Christopher</t>
  </si>
  <si>
    <t>24/01/2023</t>
  </si>
  <si>
    <t>Alirwa Hadija</t>
  </si>
  <si>
    <t>Nabutono Mary</t>
  </si>
  <si>
    <t>Namata Betty</t>
  </si>
  <si>
    <t>Ca Breast+HIV/AIDS</t>
  </si>
  <si>
    <t>24/08/2020</t>
  </si>
  <si>
    <t>Wamuluta Mary</t>
  </si>
  <si>
    <t>19/08/2024</t>
  </si>
  <si>
    <t>Mukunya Henry</t>
  </si>
  <si>
    <t>Kyozira Brenda</t>
  </si>
  <si>
    <t>21/10/2024</t>
  </si>
  <si>
    <t>Bugulumbya</t>
  </si>
  <si>
    <t>Abita Justine</t>
  </si>
  <si>
    <t>23/06/2025</t>
  </si>
  <si>
    <t>Katambala Jovan</t>
  </si>
  <si>
    <t>29/01/2025</t>
  </si>
  <si>
    <t>Guligo Swaibu</t>
  </si>
  <si>
    <t>Intrabdominal tumour</t>
  </si>
  <si>
    <t>17/06/2025</t>
  </si>
  <si>
    <t>Nabirye Harriet</t>
  </si>
  <si>
    <t>Paratoid tumour</t>
  </si>
  <si>
    <t>19/06/2025</t>
  </si>
  <si>
    <t>Dukaire Guloba</t>
  </si>
  <si>
    <t>27/05/2024</t>
  </si>
  <si>
    <t>Nambi Annet</t>
  </si>
  <si>
    <t>24/06/2025</t>
  </si>
  <si>
    <t>Naigaga Irene</t>
  </si>
  <si>
    <t>Tushemererwe Flugensia</t>
  </si>
  <si>
    <t>Sarcoma+HIV/AIDS</t>
  </si>
  <si>
    <t>Buyende</t>
  </si>
  <si>
    <t>Bikoti Mwesigwa</t>
  </si>
  <si>
    <t>Ca Eye</t>
  </si>
  <si>
    <t>19/04/2024</t>
  </si>
  <si>
    <t>Kagulu</t>
  </si>
  <si>
    <t>Bakita Monica</t>
  </si>
  <si>
    <t>22/04/2025</t>
  </si>
  <si>
    <t>Kapyo Shabani</t>
  </si>
  <si>
    <t>Leukemia</t>
  </si>
  <si>
    <t>Sentejja Moses</t>
  </si>
  <si>
    <t>Desmoid Tumour</t>
  </si>
  <si>
    <t>30/01/2025</t>
  </si>
  <si>
    <t>Odongo John</t>
  </si>
  <si>
    <t>Colorectal Cancer</t>
  </si>
  <si>
    <t>Nzaala Joyce</t>
  </si>
  <si>
    <t>16/09/2024</t>
  </si>
  <si>
    <t>Muwanguzi Timothy</t>
  </si>
  <si>
    <t>Rhabdomyosarcoma</t>
  </si>
  <si>
    <t>27/11/2023</t>
  </si>
  <si>
    <t>Atuhaire Lillian</t>
  </si>
  <si>
    <t>18/06/2025</t>
  </si>
  <si>
    <t>Namande Florence</t>
  </si>
  <si>
    <t>Hepatitis &amp; Renal Failure</t>
  </si>
  <si>
    <t>Nantale Mary</t>
  </si>
  <si>
    <t>27/11/2024</t>
  </si>
  <si>
    <t>Iganga</t>
  </si>
  <si>
    <t>Bukenya Gerald</t>
  </si>
  <si>
    <t>Munana Aminsi</t>
  </si>
  <si>
    <t>23/01/2025</t>
  </si>
  <si>
    <t>Nakiboneka Mary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</si>
  <si>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</si>
  <si>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</si>
  <si>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</si>
  <si>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</si>
  <si>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</si>
  <si>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</si>
  <si>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</si>
  <si>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</si>
  <si>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</si>
  <si>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</si>
  <si>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Female</t>
  </si>
  <si>
    <t>Diagnosis %</t>
  </si>
  <si>
    <t>Bugiri</t>
  </si>
  <si>
    <t>Bugulumbya/Lulyambuzi</t>
  </si>
  <si>
    <t>Busedde</t>
  </si>
  <si>
    <t>Busembatia</t>
  </si>
  <si>
    <t>Busia</t>
  </si>
  <si>
    <t>Hospice Jinja</t>
  </si>
  <si>
    <t>Hospice NFO</t>
  </si>
  <si>
    <t>Iganga Ibulanka</t>
  </si>
  <si>
    <t>Children</t>
  </si>
  <si>
    <t>Kagumba</t>
  </si>
  <si>
    <t>Boys</t>
  </si>
  <si>
    <t>Girls</t>
  </si>
  <si>
    <t xml:space="preserve">Kiyindi </t>
  </si>
  <si>
    <t xml:space="preserve">Kiyunga </t>
  </si>
  <si>
    <t>Lumino</t>
  </si>
  <si>
    <t>Makuutu</t>
  </si>
  <si>
    <t>Diagnosis</t>
  </si>
  <si>
    <t>Ameloblastoma</t>
  </si>
  <si>
    <t>Nawampiti/Buyengo</t>
  </si>
  <si>
    <t>TOTAL</t>
  </si>
  <si>
    <t>Early Acinic cell carcinoma</t>
  </si>
  <si>
    <t>Endmic KS</t>
  </si>
  <si>
    <t>SURGERY</t>
  </si>
  <si>
    <t>X ray</t>
  </si>
  <si>
    <t>Dicharge</t>
  </si>
  <si>
    <t>Squamous papilloma+HIV</t>
  </si>
  <si>
    <t>Wilm's Tumor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</si>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</sst>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1F1F1F"/>
      <name val="Arial"/>
    </font>
    <font>
      <sz val="11"/>
      <color rgb="FF000000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2" borderId="0" xfId="0" applyFont="1" applyFill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3" borderId="5" xfId="0" applyFont="1" applyFill="1" applyBorder="1"/>
    <xf numFmtId="0" fontId="8" fillId="2" borderId="1" xfId="0" applyFont="1" applyFill="1" applyBorder="1"/>
    <xf numFmtId="0" fontId="4" fillId="0" borderId="1" xfId="0" applyFont="1" applyBorder="1"/>
    <xf numFmtId="0" fontId="7" fillId="2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9" fillId="0" borderId="1" xfId="0" applyFont="1" applyBorder="1"/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004"/>
  <sheetViews>
    <sheetView workbookViewId="0">
      <pane xSplit="4" ySplit="1" topLeftCell="L45" activePane="bottomRight" state="frozen"/>
      <selection pane="topRight" activeCell="E1" sqref="E1"/>
      <selection pane="bottomLeft" activeCell="A3" sqref="A3"/>
      <selection pane="bottomRight" sqref="A1:AG76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>
        <v>45752</v>
      </c>
      <c r="B2" s="6" t="s">
        <v>33</v>
      </c>
      <c r="D2" s="6" t="s">
        <v>34</v>
      </c>
      <c r="E2" s="6">
        <v>3</v>
      </c>
      <c r="F2" s="7">
        <v>1</v>
      </c>
      <c r="G2" s="6" t="s">
        <v>35</v>
      </c>
      <c r="H2" s="6" t="s">
        <v>36</v>
      </c>
      <c r="I2" s="6" t="s">
        <v>37</v>
      </c>
      <c r="L2" s="7">
        <v>1</v>
      </c>
      <c r="M2" s="6"/>
      <c r="P2" s="6">
        <v>1</v>
      </c>
      <c r="V2" s="7">
        <v>2</v>
      </c>
      <c r="W2" s="7">
        <v>1</v>
      </c>
      <c r="AC2" s="6">
        <v>1</v>
      </c>
    </row>
    <row r="3" spans="1:33" ht="15.75" customHeight="1" x14ac:dyDescent="0.25">
      <c r="A3" s="5">
        <v>45963</v>
      </c>
      <c r="B3" s="6" t="s">
        <v>38</v>
      </c>
      <c r="D3" s="6" t="s">
        <v>39</v>
      </c>
      <c r="E3" s="6">
        <v>37</v>
      </c>
      <c r="G3" s="6" t="s">
        <v>40</v>
      </c>
      <c r="H3" s="6" t="s">
        <v>41</v>
      </c>
      <c r="I3" s="6" t="s">
        <v>42</v>
      </c>
      <c r="L3" s="6">
        <v>1</v>
      </c>
      <c r="N3" s="6"/>
      <c r="P3" s="7">
        <v>1</v>
      </c>
      <c r="AC3" s="6">
        <v>1</v>
      </c>
    </row>
    <row r="4" spans="1:33" ht="15.75" customHeight="1" x14ac:dyDescent="0.25">
      <c r="A4" s="8">
        <v>45144</v>
      </c>
      <c r="B4" s="6" t="s">
        <v>43</v>
      </c>
      <c r="D4" s="6" t="s">
        <v>44</v>
      </c>
      <c r="E4" s="6">
        <v>3</v>
      </c>
      <c r="F4" s="7">
        <v>1</v>
      </c>
      <c r="G4" s="6" t="s">
        <v>35</v>
      </c>
      <c r="H4" s="6" t="s">
        <v>45</v>
      </c>
      <c r="I4" s="6" t="s">
        <v>37</v>
      </c>
      <c r="L4" s="6">
        <v>1</v>
      </c>
      <c r="P4" s="6">
        <v>1</v>
      </c>
      <c r="Y4" s="7">
        <v>1</v>
      </c>
      <c r="AC4" s="6">
        <v>1</v>
      </c>
    </row>
    <row r="5" spans="1:33" ht="15.75" customHeight="1" x14ac:dyDescent="0.25">
      <c r="A5" s="9" t="s">
        <v>46</v>
      </c>
      <c r="B5" s="6" t="s">
        <v>47</v>
      </c>
      <c r="D5" s="6" t="s">
        <v>48</v>
      </c>
      <c r="E5" s="6">
        <v>30</v>
      </c>
      <c r="G5" s="6" t="s">
        <v>40</v>
      </c>
      <c r="H5" s="6" t="s">
        <v>49</v>
      </c>
      <c r="I5" s="6" t="s">
        <v>37</v>
      </c>
      <c r="L5" s="6">
        <v>1</v>
      </c>
      <c r="P5" s="6">
        <v>1</v>
      </c>
      <c r="V5" s="7">
        <v>2</v>
      </c>
      <c r="W5" s="7">
        <v>1</v>
      </c>
      <c r="AC5" s="6"/>
    </row>
    <row r="6" spans="1:33" ht="15.75" customHeight="1" x14ac:dyDescent="0.25">
      <c r="A6" s="5">
        <v>44287</v>
      </c>
      <c r="B6" s="6" t="s">
        <v>50</v>
      </c>
      <c r="D6" s="6" t="s">
        <v>51</v>
      </c>
      <c r="E6" s="6">
        <v>50</v>
      </c>
      <c r="G6" s="6" t="s">
        <v>40</v>
      </c>
      <c r="H6" s="6" t="s">
        <v>52</v>
      </c>
      <c r="I6" s="6" t="s">
        <v>37</v>
      </c>
      <c r="L6" s="6"/>
      <c r="M6" s="7">
        <v>1</v>
      </c>
      <c r="N6" s="6"/>
      <c r="P6" s="7">
        <v>1</v>
      </c>
      <c r="R6" s="7">
        <v>1</v>
      </c>
      <c r="AC6" s="6"/>
    </row>
    <row r="7" spans="1:33" ht="15.75" customHeight="1" x14ac:dyDescent="0.25">
      <c r="A7" s="9" t="s">
        <v>46</v>
      </c>
      <c r="B7" s="6" t="s">
        <v>53</v>
      </c>
      <c r="C7" s="10"/>
      <c r="D7" s="6" t="s">
        <v>54</v>
      </c>
      <c r="E7" s="6">
        <v>42</v>
      </c>
      <c r="G7" s="6" t="s">
        <v>40</v>
      </c>
      <c r="H7" s="6" t="s">
        <v>52</v>
      </c>
      <c r="I7" s="6" t="s">
        <v>37</v>
      </c>
      <c r="M7" s="6">
        <v>1</v>
      </c>
      <c r="P7" s="6">
        <v>1</v>
      </c>
      <c r="R7" s="7">
        <v>2</v>
      </c>
      <c r="V7" s="7">
        <v>1</v>
      </c>
      <c r="AC7" s="6"/>
    </row>
    <row r="8" spans="1:33" ht="15.75" customHeight="1" x14ac:dyDescent="0.25">
      <c r="A8" s="11" t="s">
        <v>55</v>
      </c>
      <c r="B8" s="7" t="s">
        <v>56</v>
      </c>
      <c r="D8" s="7" t="s">
        <v>57</v>
      </c>
      <c r="E8" s="7">
        <v>40</v>
      </c>
      <c r="F8" s="7" t="s">
        <v>40</v>
      </c>
      <c r="G8" s="7" t="s">
        <v>40</v>
      </c>
      <c r="H8" s="7" t="s">
        <v>58</v>
      </c>
      <c r="I8" s="6" t="s">
        <v>37</v>
      </c>
      <c r="L8" s="7">
        <v>1</v>
      </c>
      <c r="P8" s="7">
        <v>1</v>
      </c>
      <c r="Y8" s="7">
        <v>1</v>
      </c>
      <c r="AC8" s="7">
        <v>1</v>
      </c>
    </row>
    <row r="9" spans="1:33" ht="15.75" customHeight="1" x14ac:dyDescent="0.25">
      <c r="A9" s="12">
        <v>45332</v>
      </c>
      <c r="B9" s="7" t="s">
        <v>59</v>
      </c>
      <c r="D9" s="7" t="s">
        <v>60</v>
      </c>
      <c r="E9" s="7">
        <v>19</v>
      </c>
      <c r="G9" s="7" t="s">
        <v>40</v>
      </c>
      <c r="H9" s="7" t="s">
        <v>61</v>
      </c>
      <c r="I9" s="7" t="s">
        <v>62</v>
      </c>
      <c r="M9" s="7">
        <v>1</v>
      </c>
      <c r="P9" s="7">
        <v>1</v>
      </c>
      <c r="AC9" s="7">
        <v>1</v>
      </c>
    </row>
    <row r="10" spans="1:33" ht="15.75" customHeight="1" x14ac:dyDescent="0.25">
      <c r="A10" s="11" t="s">
        <v>63</v>
      </c>
      <c r="B10" s="7" t="s">
        <v>64</v>
      </c>
      <c r="D10" s="7" t="s">
        <v>65</v>
      </c>
      <c r="E10" s="7">
        <v>28</v>
      </c>
      <c r="G10" s="7" t="s">
        <v>35</v>
      </c>
      <c r="H10" s="7" t="s">
        <v>66</v>
      </c>
      <c r="I10" s="6" t="s">
        <v>37</v>
      </c>
      <c r="L10" s="7">
        <v>1</v>
      </c>
      <c r="P10" s="7">
        <v>1</v>
      </c>
      <c r="V10" s="7">
        <v>2</v>
      </c>
      <c r="W10" s="7">
        <v>1</v>
      </c>
      <c r="AC10" s="7">
        <v>1</v>
      </c>
    </row>
    <row r="11" spans="1:33" ht="15.75" hidden="1" customHeight="1" x14ac:dyDescent="0.25">
      <c r="A11" s="13">
        <v>45844</v>
      </c>
      <c r="B11" s="7" t="s">
        <v>67</v>
      </c>
      <c r="D11" s="7" t="s">
        <v>68</v>
      </c>
      <c r="E11" s="7">
        <v>35</v>
      </c>
      <c r="G11" s="7" t="s">
        <v>40</v>
      </c>
      <c r="H11" s="7" t="s">
        <v>69</v>
      </c>
      <c r="I11" s="6" t="s">
        <v>70</v>
      </c>
      <c r="L11" s="7">
        <v>1</v>
      </c>
      <c r="N11" s="7">
        <v>1</v>
      </c>
      <c r="V11" s="7">
        <v>1</v>
      </c>
      <c r="W11" s="7">
        <v>1</v>
      </c>
      <c r="AC11" s="7">
        <v>1</v>
      </c>
    </row>
    <row r="12" spans="1:33" ht="15.75" customHeight="1" x14ac:dyDescent="0.25">
      <c r="A12" s="13">
        <v>45780</v>
      </c>
      <c r="B12" s="7" t="s">
        <v>71</v>
      </c>
      <c r="D12" s="7" t="s">
        <v>72</v>
      </c>
      <c r="E12" s="7">
        <v>6</v>
      </c>
      <c r="F12" s="7">
        <v>1</v>
      </c>
      <c r="G12" s="7" t="s">
        <v>35</v>
      </c>
      <c r="H12" s="7" t="s">
        <v>73</v>
      </c>
      <c r="I12" s="6" t="s">
        <v>37</v>
      </c>
      <c r="L12" s="7">
        <v>1</v>
      </c>
      <c r="P12" s="7">
        <v>1</v>
      </c>
      <c r="T12" s="7">
        <v>1</v>
      </c>
    </row>
    <row r="13" spans="1:33" ht="15.75" customHeight="1" x14ac:dyDescent="0.25">
      <c r="A13" s="11" t="s">
        <v>74</v>
      </c>
      <c r="B13" s="7" t="s">
        <v>75</v>
      </c>
      <c r="D13" s="7" t="s">
        <v>76</v>
      </c>
      <c r="E13" s="7">
        <v>34</v>
      </c>
      <c r="G13" s="7" t="s">
        <v>35</v>
      </c>
      <c r="H13" s="7" t="s">
        <v>66</v>
      </c>
      <c r="I13" s="6" t="s">
        <v>37</v>
      </c>
      <c r="M13" s="7">
        <v>1</v>
      </c>
      <c r="P13" s="7">
        <v>1</v>
      </c>
      <c r="R13" s="7">
        <v>1</v>
      </c>
      <c r="V13" s="7">
        <v>1</v>
      </c>
      <c r="W13" s="7">
        <v>1</v>
      </c>
      <c r="AC13" s="7">
        <v>1</v>
      </c>
    </row>
    <row r="14" spans="1:33" ht="15.75" customHeight="1" x14ac:dyDescent="0.25">
      <c r="A14" s="13">
        <v>45782</v>
      </c>
      <c r="B14" s="7" t="s">
        <v>38</v>
      </c>
      <c r="D14" s="7" t="s">
        <v>77</v>
      </c>
      <c r="E14" s="7">
        <v>16</v>
      </c>
      <c r="F14" s="7">
        <v>1</v>
      </c>
      <c r="G14" s="7" t="s">
        <v>40</v>
      </c>
      <c r="H14" s="7" t="s">
        <v>78</v>
      </c>
      <c r="I14" s="7" t="s">
        <v>79</v>
      </c>
      <c r="L14" s="7">
        <v>1</v>
      </c>
      <c r="P14" s="7">
        <v>1</v>
      </c>
      <c r="X14" s="7">
        <v>1</v>
      </c>
    </row>
    <row r="15" spans="1:33" ht="15.75" customHeight="1" x14ac:dyDescent="0.25">
      <c r="A15" s="12">
        <v>44479</v>
      </c>
      <c r="B15" s="7" t="s">
        <v>53</v>
      </c>
      <c r="D15" s="7" t="s">
        <v>80</v>
      </c>
      <c r="E15" s="7">
        <v>54</v>
      </c>
      <c r="G15" s="7" t="s">
        <v>40</v>
      </c>
      <c r="H15" s="7" t="s">
        <v>81</v>
      </c>
      <c r="I15" s="6" t="s">
        <v>37</v>
      </c>
      <c r="L15" s="7">
        <v>1</v>
      </c>
      <c r="P15" s="7">
        <v>1</v>
      </c>
      <c r="AA15" s="7">
        <v>1</v>
      </c>
    </row>
    <row r="16" spans="1:33" ht="15.75" hidden="1" customHeight="1" x14ac:dyDescent="0.25">
      <c r="A16" s="11" t="s">
        <v>82</v>
      </c>
      <c r="B16" s="7" t="s">
        <v>83</v>
      </c>
      <c r="D16" s="7" t="s">
        <v>84</v>
      </c>
      <c r="E16" s="7">
        <v>22</v>
      </c>
      <c r="G16" s="7" t="s">
        <v>35</v>
      </c>
      <c r="H16" s="7" t="s">
        <v>85</v>
      </c>
      <c r="I16" s="6" t="s">
        <v>37</v>
      </c>
      <c r="L16" s="7">
        <v>1</v>
      </c>
      <c r="N16" s="7">
        <v>1</v>
      </c>
      <c r="V16" s="7">
        <v>2</v>
      </c>
      <c r="W16" s="7">
        <v>1</v>
      </c>
      <c r="AA16" s="7">
        <v>1</v>
      </c>
    </row>
    <row r="17" spans="1:29" ht="15.75" customHeight="1" x14ac:dyDescent="0.25">
      <c r="A17" s="11" t="s">
        <v>86</v>
      </c>
      <c r="B17" s="7" t="s">
        <v>87</v>
      </c>
      <c r="D17" s="7" t="s">
        <v>88</v>
      </c>
      <c r="E17" s="7">
        <v>13</v>
      </c>
      <c r="F17" s="7">
        <v>1</v>
      </c>
      <c r="G17" s="7" t="s">
        <v>35</v>
      </c>
      <c r="H17" s="7" t="s">
        <v>89</v>
      </c>
      <c r="I17" s="6" t="s">
        <v>37</v>
      </c>
      <c r="L17" s="7">
        <v>1</v>
      </c>
      <c r="P17" s="7">
        <v>1</v>
      </c>
      <c r="AA17" s="7">
        <v>1</v>
      </c>
    </row>
    <row r="18" spans="1:29" ht="15.75" customHeight="1" x14ac:dyDescent="0.25">
      <c r="A18" s="11" t="s">
        <v>90</v>
      </c>
      <c r="B18" s="7" t="s">
        <v>53</v>
      </c>
      <c r="D18" s="7" t="s">
        <v>91</v>
      </c>
      <c r="E18" s="7">
        <v>23</v>
      </c>
      <c r="G18" s="7" t="s">
        <v>40</v>
      </c>
      <c r="H18" s="7" t="s">
        <v>61</v>
      </c>
      <c r="I18" s="7" t="s">
        <v>70</v>
      </c>
      <c r="M18" s="7">
        <v>1</v>
      </c>
      <c r="P18" s="7">
        <v>1</v>
      </c>
      <c r="AC18" s="7">
        <v>1</v>
      </c>
    </row>
    <row r="19" spans="1:29" ht="15.75" hidden="1" customHeight="1" x14ac:dyDescent="0.25">
      <c r="A19" s="13">
        <v>45936</v>
      </c>
      <c r="B19" s="7" t="s">
        <v>92</v>
      </c>
      <c r="D19" s="7" t="s">
        <v>93</v>
      </c>
      <c r="E19" s="7">
        <v>50</v>
      </c>
      <c r="G19" s="7" t="s">
        <v>40</v>
      </c>
      <c r="H19" s="7" t="s">
        <v>94</v>
      </c>
      <c r="I19" s="6" t="s">
        <v>79</v>
      </c>
      <c r="L19" s="7">
        <v>1</v>
      </c>
      <c r="N19" s="7">
        <v>1</v>
      </c>
      <c r="R19" s="7">
        <v>1</v>
      </c>
      <c r="Y19" s="7">
        <v>1</v>
      </c>
      <c r="AA19" s="7">
        <v>1</v>
      </c>
      <c r="AC19" s="7">
        <v>1</v>
      </c>
    </row>
    <row r="20" spans="1:29" ht="15.75" customHeight="1" x14ac:dyDescent="0.25">
      <c r="A20" s="11" t="s">
        <v>95</v>
      </c>
      <c r="B20" s="7" t="s">
        <v>64</v>
      </c>
      <c r="D20" s="7" t="s">
        <v>96</v>
      </c>
      <c r="E20" s="7">
        <v>44</v>
      </c>
      <c r="G20" s="7" t="s">
        <v>40</v>
      </c>
      <c r="H20" s="6" t="s">
        <v>52</v>
      </c>
      <c r="I20" s="6" t="s">
        <v>37</v>
      </c>
      <c r="L20" s="7">
        <v>1</v>
      </c>
      <c r="P20" s="7">
        <v>1</v>
      </c>
      <c r="R20" s="7">
        <v>1</v>
      </c>
      <c r="U20" s="7">
        <v>1</v>
      </c>
      <c r="V20" s="7">
        <v>2</v>
      </c>
      <c r="AA20" s="7">
        <v>1</v>
      </c>
      <c r="AC20" s="7">
        <v>1</v>
      </c>
    </row>
    <row r="21" spans="1:29" ht="15.75" hidden="1" customHeight="1" x14ac:dyDescent="0.25">
      <c r="A21" s="13">
        <v>45783</v>
      </c>
      <c r="B21" s="7" t="s">
        <v>47</v>
      </c>
      <c r="D21" s="7" t="s">
        <v>97</v>
      </c>
      <c r="E21" s="7">
        <v>66</v>
      </c>
      <c r="G21" s="7" t="s">
        <v>35</v>
      </c>
      <c r="H21" s="7" t="s">
        <v>98</v>
      </c>
      <c r="I21" s="6" t="s">
        <v>37</v>
      </c>
      <c r="L21" s="7">
        <v>1</v>
      </c>
      <c r="N21" s="7">
        <v>1</v>
      </c>
      <c r="V21" s="7">
        <v>1</v>
      </c>
      <c r="W21" s="7">
        <v>1</v>
      </c>
      <c r="Y21" s="7">
        <v>1</v>
      </c>
    </row>
    <row r="22" spans="1:29" ht="15.75" customHeight="1" x14ac:dyDescent="0.25">
      <c r="A22" s="11" t="s">
        <v>99</v>
      </c>
      <c r="B22" s="7" t="s">
        <v>100</v>
      </c>
      <c r="D22" s="7" t="s">
        <v>101</v>
      </c>
      <c r="E22" s="7">
        <v>54</v>
      </c>
      <c r="G22" s="7" t="s">
        <v>35</v>
      </c>
      <c r="H22" s="7" t="s">
        <v>102</v>
      </c>
      <c r="I22" s="6" t="s">
        <v>37</v>
      </c>
      <c r="L22" s="7">
        <v>1</v>
      </c>
      <c r="P22" s="7">
        <v>1</v>
      </c>
      <c r="T22" s="7">
        <v>1</v>
      </c>
    </row>
    <row r="23" spans="1:29" ht="15.75" customHeight="1" x14ac:dyDescent="0.25">
      <c r="A23" s="11" t="s">
        <v>103</v>
      </c>
      <c r="B23" s="7" t="s">
        <v>56</v>
      </c>
      <c r="D23" s="7" t="s">
        <v>104</v>
      </c>
      <c r="E23" s="7">
        <v>37</v>
      </c>
      <c r="G23" s="7" t="s">
        <v>40</v>
      </c>
      <c r="H23" s="7" t="s">
        <v>105</v>
      </c>
      <c r="I23" s="6" t="s">
        <v>37</v>
      </c>
      <c r="L23" s="7">
        <v>1</v>
      </c>
      <c r="P23" s="7">
        <v>1</v>
      </c>
      <c r="V23" s="7">
        <v>1</v>
      </c>
    </row>
    <row r="24" spans="1:29" ht="15.75" customHeight="1" x14ac:dyDescent="0.25">
      <c r="A24" s="11" t="s">
        <v>106</v>
      </c>
      <c r="B24" s="7" t="s">
        <v>107</v>
      </c>
      <c r="D24" s="7" t="s">
        <v>108</v>
      </c>
      <c r="E24" s="7">
        <v>56</v>
      </c>
      <c r="G24" s="7" t="s">
        <v>40</v>
      </c>
      <c r="H24" s="7" t="s">
        <v>89</v>
      </c>
      <c r="I24" s="6" t="s">
        <v>37</v>
      </c>
      <c r="L24" s="7">
        <v>1</v>
      </c>
      <c r="P24" s="7">
        <v>1</v>
      </c>
      <c r="V24" s="7">
        <v>1</v>
      </c>
    </row>
    <row r="25" spans="1:29" ht="15.75" customHeight="1" x14ac:dyDescent="0.25">
      <c r="A25" s="11" t="s">
        <v>109</v>
      </c>
      <c r="B25" s="7" t="s">
        <v>110</v>
      </c>
      <c r="D25" s="7" t="s">
        <v>111</v>
      </c>
      <c r="E25" s="7">
        <v>27</v>
      </c>
      <c r="G25" s="7" t="s">
        <v>40</v>
      </c>
      <c r="H25" s="6" t="s">
        <v>52</v>
      </c>
      <c r="I25" s="6" t="s">
        <v>37</v>
      </c>
      <c r="L25" s="7">
        <v>1</v>
      </c>
      <c r="P25" s="7">
        <v>1</v>
      </c>
      <c r="V25" s="7">
        <v>1</v>
      </c>
      <c r="AA25" s="7">
        <v>1</v>
      </c>
    </row>
    <row r="26" spans="1:29" ht="15.75" customHeight="1" x14ac:dyDescent="0.25">
      <c r="A26" s="11" t="s">
        <v>112</v>
      </c>
      <c r="B26" s="7" t="s">
        <v>64</v>
      </c>
      <c r="D26" s="7" t="s">
        <v>113</v>
      </c>
      <c r="E26" s="7">
        <v>63</v>
      </c>
      <c r="G26" s="7" t="s">
        <v>40</v>
      </c>
      <c r="H26" s="7" t="s">
        <v>114</v>
      </c>
      <c r="I26" s="6" t="s">
        <v>37</v>
      </c>
      <c r="L26" s="7">
        <v>1</v>
      </c>
      <c r="P26" s="7">
        <v>1</v>
      </c>
      <c r="V26" s="7">
        <v>1</v>
      </c>
      <c r="AA26" s="7">
        <v>1</v>
      </c>
    </row>
    <row r="27" spans="1:29" ht="15.75" hidden="1" customHeight="1" x14ac:dyDescent="0.25">
      <c r="A27" s="11" t="s">
        <v>82</v>
      </c>
      <c r="B27" s="7" t="s">
        <v>115</v>
      </c>
      <c r="D27" s="7" t="s">
        <v>116</v>
      </c>
      <c r="E27" s="7">
        <v>7</v>
      </c>
      <c r="F27" s="7">
        <v>1</v>
      </c>
      <c r="G27" s="7" t="s">
        <v>35</v>
      </c>
      <c r="H27" s="7" t="s">
        <v>85</v>
      </c>
      <c r="I27" s="6" t="s">
        <v>37</v>
      </c>
      <c r="L27" s="7">
        <v>1</v>
      </c>
      <c r="N27" s="7">
        <v>1</v>
      </c>
      <c r="V27" s="7">
        <v>1</v>
      </c>
    </row>
    <row r="28" spans="1:29" ht="15.75" customHeight="1" x14ac:dyDescent="0.25">
      <c r="A28" s="11" t="s">
        <v>117</v>
      </c>
      <c r="B28" s="7" t="s">
        <v>33</v>
      </c>
      <c r="D28" s="7" t="s">
        <v>118</v>
      </c>
      <c r="E28" s="7">
        <v>41</v>
      </c>
      <c r="G28" s="7" t="s">
        <v>40</v>
      </c>
      <c r="H28" s="6" t="s">
        <v>52</v>
      </c>
      <c r="I28" s="6" t="s">
        <v>37</v>
      </c>
      <c r="L28" s="7">
        <v>1</v>
      </c>
      <c r="P28" s="7">
        <v>1</v>
      </c>
      <c r="Y28" s="7">
        <v>1</v>
      </c>
      <c r="AC28" s="7">
        <v>1</v>
      </c>
    </row>
    <row r="29" spans="1:29" ht="15.75" customHeight="1" x14ac:dyDescent="0.25">
      <c r="A29" s="11" t="s">
        <v>119</v>
      </c>
      <c r="B29" s="7" t="s">
        <v>120</v>
      </c>
      <c r="D29" s="7" t="s">
        <v>121</v>
      </c>
      <c r="E29" s="7">
        <v>63</v>
      </c>
      <c r="G29" s="7" t="s">
        <v>40</v>
      </c>
      <c r="H29" s="7" t="s">
        <v>105</v>
      </c>
      <c r="I29" s="6" t="s">
        <v>37</v>
      </c>
      <c r="L29" s="7">
        <v>1</v>
      </c>
      <c r="P29" s="7">
        <v>1</v>
      </c>
      <c r="Y29" s="7">
        <v>1</v>
      </c>
      <c r="AC29" s="7">
        <v>1</v>
      </c>
    </row>
    <row r="30" spans="1:29" ht="15.75" customHeight="1" x14ac:dyDescent="0.25">
      <c r="A30" s="11" t="s">
        <v>122</v>
      </c>
      <c r="B30" s="7" t="s">
        <v>56</v>
      </c>
      <c r="D30" s="7" t="s">
        <v>123</v>
      </c>
      <c r="E30" s="7">
        <v>65</v>
      </c>
      <c r="G30" s="7" t="s">
        <v>35</v>
      </c>
      <c r="H30" s="7" t="s">
        <v>98</v>
      </c>
      <c r="I30" s="6" t="s">
        <v>37</v>
      </c>
      <c r="M30" s="7">
        <v>1</v>
      </c>
      <c r="P30" s="7">
        <v>1</v>
      </c>
      <c r="Y30" s="7">
        <v>1</v>
      </c>
    </row>
    <row r="31" spans="1:29" ht="15.75" customHeight="1" x14ac:dyDescent="0.25">
      <c r="A31" s="11" t="s">
        <v>124</v>
      </c>
      <c r="B31" s="7" t="s">
        <v>87</v>
      </c>
      <c r="D31" s="7" t="s">
        <v>125</v>
      </c>
      <c r="E31" s="7">
        <v>39</v>
      </c>
      <c r="G31" s="7" t="s">
        <v>40</v>
      </c>
      <c r="H31" s="7" t="s">
        <v>105</v>
      </c>
      <c r="I31" s="6" t="s">
        <v>37</v>
      </c>
      <c r="L31" s="7">
        <v>1</v>
      </c>
      <c r="P31" s="7">
        <v>1</v>
      </c>
      <c r="Y31" s="7">
        <v>1</v>
      </c>
      <c r="AC31" s="7">
        <v>1</v>
      </c>
    </row>
    <row r="32" spans="1:29" ht="15.75" customHeight="1" x14ac:dyDescent="0.25">
      <c r="A32" s="13">
        <v>45177</v>
      </c>
      <c r="B32" s="7" t="s">
        <v>126</v>
      </c>
      <c r="D32" s="7" t="s">
        <v>127</v>
      </c>
      <c r="E32" s="7">
        <v>52</v>
      </c>
      <c r="G32" s="7" t="s">
        <v>40</v>
      </c>
      <c r="H32" s="7" t="s">
        <v>128</v>
      </c>
      <c r="I32" s="6" t="s">
        <v>37</v>
      </c>
      <c r="L32" s="7">
        <v>1</v>
      </c>
      <c r="P32" s="7">
        <v>1</v>
      </c>
      <c r="Y32" s="7">
        <v>1</v>
      </c>
    </row>
    <row r="33" spans="1:30" ht="15.75" customHeight="1" x14ac:dyDescent="0.25">
      <c r="A33" s="11" t="s">
        <v>129</v>
      </c>
      <c r="B33" s="7" t="s">
        <v>130</v>
      </c>
      <c r="D33" s="7" t="s">
        <v>131</v>
      </c>
      <c r="E33" s="7">
        <v>78</v>
      </c>
      <c r="G33" s="7" t="s">
        <v>35</v>
      </c>
      <c r="H33" s="7" t="s">
        <v>98</v>
      </c>
      <c r="I33" s="6" t="s">
        <v>37</v>
      </c>
      <c r="M33" s="7">
        <v>1</v>
      </c>
      <c r="P33" s="7">
        <v>1</v>
      </c>
      <c r="Y33" s="7">
        <v>1</v>
      </c>
    </row>
    <row r="34" spans="1:30" ht="15.75" customHeight="1" x14ac:dyDescent="0.25">
      <c r="A34" s="11" t="s">
        <v>132</v>
      </c>
      <c r="B34" s="7" t="s">
        <v>120</v>
      </c>
      <c r="D34" s="7" t="s">
        <v>133</v>
      </c>
      <c r="E34" s="7">
        <v>40</v>
      </c>
      <c r="G34" s="7" t="s">
        <v>40</v>
      </c>
      <c r="H34" s="6" t="s">
        <v>52</v>
      </c>
      <c r="I34" s="6" t="s">
        <v>37</v>
      </c>
      <c r="L34" s="7">
        <v>1</v>
      </c>
      <c r="P34" s="7">
        <v>1</v>
      </c>
      <c r="V34" s="7">
        <v>1</v>
      </c>
      <c r="Y34" s="7">
        <v>1</v>
      </c>
    </row>
    <row r="35" spans="1:30" ht="15.75" customHeight="1" x14ac:dyDescent="0.25">
      <c r="A35" s="11" t="s">
        <v>134</v>
      </c>
      <c r="B35" s="7" t="s">
        <v>135</v>
      </c>
      <c r="D35" s="7" t="s">
        <v>136</v>
      </c>
      <c r="E35" s="7">
        <v>42</v>
      </c>
      <c r="G35" s="7" t="s">
        <v>40</v>
      </c>
      <c r="H35" s="7" t="s">
        <v>105</v>
      </c>
      <c r="I35" s="6" t="s">
        <v>37</v>
      </c>
      <c r="L35" s="7">
        <v>1</v>
      </c>
      <c r="P35" s="7">
        <v>1</v>
      </c>
      <c r="Y35" s="7">
        <v>1</v>
      </c>
    </row>
    <row r="36" spans="1:30" ht="15.75" customHeight="1" x14ac:dyDescent="0.25">
      <c r="A36" s="11" t="s">
        <v>137</v>
      </c>
      <c r="B36" s="7" t="s">
        <v>33</v>
      </c>
      <c r="D36" s="7" t="s">
        <v>138</v>
      </c>
      <c r="E36" s="7">
        <v>30</v>
      </c>
      <c r="G36" s="7" t="s">
        <v>40</v>
      </c>
      <c r="H36" s="7" t="s">
        <v>105</v>
      </c>
      <c r="I36" s="6" t="s">
        <v>37</v>
      </c>
      <c r="L36" s="7">
        <v>1</v>
      </c>
      <c r="P36" s="7">
        <v>1</v>
      </c>
      <c r="Y36" s="7">
        <v>1</v>
      </c>
    </row>
    <row r="37" spans="1:30" ht="15.75" customHeight="1" x14ac:dyDescent="0.25">
      <c r="A37" s="13">
        <v>45870</v>
      </c>
      <c r="B37" s="7" t="s">
        <v>139</v>
      </c>
      <c r="D37" s="7" t="s">
        <v>140</v>
      </c>
      <c r="E37" s="7">
        <v>31</v>
      </c>
      <c r="G37" s="7" t="s">
        <v>40</v>
      </c>
      <c r="H37" s="6" t="s">
        <v>52</v>
      </c>
      <c r="I37" s="6" t="s">
        <v>37</v>
      </c>
      <c r="L37" s="7">
        <v>1</v>
      </c>
      <c r="P37" s="7">
        <v>1</v>
      </c>
      <c r="Y37" s="7">
        <v>1</v>
      </c>
    </row>
    <row r="38" spans="1:30" ht="15.75" customHeight="1" x14ac:dyDescent="0.25">
      <c r="A38" s="13">
        <v>45237</v>
      </c>
      <c r="B38" s="7" t="s">
        <v>33</v>
      </c>
      <c r="D38" s="7" t="s">
        <v>141</v>
      </c>
      <c r="E38" s="7">
        <v>70</v>
      </c>
      <c r="G38" s="7" t="s">
        <v>35</v>
      </c>
      <c r="H38" s="7" t="s">
        <v>98</v>
      </c>
      <c r="I38" s="6" t="s">
        <v>37</v>
      </c>
      <c r="M38" s="7">
        <v>1</v>
      </c>
      <c r="P38" s="7">
        <v>1</v>
      </c>
      <c r="Y38" s="7">
        <v>1</v>
      </c>
    </row>
    <row r="39" spans="1:30" ht="15.75" customHeight="1" x14ac:dyDescent="0.25">
      <c r="A39" s="11" t="s">
        <v>142</v>
      </c>
      <c r="B39" s="7" t="s">
        <v>120</v>
      </c>
      <c r="D39" s="7" t="s">
        <v>143</v>
      </c>
      <c r="E39" s="7">
        <v>40</v>
      </c>
      <c r="G39" s="7" t="s">
        <v>40</v>
      </c>
      <c r="H39" s="6" t="s">
        <v>52</v>
      </c>
      <c r="I39" s="6" t="s">
        <v>37</v>
      </c>
      <c r="L39" s="7">
        <v>1</v>
      </c>
      <c r="P39" s="7">
        <v>1</v>
      </c>
      <c r="Y39" s="7">
        <v>1</v>
      </c>
    </row>
    <row r="40" spans="1:30" ht="15.75" customHeight="1" x14ac:dyDescent="0.25">
      <c r="A40" s="13">
        <v>45445</v>
      </c>
      <c r="B40" s="7" t="s">
        <v>53</v>
      </c>
      <c r="D40" s="7" t="s">
        <v>144</v>
      </c>
      <c r="E40" s="7">
        <v>37</v>
      </c>
      <c r="G40" s="7" t="s">
        <v>40</v>
      </c>
      <c r="H40" s="6" t="s">
        <v>52</v>
      </c>
      <c r="I40" s="6" t="s">
        <v>37</v>
      </c>
      <c r="K40" s="7">
        <v>1</v>
      </c>
      <c r="P40" s="7">
        <v>1</v>
      </c>
      <c r="Y40" s="7">
        <v>1</v>
      </c>
      <c r="AD40" s="7">
        <v>1</v>
      </c>
    </row>
    <row r="41" spans="1:30" ht="15.75" customHeight="1" x14ac:dyDescent="0.25">
      <c r="A41" s="12">
        <v>45363</v>
      </c>
      <c r="B41" s="7" t="s">
        <v>145</v>
      </c>
      <c r="D41" s="7" t="s">
        <v>146</v>
      </c>
      <c r="E41" s="7">
        <v>19</v>
      </c>
      <c r="G41" s="7" t="s">
        <v>40</v>
      </c>
      <c r="H41" s="7" t="s">
        <v>147</v>
      </c>
      <c r="I41" s="6" t="s">
        <v>37</v>
      </c>
      <c r="L41" s="7">
        <v>1</v>
      </c>
      <c r="P41" s="7">
        <v>1</v>
      </c>
      <c r="Y41" s="7">
        <v>1</v>
      </c>
    </row>
    <row r="42" spans="1:30" ht="15.75" customHeight="1" x14ac:dyDescent="0.25">
      <c r="A42" s="11" t="s">
        <v>148</v>
      </c>
      <c r="B42" s="7" t="s">
        <v>59</v>
      </c>
      <c r="D42" s="7" t="s">
        <v>149</v>
      </c>
      <c r="E42" s="7">
        <v>29</v>
      </c>
      <c r="G42" s="7" t="s">
        <v>40</v>
      </c>
      <c r="H42" s="6" t="s">
        <v>52</v>
      </c>
      <c r="I42" s="6" t="s">
        <v>37</v>
      </c>
      <c r="K42" s="7">
        <v>1</v>
      </c>
      <c r="P42" s="7">
        <v>1</v>
      </c>
      <c r="Y42" s="7">
        <v>1</v>
      </c>
      <c r="AD42" s="7">
        <v>1</v>
      </c>
    </row>
    <row r="43" spans="1:30" ht="15.75" customHeight="1" x14ac:dyDescent="0.25">
      <c r="A43" s="11" t="s">
        <v>150</v>
      </c>
      <c r="B43" s="7" t="s">
        <v>151</v>
      </c>
      <c r="D43" s="7" t="s">
        <v>152</v>
      </c>
      <c r="E43" s="7">
        <v>60</v>
      </c>
      <c r="G43" s="7" t="s">
        <v>40</v>
      </c>
      <c r="H43" s="6" t="s">
        <v>52</v>
      </c>
      <c r="I43" s="6" t="s">
        <v>37</v>
      </c>
      <c r="L43" s="7">
        <v>1</v>
      </c>
      <c r="P43" s="7">
        <v>1</v>
      </c>
      <c r="Y43" s="7">
        <v>1</v>
      </c>
    </row>
    <row r="44" spans="1:30" ht="15.75" customHeight="1" x14ac:dyDescent="0.25">
      <c r="A44" s="11" t="s">
        <v>153</v>
      </c>
      <c r="B44" s="7" t="s">
        <v>71</v>
      </c>
      <c r="D44" s="7" t="s">
        <v>154</v>
      </c>
      <c r="E44" s="7">
        <v>50</v>
      </c>
      <c r="G44" s="7" t="s">
        <v>40</v>
      </c>
      <c r="H44" s="7" t="s">
        <v>105</v>
      </c>
      <c r="I44" s="6" t="s">
        <v>37</v>
      </c>
      <c r="L44" s="7">
        <v>1</v>
      </c>
      <c r="P44" s="7">
        <v>1</v>
      </c>
      <c r="Y44" s="7">
        <v>1</v>
      </c>
    </row>
    <row r="45" spans="1:30" ht="15.75" customHeight="1" x14ac:dyDescent="0.25">
      <c r="A45" s="11" t="s">
        <v>155</v>
      </c>
      <c r="B45" s="7" t="s">
        <v>156</v>
      </c>
      <c r="D45" s="7" t="s">
        <v>157</v>
      </c>
      <c r="E45" s="7">
        <v>43</v>
      </c>
      <c r="G45" s="7" t="s">
        <v>40</v>
      </c>
      <c r="H45" s="7" t="s">
        <v>158</v>
      </c>
      <c r="I45" s="6" t="s">
        <v>37</v>
      </c>
      <c r="M45" s="7">
        <v>1</v>
      </c>
      <c r="P45" s="7">
        <v>1</v>
      </c>
      <c r="Y45" s="7">
        <v>1</v>
      </c>
    </row>
    <row r="46" spans="1:30" ht="15.75" customHeight="1" x14ac:dyDescent="0.25">
      <c r="A46" s="11" t="s">
        <v>159</v>
      </c>
      <c r="B46" s="7" t="s">
        <v>156</v>
      </c>
      <c r="D46" s="7" t="s">
        <v>160</v>
      </c>
      <c r="E46" s="7">
        <v>39</v>
      </c>
      <c r="G46" s="7" t="s">
        <v>40</v>
      </c>
      <c r="H46" s="7" t="s">
        <v>161</v>
      </c>
      <c r="I46" s="6" t="s">
        <v>37</v>
      </c>
      <c r="L46" s="7">
        <v>1</v>
      </c>
      <c r="P46" s="7">
        <v>1</v>
      </c>
      <c r="Y46" s="7">
        <v>1</v>
      </c>
    </row>
    <row r="47" spans="1:30" ht="15.75" customHeight="1" x14ac:dyDescent="0.25">
      <c r="A47" s="13">
        <v>45874</v>
      </c>
      <c r="B47" s="7" t="s">
        <v>135</v>
      </c>
      <c r="D47" s="7" t="s">
        <v>162</v>
      </c>
      <c r="E47" s="7">
        <v>56</v>
      </c>
      <c r="G47" s="7" t="s">
        <v>35</v>
      </c>
      <c r="H47" s="7" t="s">
        <v>98</v>
      </c>
      <c r="I47" s="6" t="s">
        <v>37</v>
      </c>
      <c r="L47" s="7">
        <v>1</v>
      </c>
      <c r="P47" s="7">
        <v>1</v>
      </c>
      <c r="Y47" s="7">
        <v>1</v>
      </c>
    </row>
    <row r="48" spans="1:30" ht="15.75" customHeight="1" x14ac:dyDescent="0.25">
      <c r="A48" s="11" t="s">
        <v>90</v>
      </c>
      <c r="B48" s="7" t="s">
        <v>115</v>
      </c>
      <c r="D48" s="7" t="s">
        <v>163</v>
      </c>
      <c r="E48" s="7">
        <v>5</v>
      </c>
      <c r="F48" s="7">
        <v>1</v>
      </c>
      <c r="G48" s="7" t="s">
        <v>35</v>
      </c>
      <c r="H48" s="7" t="s">
        <v>164</v>
      </c>
      <c r="I48" s="6" t="s">
        <v>37</v>
      </c>
      <c r="L48" s="7">
        <v>1</v>
      </c>
      <c r="P48" s="7">
        <v>1</v>
      </c>
      <c r="Y48" s="7">
        <v>1</v>
      </c>
    </row>
    <row r="49" spans="1:29" ht="15.75" customHeight="1" x14ac:dyDescent="0.25">
      <c r="A49" s="11" t="s">
        <v>165</v>
      </c>
      <c r="B49" s="7" t="s">
        <v>56</v>
      </c>
      <c r="D49" s="7" t="s">
        <v>166</v>
      </c>
      <c r="E49" s="7">
        <v>50</v>
      </c>
      <c r="G49" s="7" t="s">
        <v>35</v>
      </c>
      <c r="H49" s="7" t="s">
        <v>114</v>
      </c>
      <c r="I49" s="6" t="s">
        <v>37</v>
      </c>
      <c r="L49" s="7">
        <v>1</v>
      </c>
      <c r="P49" s="7">
        <v>1</v>
      </c>
      <c r="Y49" s="7">
        <v>1</v>
      </c>
    </row>
    <row r="50" spans="1:29" ht="15.75" customHeight="1" x14ac:dyDescent="0.25">
      <c r="A50" s="11" t="s">
        <v>167</v>
      </c>
      <c r="B50" s="7" t="s">
        <v>130</v>
      </c>
      <c r="D50" s="7" t="s">
        <v>168</v>
      </c>
      <c r="E50" s="7">
        <v>54</v>
      </c>
      <c r="G50" s="7" t="s">
        <v>40</v>
      </c>
      <c r="H50" s="6" t="s">
        <v>52</v>
      </c>
      <c r="I50" s="6" t="s">
        <v>37</v>
      </c>
      <c r="M50" s="7">
        <v>1</v>
      </c>
      <c r="P50" s="7">
        <v>1</v>
      </c>
      <c r="Y50" s="7">
        <v>1</v>
      </c>
    </row>
    <row r="51" spans="1:29" ht="15.75" customHeight="1" x14ac:dyDescent="0.25">
      <c r="A51" s="11" t="s">
        <v>63</v>
      </c>
      <c r="B51" s="7" t="s">
        <v>107</v>
      </c>
      <c r="D51" s="7" t="s">
        <v>169</v>
      </c>
      <c r="E51" s="7">
        <v>42</v>
      </c>
      <c r="G51" s="7" t="s">
        <v>40</v>
      </c>
      <c r="H51" s="7" t="s">
        <v>69</v>
      </c>
      <c r="I51" s="7" t="s">
        <v>70</v>
      </c>
      <c r="M51" s="7">
        <v>1</v>
      </c>
      <c r="P51" s="7">
        <v>1</v>
      </c>
      <c r="Y51" s="7">
        <v>1</v>
      </c>
    </row>
    <row r="52" spans="1:29" ht="15.75" customHeight="1" x14ac:dyDescent="0.25">
      <c r="A52" s="13">
        <v>45870</v>
      </c>
      <c r="B52" s="7" t="s">
        <v>107</v>
      </c>
      <c r="D52" s="7" t="s">
        <v>170</v>
      </c>
      <c r="E52" s="7">
        <v>45</v>
      </c>
      <c r="G52" s="7" t="s">
        <v>40</v>
      </c>
      <c r="H52" s="7" t="s">
        <v>171</v>
      </c>
      <c r="I52" s="7" t="s">
        <v>70</v>
      </c>
      <c r="L52" s="7">
        <v>1</v>
      </c>
      <c r="P52" s="7">
        <v>1</v>
      </c>
      <c r="Y52" s="7">
        <v>1</v>
      </c>
    </row>
    <row r="53" spans="1:29" ht="15.75" customHeight="1" x14ac:dyDescent="0.25">
      <c r="A53" s="11" t="s">
        <v>172</v>
      </c>
      <c r="B53" s="7" t="s">
        <v>64</v>
      </c>
      <c r="D53" s="7" t="s">
        <v>173</v>
      </c>
      <c r="E53" s="7">
        <v>45</v>
      </c>
      <c r="G53" s="7" t="s">
        <v>40</v>
      </c>
      <c r="H53" s="6" t="s">
        <v>52</v>
      </c>
      <c r="I53" s="6" t="s">
        <v>37</v>
      </c>
      <c r="L53" s="7">
        <v>1</v>
      </c>
      <c r="P53" s="7">
        <v>1</v>
      </c>
      <c r="Y53" s="7">
        <v>1</v>
      </c>
    </row>
    <row r="54" spans="1:29" ht="15.75" customHeight="1" x14ac:dyDescent="0.25">
      <c r="A54" s="11" t="s">
        <v>174</v>
      </c>
      <c r="B54" s="7" t="s">
        <v>107</v>
      </c>
      <c r="D54" s="7" t="s">
        <v>175</v>
      </c>
      <c r="E54" s="7">
        <v>70</v>
      </c>
      <c r="G54" s="7" t="s">
        <v>35</v>
      </c>
      <c r="H54" s="7" t="s">
        <v>98</v>
      </c>
      <c r="I54" s="6" t="s">
        <v>37</v>
      </c>
      <c r="L54" s="7">
        <v>1</v>
      </c>
      <c r="P54" s="7">
        <v>1</v>
      </c>
      <c r="T54" s="7">
        <v>1</v>
      </c>
    </row>
    <row r="55" spans="1:29" ht="15.75" hidden="1" customHeight="1" x14ac:dyDescent="0.25">
      <c r="A55" s="11" t="s">
        <v>82</v>
      </c>
      <c r="B55" s="7" t="s">
        <v>135</v>
      </c>
      <c r="D55" s="7" t="s">
        <v>176</v>
      </c>
      <c r="E55" s="7">
        <v>33</v>
      </c>
      <c r="G55" s="7" t="s">
        <v>40</v>
      </c>
      <c r="H55" s="6" t="s">
        <v>52</v>
      </c>
      <c r="I55" s="6" t="s">
        <v>37</v>
      </c>
      <c r="L55" s="7">
        <v>1</v>
      </c>
      <c r="N55" s="7">
        <v>1</v>
      </c>
      <c r="V55" s="7">
        <v>1</v>
      </c>
      <c r="W55" s="7">
        <v>1</v>
      </c>
      <c r="AC55" s="7">
        <v>1</v>
      </c>
    </row>
    <row r="56" spans="1:29" ht="15.75" customHeight="1" x14ac:dyDescent="0.25">
      <c r="A56" s="11" t="s">
        <v>177</v>
      </c>
      <c r="B56" s="7" t="s">
        <v>178</v>
      </c>
      <c r="D56" s="7" t="s">
        <v>179</v>
      </c>
      <c r="E56" s="7">
        <v>35</v>
      </c>
      <c r="G56" s="7" t="s">
        <v>40</v>
      </c>
      <c r="H56" s="6" t="s">
        <v>52</v>
      </c>
      <c r="I56" s="6" t="s">
        <v>37</v>
      </c>
      <c r="L56" s="7">
        <v>1</v>
      </c>
      <c r="P56" s="7">
        <v>1</v>
      </c>
      <c r="V56" s="7">
        <v>1</v>
      </c>
      <c r="AC56" s="7">
        <v>1</v>
      </c>
    </row>
    <row r="57" spans="1:29" ht="15.75" hidden="1" customHeight="1" x14ac:dyDescent="0.25">
      <c r="A57" s="11" t="s">
        <v>180</v>
      </c>
      <c r="B57" s="7" t="s">
        <v>53</v>
      </c>
      <c r="D57" s="7" t="s">
        <v>181</v>
      </c>
      <c r="E57" s="7">
        <v>17</v>
      </c>
      <c r="F57" s="7">
        <v>1</v>
      </c>
      <c r="G57" s="7" t="s">
        <v>35</v>
      </c>
      <c r="H57" s="7" t="s">
        <v>49</v>
      </c>
      <c r="I57" s="6" t="s">
        <v>37</v>
      </c>
      <c r="K57" s="7">
        <v>1</v>
      </c>
      <c r="N57" s="7">
        <v>1</v>
      </c>
      <c r="T57" s="7">
        <v>1</v>
      </c>
    </row>
    <row r="58" spans="1:29" ht="15.75" customHeight="1" x14ac:dyDescent="0.25">
      <c r="A58" s="11" t="s">
        <v>182</v>
      </c>
      <c r="B58" s="7" t="s">
        <v>92</v>
      </c>
      <c r="D58" s="7" t="s">
        <v>183</v>
      </c>
      <c r="E58" s="7">
        <v>25</v>
      </c>
      <c r="G58" s="7" t="s">
        <v>35</v>
      </c>
      <c r="H58" s="7" t="s">
        <v>184</v>
      </c>
      <c r="I58" s="7" t="s">
        <v>79</v>
      </c>
      <c r="L58" s="7">
        <v>1</v>
      </c>
      <c r="P58" s="7">
        <v>1</v>
      </c>
      <c r="AC58" s="7">
        <v>1</v>
      </c>
    </row>
    <row r="59" spans="1:29" ht="15.75" hidden="1" customHeight="1" x14ac:dyDescent="0.25">
      <c r="A59" s="11" t="s">
        <v>185</v>
      </c>
      <c r="B59" s="7" t="s">
        <v>115</v>
      </c>
      <c r="D59" s="7" t="s">
        <v>186</v>
      </c>
      <c r="E59" s="7">
        <v>35</v>
      </c>
      <c r="G59" s="7" t="s">
        <v>40</v>
      </c>
      <c r="H59" s="7" t="s">
        <v>187</v>
      </c>
      <c r="I59" s="7" t="s">
        <v>79</v>
      </c>
      <c r="L59" s="7">
        <v>1</v>
      </c>
      <c r="N59" s="7">
        <v>1</v>
      </c>
      <c r="V59" s="7">
        <v>1</v>
      </c>
      <c r="AA59" s="7">
        <v>1</v>
      </c>
      <c r="AC59" s="7">
        <v>1</v>
      </c>
    </row>
    <row r="60" spans="1:29" ht="15.75" hidden="1" customHeight="1" x14ac:dyDescent="0.25">
      <c r="A60" s="11" t="s">
        <v>188</v>
      </c>
      <c r="B60" s="7" t="s">
        <v>75</v>
      </c>
      <c r="D60" s="7" t="s">
        <v>189</v>
      </c>
      <c r="E60" s="7">
        <v>6</v>
      </c>
      <c r="F60" s="7">
        <v>1</v>
      </c>
      <c r="G60" s="7" t="s">
        <v>35</v>
      </c>
      <c r="H60" s="7" t="s">
        <v>73</v>
      </c>
      <c r="I60" s="6" t="s">
        <v>37</v>
      </c>
      <c r="L60" s="7">
        <v>1</v>
      </c>
      <c r="N60" s="7">
        <v>1</v>
      </c>
      <c r="AC60" s="7">
        <v>1</v>
      </c>
    </row>
    <row r="61" spans="1:29" ht="15.75" customHeight="1" x14ac:dyDescent="0.25">
      <c r="A61" s="11" t="s">
        <v>190</v>
      </c>
      <c r="B61" s="7" t="s">
        <v>139</v>
      </c>
      <c r="D61" s="7" t="s">
        <v>191</v>
      </c>
      <c r="E61" s="7">
        <v>33</v>
      </c>
      <c r="G61" s="7" t="s">
        <v>40</v>
      </c>
      <c r="H61" s="7" t="s">
        <v>105</v>
      </c>
      <c r="I61" s="6" t="s">
        <v>37</v>
      </c>
      <c r="L61" s="7">
        <v>1</v>
      </c>
      <c r="P61" s="7">
        <v>1</v>
      </c>
      <c r="R61" s="7">
        <v>1</v>
      </c>
      <c r="AC61" s="7">
        <v>1</v>
      </c>
    </row>
    <row r="62" spans="1:29" ht="15.75" hidden="1" customHeight="1" x14ac:dyDescent="0.25">
      <c r="A62" s="11" t="s">
        <v>192</v>
      </c>
      <c r="B62" s="7" t="s">
        <v>151</v>
      </c>
      <c r="D62" s="7" t="s">
        <v>193</v>
      </c>
      <c r="E62" s="7">
        <v>50</v>
      </c>
      <c r="G62" s="7" t="s">
        <v>40</v>
      </c>
      <c r="H62" s="6" t="s">
        <v>52</v>
      </c>
      <c r="I62" s="6" t="s">
        <v>37</v>
      </c>
      <c r="L62" s="7">
        <v>1</v>
      </c>
      <c r="N62" s="7">
        <v>1</v>
      </c>
      <c r="R62" s="7">
        <v>1</v>
      </c>
      <c r="V62" s="7">
        <v>1</v>
      </c>
    </row>
    <row r="63" spans="1:29" ht="15.75" hidden="1" customHeight="1" x14ac:dyDescent="0.25">
      <c r="A63" s="11" t="s">
        <v>188</v>
      </c>
      <c r="B63" s="7" t="s">
        <v>59</v>
      </c>
      <c r="D63" s="7" t="s">
        <v>194</v>
      </c>
      <c r="E63" s="7">
        <v>54</v>
      </c>
      <c r="G63" s="7" t="s">
        <v>40</v>
      </c>
      <c r="H63" s="7" t="s">
        <v>195</v>
      </c>
      <c r="I63" s="7" t="s">
        <v>70</v>
      </c>
      <c r="L63" s="7">
        <v>1</v>
      </c>
      <c r="N63" s="7">
        <v>1</v>
      </c>
      <c r="V63" s="7">
        <v>2</v>
      </c>
      <c r="W63" s="7">
        <v>1</v>
      </c>
      <c r="AA63" s="7">
        <v>1</v>
      </c>
    </row>
    <row r="64" spans="1:29" ht="15.75" customHeight="1" x14ac:dyDescent="0.25">
      <c r="A64" s="13">
        <v>45780</v>
      </c>
      <c r="B64" s="7" t="s">
        <v>196</v>
      </c>
      <c r="D64" s="7" t="s">
        <v>197</v>
      </c>
      <c r="E64" s="7">
        <v>36</v>
      </c>
      <c r="G64" s="7" t="s">
        <v>35</v>
      </c>
      <c r="H64" s="7" t="s">
        <v>198</v>
      </c>
      <c r="I64" s="6" t="s">
        <v>37</v>
      </c>
      <c r="L64" s="7">
        <v>1</v>
      </c>
      <c r="P64" s="7">
        <v>1</v>
      </c>
      <c r="V64" s="7">
        <v>1</v>
      </c>
    </row>
    <row r="65" spans="1:29" ht="15.75" customHeight="1" x14ac:dyDescent="0.25">
      <c r="A65" s="11" t="s">
        <v>199</v>
      </c>
      <c r="B65" s="7" t="s">
        <v>200</v>
      </c>
      <c r="D65" s="7" t="s">
        <v>201</v>
      </c>
      <c r="E65" s="7">
        <v>55</v>
      </c>
      <c r="G65" s="7" t="s">
        <v>40</v>
      </c>
      <c r="H65" s="6" t="s">
        <v>52</v>
      </c>
      <c r="I65" s="6" t="s">
        <v>37</v>
      </c>
      <c r="L65" s="7">
        <v>1</v>
      </c>
      <c r="P65" s="7">
        <v>1</v>
      </c>
      <c r="V65" s="7">
        <v>1</v>
      </c>
      <c r="AA65" s="7">
        <v>1</v>
      </c>
    </row>
    <row r="66" spans="1:29" ht="15.75" customHeight="1" x14ac:dyDescent="0.25">
      <c r="A66" s="11" t="s">
        <v>202</v>
      </c>
      <c r="B66" s="7" t="s">
        <v>47</v>
      </c>
      <c r="D66" s="7" t="s">
        <v>203</v>
      </c>
      <c r="E66" s="7">
        <v>13</v>
      </c>
      <c r="F66" s="7">
        <v>1</v>
      </c>
      <c r="G66" s="7" t="s">
        <v>35</v>
      </c>
      <c r="H66" s="7" t="s">
        <v>204</v>
      </c>
      <c r="I66" s="6" t="s">
        <v>37</v>
      </c>
      <c r="L66" s="7">
        <v>1</v>
      </c>
      <c r="P66" s="7">
        <v>1</v>
      </c>
      <c r="AA66" s="7">
        <v>1</v>
      </c>
      <c r="AC66" s="7">
        <v>1</v>
      </c>
    </row>
    <row r="67" spans="1:29" ht="15.75" hidden="1" customHeight="1" x14ac:dyDescent="0.25">
      <c r="A67" s="11" t="s">
        <v>82</v>
      </c>
      <c r="B67" s="7" t="s">
        <v>126</v>
      </c>
      <c r="D67" s="7" t="s">
        <v>205</v>
      </c>
      <c r="E67" s="7">
        <v>13</v>
      </c>
      <c r="F67" s="7">
        <v>1</v>
      </c>
      <c r="G67" s="7" t="s">
        <v>35</v>
      </c>
      <c r="H67" s="7" t="s">
        <v>206</v>
      </c>
      <c r="I67" s="7" t="s">
        <v>79</v>
      </c>
      <c r="L67" s="7">
        <v>1</v>
      </c>
      <c r="N67" s="7">
        <v>1</v>
      </c>
      <c r="R67" s="7">
        <v>1</v>
      </c>
      <c r="V67" s="7">
        <v>1</v>
      </c>
    </row>
    <row r="68" spans="1:29" ht="15.75" customHeight="1" x14ac:dyDescent="0.25">
      <c r="A68" s="11" t="s">
        <v>207</v>
      </c>
      <c r="B68" s="7" t="s">
        <v>33</v>
      </c>
      <c r="D68" s="7" t="s">
        <v>208</v>
      </c>
      <c r="E68" s="7">
        <v>68</v>
      </c>
      <c r="G68" s="7" t="s">
        <v>35</v>
      </c>
      <c r="H68" s="7" t="s">
        <v>209</v>
      </c>
      <c r="I68" s="6" t="s">
        <v>37</v>
      </c>
      <c r="L68" s="7">
        <v>1</v>
      </c>
      <c r="P68" s="7">
        <v>1</v>
      </c>
      <c r="R68" s="7">
        <v>1</v>
      </c>
      <c r="AC68" s="7">
        <v>1</v>
      </c>
    </row>
    <row r="69" spans="1:29" ht="15.75" customHeight="1" x14ac:dyDescent="0.25">
      <c r="A69" s="11" t="s">
        <v>119</v>
      </c>
      <c r="B69" s="7" t="s">
        <v>120</v>
      </c>
      <c r="D69" s="7" t="s">
        <v>210</v>
      </c>
      <c r="E69" s="7">
        <v>38</v>
      </c>
      <c r="G69" s="7" t="s">
        <v>40</v>
      </c>
      <c r="H69" s="7" t="s">
        <v>105</v>
      </c>
      <c r="I69" s="6" t="s">
        <v>37</v>
      </c>
      <c r="L69" s="7">
        <v>1</v>
      </c>
      <c r="P69" s="7">
        <v>1</v>
      </c>
      <c r="AC69" s="7">
        <v>1</v>
      </c>
    </row>
    <row r="70" spans="1:29" ht="15.75" customHeight="1" x14ac:dyDescent="0.25">
      <c r="A70" s="11" t="s">
        <v>211</v>
      </c>
      <c r="B70" s="7" t="s">
        <v>126</v>
      </c>
      <c r="D70" s="7" t="s">
        <v>212</v>
      </c>
      <c r="E70" s="7">
        <v>17</v>
      </c>
      <c r="F70" s="7">
        <v>1</v>
      </c>
      <c r="G70" s="7" t="s">
        <v>35</v>
      </c>
      <c r="H70" s="7" t="s">
        <v>213</v>
      </c>
      <c r="I70" s="6" t="s">
        <v>37</v>
      </c>
      <c r="L70" s="7">
        <v>1</v>
      </c>
      <c r="P70" s="7">
        <v>1</v>
      </c>
      <c r="AC70" s="7">
        <v>1</v>
      </c>
    </row>
    <row r="71" spans="1:29" ht="15.75" customHeight="1" x14ac:dyDescent="0.25">
      <c r="A71" s="11" t="s">
        <v>214</v>
      </c>
      <c r="B71" s="7" t="s">
        <v>145</v>
      </c>
      <c r="D71" s="7" t="s">
        <v>215</v>
      </c>
      <c r="E71" s="7">
        <v>40</v>
      </c>
      <c r="G71" s="7" t="s">
        <v>40</v>
      </c>
      <c r="H71" s="6" t="s">
        <v>52</v>
      </c>
      <c r="I71" s="6" t="s">
        <v>37</v>
      </c>
      <c r="L71" s="7">
        <v>1</v>
      </c>
      <c r="P71" s="7">
        <v>1</v>
      </c>
      <c r="AC71" s="7">
        <v>1</v>
      </c>
    </row>
    <row r="72" spans="1:29" ht="15.75" hidden="1" customHeight="1" x14ac:dyDescent="0.25">
      <c r="A72" s="11" t="s">
        <v>216</v>
      </c>
      <c r="B72" s="7" t="s">
        <v>83</v>
      </c>
      <c r="D72" s="7" t="s">
        <v>217</v>
      </c>
      <c r="E72" s="7">
        <v>29</v>
      </c>
      <c r="G72" s="7" t="s">
        <v>40</v>
      </c>
      <c r="H72" s="7" t="s">
        <v>218</v>
      </c>
      <c r="I72" s="7" t="s">
        <v>79</v>
      </c>
      <c r="L72" s="7">
        <v>1</v>
      </c>
      <c r="N72" s="7">
        <v>1</v>
      </c>
      <c r="AC72" s="7">
        <v>1</v>
      </c>
    </row>
    <row r="73" spans="1:29" ht="15.75" hidden="1" customHeight="1" x14ac:dyDescent="0.25">
      <c r="A73" s="11" t="s">
        <v>82</v>
      </c>
      <c r="B73" s="7" t="s">
        <v>53</v>
      </c>
      <c r="D73" s="7" t="s">
        <v>219</v>
      </c>
      <c r="E73" s="7">
        <v>56</v>
      </c>
      <c r="G73" s="7" t="s">
        <v>40</v>
      </c>
      <c r="H73" s="7" t="s">
        <v>69</v>
      </c>
      <c r="I73" s="7" t="s">
        <v>70</v>
      </c>
      <c r="L73" s="7">
        <v>1</v>
      </c>
      <c r="N73" s="7">
        <v>1</v>
      </c>
      <c r="AC73" s="7">
        <v>1</v>
      </c>
    </row>
    <row r="74" spans="1:29" ht="15.75" customHeight="1" x14ac:dyDescent="0.25">
      <c r="A74" s="11" t="s">
        <v>220</v>
      </c>
      <c r="B74" s="7" t="s">
        <v>221</v>
      </c>
      <c r="D74" s="7" t="s">
        <v>222</v>
      </c>
      <c r="E74" s="7">
        <v>33</v>
      </c>
      <c r="G74" s="7" t="s">
        <v>35</v>
      </c>
      <c r="H74" s="7" t="s">
        <v>61</v>
      </c>
      <c r="I74" s="7" t="s">
        <v>70</v>
      </c>
      <c r="M74" s="7">
        <v>1</v>
      </c>
      <c r="P74" s="7">
        <v>1</v>
      </c>
      <c r="AC74" s="7">
        <v>1</v>
      </c>
    </row>
    <row r="75" spans="1:29" ht="15.75" hidden="1" customHeight="1" x14ac:dyDescent="0.25">
      <c r="A75" s="11" t="s">
        <v>188</v>
      </c>
      <c r="B75" s="7" t="s">
        <v>67</v>
      </c>
      <c r="D75" s="7" t="s">
        <v>223</v>
      </c>
      <c r="E75" s="7">
        <v>56</v>
      </c>
      <c r="G75" s="7" t="s">
        <v>35</v>
      </c>
      <c r="H75" s="7" t="s">
        <v>114</v>
      </c>
      <c r="I75" s="6" t="s">
        <v>37</v>
      </c>
      <c r="L75" s="7">
        <v>1</v>
      </c>
      <c r="N75" s="7">
        <v>1</v>
      </c>
      <c r="AC75" s="7">
        <v>1</v>
      </c>
    </row>
    <row r="76" spans="1:29" ht="15.75" customHeight="1" x14ac:dyDescent="0.25">
      <c r="A76" s="11" t="s">
        <v>224</v>
      </c>
      <c r="B76" s="7" t="s">
        <v>43</v>
      </c>
      <c r="D76" s="7" t="s">
        <v>225</v>
      </c>
      <c r="E76" s="7">
        <v>40</v>
      </c>
      <c r="G76" s="7" t="s">
        <v>40</v>
      </c>
      <c r="H76" s="7" t="s">
        <v>128</v>
      </c>
      <c r="I76" s="6" t="s">
        <v>37</v>
      </c>
      <c r="L76" s="7">
        <v>1</v>
      </c>
      <c r="P76" s="7">
        <v>1</v>
      </c>
      <c r="AC76" s="7">
        <v>1</v>
      </c>
    </row>
    <row r="77" spans="1:29" ht="15.75" customHeight="1" x14ac:dyDescent="0.25">
      <c r="A77" s="11"/>
    </row>
    <row r="78" spans="1:29" ht="15.75" customHeight="1" x14ac:dyDescent="0.25">
      <c r="A78" s="11"/>
    </row>
    <row r="79" spans="1:29" ht="15.75" customHeight="1" x14ac:dyDescent="0.25">
      <c r="A79" s="11"/>
    </row>
    <row r="80" spans="1:29" ht="15.75" customHeight="1" x14ac:dyDescent="0.25">
      <c r="A80" s="11"/>
    </row>
    <row r="81" spans="1:1" ht="15.75" customHeight="1" x14ac:dyDescent="0.25">
      <c r="A81" s="11"/>
    </row>
    <row r="82" spans="1:1" ht="15.75" customHeight="1" x14ac:dyDescent="0.25">
      <c r="A82" s="11"/>
    </row>
    <row r="83" spans="1:1" ht="15.75" customHeight="1" x14ac:dyDescent="0.25">
      <c r="A83" s="11"/>
    </row>
    <row r="84" spans="1:1" ht="15.75" customHeight="1" x14ac:dyDescent="0.25">
      <c r="A84" s="11"/>
    </row>
    <row r="85" spans="1:1" ht="15.75" customHeight="1" x14ac:dyDescent="0.25">
      <c r="A85" s="11"/>
    </row>
    <row r="86" spans="1:1" ht="15.75" customHeight="1" x14ac:dyDescent="0.25">
      <c r="A86" s="11"/>
    </row>
    <row r="87" spans="1:1" ht="15.75" customHeight="1" x14ac:dyDescent="0.25">
      <c r="A87" s="11"/>
    </row>
    <row r="88" spans="1:1" ht="15.75" customHeight="1" x14ac:dyDescent="0.25">
      <c r="A88" s="11"/>
    </row>
    <row r="89" spans="1:1" ht="15.75" customHeight="1" x14ac:dyDescent="0.25">
      <c r="A89" s="11"/>
    </row>
    <row r="90" spans="1:1" ht="15.75" customHeight="1" x14ac:dyDescent="0.25">
      <c r="A90" s="11"/>
    </row>
    <row r="91" spans="1:1" ht="15.75" customHeight="1" x14ac:dyDescent="0.25">
      <c r="A91" s="11"/>
    </row>
    <row r="92" spans="1:1" ht="15.75" customHeight="1" x14ac:dyDescent="0.25">
      <c r="A92" s="11"/>
    </row>
    <row r="93" spans="1:1" ht="15.75" customHeight="1" x14ac:dyDescent="0.25">
      <c r="A93" s="11"/>
    </row>
    <row r="94" spans="1:1" ht="15.75" customHeight="1" x14ac:dyDescent="0.25">
      <c r="A94" s="11"/>
    </row>
    <row r="95" spans="1:1" ht="15.75" customHeight="1" x14ac:dyDescent="0.25">
      <c r="A95" s="11"/>
    </row>
    <row r="96" spans="1:1" ht="15.75" customHeight="1" x14ac:dyDescent="0.25">
      <c r="A96" s="11"/>
    </row>
    <row r="97" spans="1:1" ht="15.75" customHeight="1" x14ac:dyDescent="0.25">
      <c r="A97" s="11"/>
    </row>
    <row r="98" spans="1:1" ht="15.75" customHeight="1" x14ac:dyDescent="0.25">
      <c r="A98" s="11"/>
    </row>
    <row r="99" spans="1:1" ht="15.75" customHeight="1" x14ac:dyDescent="0.25">
      <c r="A99" s="11"/>
    </row>
    <row r="100" spans="1:1" ht="15.75" customHeight="1" x14ac:dyDescent="0.25">
      <c r="A100" s="11"/>
    </row>
    <row r="101" spans="1:1" ht="15.75" customHeight="1" x14ac:dyDescent="0.25">
      <c r="A101" s="11"/>
    </row>
    <row r="102" spans="1:1" ht="15.75" customHeight="1" x14ac:dyDescent="0.25">
      <c r="A102" s="11"/>
    </row>
    <row r="103" spans="1:1" ht="15.75" customHeight="1" x14ac:dyDescent="0.25">
      <c r="A103" s="11"/>
    </row>
    <row r="104" spans="1:1" ht="15.75" customHeight="1" x14ac:dyDescent="0.25">
      <c r="A104" s="11"/>
    </row>
    <row r="105" spans="1:1" ht="15.75" customHeight="1" x14ac:dyDescent="0.25">
      <c r="A105" s="11"/>
    </row>
    <row r="106" spans="1:1" ht="15.75" customHeight="1" x14ac:dyDescent="0.25">
      <c r="A106" s="11"/>
    </row>
    <row r="107" spans="1:1" ht="15.75" customHeight="1" x14ac:dyDescent="0.25">
      <c r="A107" s="11"/>
    </row>
    <row r="108" spans="1:1" ht="15.75" customHeight="1" x14ac:dyDescent="0.25">
      <c r="A108" s="11"/>
    </row>
    <row r="109" spans="1:1" ht="15.75" customHeight="1" x14ac:dyDescent="0.25">
      <c r="A109" s="11"/>
    </row>
    <row r="110" spans="1:1" ht="15.75" customHeight="1" x14ac:dyDescent="0.25">
      <c r="A110" s="11"/>
    </row>
    <row r="111" spans="1:1" ht="15.75" customHeight="1" x14ac:dyDescent="0.25">
      <c r="A111" s="11"/>
    </row>
    <row r="112" spans="1:1" ht="15.75" customHeight="1" x14ac:dyDescent="0.25">
      <c r="A112" s="11"/>
    </row>
    <row r="113" spans="1:1" ht="15.75" customHeight="1" x14ac:dyDescent="0.25">
      <c r="A113" s="11"/>
    </row>
    <row r="114" spans="1:1" ht="15.75" customHeight="1" x14ac:dyDescent="0.25">
      <c r="A114" s="11"/>
    </row>
    <row r="115" spans="1:1" ht="15.75" customHeight="1" x14ac:dyDescent="0.25">
      <c r="A115" s="11"/>
    </row>
    <row r="116" spans="1:1" ht="15.75" customHeight="1" x14ac:dyDescent="0.25">
      <c r="A116" s="11"/>
    </row>
    <row r="117" spans="1:1" ht="15.75" customHeight="1" x14ac:dyDescent="0.25">
      <c r="A117" s="11"/>
    </row>
    <row r="118" spans="1:1" ht="15.75" customHeight="1" x14ac:dyDescent="0.25">
      <c r="A118" s="11"/>
    </row>
    <row r="119" spans="1:1" ht="15.75" customHeight="1" x14ac:dyDescent="0.25">
      <c r="A119" s="11"/>
    </row>
    <row r="120" spans="1:1" ht="15.75" customHeight="1" x14ac:dyDescent="0.25">
      <c r="A120" s="11"/>
    </row>
    <row r="121" spans="1:1" ht="15.75" customHeight="1" x14ac:dyDescent="0.25">
      <c r="A121" s="11"/>
    </row>
    <row r="122" spans="1:1" ht="15.75" customHeight="1" x14ac:dyDescent="0.25">
      <c r="A122" s="11"/>
    </row>
    <row r="123" spans="1:1" ht="15.75" customHeight="1" x14ac:dyDescent="0.25">
      <c r="A123" s="11"/>
    </row>
    <row r="124" spans="1:1" ht="15.75" customHeight="1" x14ac:dyDescent="0.25">
      <c r="A124" s="11"/>
    </row>
    <row r="125" spans="1:1" ht="15.75" customHeight="1" x14ac:dyDescent="0.25">
      <c r="A125" s="11"/>
    </row>
    <row r="126" spans="1:1" ht="15.75" customHeight="1" x14ac:dyDescent="0.25">
      <c r="A126" s="11"/>
    </row>
    <row r="127" spans="1:1" ht="15.75" customHeight="1" x14ac:dyDescent="0.25">
      <c r="A127" s="11"/>
    </row>
    <row r="128" spans="1:1" ht="15.75" customHeight="1" x14ac:dyDescent="0.25">
      <c r="A128" s="11"/>
    </row>
    <row r="129" spans="1:1" ht="15.75" customHeight="1" x14ac:dyDescent="0.25">
      <c r="A129" s="11"/>
    </row>
    <row r="130" spans="1:1" ht="15.75" customHeight="1" x14ac:dyDescent="0.25">
      <c r="A130" s="11"/>
    </row>
    <row r="131" spans="1:1" ht="15.75" customHeight="1" x14ac:dyDescent="0.25">
      <c r="A131" s="11"/>
    </row>
    <row r="132" spans="1:1" ht="15.75" customHeight="1" x14ac:dyDescent="0.25">
      <c r="A132" s="11"/>
    </row>
    <row r="133" spans="1:1" ht="15.75" customHeight="1" x14ac:dyDescent="0.25">
      <c r="A133" s="11"/>
    </row>
    <row r="134" spans="1:1" ht="15.75" customHeight="1" x14ac:dyDescent="0.25">
      <c r="A134" s="11"/>
    </row>
    <row r="135" spans="1:1" ht="15.75" customHeight="1" x14ac:dyDescent="0.25">
      <c r="A135" s="11"/>
    </row>
    <row r="136" spans="1:1" ht="15.75" customHeight="1" x14ac:dyDescent="0.25">
      <c r="A136" s="11"/>
    </row>
    <row r="137" spans="1:1" ht="15.75" customHeight="1" x14ac:dyDescent="0.25">
      <c r="A137" s="11"/>
    </row>
    <row r="138" spans="1:1" ht="15.75" customHeight="1" x14ac:dyDescent="0.25">
      <c r="A138" s="11"/>
    </row>
    <row r="139" spans="1:1" ht="15.75" customHeight="1" x14ac:dyDescent="0.25">
      <c r="A139" s="11"/>
    </row>
    <row r="140" spans="1:1" ht="15.75" customHeight="1" x14ac:dyDescent="0.25">
      <c r="A140" s="11"/>
    </row>
    <row r="141" spans="1:1" ht="15.75" customHeight="1" x14ac:dyDescent="0.25">
      <c r="A141" s="11"/>
    </row>
    <row r="142" spans="1:1" ht="15.75" customHeight="1" x14ac:dyDescent="0.25">
      <c r="A142" s="11"/>
    </row>
    <row r="143" spans="1:1" ht="15.75" customHeight="1" x14ac:dyDescent="0.25">
      <c r="A143" s="11"/>
    </row>
    <row r="144" spans="1:1" ht="15.75" customHeight="1" x14ac:dyDescent="0.25">
      <c r="A144" s="11"/>
    </row>
    <row r="145" spans="1:1" ht="15.75" customHeight="1" x14ac:dyDescent="0.25">
      <c r="A145" s="11"/>
    </row>
    <row r="146" spans="1:1" ht="15.75" customHeight="1" x14ac:dyDescent="0.25">
      <c r="A146" s="11"/>
    </row>
    <row r="147" spans="1:1" ht="15.75" customHeight="1" x14ac:dyDescent="0.25">
      <c r="A147" s="11"/>
    </row>
    <row r="148" spans="1:1" ht="15.75" customHeight="1" x14ac:dyDescent="0.25">
      <c r="A148" s="11"/>
    </row>
    <row r="149" spans="1:1" ht="15.75" customHeight="1" x14ac:dyDescent="0.25">
      <c r="A149" s="11"/>
    </row>
    <row r="150" spans="1:1" ht="15.75" customHeight="1" x14ac:dyDescent="0.25">
      <c r="A150" s="11"/>
    </row>
    <row r="151" spans="1:1" ht="15.75" customHeight="1" x14ac:dyDescent="0.25">
      <c r="A151" s="11"/>
    </row>
    <row r="152" spans="1:1" ht="15.75" customHeight="1" x14ac:dyDescent="0.25">
      <c r="A152" s="11"/>
    </row>
    <row r="153" spans="1:1" ht="15.75" customHeight="1" x14ac:dyDescent="0.25">
      <c r="A153" s="11"/>
    </row>
    <row r="154" spans="1:1" ht="15.75" customHeight="1" x14ac:dyDescent="0.25">
      <c r="A154" s="11"/>
    </row>
    <row r="155" spans="1:1" ht="15.75" customHeight="1" x14ac:dyDescent="0.25">
      <c r="A155" s="11"/>
    </row>
    <row r="156" spans="1:1" ht="15.75" customHeight="1" x14ac:dyDescent="0.25">
      <c r="A156" s="11"/>
    </row>
    <row r="157" spans="1:1" ht="15.75" customHeight="1" x14ac:dyDescent="0.25">
      <c r="A157" s="11"/>
    </row>
    <row r="158" spans="1:1" ht="15.75" customHeight="1" x14ac:dyDescent="0.25">
      <c r="A158" s="11"/>
    </row>
    <row r="159" spans="1:1" ht="15.75" customHeight="1" x14ac:dyDescent="0.25">
      <c r="A159" s="11"/>
    </row>
    <row r="160" spans="1:1" ht="15.75" customHeight="1" x14ac:dyDescent="0.25">
      <c r="A160" s="11"/>
    </row>
    <row r="161" spans="1:1" ht="15.75" customHeight="1" x14ac:dyDescent="0.25">
      <c r="A161" s="11"/>
    </row>
    <row r="162" spans="1:1" ht="15.75" customHeight="1" x14ac:dyDescent="0.25">
      <c r="A162" s="11"/>
    </row>
    <row r="163" spans="1:1" ht="15.75" customHeight="1" x14ac:dyDescent="0.25">
      <c r="A163" s="11"/>
    </row>
    <row r="164" spans="1:1" ht="15.75" customHeight="1" x14ac:dyDescent="0.25">
      <c r="A164" s="11"/>
    </row>
    <row r="165" spans="1:1" ht="15.75" customHeight="1" x14ac:dyDescent="0.25">
      <c r="A165" s="11"/>
    </row>
    <row r="166" spans="1:1" ht="15.75" customHeight="1" x14ac:dyDescent="0.25">
      <c r="A166" s="11"/>
    </row>
    <row r="167" spans="1:1" ht="15.75" customHeight="1" x14ac:dyDescent="0.25">
      <c r="A167" s="11"/>
    </row>
    <row r="168" spans="1:1" ht="15.75" customHeight="1" x14ac:dyDescent="0.25">
      <c r="A168" s="11"/>
    </row>
    <row r="169" spans="1:1" ht="15.75" customHeight="1" x14ac:dyDescent="0.25">
      <c r="A169" s="11"/>
    </row>
    <row r="170" spans="1:1" ht="15.75" customHeight="1" x14ac:dyDescent="0.25">
      <c r="A170" s="11"/>
    </row>
    <row r="171" spans="1:1" ht="15.75" customHeight="1" x14ac:dyDescent="0.25">
      <c r="A171" s="11"/>
    </row>
    <row r="172" spans="1:1" ht="15.75" customHeight="1" x14ac:dyDescent="0.25">
      <c r="A172" s="11"/>
    </row>
    <row r="173" spans="1:1" ht="15.75" customHeight="1" x14ac:dyDescent="0.25">
      <c r="A173" s="11"/>
    </row>
    <row r="174" spans="1:1" ht="15.75" customHeight="1" x14ac:dyDescent="0.25">
      <c r="A174" s="11"/>
    </row>
    <row r="175" spans="1:1" ht="15.75" customHeight="1" x14ac:dyDescent="0.25">
      <c r="A175" s="11"/>
    </row>
    <row r="176" spans="1:1" ht="15.75" customHeight="1" x14ac:dyDescent="0.25">
      <c r="A176" s="11"/>
    </row>
    <row r="177" spans="1:1" ht="15.75" customHeight="1" x14ac:dyDescent="0.25">
      <c r="A177" s="11"/>
    </row>
    <row r="178" spans="1:1" ht="15.75" customHeight="1" x14ac:dyDescent="0.25">
      <c r="A178" s="11"/>
    </row>
    <row r="179" spans="1:1" ht="15.75" customHeight="1" x14ac:dyDescent="0.25">
      <c r="A179" s="11"/>
    </row>
    <row r="180" spans="1:1" ht="15.75" customHeight="1" x14ac:dyDescent="0.25">
      <c r="A180" s="11"/>
    </row>
    <row r="181" spans="1:1" ht="15.75" customHeight="1" x14ac:dyDescent="0.25">
      <c r="A181" s="11"/>
    </row>
    <row r="182" spans="1:1" ht="15.75" customHeight="1" x14ac:dyDescent="0.25">
      <c r="A182" s="11"/>
    </row>
    <row r="183" spans="1:1" ht="15.75" customHeight="1" x14ac:dyDescent="0.25">
      <c r="A183" s="11"/>
    </row>
    <row r="184" spans="1:1" ht="15.75" customHeight="1" x14ac:dyDescent="0.25">
      <c r="A184" s="11"/>
    </row>
    <row r="185" spans="1:1" ht="15.75" customHeight="1" x14ac:dyDescent="0.25">
      <c r="A185" s="11"/>
    </row>
    <row r="186" spans="1:1" ht="15.75" customHeight="1" x14ac:dyDescent="0.25">
      <c r="A186" s="11"/>
    </row>
    <row r="187" spans="1:1" ht="15.75" customHeight="1" x14ac:dyDescent="0.25">
      <c r="A187" s="11"/>
    </row>
    <row r="188" spans="1:1" ht="15.75" customHeight="1" x14ac:dyDescent="0.25">
      <c r="A188" s="11"/>
    </row>
    <row r="189" spans="1:1" ht="15.75" customHeight="1" x14ac:dyDescent="0.25">
      <c r="A189" s="11"/>
    </row>
    <row r="190" spans="1:1" ht="15.75" customHeight="1" x14ac:dyDescent="0.25">
      <c r="A190" s="11"/>
    </row>
    <row r="191" spans="1:1" ht="15.75" customHeight="1" x14ac:dyDescent="0.25">
      <c r="A191" s="11"/>
    </row>
    <row r="192" spans="1:1" ht="15.75" customHeight="1" x14ac:dyDescent="0.25">
      <c r="A192" s="11"/>
    </row>
    <row r="193" spans="1:1" ht="15.75" customHeight="1" x14ac:dyDescent="0.25">
      <c r="A193" s="11"/>
    </row>
    <row r="194" spans="1:1" ht="15.75" customHeight="1" x14ac:dyDescent="0.25">
      <c r="A194" s="11"/>
    </row>
    <row r="195" spans="1:1" ht="15.75" customHeight="1" x14ac:dyDescent="0.25">
      <c r="A195" s="11"/>
    </row>
    <row r="196" spans="1:1" ht="15.75" customHeight="1" x14ac:dyDescent="0.25">
      <c r="A196" s="11"/>
    </row>
    <row r="197" spans="1:1" ht="15.75" customHeight="1" x14ac:dyDescent="0.25">
      <c r="A197" s="11"/>
    </row>
    <row r="198" spans="1:1" ht="15.75" customHeight="1" x14ac:dyDescent="0.25">
      <c r="A198" s="11"/>
    </row>
    <row r="199" spans="1:1" ht="15.75" customHeight="1" x14ac:dyDescent="0.25">
      <c r="A199" s="11"/>
    </row>
    <row r="200" spans="1:1" ht="15.75" customHeight="1" x14ac:dyDescent="0.25">
      <c r="A200" s="11"/>
    </row>
    <row r="201" spans="1:1" ht="15.75" customHeight="1" x14ac:dyDescent="0.25">
      <c r="A201" s="11"/>
    </row>
    <row r="202" spans="1:1" ht="15.75" customHeight="1" x14ac:dyDescent="0.25">
      <c r="A202" s="11"/>
    </row>
    <row r="203" spans="1:1" ht="15.75" customHeight="1" x14ac:dyDescent="0.25">
      <c r="A203" s="11"/>
    </row>
    <row r="204" spans="1:1" ht="15.75" customHeight="1" x14ac:dyDescent="0.25">
      <c r="A204" s="11"/>
    </row>
    <row r="205" spans="1:1" ht="15.75" customHeight="1" x14ac:dyDescent="0.25">
      <c r="A205" s="11"/>
    </row>
    <row r="206" spans="1:1" ht="15.75" customHeight="1" x14ac:dyDescent="0.25">
      <c r="A206" s="11"/>
    </row>
    <row r="207" spans="1:1" ht="15.75" customHeight="1" x14ac:dyDescent="0.25">
      <c r="A207" s="11"/>
    </row>
    <row r="208" spans="1:1" ht="15.75" customHeight="1" x14ac:dyDescent="0.25">
      <c r="A208" s="11"/>
    </row>
    <row r="209" spans="1:1" ht="15.75" customHeight="1" x14ac:dyDescent="0.25">
      <c r="A209" s="11"/>
    </row>
    <row r="210" spans="1:1" ht="15.75" customHeight="1" x14ac:dyDescent="0.25">
      <c r="A210" s="11"/>
    </row>
    <row r="211" spans="1:1" ht="15.75" customHeight="1" x14ac:dyDescent="0.25">
      <c r="A211" s="11"/>
    </row>
    <row r="212" spans="1:1" ht="15.75" customHeight="1" x14ac:dyDescent="0.25">
      <c r="A212" s="11"/>
    </row>
    <row r="213" spans="1:1" ht="15.75" customHeight="1" x14ac:dyDescent="0.25">
      <c r="A213" s="11"/>
    </row>
    <row r="214" spans="1:1" ht="15.75" customHeight="1" x14ac:dyDescent="0.25">
      <c r="A214" s="11"/>
    </row>
    <row r="215" spans="1:1" ht="15.75" customHeight="1" x14ac:dyDescent="0.25">
      <c r="A215" s="11"/>
    </row>
    <row r="216" spans="1:1" ht="15.75" customHeight="1" x14ac:dyDescent="0.25">
      <c r="A216" s="11"/>
    </row>
    <row r="217" spans="1:1" ht="15.75" customHeight="1" x14ac:dyDescent="0.25">
      <c r="A217" s="11"/>
    </row>
    <row r="218" spans="1:1" ht="15.75" customHeight="1" x14ac:dyDescent="0.25">
      <c r="A218" s="11"/>
    </row>
    <row r="219" spans="1:1" ht="15.75" customHeight="1" x14ac:dyDescent="0.25">
      <c r="A219" s="11"/>
    </row>
    <row r="220" spans="1:1" ht="15.75" customHeight="1" x14ac:dyDescent="0.25">
      <c r="A220" s="11"/>
    </row>
    <row r="221" spans="1:1" ht="15.75" customHeight="1" x14ac:dyDescent="0.25">
      <c r="A221" s="11"/>
    </row>
    <row r="222" spans="1:1" ht="15.75" customHeight="1" x14ac:dyDescent="0.25">
      <c r="A222" s="11"/>
    </row>
    <row r="223" spans="1:1" ht="15.75" customHeight="1" x14ac:dyDescent="0.25">
      <c r="A223" s="11"/>
    </row>
    <row r="224" spans="1:1" ht="15.75" customHeight="1" x14ac:dyDescent="0.25">
      <c r="A224" s="11"/>
    </row>
    <row r="225" spans="1:1" ht="15.75" customHeight="1" x14ac:dyDescent="0.25">
      <c r="A225" s="11"/>
    </row>
    <row r="226" spans="1:1" ht="15.75" customHeight="1" x14ac:dyDescent="0.25">
      <c r="A226" s="11"/>
    </row>
    <row r="227" spans="1:1" ht="15.75" customHeight="1" x14ac:dyDescent="0.25">
      <c r="A227" s="11"/>
    </row>
    <row r="228" spans="1:1" ht="15.75" customHeight="1" x14ac:dyDescent="0.25">
      <c r="A228" s="11"/>
    </row>
    <row r="229" spans="1:1" ht="15.75" customHeight="1" x14ac:dyDescent="0.25">
      <c r="A229" s="11"/>
    </row>
    <row r="230" spans="1:1" ht="15.75" customHeight="1" x14ac:dyDescent="0.25">
      <c r="A230" s="11"/>
    </row>
    <row r="231" spans="1:1" ht="15.75" customHeight="1" x14ac:dyDescent="0.25">
      <c r="A231" s="11"/>
    </row>
    <row r="232" spans="1:1" ht="15.75" customHeight="1" x14ac:dyDescent="0.25">
      <c r="A232" s="11"/>
    </row>
    <row r="233" spans="1:1" ht="15.75" customHeight="1" x14ac:dyDescent="0.25">
      <c r="A233" s="11"/>
    </row>
    <row r="234" spans="1:1" ht="15.75" customHeight="1" x14ac:dyDescent="0.25">
      <c r="A234" s="11"/>
    </row>
    <row r="235" spans="1:1" ht="15.75" customHeight="1" x14ac:dyDescent="0.25">
      <c r="A235" s="11"/>
    </row>
    <row r="236" spans="1:1" ht="15.75" customHeight="1" x14ac:dyDescent="0.25">
      <c r="A236" s="11"/>
    </row>
    <row r="237" spans="1:1" ht="15.75" customHeight="1" x14ac:dyDescent="0.25">
      <c r="A237" s="11"/>
    </row>
    <row r="238" spans="1:1" ht="15.75" customHeight="1" x14ac:dyDescent="0.25">
      <c r="A238" s="11"/>
    </row>
    <row r="239" spans="1:1" ht="15.75" customHeight="1" x14ac:dyDescent="0.25">
      <c r="A239" s="11"/>
    </row>
    <row r="240" spans="1:1" ht="15.75" customHeight="1" x14ac:dyDescent="0.25">
      <c r="A240" s="11"/>
    </row>
    <row r="241" spans="1:1" ht="15.75" customHeight="1" x14ac:dyDescent="0.25">
      <c r="A241" s="11"/>
    </row>
    <row r="242" spans="1:1" ht="15.75" customHeight="1" x14ac:dyDescent="0.25">
      <c r="A242" s="11"/>
    </row>
    <row r="243" spans="1:1" ht="15.75" customHeight="1" x14ac:dyDescent="0.25">
      <c r="A243" s="11"/>
    </row>
    <row r="244" spans="1:1" ht="15.75" customHeight="1" x14ac:dyDescent="0.25">
      <c r="A244" s="11"/>
    </row>
    <row r="245" spans="1:1" ht="15.75" customHeight="1" x14ac:dyDescent="0.25">
      <c r="A245" s="11"/>
    </row>
    <row r="246" spans="1:1" ht="15.75" customHeight="1" x14ac:dyDescent="0.25">
      <c r="A246" s="11"/>
    </row>
    <row r="247" spans="1:1" ht="15.75" customHeight="1" x14ac:dyDescent="0.25">
      <c r="A247" s="11"/>
    </row>
    <row r="248" spans="1:1" ht="15.75" customHeight="1" x14ac:dyDescent="0.25">
      <c r="A248" s="11"/>
    </row>
    <row r="249" spans="1:1" ht="15.75" customHeight="1" x14ac:dyDescent="0.25">
      <c r="A249" s="11"/>
    </row>
    <row r="250" spans="1:1" ht="15.75" customHeight="1" x14ac:dyDescent="0.25">
      <c r="A250" s="11"/>
    </row>
    <row r="251" spans="1:1" ht="15.75" customHeight="1" x14ac:dyDescent="0.25">
      <c r="A251" s="11"/>
    </row>
    <row r="252" spans="1:1" ht="15.75" customHeight="1" x14ac:dyDescent="0.25">
      <c r="A252" s="11"/>
    </row>
    <row r="253" spans="1:1" ht="15.75" customHeight="1" x14ac:dyDescent="0.25">
      <c r="A253" s="11"/>
    </row>
    <row r="254" spans="1:1" ht="15.75" customHeight="1" x14ac:dyDescent="0.25">
      <c r="A254" s="11"/>
    </row>
    <row r="255" spans="1:1" ht="15.75" customHeight="1" x14ac:dyDescent="0.25">
      <c r="A255" s="11"/>
    </row>
    <row r="256" spans="1:1" ht="15.75" customHeight="1" x14ac:dyDescent="0.25">
      <c r="A256" s="11"/>
    </row>
    <row r="257" spans="1:1" ht="15.75" customHeight="1" x14ac:dyDescent="0.25">
      <c r="A257" s="11"/>
    </row>
    <row r="258" spans="1:1" ht="15.75" customHeight="1" x14ac:dyDescent="0.25">
      <c r="A258" s="11"/>
    </row>
    <row r="259" spans="1:1" ht="15.75" customHeight="1" x14ac:dyDescent="0.25">
      <c r="A259" s="11"/>
    </row>
    <row r="260" spans="1:1" ht="15.75" customHeight="1" x14ac:dyDescent="0.25">
      <c r="A260" s="11"/>
    </row>
    <row r="261" spans="1:1" ht="15.75" customHeight="1" x14ac:dyDescent="0.25">
      <c r="A261" s="11"/>
    </row>
    <row r="262" spans="1:1" ht="15.75" customHeight="1" x14ac:dyDescent="0.25">
      <c r="A262" s="11"/>
    </row>
    <row r="263" spans="1:1" ht="15.75" customHeight="1" x14ac:dyDescent="0.25">
      <c r="A263" s="11"/>
    </row>
    <row r="264" spans="1:1" ht="15.75" customHeight="1" x14ac:dyDescent="0.25">
      <c r="A264" s="11"/>
    </row>
    <row r="265" spans="1:1" ht="15.75" customHeight="1" x14ac:dyDescent="0.25">
      <c r="A265" s="11"/>
    </row>
    <row r="266" spans="1:1" ht="15.75" customHeight="1" x14ac:dyDescent="0.25">
      <c r="A266" s="11"/>
    </row>
    <row r="267" spans="1:1" ht="15.75" customHeight="1" x14ac:dyDescent="0.25">
      <c r="A267" s="11"/>
    </row>
    <row r="268" spans="1:1" ht="15.75" customHeight="1" x14ac:dyDescent="0.25">
      <c r="A268" s="11"/>
    </row>
    <row r="269" spans="1:1" ht="15.75" customHeight="1" x14ac:dyDescent="0.25">
      <c r="A269" s="11"/>
    </row>
    <row r="270" spans="1:1" ht="15.75" customHeight="1" x14ac:dyDescent="0.25">
      <c r="A270" s="11"/>
    </row>
    <row r="271" spans="1:1" ht="15.75" customHeight="1" x14ac:dyDescent="0.25">
      <c r="A271" s="11"/>
    </row>
    <row r="272" spans="1:1" ht="15.75" customHeight="1" x14ac:dyDescent="0.25">
      <c r="A272" s="11"/>
    </row>
    <row r="273" spans="1:1" ht="15.75" customHeight="1" x14ac:dyDescent="0.25">
      <c r="A273" s="11"/>
    </row>
    <row r="274" spans="1:1" ht="15.75" customHeight="1" x14ac:dyDescent="0.25">
      <c r="A274" s="11"/>
    </row>
    <row r="275" spans="1:1" ht="15.75" customHeight="1" x14ac:dyDescent="0.25">
      <c r="A275" s="11"/>
    </row>
    <row r="276" spans="1:1" ht="15.75" customHeight="1" x14ac:dyDescent="0.25">
      <c r="A276" s="11"/>
    </row>
    <row r="277" spans="1:1" ht="15.75" customHeight="1" x14ac:dyDescent="0.25">
      <c r="A277" s="11"/>
    </row>
    <row r="278" spans="1:1" ht="15.75" customHeight="1" x14ac:dyDescent="0.25">
      <c r="A278" s="11"/>
    </row>
    <row r="279" spans="1:1" ht="15.75" customHeight="1" x14ac:dyDescent="0.25">
      <c r="A279" s="11"/>
    </row>
    <row r="280" spans="1:1" ht="15.75" customHeight="1" x14ac:dyDescent="0.25">
      <c r="A280" s="11"/>
    </row>
    <row r="281" spans="1:1" ht="15.75" customHeight="1" x14ac:dyDescent="0.25">
      <c r="A281" s="11"/>
    </row>
    <row r="282" spans="1:1" ht="15.75" customHeight="1" x14ac:dyDescent="0.25">
      <c r="A282" s="11"/>
    </row>
    <row r="283" spans="1:1" ht="15.75" customHeight="1" x14ac:dyDescent="0.25">
      <c r="A283" s="11"/>
    </row>
    <row r="284" spans="1:1" ht="15.75" customHeight="1" x14ac:dyDescent="0.25">
      <c r="A284" s="11"/>
    </row>
    <row r="285" spans="1:1" ht="15.75" customHeight="1" x14ac:dyDescent="0.25">
      <c r="A285" s="11"/>
    </row>
    <row r="286" spans="1:1" ht="15.75" customHeight="1" x14ac:dyDescent="0.25">
      <c r="A286" s="11"/>
    </row>
    <row r="287" spans="1:1" ht="15.75" customHeight="1" x14ac:dyDescent="0.25">
      <c r="A287" s="11"/>
    </row>
    <row r="288" spans="1:1" ht="15.75" customHeight="1" x14ac:dyDescent="0.25">
      <c r="A288" s="11"/>
    </row>
    <row r="289" spans="1:1" ht="15.75" customHeight="1" x14ac:dyDescent="0.25">
      <c r="A289" s="11"/>
    </row>
    <row r="290" spans="1:1" ht="15.75" customHeight="1" x14ac:dyDescent="0.25">
      <c r="A290" s="11"/>
    </row>
    <row r="291" spans="1:1" ht="15.75" customHeight="1" x14ac:dyDescent="0.25">
      <c r="A291" s="11"/>
    </row>
    <row r="292" spans="1:1" ht="15.75" customHeight="1" x14ac:dyDescent="0.25">
      <c r="A292" s="11"/>
    </row>
    <row r="293" spans="1:1" ht="15.75" customHeight="1" x14ac:dyDescent="0.25">
      <c r="A293" s="11"/>
    </row>
    <row r="294" spans="1:1" ht="15.75" customHeight="1" x14ac:dyDescent="0.25">
      <c r="A294" s="11"/>
    </row>
    <row r="295" spans="1:1" ht="15.75" customHeight="1" x14ac:dyDescent="0.25">
      <c r="A295" s="11"/>
    </row>
    <row r="296" spans="1:1" ht="15.75" customHeight="1" x14ac:dyDescent="0.25">
      <c r="A296" s="11"/>
    </row>
    <row r="297" spans="1:1" ht="15.75" customHeight="1" x14ac:dyDescent="0.25">
      <c r="A297" s="11"/>
    </row>
    <row r="298" spans="1:1" ht="15.75" customHeight="1" x14ac:dyDescent="0.25">
      <c r="A298" s="11"/>
    </row>
    <row r="299" spans="1:1" ht="15.75" customHeight="1" x14ac:dyDescent="0.25">
      <c r="A299" s="11"/>
    </row>
    <row r="300" spans="1:1" ht="15.75" customHeight="1" x14ac:dyDescent="0.25">
      <c r="A300" s="11"/>
    </row>
    <row r="301" spans="1:1" ht="15.75" customHeight="1" x14ac:dyDescent="0.25">
      <c r="A301" s="11"/>
    </row>
    <row r="302" spans="1:1" ht="15.75" customHeight="1" x14ac:dyDescent="0.25">
      <c r="A302" s="11"/>
    </row>
    <row r="303" spans="1:1" ht="15.75" customHeight="1" x14ac:dyDescent="0.25">
      <c r="A303" s="11"/>
    </row>
    <row r="304" spans="1:1" ht="15.75" customHeight="1" x14ac:dyDescent="0.25">
      <c r="A304" s="11"/>
    </row>
    <row r="305" spans="1:1" ht="15.75" customHeight="1" x14ac:dyDescent="0.25">
      <c r="A305" s="11"/>
    </row>
    <row r="306" spans="1:1" ht="15.75" customHeight="1" x14ac:dyDescent="0.25">
      <c r="A306" s="11"/>
    </row>
    <row r="307" spans="1:1" ht="15.75" customHeight="1" x14ac:dyDescent="0.25">
      <c r="A307" s="11"/>
    </row>
    <row r="308" spans="1:1" ht="15.75" customHeight="1" x14ac:dyDescent="0.25">
      <c r="A308" s="11"/>
    </row>
    <row r="309" spans="1:1" ht="15.75" customHeight="1" x14ac:dyDescent="0.25">
      <c r="A309" s="11"/>
    </row>
    <row r="310" spans="1:1" ht="15.75" customHeight="1" x14ac:dyDescent="0.25">
      <c r="A310" s="11"/>
    </row>
    <row r="311" spans="1:1" ht="15.75" customHeight="1" x14ac:dyDescent="0.25">
      <c r="A311" s="11"/>
    </row>
    <row r="312" spans="1:1" ht="15.75" customHeight="1" x14ac:dyDescent="0.25">
      <c r="A312" s="11"/>
    </row>
    <row r="313" spans="1:1" ht="15.75" customHeight="1" x14ac:dyDescent="0.25">
      <c r="A313" s="11"/>
    </row>
    <row r="314" spans="1:1" ht="15.75" customHeight="1" x14ac:dyDescent="0.25">
      <c r="A314" s="11"/>
    </row>
    <row r="315" spans="1:1" ht="15.75" customHeight="1" x14ac:dyDescent="0.25">
      <c r="A315" s="11"/>
    </row>
    <row r="316" spans="1:1" ht="15.75" customHeight="1" x14ac:dyDescent="0.25">
      <c r="A316" s="11"/>
    </row>
    <row r="317" spans="1:1" ht="15.75" customHeight="1" x14ac:dyDescent="0.25">
      <c r="A317" s="11"/>
    </row>
    <row r="318" spans="1:1" ht="15.75" customHeight="1" x14ac:dyDescent="0.25">
      <c r="A318" s="11"/>
    </row>
    <row r="319" spans="1:1" ht="15.75" customHeight="1" x14ac:dyDescent="0.25">
      <c r="A319" s="11"/>
    </row>
    <row r="320" spans="1:1" ht="15.75" customHeight="1" x14ac:dyDescent="0.25">
      <c r="A320" s="11"/>
    </row>
    <row r="321" spans="1:1" ht="15.75" customHeight="1" x14ac:dyDescent="0.25">
      <c r="A321" s="11"/>
    </row>
    <row r="322" spans="1:1" ht="15.75" customHeight="1" x14ac:dyDescent="0.25">
      <c r="A322" s="11"/>
    </row>
    <row r="323" spans="1:1" ht="15.75" customHeight="1" x14ac:dyDescent="0.25">
      <c r="A323" s="11"/>
    </row>
    <row r="324" spans="1:1" ht="15.75" customHeight="1" x14ac:dyDescent="0.25">
      <c r="A324" s="11"/>
    </row>
    <row r="325" spans="1:1" ht="15.75" customHeight="1" x14ac:dyDescent="0.25">
      <c r="A325" s="11"/>
    </row>
    <row r="326" spans="1:1" ht="15.75" customHeight="1" x14ac:dyDescent="0.25">
      <c r="A326" s="11"/>
    </row>
    <row r="327" spans="1:1" ht="15.75" customHeight="1" x14ac:dyDescent="0.25">
      <c r="A327" s="11"/>
    </row>
    <row r="328" spans="1:1" ht="15.75" customHeight="1" x14ac:dyDescent="0.25">
      <c r="A328" s="11"/>
    </row>
    <row r="329" spans="1:1" ht="15.75" customHeight="1" x14ac:dyDescent="0.25">
      <c r="A329" s="11"/>
    </row>
    <row r="330" spans="1:1" ht="15.75" customHeight="1" x14ac:dyDescent="0.25">
      <c r="A330" s="11"/>
    </row>
    <row r="331" spans="1:1" ht="15.75" customHeight="1" x14ac:dyDescent="0.25">
      <c r="A331" s="11"/>
    </row>
    <row r="332" spans="1:1" ht="15.75" customHeight="1" x14ac:dyDescent="0.25">
      <c r="A332" s="11"/>
    </row>
    <row r="333" spans="1:1" ht="15.75" customHeight="1" x14ac:dyDescent="0.25">
      <c r="A333" s="11"/>
    </row>
    <row r="334" spans="1:1" ht="15.75" customHeight="1" x14ac:dyDescent="0.25">
      <c r="A334" s="11"/>
    </row>
    <row r="335" spans="1:1" ht="15.75" customHeight="1" x14ac:dyDescent="0.25">
      <c r="A335" s="11"/>
    </row>
    <row r="336" spans="1:1" ht="15.75" customHeight="1" x14ac:dyDescent="0.25">
      <c r="A336" s="11"/>
    </row>
    <row r="337" spans="1:1" ht="15.75" customHeight="1" x14ac:dyDescent="0.25">
      <c r="A337" s="11"/>
    </row>
    <row r="338" spans="1:1" ht="15.75" customHeight="1" x14ac:dyDescent="0.25">
      <c r="A338" s="11"/>
    </row>
    <row r="339" spans="1:1" ht="15.75" customHeight="1" x14ac:dyDescent="0.25">
      <c r="A339" s="11"/>
    </row>
    <row r="340" spans="1:1" ht="15.75" customHeight="1" x14ac:dyDescent="0.25">
      <c r="A340" s="11"/>
    </row>
    <row r="341" spans="1:1" ht="15.75" customHeight="1" x14ac:dyDescent="0.25">
      <c r="A341" s="11"/>
    </row>
    <row r="342" spans="1:1" ht="15.75" customHeight="1" x14ac:dyDescent="0.25">
      <c r="A342" s="11"/>
    </row>
    <row r="343" spans="1:1" ht="15.75" customHeight="1" x14ac:dyDescent="0.25">
      <c r="A343" s="11"/>
    </row>
    <row r="344" spans="1:1" ht="15.75" customHeight="1" x14ac:dyDescent="0.25">
      <c r="A344" s="11"/>
    </row>
    <row r="345" spans="1:1" ht="15.75" customHeight="1" x14ac:dyDescent="0.25">
      <c r="A345" s="11"/>
    </row>
    <row r="346" spans="1:1" ht="15.75" customHeight="1" x14ac:dyDescent="0.25">
      <c r="A346" s="11"/>
    </row>
    <row r="347" spans="1:1" ht="15.75" customHeight="1" x14ac:dyDescent="0.25">
      <c r="A347" s="11"/>
    </row>
    <row r="348" spans="1:1" ht="15.75" customHeight="1" x14ac:dyDescent="0.25">
      <c r="A348" s="11"/>
    </row>
    <row r="349" spans="1:1" ht="15.75" customHeight="1" x14ac:dyDescent="0.25">
      <c r="A349" s="11"/>
    </row>
    <row r="350" spans="1:1" ht="15.75" customHeight="1" x14ac:dyDescent="0.25">
      <c r="A350" s="11"/>
    </row>
    <row r="351" spans="1:1" ht="15.75" customHeight="1" x14ac:dyDescent="0.25">
      <c r="A351" s="11"/>
    </row>
    <row r="352" spans="1:1" ht="15.75" customHeight="1" x14ac:dyDescent="0.25">
      <c r="A352" s="11"/>
    </row>
    <row r="353" spans="1:1" ht="15.75" customHeight="1" x14ac:dyDescent="0.25">
      <c r="A353" s="11"/>
    </row>
    <row r="354" spans="1:1" ht="15.75" customHeight="1" x14ac:dyDescent="0.25">
      <c r="A354" s="11"/>
    </row>
    <row r="355" spans="1:1" ht="15.75" customHeight="1" x14ac:dyDescent="0.25">
      <c r="A355" s="11"/>
    </row>
    <row r="356" spans="1:1" ht="15.75" customHeight="1" x14ac:dyDescent="0.25">
      <c r="A356" s="11"/>
    </row>
    <row r="357" spans="1:1" ht="15.75" customHeight="1" x14ac:dyDescent="0.25">
      <c r="A357" s="11"/>
    </row>
    <row r="358" spans="1:1" ht="15.75" customHeight="1" x14ac:dyDescent="0.25">
      <c r="A358" s="11"/>
    </row>
    <row r="359" spans="1:1" ht="15.75" customHeight="1" x14ac:dyDescent="0.25">
      <c r="A359" s="11"/>
    </row>
    <row r="360" spans="1:1" ht="15.75" customHeight="1" x14ac:dyDescent="0.25">
      <c r="A360" s="11"/>
    </row>
    <row r="361" spans="1:1" ht="15.75" customHeight="1" x14ac:dyDescent="0.25">
      <c r="A361" s="11"/>
    </row>
    <row r="362" spans="1:1" ht="15.75" customHeight="1" x14ac:dyDescent="0.25">
      <c r="A362" s="11"/>
    </row>
    <row r="363" spans="1:1" ht="15.75" customHeight="1" x14ac:dyDescent="0.25">
      <c r="A363" s="11"/>
    </row>
    <row r="364" spans="1:1" ht="15.75" customHeight="1" x14ac:dyDescent="0.25">
      <c r="A364" s="11"/>
    </row>
    <row r="365" spans="1:1" ht="15.75" customHeight="1" x14ac:dyDescent="0.25">
      <c r="A365" s="11"/>
    </row>
    <row r="366" spans="1:1" ht="15.75" customHeight="1" x14ac:dyDescent="0.25">
      <c r="A366" s="11"/>
    </row>
    <row r="367" spans="1:1" ht="15.75" customHeight="1" x14ac:dyDescent="0.25">
      <c r="A367" s="11"/>
    </row>
    <row r="368" spans="1:1" ht="15.75" customHeight="1" x14ac:dyDescent="0.25">
      <c r="A368" s="11"/>
    </row>
    <row r="369" spans="1:1" ht="15.75" customHeight="1" x14ac:dyDescent="0.25">
      <c r="A369" s="11"/>
    </row>
    <row r="370" spans="1:1" ht="15.75" customHeight="1" x14ac:dyDescent="0.25">
      <c r="A370" s="11"/>
    </row>
    <row r="371" spans="1:1" ht="15.75" customHeight="1" x14ac:dyDescent="0.25">
      <c r="A371" s="11"/>
    </row>
    <row r="372" spans="1:1" ht="15.75" customHeight="1" x14ac:dyDescent="0.25">
      <c r="A372" s="11"/>
    </row>
    <row r="373" spans="1:1" ht="15.75" customHeight="1" x14ac:dyDescent="0.25">
      <c r="A373" s="11"/>
    </row>
    <row r="374" spans="1:1" ht="15.75" customHeight="1" x14ac:dyDescent="0.25">
      <c r="A374" s="11"/>
    </row>
    <row r="375" spans="1:1" ht="15.75" customHeight="1" x14ac:dyDescent="0.25">
      <c r="A375" s="11"/>
    </row>
    <row r="376" spans="1:1" ht="15.75" customHeight="1" x14ac:dyDescent="0.25">
      <c r="A376" s="11"/>
    </row>
    <row r="377" spans="1:1" ht="15.75" customHeight="1" x14ac:dyDescent="0.25">
      <c r="A377" s="11"/>
    </row>
    <row r="378" spans="1:1" ht="15.75" customHeight="1" x14ac:dyDescent="0.25">
      <c r="A378" s="11"/>
    </row>
    <row r="379" spans="1:1" ht="15.75" customHeight="1" x14ac:dyDescent="0.25">
      <c r="A379" s="11"/>
    </row>
    <row r="380" spans="1:1" ht="15.75" customHeight="1" x14ac:dyDescent="0.25">
      <c r="A380" s="11"/>
    </row>
    <row r="381" spans="1:1" ht="15.75" customHeight="1" x14ac:dyDescent="0.25">
      <c r="A381" s="11"/>
    </row>
    <row r="382" spans="1:1" ht="15.75" customHeight="1" x14ac:dyDescent="0.25">
      <c r="A382" s="11"/>
    </row>
    <row r="383" spans="1:1" ht="15.75" customHeight="1" x14ac:dyDescent="0.25">
      <c r="A383" s="11"/>
    </row>
    <row r="384" spans="1:1" ht="15.75" customHeight="1" x14ac:dyDescent="0.25">
      <c r="A384" s="11"/>
    </row>
    <row r="385" spans="1:1" ht="15.75" customHeight="1" x14ac:dyDescent="0.25">
      <c r="A385" s="11"/>
    </row>
    <row r="386" spans="1:1" ht="15.75" customHeight="1" x14ac:dyDescent="0.25">
      <c r="A386" s="11"/>
    </row>
    <row r="387" spans="1:1" ht="15.75" customHeight="1" x14ac:dyDescent="0.25">
      <c r="A387" s="11"/>
    </row>
    <row r="388" spans="1:1" ht="15.75" customHeight="1" x14ac:dyDescent="0.25">
      <c r="A388" s="11"/>
    </row>
    <row r="389" spans="1:1" ht="15.75" customHeight="1" x14ac:dyDescent="0.25">
      <c r="A389" s="11"/>
    </row>
    <row r="390" spans="1:1" ht="15.75" customHeight="1" x14ac:dyDescent="0.25">
      <c r="A390" s="11"/>
    </row>
    <row r="391" spans="1:1" ht="15.75" customHeight="1" x14ac:dyDescent="0.25">
      <c r="A391" s="11"/>
    </row>
    <row r="392" spans="1:1" ht="15.75" customHeight="1" x14ac:dyDescent="0.25">
      <c r="A392" s="11"/>
    </row>
    <row r="393" spans="1:1" ht="15.75" customHeight="1" x14ac:dyDescent="0.25">
      <c r="A393" s="11"/>
    </row>
    <row r="394" spans="1:1" ht="15.75" customHeight="1" x14ac:dyDescent="0.25">
      <c r="A394" s="11"/>
    </row>
    <row r="395" spans="1:1" ht="15.75" customHeight="1" x14ac:dyDescent="0.25">
      <c r="A395" s="11"/>
    </row>
    <row r="396" spans="1:1" ht="15.75" customHeight="1" x14ac:dyDescent="0.25">
      <c r="A396" s="11"/>
    </row>
    <row r="397" spans="1:1" ht="15.75" customHeight="1" x14ac:dyDescent="0.25">
      <c r="A397" s="11"/>
    </row>
    <row r="398" spans="1:1" ht="15.75" customHeight="1" x14ac:dyDescent="0.25">
      <c r="A398" s="11"/>
    </row>
    <row r="399" spans="1:1" ht="15.75" customHeight="1" x14ac:dyDescent="0.25">
      <c r="A399" s="11"/>
    </row>
    <row r="400" spans="1:1" ht="15.75" customHeight="1" x14ac:dyDescent="0.25">
      <c r="A400" s="11"/>
    </row>
    <row r="401" spans="1:1" ht="15.75" customHeight="1" x14ac:dyDescent="0.25">
      <c r="A401" s="11"/>
    </row>
    <row r="402" spans="1:1" ht="15.75" customHeight="1" x14ac:dyDescent="0.25">
      <c r="A402" s="11"/>
    </row>
    <row r="403" spans="1:1" ht="15.75" customHeight="1" x14ac:dyDescent="0.25">
      <c r="A403" s="11"/>
    </row>
    <row r="404" spans="1:1" ht="15.75" customHeight="1" x14ac:dyDescent="0.25">
      <c r="A404" s="11"/>
    </row>
    <row r="405" spans="1:1" ht="15.75" customHeight="1" x14ac:dyDescent="0.25">
      <c r="A405" s="11"/>
    </row>
    <row r="406" spans="1:1" ht="15.75" customHeight="1" x14ac:dyDescent="0.25">
      <c r="A406" s="11"/>
    </row>
    <row r="407" spans="1:1" ht="15.75" customHeight="1" x14ac:dyDescent="0.25">
      <c r="A407" s="11"/>
    </row>
    <row r="408" spans="1:1" ht="15.75" customHeight="1" x14ac:dyDescent="0.25">
      <c r="A408" s="11"/>
    </row>
    <row r="409" spans="1:1" ht="15.75" customHeight="1" x14ac:dyDescent="0.25">
      <c r="A409" s="11"/>
    </row>
    <row r="410" spans="1:1" ht="15.75" customHeight="1" x14ac:dyDescent="0.25">
      <c r="A410" s="11"/>
    </row>
    <row r="411" spans="1:1" ht="15.75" customHeight="1" x14ac:dyDescent="0.25">
      <c r="A411" s="11"/>
    </row>
    <row r="412" spans="1:1" ht="15.75" customHeight="1" x14ac:dyDescent="0.25">
      <c r="A412" s="11"/>
    </row>
    <row r="413" spans="1:1" ht="15.75" customHeight="1" x14ac:dyDescent="0.25">
      <c r="A413" s="11"/>
    </row>
    <row r="414" spans="1:1" ht="15.75" customHeight="1" x14ac:dyDescent="0.25">
      <c r="A414" s="11"/>
    </row>
    <row r="415" spans="1:1" ht="15.75" customHeight="1" x14ac:dyDescent="0.25">
      <c r="A415" s="11"/>
    </row>
    <row r="416" spans="1:1" ht="15.75" customHeight="1" x14ac:dyDescent="0.25">
      <c r="A416" s="11"/>
    </row>
    <row r="417" spans="1:1" ht="15.75" customHeight="1" x14ac:dyDescent="0.25">
      <c r="A417" s="11"/>
    </row>
    <row r="418" spans="1:1" ht="15.75" customHeight="1" x14ac:dyDescent="0.25">
      <c r="A418" s="11"/>
    </row>
    <row r="419" spans="1:1" ht="15.75" customHeight="1" x14ac:dyDescent="0.25">
      <c r="A419" s="11"/>
    </row>
    <row r="420" spans="1:1" ht="15.75" customHeight="1" x14ac:dyDescent="0.25">
      <c r="A420" s="11"/>
    </row>
    <row r="421" spans="1:1" ht="15.75" customHeight="1" x14ac:dyDescent="0.25">
      <c r="A421" s="11"/>
    </row>
    <row r="422" spans="1:1" ht="15.75" customHeight="1" x14ac:dyDescent="0.25">
      <c r="A422" s="11"/>
    </row>
    <row r="423" spans="1:1" ht="15.75" customHeight="1" x14ac:dyDescent="0.25">
      <c r="A423" s="11"/>
    </row>
    <row r="424" spans="1:1" ht="15.75" customHeight="1" x14ac:dyDescent="0.25">
      <c r="A424" s="11"/>
    </row>
    <row r="425" spans="1:1" ht="15.75" customHeight="1" x14ac:dyDescent="0.25">
      <c r="A425" s="11"/>
    </row>
    <row r="426" spans="1:1" ht="15.75" customHeight="1" x14ac:dyDescent="0.25">
      <c r="A426" s="11"/>
    </row>
    <row r="427" spans="1:1" ht="15.75" customHeight="1" x14ac:dyDescent="0.25">
      <c r="A427" s="11"/>
    </row>
    <row r="428" spans="1:1" ht="15.75" customHeight="1" x14ac:dyDescent="0.25">
      <c r="A428" s="11"/>
    </row>
    <row r="429" spans="1:1" ht="15.75" customHeight="1" x14ac:dyDescent="0.25">
      <c r="A429" s="11"/>
    </row>
    <row r="430" spans="1:1" ht="15.75" customHeight="1" x14ac:dyDescent="0.25">
      <c r="A430" s="11"/>
    </row>
    <row r="431" spans="1:1" ht="15.75" customHeight="1" x14ac:dyDescent="0.25">
      <c r="A431" s="11"/>
    </row>
    <row r="432" spans="1:1" ht="15.75" customHeight="1" x14ac:dyDescent="0.25">
      <c r="A432" s="11"/>
    </row>
    <row r="433" spans="1:1" ht="15.75" customHeight="1" x14ac:dyDescent="0.25">
      <c r="A433" s="11"/>
    </row>
    <row r="434" spans="1:1" ht="15.75" customHeight="1" x14ac:dyDescent="0.25">
      <c r="A434" s="11"/>
    </row>
    <row r="435" spans="1:1" ht="15.75" customHeight="1" x14ac:dyDescent="0.25">
      <c r="A435" s="11"/>
    </row>
    <row r="436" spans="1:1" ht="15.75" customHeight="1" x14ac:dyDescent="0.25">
      <c r="A436" s="11"/>
    </row>
    <row r="437" spans="1:1" ht="15.75" customHeight="1" x14ac:dyDescent="0.25">
      <c r="A437" s="11"/>
    </row>
    <row r="438" spans="1:1" ht="15.75" customHeight="1" x14ac:dyDescent="0.25">
      <c r="A438" s="11"/>
    </row>
    <row r="439" spans="1:1" ht="15.75" customHeight="1" x14ac:dyDescent="0.25">
      <c r="A439" s="11"/>
    </row>
    <row r="440" spans="1:1" ht="15.75" customHeight="1" x14ac:dyDescent="0.25">
      <c r="A440" s="11"/>
    </row>
    <row r="441" spans="1:1" ht="15.75" customHeight="1" x14ac:dyDescent="0.25">
      <c r="A441" s="11"/>
    </row>
    <row r="442" spans="1:1" ht="15.75" customHeight="1" x14ac:dyDescent="0.25">
      <c r="A442" s="11"/>
    </row>
    <row r="443" spans="1:1" ht="15.75" customHeight="1" x14ac:dyDescent="0.25">
      <c r="A443" s="11"/>
    </row>
    <row r="444" spans="1:1" ht="15.75" customHeight="1" x14ac:dyDescent="0.25">
      <c r="A444" s="11"/>
    </row>
    <row r="445" spans="1:1" ht="15.75" customHeight="1" x14ac:dyDescent="0.25">
      <c r="A445" s="11"/>
    </row>
    <row r="446" spans="1:1" ht="15.75" customHeight="1" x14ac:dyDescent="0.25">
      <c r="A446" s="11"/>
    </row>
    <row r="447" spans="1:1" ht="15.75" customHeight="1" x14ac:dyDescent="0.25">
      <c r="A447" s="11"/>
    </row>
    <row r="448" spans="1:1" ht="15.75" customHeight="1" x14ac:dyDescent="0.25">
      <c r="A448" s="11"/>
    </row>
    <row r="449" spans="1:1" ht="15.75" customHeight="1" x14ac:dyDescent="0.25">
      <c r="A449" s="11"/>
    </row>
    <row r="450" spans="1:1" ht="15.75" customHeight="1" x14ac:dyDescent="0.25">
      <c r="A450" s="11"/>
    </row>
    <row r="451" spans="1:1" ht="15.75" customHeight="1" x14ac:dyDescent="0.25">
      <c r="A451" s="11"/>
    </row>
    <row r="452" spans="1:1" ht="15.75" customHeight="1" x14ac:dyDescent="0.25">
      <c r="A452" s="11"/>
    </row>
    <row r="453" spans="1:1" ht="15.75" customHeight="1" x14ac:dyDescent="0.25">
      <c r="A453" s="11"/>
    </row>
    <row r="454" spans="1:1" ht="15.75" customHeight="1" x14ac:dyDescent="0.25">
      <c r="A454" s="11"/>
    </row>
    <row r="455" spans="1:1" ht="15.75" customHeight="1" x14ac:dyDescent="0.25">
      <c r="A455" s="11"/>
    </row>
    <row r="456" spans="1:1" ht="15.75" customHeight="1" x14ac:dyDescent="0.25">
      <c r="A456" s="11"/>
    </row>
    <row r="457" spans="1:1" ht="15.75" customHeight="1" x14ac:dyDescent="0.25">
      <c r="A457" s="11"/>
    </row>
    <row r="458" spans="1:1" ht="15.75" customHeight="1" x14ac:dyDescent="0.25">
      <c r="A458" s="11"/>
    </row>
    <row r="459" spans="1:1" ht="15.75" customHeight="1" x14ac:dyDescent="0.25">
      <c r="A459" s="11"/>
    </row>
    <row r="460" spans="1:1" ht="15.75" customHeight="1" x14ac:dyDescent="0.25">
      <c r="A460" s="11"/>
    </row>
    <row r="461" spans="1:1" ht="15.75" customHeight="1" x14ac:dyDescent="0.25">
      <c r="A461" s="11"/>
    </row>
    <row r="462" spans="1:1" ht="15.75" customHeight="1" x14ac:dyDescent="0.25">
      <c r="A462" s="11"/>
    </row>
    <row r="463" spans="1:1" ht="15.75" customHeight="1" x14ac:dyDescent="0.25">
      <c r="A463" s="11"/>
    </row>
    <row r="464" spans="1:1" ht="15.75" customHeight="1" x14ac:dyDescent="0.25">
      <c r="A464" s="11"/>
    </row>
    <row r="465" spans="1:1" ht="15.75" customHeight="1" x14ac:dyDescent="0.25">
      <c r="A465" s="11"/>
    </row>
    <row r="466" spans="1:1" ht="15.75" customHeight="1" x14ac:dyDescent="0.25">
      <c r="A466" s="11"/>
    </row>
    <row r="467" spans="1:1" ht="15.75" customHeight="1" x14ac:dyDescent="0.25">
      <c r="A467" s="11"/>
    </row>
    <row r="468" spans="1:1" ht="15.75" customHeight="1" x14ac:dyDescent="0.25">
      <c r="A468" s="11"/>
    </row>
    <row r="469" spans="1:1" ht="15.75" customHeight="1" x14ac:dyDescent="0.25">
      <c r="A469" s="11"/>
    </row>
    <row r="470" spans="1:1" ht="15.75" customHeight="1" x14ac:dyDescent="0.25">
      <c r="A470" s="11"/>
    </row>
    <row r="471" spans="1:1" ht="15.75" customHeight="1" x14ac:dyDescent="0.25">
      <c r="A471" s="11"/>
    </row>
    <row r="472" spans="1:1" ht="15.75" customHeight="1" x14ac:dyDescent="0.25">
      <c r="A472" s="11"/>
    </row>
    <row r="473" spans="1:1" ht="15.75" customHeight="1" x14ac:dyDescent="0.25">
      <c r="A473" s="11"/>
    </row>
    <row r="474" spans="1:1" ht="15.75" customHeight="1" x14ac:dyDescent="0.25">
      <c r="A474" s="11"/>
    </row>
    <row r="475" spans="1:1" ht="15.75" customHeight="1" x14ac:dyDescent="0.25">
      <c r="A475" s="11"/>
    </row>
    <row r="476" spans="1:1" ht="15.75" customHeight="1" x14ac:dyDescent="0.25">
      <c r="A476" s="11"/>
    </row>
    <row r="477" spans="1:1" ht="15.75" customHeight="1" x14ac:dyDescent="0.25">
      <c r="A477" s="11"/>
    </row>
    <row r="478" spans="1:1" ht="15.75" customHeight="1" x14ac:dyDescent="0.25">
      <c r="A478" s="11"/>
    </row>
    <row r="479" spans="1:1" ht="15.75" customHeight="1" x14ac:dyDescent="0.25">
      <c r="A479" s="11"/>
    </row>
    <row r="480" spans="1:1" ht="15.75" customHeight="1" x14ac:dyDescent="0.25">
      <c r="A480" s="11"/>
    </row>
    <row r="481" spans="1:1" ht="15.75" customHeight="1" x14ac:dyDescent="0.25">
      <c r="A481" s="11"/>
    </row>
    <row r="482" spans="1:1" ht="15.75" customHeight="1" x14ac:dyDescent="0.25">
      <c r="A482" s="11"/>
    </row>
    <row r="483" spans="1:1" ht="15.75" customHeight="1" x14ac:dyDescent="0.25">
      <c r="A483" s="11"/>
    </row>
    <row r="484" spans="1:1" ht="15.75" customHeight="1" x14ac:dyDescent="0.25">
      <c r="A484" s="11"/>
    </row>
    <row r="485" spans="1:1" ht="15.75" customHeight="1" x14ac:dyDescent="0.25">
      <c r="A485" s="11"/>
    </row>
    <row r="486" spans="1:1" ht="15.75" customHeight="1" x14ac:dyDescent="0.25">
      <c r="A486" s="11"/>
    </row>
    <row r="487" spans="1:1" ht="15.75" customHeight="1" x14ac:dyDescent="0.25">
      <c r="A487" s="11"/>
    </row>
    <row r="488" spans="1:1" ht="15.75" customHeight="1" x14ac:dyDescent="0.25">
      <c r="A488" s="11"/>
    </row>
    <row r="489" spans="1:1" ht="15.75" customHeight="1" x14ac:dyDescent="0.25">
      <c r="A489" s="11"/>
    </row>
    <row r="490" spans="1:1" ht="15.75" customHeight="1" x14ac:dyDescent="0.25">
      <c r="A490" s="11"/>
    </row>
    <row r="491" spans="1:1" ht="15.75" customHeight="1" x14ac:dyDescent="0.25">
      <c r="A491" s="11"/>
    </row>
    <row r="492" spans="1:1" ht="15.75" customHeight="1" x14ac:dyDescent="0.25">
      <c r="A492" s="11"/>
    </row>
    <row r="493" spans="1:1" ht="15.75" customHeight="1" x14ac:dyDescent="0.25">
      <c r="A493" s="11"/>
    </row>
    <row r="494" spans="1:1" ht="15.75" customHeight="1" x14ac:dyDescent="0.25">
      <c r="A494" s="11"/>
    </row>
    <row r="495" spans="1:1" ht="15.75" customHeight="1" x14ac:dyDescent="0.25">
      <c r="A495" s="11"/>
    </row>
    <row r="496" spans="1:1" ht="15.75" customHeight="1" x14ac:dyDescent="0.25">
      <c r="A496" s="11"/>
    </row>
    <row r="497" spans="1:1" ht="15.75" customHeight="1" x14ac:dyDescent="0.25">
      <c r="A497" s="11"/>
    </row>
    <row r="498" spans="1:1" ht="15.75" customHeight="1" x14ac:dyDescent="0.25">
      <c r="A498" s="11"/>
    </row>
    <row r="499" spans="1:1" ht="15.75" customHeight="1" x14ac:dyDescent="0.25">
      <c r="A499" s="11"/>
    </row>
    <row r="500" spans="1:1" ht="15.75" customHeight="1" x14ac:dyDescent="0.25">
      <c r="A500" s="11"/>
    </row>
    <row r="501" spans="1:1" ht="15.75" customHeight="1" x14ac:dyDescent="0.25">
      <c r="A501" s="11"/>
    </row>
    <row r="502" spans="1:1" ht="15.75" customHeight="1" x14ac:dyDescent="0.25">
      <c r="A502" s="11"/>
    </row>
    <row r="503" spans="1:1" ht="15.75" customHeight="1" x14ac:dyDescent="0.25">
      <c r="A503" s="11"/>
    </row>
    <row r="504" spans="1:1" ht="15.75" customHeight="1" x14ac:dyDescent="0.25">
      <c r="A504" s="11"/>
    </row>
    <row r="505" spans="1:1" ht="15.75" customHeight="1" x14ac:dyDescent="0.25">
      <c r="A505" s="11"/>
    </row>
    <row r="506" spans="1:1" ht="15.75" customHeight="1" x14ac:dyDescent="0.25">
      <c r="A506" s="11"/>
    </row>
    <row r="507" spans="1:1" ht="15.75" customHeight="1" x14ac:dyDescent="0.25">
      <c r="A507" s="11"/>
    </row>
    <row r="508" spans="1:1" ht="15.75" customHeight="1" x14ac:dyDescent="0.25">
      <c r="A508" s="11"/>
    </row>
    <row r="509" spans="1:1" ht="15.75" customHeight="1" x14ac:dyDescent="0.25">
      <c r="A509" s="11"/>
    </row>
    <row r="510" spans="1:1" ht="15.75" customHeight="1" x14ac:dyDescent="0.25">
      <c r="A510" s="11"/>
    </row>
    <row r="511" spans="1:1" ht="15.75" customHeight="1" x14ac:dyDescent="0.25">
      <c r="A511" s="11"/>
    </row>
    <row r="512" spans="1:1" ht="15.75" customHeight="1" x14ac:dyDescent="0.25">
      <c r="A512" s="11"/>
    </row>
    <row r="513" spans="1:1" ht="15.75" customHeight="1" x14ac:dyDescent="0.25">
      <c r="A513" s="11"/>
    </row>
    <row r="514" spans="1:1" ht="15.75" customHeight="1" x14ac:dyDescent="0.25">
      <c r="A514" s="11"/>
    </row>
    <row r="515" spans="1:1" ht="15.75" customHeight="1" x14ac:dyDescent="0.25">
      <c r="A515" s="11"/>
    </row>
    <row r="516" spans="1:1" ht="15.75" customHeight="1" x14ac:dyDescent="0.25">
      <c r="A516" s="11"/>
    </row>
    <row r="517" spans="1:1" ht="15.75" customHeight="1" x14ac:dyDescent="0.25">
      <c r="A517" s="11"/>
    </row>
    <row r="518" spans="1:1" ht="15.75" customHeight="1" x14ac:dyDescent="0.25">
      <c r="A518" s="11"/>
    </row>
    <row r="519" spans="1:1" ht="15.75" customHeight="1" x14ac:dyDescent="0.25">
      <c r="A519" s="11"/>
    </row>
    <row r="520" spans="1:1" ht="15.75" customHeight="1" x14ac:dyDescent="0.25">
      <c r="A520" s="11"/>
    </row>
    <row r="521" spans="1:1" ht="15.75" customHeight="1" x14ac:dyDescent="0.25">
      <c r="A521" s="11"/>
    </row>
    <row r="522" spans="1:1" ht="15.75" customHeight="1" x14ac:dyDescent="0.25">
      <c r="A522" s="11"/>
    </row>
    <row r="523" spans="1:1" ht="15.75" customHeight="1" x14ac:dyDescent="0.25">
      <c r="A523" s="11"/>
    </row>
    <row r="524" spans="1:1" ht="15.75" customHeight="1" x14ac:dyDescent="0.25">
      <c r="A524" s="11"/>
    </row>
    <row r="525" spans="1:1" ht="15.75" customHeight="1" x14ac:dyDescent="0.25">
      <c r="A525" s="11"/>
    </row>
    <row r="526" spans="1:1" ht="15.75" customHeight="1" x14ac:dyDescent="0.25">
      <c r="A526" s="11"/>
    </row>
    <row r="527" spans="1:1" ht="15.75" customHeight="1" x14ac:dyDescent="0.25">
      <c r="A527" s="11"/>
    </row>
    <row r="528" spans="1:1" ht="15.75" customHeight="1" x14ac:dyDescent="0.25">
      <c r="A528" s="11"/>
    </row>
    <row r="529" spans="1:1" ht="15.75" customHeight="1" x14ac:dyDescent="0.25">
      <c r="A529" s="11"/>
    </row>
    <row r="530" spans="1:1" ht="15.75" customHeight="1" x14ac:dyDescent="0.25">
      <c r="A530" s="11"/>
    </row>
    <row r="531" spans="1:1" ht="15.75" customHeight="1" x14ac:dyDescent="0.25">
      <c r="A531" s="11"/>
    </row>
    <row r="532" spans="1:1" ht="15.75" customHeight="1" x14ac:dyDescent="0.25">
      <c r="A532" s="11"/>
    </row>
    <row r="533" spans="1:1" ht="15.75" customHeight="1" x14ac:dyDescent="0.25">
      <c r="A533" s="11"/>
    </row>
    <row r="534" spans="1:1" ht="15.75" customHeight="1" x14ac:dyDescent="0.25">
      <c r="A534" s="11"/>
    </row>
    <row r="535" spans="1:1" ht="15.75" customHeight="1" x14ac:dyDescent="0.25">
      <c r="A535" s="11"/>
    </row>
    <row r="536" spans="1:1" ht="15.75" customHeight="1" x14ac:dyDescent="0.25">
      <c r="A536" s="11"/>
    </row>
    <row r="537" spans="1:1" ht="15.75" customHeight="1" x14ac:dyDescent="0.25">
      <c r="A537" s="11"/>
    </row>
    <row r="538" spans="1:1" ht="15.75" customHeight="1" x14ac:dyDescent="0.25">
      <c r="A538" s="11"/>
    </row>
    <row r="539" spans="1:1" ht="15.75" customHeight="1" x14ac:dyDescent="0.25">
      <c r="A539" s="11"/>
    </row>
    <row r="540" spans="1:1" ht="15.75" customHeight="1" x14ac:dyDescent="0.25">
      <c r="A540" s="11"/>
    </row>
    <row r="541" spans="1:1" ht="15.75" customHeight="1" x14ac:dyDescent="0.25">
      <c r="A541" s="11"/>
    </row>
    <row r="542" spans="1:1" ht="15.75" customHeight="1" x14ac:dyDescent="0.25">
      <c r="A542" s="11"/>
    </row>
    <row r="543" spans="1:1" ht="15.75" customHeight="1" x14ac:dyDescent="0.25">
      <c r="A543" s="11"/>
    </row>
    <row r="544" spans="1:1" ht="15.75" customHeight="1" x14ac:dyDescent="0.25">
      <c r="A544" s="11"/>
    </row>
    <row r="545" spans="1:1" ht="15.75" customHeight="1" x14ac:dyDescent="0.25">
      <c r="A545" s="11"/>
    </row>
    <row r="546" spans="1:1" ht="15.75" customHeight="1" x14ac:dyDescent="0.25">
      <c r="A546" s="11"/>
    </row>
    <row r="547" spans="1:1" ht="15.75" customHeight="1" x14ac:dyDescent="0.25">
      <c r="A547" s="11"/>
    </row>
    <row r="548" spans="1:1" ht="15.75" customHeight="1" x14ac:dyDescent="0.25">
      <c r="A548" s="11"/>
    </row>
    <row r="549" spans="1:1" ht="15.75" customHeight="1" x14ac:dyDescent="0.25">
      <c r="A549" s="11"/>
    </row>
    <row r="550" spans="1:1" ht="15.75" customHeight="1" x14ac:dyDescent="0.25">
      <c r="A550" s="11"/>
    </row>
    <row r="551" spans="1:1" ht="15.75" customHeight="1" x14ac:dyDescent="0.25">
      <c r="A551" s="11"/>
    </row>
    <row r="552" spans="1:1" ht="15.75" customHeight="1" x14ac:dyDescent="0.25">
      <c r="A552" s="11"/>
    </row>
    <row r="553" spans="1:1" ht="15.75" customHeight="1" x14ac:dyDescent="0.25">
      <c r="A553" s="11"/>
    </row>
    <row r="554" spans="1:1" ht="15.75" customHeight="1" x14ac:dyDescent="0.25">
      <c r="A554" s="11"/>
    </row>
    <row r="555" spans="1:1" ht="15.75" customHeight="1" x14ac:dyDescent="0.25">
      <c r="A555" s="11"/>
    </row>
    <row r="556" spans="1:1" ht="15.75" customHeight="1" x14ac:dyDescent="0.25">
      <c r="A556" s="11"/>
    </row>
    <row r="557" spans="1:1" ht="15.75" customHeight="1" x14ac:dyDescent="0.25">
      <c r="A557" s="11"/>
    </row>
    <row r="558" spans="1:1" ht="15.75" customHeight="1" x14ac:dyDescent="0.25">
      <c r="A558" s="11"/>
    </row>
    <row r="559" spans="1:1" ht="15.75" customHeight="1" x14ac:dyDescent="0.25">
      <c r="A559" s="11"/>
    </row>
    <row r="560" spans="1:1" ht="15.75" customHeight="1" x14ac:dyDescent="0.25">
      <c r="A560" s="11"/>
    </row>
    <row r="561" spans="1:1" ht="15.75" customHeight="1" x14ac:dyDescent="0.25">
      <c r="A561" s="11"/>
    </row>
    <row r="562" spans="1:1" ht="15.75" customHeight="1" x14ac:dyDescent="0.25">
      <c r="A562" s="11"/>
    </row>
    <row r="563" spans="1:1" ht="15.75" customHeight="1" x14ac:dyDescent="0.25">
      <c r="A563" s="11"/>
    </row>
    <row r="564" spans="1:1" ht="15.75" customHeight="1" x14ac:dyDescent="0.25">
      <c r="A564" s="11"/>
    </row>
    <row r="565" spans="1:1" ht="15.75" customHeight="1" x14ac:dyDescent="0.25">
      <c r="A565" s="11"/>
    </row>
    <row r="566" spans="1:1" ht="15.75" customHeight="1" x14ac:dyDescent="0.25">
      <c r="A566" s="11"/>
    </row>
    <row r="567" spans="1:1" ht="15.75" customHeight="1" x14ac:dyDescent="0.25">
      <c r="A567" s="11"/>
    </row>
    <row r="568" spans="1:1" ht="15.75" customHeight="1" x14ac:dyDescent="0.25">
      <c r="A568" s="11"/>
    </row>
    <row r="569" spans="1:1" ht="15.75" customHeight="1" x14ac:dyDescent="0.25">
      <c r="A569" s="11"/>
    </row>
    <row r="570" spans="1:1" ht="15.75" customHeight="1" x14ac:dyDescent="0.25">
      <c r="A570" s="11"/>
    </row>
    <row r="571" spans="1:1" ht="15.75" customHeight="1" x14ac:dyDescent="0.25">
      <c r="A571" s="11"/>
    </row>
    <row r="572" spans="1:1" ht="15.75" customHeight="1" x14ac:dyDescent="0.25">
      <c r="A572" s="11"/>
    </row>
    <row r="573" spans="1:1" ht="15.75" customHeight="1" x14ac:dyDescent="0.25">
      <c r="A573" s="11"/>
    </row>
    <row r="574" spans="1:1" ht="15.75" customHeight="1" x14ac:dyDescent="0.25">
      <c r="A574" s="11"/>
    </row>
    <row r="575" spans="1:1" ht="15.75" customHeight="1" x14ac:dyDescent="0.25">
      <c r="A575" s="11"/>
    </row>
    <row r="576" spans="1:1" ht="15.75" customHeight="1" x14ac:dyDescent="0.25">
      <c r="A576" s="11"/>
    </row>
    <row r="577" spans="1:1" ht="15.75" customHeight="1" x14ac:dyDescent="0.25">
      <c r="A577" s="11"/>
    </row>
    <row r="578" spans="1:1" ht="15.75" customHeight="1" x14ac:dyDescent="0.25">
      <c r="A578" s="11"/>
    </row>
    <row r="579" spans="1:1" ht="15.75" customHeight="1" x14ac:dyDescent="0.25">
      <c r="A579" s="11"/>
    </row>
    <row r="580" spans="1:1" ht="15.75" customHeight="1" x14ac:dyDescent="0.25">
      <c r="A580" s="11"/>
    </row>
    <row r="581" spans="1:1" ht="15.75" customHeight="1" x14ac:dyDescent="0.25">
      <c r="A581" s="11"/>
    </row>
    <row r="582" spans="1:1" ht="15.75" customHeight="1" x14ac:dyDescent="0.25">
      <c r="A582" s="11"/>
    </row>
    <row r="583" spans="1:1" ht="15.75" customHeight="1" x14ac:dyDescent="0.25">
      <c r="A583" s="11"/>
    </row>
    <row r="584" spans="1:1" ht="15.75" customHeight="1" x14ac:dyDescent="0.25">
      <c r="A584" s="11"/>
    </row>
    <row r="585" spans="1:1" ht="15.75" customHeight="1" x14ac:dyDescent="0.25">
      <c r="A585" s="11"/>
    </row>
    <row r="586" spans="1:1" ht="15.75" customHeight="1" x14ac:dyDescent="0.25">
      <c r="A586" s="11"/>
    </row>
    <row r="587" spans="1:1" ht="15.75" customHeight="1" x14ac:dyDescent="0.25">
      <c r="A587" s="11"/>
    </row>
    <row r="588" spans="1:1" ht="15.75" customHeight="1" x14ac:dyDescent="0.25">
      <c r="A588" s="11"/>
    </row>
    <row r="589" spans="1:1" ht="15.75" customHeight="1" x14ac:dyDescent="0.25">
      <c r="A589" s="11"/>
    </row>
    <row r="590" spans="1:1" ht="15.75" customHeight="1" x14ac:dyDescent="0.25">
      <c r="A590" s="11"/>
    </row>
    <row r="591" spans="1:1" ht="15.75" customHeight="1" x14ac:dyDescent="0.25">
      <c r="A591" s="11"/>
    </row>
    <row r="592" spans="1:1" ht="15.75" customHeight="1" x14ac:dyDescent="0.25">
      <c r="A592" s="11"/>
    </row>
    <row r="593" spans="1:1" ht="15.75" customHeight="1" x14ac:dyDescent="0.25">
      <c r="A593" s="11"/>
    </row>
    <row r="594" spans="1:1" ht="15.75" customHeight="1" x14ac:dyDescent="0.25">
      <c r="A594" s="11"/>
    </row>
    <row r="595" spans="1:1" ht="15.75" customHeight="1" x14ac:dyDescent="0.25">
      <c r="A595" s="11"/>
    </row>
    <row r="596" spans="1:1" ht="15.75" customHeight="1" x14ac:dyDescent="0.25">
      <c r="A596" s="11"/>
    </row>
    <row r="597" spans="1:1" ht="15.75" customHeight="1" x14ac:dyDescent="0.25">
      <c r="A597" s="11"/>
    </row>
    <row r="598" spans="1:1" ht="15.75" customHeight="1" x14ac:dyDescent="0.25">
      <c r="A598" s="11"/>
    </row>
    <row r="599" spans="1:1" ht="15.75" customHeight="1" x14ac:dyDescent="0.25">
      <c r="A599" s="11"/>
    </row>
    <row r="600" spans="1:1" ht="15.75" customHeight="1" x14ac:dyDescent="0.25">
      <c r="A600" s="11"/>
    </row>
    <row r="601" spans="1:1" ht="15.75" customHeight="1" x14ac:dyDescent="0.25">
      <c r="A601" s="11"/>
    </row>
    <row r="602" spans="1:1" ht="15.75" customHeight="1" x14ac:dyDescent="0.25">
      <c r="A602" s="11"/>
    </row>
    <row r="603" spans="1:1" ht="15.75" customHeight="1" x14ac:dyDescent="0.25">
      <c r="A603" s="11"/>
    </row>
    <row r="604" spans="1:1" ht="15.75" customHeight="1" x14ac:dyDescent="0.25">
      <c r="A604" s="11"/>
    </row>
    <row r="605" spans="1:1" ht="15.75" customHeight="1" x14ac:dyDescent="0.25">
      <c r="A605" s="11"/>
    </row>
    <row r="606" spans="1:1" ht="15.75" customHeight="1" x14ac:dyDescent="0.25">
      <c r="A606" s="11"/>
    </row>
    <row r="607" spans="1:1" ht="15.75" customHeight="1" x14ac:dyDescent="0.25">
      <c r="A607" s="11"/>
    </row>
    <row r="608" spans="1:1" ht="15.75" customHeight="1" x14ac:dyDescent="0.25">
      <c r="A608" s="11"/>
    </row>
    <row r="609" spans="1:1" ht="15.75" customHeight="1" x14ac:dyDescent="0.25">
      <c r="A609" s="11"/>
    </row>
    <row r="610" spans="1:1" ht="15.75" customHeight="1" x14ac:dyDescent="0.25">
      <c r="A610" s="11"/>
    </row>
    <row r="611" spans="1:1" ht="15.75" customHeight="1" x14ac:dyDescent="0.25">
      <c r="A611" s="11"/>
    </row>
    <row r="612" spans="1:1" ht="15.75" customHeight="1" x14ac:dyDescent="0.25">
      <c r="A612" s="11"/>
    </row>
    <row r="613" spans="1:1" ht="15.75" customHeight="1" x14ac:dyDescent="0.25">
      <c r="A613" s="11"/>
    </row>
    <row r="614" spans="1:1" ht="15.75" customHeight="1" x14ac:dyDescent="0.25">
      <c r="A614" s="11"/>
    </row>
    <row r="615" spans="1:1" ht="15.75" customHeight="1" x14ac:dyDescent="0.25">
      <c r="A615" s="11"/>
    </row>
    <row r="616" spans="1:1" ht="15.75" customHeight="1" x14ac:dyDescent="0.25">
      <c r="A616" s="11"/>
    </row>
    <row r="617" spans="1:1" ht="15.75" customHeight="1" x14ac:dyDescent="0.25">
      <c r="A617" s="11"/>
    </row>
    <row r="618" spans="1:1" ht="15.75" customHeight="1" x14ac:dyDescent="0.25">
      <c r="A618" s="11"/>
    </row>
    <row r="619" spans="1:1" ht="15.75" customHeight="1" x14ac:dyDescent="0.25">
      <c r="A619" s="11"/>
    </row>
    <row r="620" spans="1:1" ht="15.75" customHeight="1" x14ac:dyDescent="0.25">
      <c r="A620" s="11"/>
    </row>
    <row r="621" spans="1:1" ht="15.75" customHeight="1" x14ac:dyDescent="0.25">
      <c r="A621" s="11"/>
    </row>
    <row r="622" spans="1:1" ht="15.75" customHeight="1" x14ac:dyDescent="0.25">
      <c r="A622" s="11"/>
    </row>
    <row r="623" spans="1:1" ht="15.75" customHeight="1" x14ac:dyDescent="0.25">
      <c r="A623" s="11"/>
    </row>
    <row r="624" spans="1:1" ht="15.75" customHeight="1" x14ac:dyDescent="0.25">
      <c r="A624" s="11"/>
    </row>
    <row r="625" spans="1:1" ht="15.75" customHeight="1" x14ac:dyDescent="0.25">
      <c r="A625" s="11"/>
    </row>
    <row r="626" spans="1:1" ht="15.75" customHeight="1" x14ac:dyDescent="0.25">
      <c r="A626" s="11"/>
    </row>
    <row r="627" spans="1:1" ht="15.75" customHeight="1" x14ac:dyDescent="0.25">
      <c r="A627" s="11"/>
    </row>
    <row r="628" spans="1:1" ht="15.75" customHeight="1" x14ac:dyDescent="0.25">
      <c r="A628" s="11"/>
    </row>
    <row r="629" spans="1:1" ht="15.75" customHeight="1" x14ac:dyDescent="0.25">
      <c r="A629" s="11"/>
    </row>
    <row r="630" spans="1:1" ht="15.75" customHeight="1" x14ac:dyDescent="0.25">
      <c r="A630" s="11"/>
    </row>
    <row r="631" spans="1:1" ht="15.75" customHeight="1" x14ac:dyDescent="0.25">
      <c r="A631" s="11"/>
    </row>
    <row r="632" spans="1:1" ht="15.75" customHeight="1" x14ac:dyDescent="0.25">
      <c r="A632" s="11"/>
    </row>
    <row r="633" spans="1:1" ht="15.75" customHeight="1" x14ac:dyDescent="0.25">
      <c r="A633" s="11"/>
    </row>
    <row r="634" spans="1:1" ht="15.75" customHeight="1" x14ac:dyDescent="0.25">
      <c r="A634" s="11"/>
    </row>
    <row r="635" spans="1:1" ht="15.75" customHeight="1" x14ac:dyDescent="0.25">
      <c r="A635" s="11"/>
    </row>
    <row r="636" spans="1:1" ht="15.75" customHeight="1" x14ac:dyDescent="0.25">
      <c r="A636" s="11"/>
    </row>
    <row r="637" spans="1:1" ht="15.75" customHeight="1" x14ac:dyDescent="0.25">
      <c r="A637" s="11"/>
    </row>
    <row r="638" spans="1:1" ht="15.75" customHeight="1" x14ac:dyDescent="0.25">
      <c r="A638" s="11"/>
    </row>
    <row r="639" spans="1:1" ht="15.75" customHeight="1" x14ac:dyDescent="0.25">
      <c r="A639" s="11"/>
    </row>
    <row r="640" spans="1:1" ht="15.75" customHeight="1" x14ac:dyDescent="0.25">
      <c r="A640" s="11"/>
    </row>
    <row r="641" spans="1:1" ht="15.75" customHeight="1" x14ac:dyDescent="0.25">
      <c r="A641" s="11"/>
    </row>
    <row r="642" spans="1:1" ht="15.75" customHeight="1" x14ac:dyDescent="0.25">
      <c r="A642" s="11"/>
    </row>
    <row r="643" spans="1:1" ht="15.75" customHeight="1" x14ac:dyDescent="0.25">
      <c r="A643" s="11"/>
    </row>
    <row r="644" spans="1:1" ht="15.75" customHeight="1" x14ac:dyDescent="0.25">
      <c r="A644" s="11"/>
    </row>
    <row r="645" spans="1:1" ht="15.75" customHeight="1" x14ac:dyDescent="0.25">
      <c r="A645" s="11"/>
    </row>
    <row r="646" spans="1:1" ht="15.75" customHeight="1" x14ac:dyDescent="0.25">
      <c r="A646" s="11"/>
    </row>
    <row r="647" spans="1:1" ht="15.75" customHeight="1" x14ac:dyDescent="0.25">
      <c r="A647" s="11"/>
    </row>
    <row r="648" spans="1:1" ht="15.75" customHeight="1" x14ac:dyDescent="0.25">
      <c r="A648" s="11"/>
    </row>
    <row r="649" spans="1:1" ht="15.75" customHeight="1" x14ac:dyDescent="0.25">
      <c r="A649" s="11"/>
    </row>
    <row r="650" spans="1:1" ht="15.75" customHeight="1" x14ac:dyDescent="0.25">
      <c r="A650" s="11"/>
    </row>
    <row r="651" spans="1:1" ht="15.75" customHeight="1" x14ac:dyDescent="0.25">
      <c r="A651" s="11"/>
    </row>
    <row r="652" spans="1:1" ht="15.75" customHeight="1" x14ac:dyDescent="0.25">
      <c r="A652" s="11"/>
    </row>
    <row r="653" spans="1:1" ht="15.75" customHeight="1" x14ac:dyDescent="0.25">
      <c r="A653" s="11"/>
    </row>
    <row r="654" spans="1:1" ht="15.75" customHeight="1" x14ac:dyDescent="0.25">
      <c r="A654" s="11"/>
    </row>
    <row r="655" spans="1:1" ht="15.75" customHeight="1" x14ac:dyDescent="0.25">
      <c r="A655" s="11"/>
    </row>
    <row r="656" spans="1:1" ht="15.75" customHeight="1" x14ac:dyDescent="0.25">
      <c r="A656" s="11"/>
    </row>
    <row r="657" spans="1:1" ht="15.75" customHeight="1" x14ac:dyDescent="0.25">
      <c r="A657" s="11"/>
    </row>
    <row r="658" spans="1:1" ht="15.75" customHeight="1" x14ac:dyDescent="0.25">
      <c r="A658" s="11"/>
    </row>
    <row r="659" spans="1:1" ht="15.75" customHeight="1" x14ac:dyDescent="0.25">
      <c r="A659" s="11"/>
    </row>
    <row r="660" spans="1:1" ht="15.75" customHeight="1" x14ac:dyDescent="0.25">
      <c r="A660" s="11"/>
    </row>
    <row r="661" spans="1:1" ht="15.75" customHeight="1" x14ac:dyDescent="0.25">
      <c r="A661" s="11"/>
    </row>
    <row r="662" spans="1:1" ht="15.75" customHeight="1" x14ac:dyDescent="0.25">
      <c r="A662" s="11"/>
    </row>
    <row r="663" spans="1:1" ht="15.75" customHeight="1" x14ac:dyDescent="0.25">
      <c r="A663" s="11"/>
    </row>
    <row r="664" spans="1:1" ht="15.75" customHeight="1" x14ac:dyDescent="0.25">
      <c r="A664" s="11"/>
    </row>
    <row r="665" spans="1:1" ht="15.75" customHeight="1" x14ac:dyDescent="0.25">
      <c r="A665" s="11"/>
    </row>
    <row r="666" spans="1:1" ht="15.75" customHeight="1" x14ac:dyDescent="0.25">
      <c r="A666" s="11"/>
    </row>
    <row r="667" spans="1:1" ht="15.75" customHeight="1" x14ac:dyDescent="0.25">
      <c r="A667" s="11"/>
    </row>
    <row r="668" spans="1:1" ht="15.75" customHeight="1" x14ac:dyDescent="0.25">
      <c r="A668" s="11"/>
    </row>
    <row r="669" spans="1:1" ht="15.75" customHeight="1" x14ac:dyDescent="0.25">
      <c r="A669" s="11"/>
    </row>
    <row r="670" spans="1:1" ht="15.75" customHeight="1" x14ac:dyDescent="0.25">
      <c r="A670" s="11"/>
    </row>
    <row r="671" spans="1:1" ht="15.75" customHeight="1" x14ac:dyDescent="0.25">
      <c r="A671" s="11"/>
    </row>
    <row r="672" spans="1:1" ht="15.75" customHeight="1" x14ac:dyDescent="0.25">
      <c r="A672" s="11"/>
    </row>
    <row r="673" spans="1:1" ht="15.75" customHeight="1" x14ac:dyDescent="0.25">
      <c r="A673" s="11"/>
    </row>
    <row r="674" spans="1:1" ht="15.75" customHeight="1" x14ac:dyDescent="0.25">
      <c r="A674" s="11"/>
    </row>
    <row r="675" spans="1:1" ht="15.75" customHeight="1" x14ac:dyDescent="0.25">
      <c r="A675" s="11"/>
    </row>
    <row r="676" spans="1:1" ht="15.75" customHeight="1" x14ac:dyDescent="0.25">
      <c r="A676" s="11"/>
    </row>
    <row r="677" spans="1:1" ht="15.75" customHeight="1" x14ac:dyDescent="0.25">
      <c r="A677" s="11"/>
    </row>
    <row r="678" spans="1:1" ht="15.75" customHeight="1" x14ac:dyDescent="0.25">
      <c r="A678" s="11"/>
    </row>
    <row r="679" spans="1:1" ht="15.75" customHeight="1" x14ac:dyDescent="0.25">
      <c r="A679" s="11"/>
    </row>
    <row r="680" spans="1:1" ht="15.75" customHeight="1" x14ac:dyDescent="0.25">
      <c r="A680" s="11"/>
    </row>
    <row r="681" spans="1:1" ht="15.75" customHeight="1" x14ac:dyDescent="0.25">
      <c r="A681" s="11"/>
    </row>
    <row r="682" spans="1:1" ht="15.75" customHeight="1" x14ac:dyDescent="0.25">
      <c r="A682" s="11"/>
    </row>
    <row r="683" spans="1:1" ht="15.75" customHeight="1" x14ac:dyDescent="0.25">
      <c r="A683" s="11"/>
    </row>
    <row r="684" spans="1:1" ht="15.75" customHeight="1" x14ac:dyDescent="0.25">
      <c r="A684" s="11"/>
    </row>
    <row r="685" spans="1:1" ht="15.75" customHeight="1" x14ac:dyDescent="0.25">
      <c r="A685" s="11"/>
    </row>
    <row r="686" spans="1:1" ht="15.75" customHeight="1" x14ac:dyDescent="0.25">
      <c r="A686" s="11"/>
    </row>
    <row r="687" spans="1:1" ht="15.75" customHeight="1" x14ac:dyDescent="0.25">
      <c r="A687" s="11"/>
    </row>
    <row r="688" spans="1:1" ht="15.75" customHeight="1" x14ac:dyDescent="0.25">
      <c r="A688" s="11"/>
    </row>
    <row r="689" spans="1:1" ht="15.75" customHeight="1" x14ac:dyDescent="0.25">
      <c r="A689" s="11"/>
    </row>
    <row r="690" spans="1:1" ht="15.75" customHeight="1" x14ac:dyDescent="0.25">
      <c r="A690" s="11"/>
    </row>
    <row r="691" spans="1:1" ht="15.75" customHeight="1" x14ac:dyDescent="0.25">
      <c r="A691" s="11"/>
    </row>
    <row r="692" spans="1:1" ht="15.75" customHeight="1" x14ac:dyDescent="0.25">
      <c r="A692" s="11"/>
    </row>
    <row r="693" spans="1:1" ht="15.75" customHeight="1" x14ac:dyDescent="0.25">
      <c r="A693" s="11"/>
    </row>
    <row r="694" spans="1:1" ht="15.75" customHeight="1" x14ac:dyDescent="0.25">
      <c r="A694" s="11"/>
    </row>
    <row r="695" spans="1:1" ht="15.75" customHeight="1" x14ac:dyDescent="0.25">
      <c r="A695" s="11"/>
    </row>
    <row r="696" spans="1:1" ht="15.75" customHeight="1" x14ac:dyDescent="0.25">
      <c r="A696" s="11"/>
    </row>
    <row r="697" spans="1:1" ht="15.75" customHeight="1" x14ac:dyDescent="0.25">
      <c r="A697" s="11"/>
    </row>
    <row r="698" spans="1:1" ht="15.75" customHeight="1" x14ac:dyDescent="0.25">
      <c r="A698" s="11"/>
    </row>
    <row r="699" spans="1:1" ht="15.75" customHeight="1" x14ac:dyDescent="0.25">
      <c r="A699" s="11"/>
    </row>
    <row r="700" spans="1:1" ht="15.75" customHeight="1" x14ac:dyDescent="0.25">
      <c r="A700" s="11"/>
    </row>
    <row r="701" spans="1:1" ht="15.75" customHeight="1" x14ac:dyDescent="0.25">
      <c r="A701" s="11"/>
    </row>
    <row r="702" spans="1:1" ht="15.75" customHeight="1" x14ac:dyDescent="0.25">
      <c r="A702" s="11"/>
    </row>
    <row r="703" spans="1:1" ht="15.75" customHeight="1" x14ac:dyDescent="0.25">
      <c r="A703" s="11"/>
    </row>
    <row r="704" spans="1:1" ht="15.75" customHeight="1" x14ac:dyDescent="0.25">
      <c r="A704" s="11"/>
    </row>
    <row r="705" spans="1:1" ht="15.75" customHeight="1" x14ac:dyDescent="0.25">
      <c r="A705" s="11"/>
    </row>
    <row r="706" spans="1:1" ht="15.75" customHeight="1" x14ac:dyDescent="0.25">
      <c r="A706" s="11"/>
    </row>
    <row r="707" spans="1:1" ht="15.75" customHeight="1" x14ac:dyDescent="0.25">
      <c r="A707" s="11"/>
    </row>
    <row r="708" spans="1:1" ht="15.75" customHeight="1" x14ac:dyDescent="0.25">
      <c r="A708" s="11"/>
    </row>
    <row r="709" spans="1:1" ht="15.75" customHeight="1" x14ac:dyDescent="0.25">
      <c r="A709" s="11"/>
    </row>
    <row r="710" spans="1:1" ht="15.75" customHeight="1" x14ac:dyDescent="0.25">
      <c r="A710" s="11"/>
    </row>
    <row r="711" spans="1:1" ht="15.75" customHeight="1" x14ac:dyDescent="0.25">
      <c r="A711" s="11"/>
    </row>
    <row r="712" spans="1:1" ht="15.75" customHeight="1" x14ac:dyDescent="0.25">
      <c r="A712" s="11"/>
    </row>
    <row r="713" spans="1:1" ht="15.75" customHeight="1" x14ac:dyDescent="0.25">
      <c r="A713" s="11"/>
    </row>
    <row r="714" spans="1:1" ht="15.75" customHeight="1" x14ac:dyDescent="0.25">
      <c r="A714" s="11"/>
    </row>
    <row r="715" spans="1:1" ht="15.75" customHeight="1" x14ac:dyDescent="0.25">
      <c r="A715" s="11"/>
    </row>
    <row r="716" spans="1:1" ht="15.75" customHeight="1" x14ac:dyDescent="0.25">
      <c r="A716" s="11"/>
    </row>
    <row r="717" spans="1:1" ht="15.75" customHeight="1" x14ac:dyDescent="0.25">
      <c r="A717" s="11"/>
    </row>
    <row r="718" spans="1:1" ht="15.75" customHeight="1" x14ac:dyDescent="0.25">
      <c r="A718" s="11"/>
    </row>
    <row r="719" spans="1:1" ht="15.75" customHeight="1" x14ac:dyDescent="0.25">
      <c r="A719" s="11"/>
    </row>
    <row r="720" spans="1:1" ht="15.75" customHeight="1" x14ac:dyDescent="0.25">
      <c r="A720" s="11"/>
    </row>
    <row r="721" spans="1:1" ht="15.75" customHeight="1" x14ac:dyDescent="0.25">
      <c r="A721" s="11"/>
    </row>
    <row r="722" spans="1:1" ht="15.75" customHeight="1" x14ac:dyDescent="0.25">
      <c r="A722" s="11"/>
    </row>
    <row r="723" spans="1:1" ht="15.75" customHeight="1" x14ac:dyDescent="0.25">
      <c r="A723" s="11"/>
    </row>
    <row r="724" spans="1:1" ht="15.75" customHeight="1" x14ac:dyDescent="0.25">
      <c r="A724" s="11"/>
    </row>
    <row r="725" spans="1:1" ht="15.75" customHeight="1" x14ac:dyDescent="0.25">
      <c r="A725" s="11"/>
    </row>
    <row r="726" spans="1:1" ht="15.75" customHeight="1" x14ac:dyDescent="0.25">
      <c r="A726" s="11"/>
    </row>
    <row r="727" spans="1:1" ht="15.75" customHeight="1" x14ac:dyDescent="0.25">
      <c r="A727" s="11"/>
    </row>
    <row r="728" spans="1:1" ht="15.75" customHeight="1" x14ac:dyDescent="0.25">
      <c r="A728" s="11"/>
    </row>
    <row r="729" spans="1:1" ht="15.75" customHeight="1" x14ac:dyDescent="0.25">
      <c r="A729" s="11"/>
    </row>
    <row r="730" spans="1:1" ht="15.75" customHeight="1" x14ac:dyDescent="0.25">
      <c r="A730" s="11"/>
    </row>
    <row r="731" spans="1:1" ht="15.75" customHeight="1" x14ac:dyDescent="0.25">
      <c r="A731" s="11"/>
    </row>
    <row r="732" spans="1:1" ht="15.75" customHeight="1" x14ac:dyDescent="0.25">
      <c r="A732" s="11"/>
    </row>
    <row r="733" spans="1:1" ht="15.75" customHeight="1" x14ac:dyDescent="0.25">
      <c r="A733" s="11"/>
    </row>
    <row r="734" spans="1:1" ht="15.75" customHeight="1" x14ac:dyDescent="0.25">
      <c r="A734" s="11"/>
    </row>
    <row r="735" spans="1:1" ht="15.75" customHeight="1" x14ac:dyDescent="0.25">
      <c r="A735" s="11"/>
    </row>
    <row r="736" spans="1:1" ht="15.75" customHeight="1" x14ac:dyDescent="0.25">
      <c r="A736" s="11"/>
    </row>
    <row r="737" spans="1:1" ht="15.75" customHeight="1" x14ac:dyDescent="0.25">
      <c r="A737" s="11"/>
    </row>
    <row r="738" spans="1:1" ht="15.75" customHeight="1" x14ac:dyDescent="0.25">
      <c r="A738" s="11"/>
    </row>
    <row r="739" spans="1:1" ht="15.75" customHeight="1" x14ac:dyDescent="0.25">
      <c r="A739" s="11"/>
    </row>
    <row r="740" spans="1:1" ht="15.75" customHeight="1" x14ac:dyDescent="0.25">
      <c r="A740" s="11"/>
    </row>
    <row r="741" spans="1:1" ht="15.75" customHeight="1" x14ac:dyDescent="0.25">
      <c r="A741" s="11"/>
    </row>
    <row r="742" spans="1:1" ht="15.75" customHeight="1" x14ac:dyDescent="0.25">
      <c r="A742" s="11"/>
    </row>
    <row r="743" spans="1:1" ht="15.75" customHeight="1" x14ac:dyDescent="0.25">
      <c r="A743" s="11"/>
    </row>
    <row r="744" spans="1:1" ht="15.75" customHeight="1" x14ac:dyDescent="0.25">
      <c r="A744" s="11"/>
    </row>
    <row r="745" spans="1:1" ht="15.75" customHeight="1" x14ac:dyDescent="0.25">
      <c r="A745" s="11"/>
    </row>
    <row r="746" spans="1:1" ht="15.75" customHeight="1" x14ac:dyDescent="0.25">
      <c r="A746" s="11"/>
    </row>
    <row r="747" spans="1:1" ht="15.75" customHeight="1" x14ac:dyDescent="0.25">
      <c r="A747" s="11"/>
    </row>
    <row r="748" spans="1:1" ht="15.75" customHeight="1" x14ac:dyDescent="0.25">
      <c r="A748" s="11"/>
    </row>
    <row r="749" spans="1:1" ht="15.75" customHeight="1" x14ac:dyDescent="0.25">
      <c r="A749" s="11"/>
    </row>
    <row r="750" spans="1:1" ht="15.75" customHeight="1" x14ac:dyDescent="0.25">
      <c r="A750" s="11"/>
    </row>
    <row r="751" spans="1:1" ht="15.75" customHeight="1" x14ac:dyDescent="0.25">
      <c r="A751" s="11"/>
    </row>
    <row r="752" spans="1:1" ht="15.75" customHeight="1" x14ac:dyDescent="0.25">
      <c r="A752" s="11"/>
    </row>
    <row r="753" spans="1:1" ht="15.75" customHeight="1" x14ac:dyDescent="0.25">
      <c r="A753" s="11"/>
    </row>
    <row r="754" spans="1:1" ht="15.75" customHeight="1" x14ac:dyDescent="0.25">
      <c r="A754" s="11"/>
    </row>
    <row r="755" spans="1:1" ht="15.75" customHeight="1" x14ac:dyDescent="0.25">
      <c r="A755" s="11"/>
    </row>
    <row r="756" spans="1:1" ht="15.75" customHeight="1" x14ac:dyDescent="0.25">
      <c r="A756" s="11"/>
    </row>
    <row r="757" spans="1:1" ht="15.75" customHeight="1" x14ac:dyDescent="0.25">
      <c r="A757" s="11"/>
    </row>
    <row r="758" spans="1:1" ht="15.75" customHeight="1" x14ac:dyDescent="0.25">
      <c r="A758" s="11"/>
    </row>
    <row r="759" spans="1:1" ht="15.75" customHeight="1" x14ac:dyDescent="0.25">
      <c r="A759" s="11"/>
    </row>
    <row r="760" spans="1:1" ht="15.75" customHeight="1" x14ac:dyDescent="0.25">
      <c r="A760" s="11"/>
    </row>
    <row r="761" spans="1:1" ht="15.75" customHeight="1" x14ac:dyDescent="0.25">
      <c r="A761" s="11"/>
    </row>
    <row r="762" spans="1:1" ht="15.75" customHeight="1" x14ac:dyDescent="0.25">
      <c r="A762" s="11"/>
    </row>
    <row r="763" spans="1:1" ht="15.75" customHeight="1" x14ac:dyDescent="0.25">
      <c r="A763" s="11"/>
    </row>
    <row r="764" spans="1:1" ht="15.75" customHeight="1" x14ac:dyDescent="0.25">
      <c r="A764" s="11"/>
    </row>
    <row r="765" spans="1:1" ht="15.75" customHeight="1" x14ac:dyDescent="0.25">
      <c r="A765" s="11"/>
    </row>
    <row r="766" spans="1:1" ht="15.75" customHeight="1" x14ac:dyDescent="0.25">
      <c r="A766" s="11"/>
    </row>
    <row r="767" spans="1:1" ht="15.75" customHeight="1" x14ac:dyDescent="0.25">
      <c r="A767" s="11"/>
    </row>
    <row r="768" spans="1:1" ht="15.75" customHeight="1" x14ac:dyDescent="0.25">
      <c r="A768" s="11"/>
    </row>
    <row r="769" spans="1:1" ht="15.75" customHeight="1" x14ac:dyDescent="0.25">
      <c r="A769" s="11"/>
    </row>
    <row r="770" spans="1:1" ht="15.75" customHeight="1" x14ac:dyDescent="0.25">
      <c r="A770" s="11"/>
    </row>
    <row r="771" spans="1:1" ht="15.75" customHeight="1" x14ac:dyDescent="0.25">
      <c r="A771" s="11"/>
    </row>
    <row r="772" spans="1:1" ht="15.75" customHeight="1" x14ac:dyDescent="0.25">
      <c r="A772" s="11"/>
    </row>
    <row r="773" spans="1:1" ht="15.75" customHeight="1" x14ac:dyDescent="0.25">
      <c r="A773" s="11"/>
    </row>
    <row r="774" spans="1:1" ht="15.75" customHeight="1" x14ac:dyDescent="0.25">
      <c r="A774" s="11"/>
    </row>
    <row r="775" spans="1:1" ht="15.75" customHeight="1" x14ac:dyDescent="0.25">
      <c r="A775" s="11"/>
    </row>
    <row r="776" spans="1:1" ht="15.75" customHeight="1" x14ac:dyDescent="0.25">
      <c r="A776" s="11"/>
    </row>
    <row r="777" spans="1:1" ht="15.75" customHeight="1" x14ac:dyDescent="0.25">
      <c r="A777" s="11"/>
    </row>
    <row r="778" spans="1:1" ht="15.75" customHeight="1" x14ac:dyDescent="0.25">
      <c r="A778" s="11"/>
    </row>
    <row r="779" spans="1:1" ht="15.75" customHeight="1" x14ac:dyDescent="0.25">
      <c r="A779" s="11"/>
    </row>
    <row r="780" spans="1:1" ht="15.75" customHeight="1" x14ac:dyDescent="0.25">
      <c r="A780" s="11"/>
    </row>
    <row r="781" spans="1:1" ht="15.75" customHeight="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</sheetData>
  <autoFilter ref="A1:AG76" xr:uid="{00000000-0009-0000-0000-000000000000}">
    <filterColumn colId="13">
      <filters blank="1"/>
    </filterColumn>
  </autoFilter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AB44-7244-4BE8-A034-34FEC20502EC}">
  <dimension ref="A1:AG61"/>
  <sheetViews>
    <sheetView tabSelected="1" workbookViewId="0">
      <selection sqref="A1:AG61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>
        <v>45752</v>
      </c>
      <c r="B2" s="6" t="s">
        <v>33</v>
      </c>
      <c r="D2" s="6" t="s">
        <v>34</v>
      </c>
      <c r="E2" s="6">
        <v>3</v>
      </c>
      <c r="F2" s="7">
        <v>1</v>
      </c>
      <c r="G2" s="6" t="s">
        <v>35</v>
      </c>
      <c r="H2" s="6" t="s">
        <v>36</v>
      </c>
      <c r="I2" s="6" t="s">
        <v>37</v>
      </c>
      <c r="L2" s="7">
        <v>1</v>
      </c>
      <c r="M2" s="6"/>
      <c r="P2" s="6">
        <v>1</v>
      </c>
      <c r="V2" s="7">
        <v>2</v>
      </c>
      <c r="W2" s="7">
        <v>1</v>
      </c>
      <c r="AC2" s="6">
        <v>1</v>
      </c>
    </row>
    <row r="3" spans="1:33" x14ac:dyDescent="0.25">
      <c r="A3" s="5">
        <v>45963</v>
      </c>
      <c r="B3" s="6" t="s">
        <v>38</v>
      </c>
      <c r="D3" s="6" t="s">
        <v>39</v>
      </c>
      <c r="E3" s="6">
        <v>37</v>
      </c>
      <c r="G3" s="6" t="s">
        <v>40</v>
      </c>
      <c r="H3" s="6" t="s">
        <v>41</v>
      </c>
      <c r="I3" s="6" t="s">
        <v>42</v>
      </c>
      <c r="L3" s="6">
        <v>1</v>
      </c>
      <c r="N3" s="6"/>
      <c r="P3" s="7">
        <v>1</v>
      </c>
      <c r="AC3" s="6">
        <v>1</v>
      </c>
    </row>
    <row r="4" spans="1:33" x14ac:dyDescent="0.25">
      <c r="A4" s="8">
        <v>45144</v>
      </c>
      <c r="B4" s="6" t="s">
        <v>43</v>
      </c>
      <c r="D4" s="6" t="s">
        <v>44</v>
      </c>
      <c r="E4" s="6">
        <v>3</v>
      </c>
      <c r="F4" s="7">
        <v>1</v>
      </c>
      <c r="G4" s="6" t="s">
        <v>35</v>
      </c>
      <c r="H4" s="6" t="s">
        <v>45</v>
      </c>
      <c r="I4" s="6" t="s">
        <v>37</v>
      </c>
      <c r="L4" s="6">
        <v>1</v>
      </c>
      <c r="P4" s="6">
        <v>1</v>
      </c>
      <c r="Y4" s="7">
        <v>1</v>
      </c>
      <c r="AC4" s="6">
        <v>1</v>
      </c>
    </row>
    <row r="5" spans="1:33" x14ac:dyDescent="0.25">
      <c r="A5" s="9" t="s">
        <v>46</v>
      </c>
      <c r="B5" s="6" t="s">
        <v>47</v>
      </c>
      <c r="D5" s="6" t="s">
        <v>48</v>
      </c>
      <c r="E5" s="6">
        <v>30</v>
      </c>
      <c r="G5" s="6" t="s">
        <v>40</v>
      </c>
      <c r="H5" s="6" t="s">
        <v>49</v>
      </c>
      <c r="I5" s="6" t="s">
        <v>37</v>
      </c>
      <c r="L5" s="6">
        <v>1</v>
      </c>
      <c r="P5" s="6">
        <v>1</v>
      </c>
      <c r="V5" s="7">
        <v>2</v>
      </c>
      <c r="W5" s="7">
        <v>1</v>
      </c>
      <c r="AC5" s="6"/>
    </row>
    <row r="6" spans="1:33" x14ac:dyDescent="0.25">
      <c r="A6" s="5">
        <v>44287</v>
      </c>
      <c r="B6" s="6" t="s">
        <v>50</v>
      </c>
      <c r="D6" s="6" t="s">
        <v>51</v>
      </c>
      <c r="E6" s="6">
        <v>50</v>
      </c>
      <c r="G6" s="6" t="s">
        <v>40</v>
      </c>
      <c r="H6" s="6" t="s">
        <v>52</v>
      </c>
      <c r="I6" s="6" t="s">
        <v>37</v>
      </c>
      <c r="L6" s="6"/>
      <c r="M6" s="7">
        <v>1</v>
      </c>
      <c r="N6" s="6"/>
      <c r="P6" s="7">
        <v>1</v>
      </c>
      <c r="R6" s="7">
        <v>1</v>
      </c>
      <c r="AC6" s="6"/>
    </row>
    <row r="7" spans="1:33" x14ac:dyDescent="0.25">
      <c r="A7" s="9" t="s">
        <v>46</v>
      </c>
      <c r="B7" s="6" t="s">
        <v>53</v>
      </c>
      <c r="C7" s="10"/>
      <c r="D7" s="6" t="s">
        <v>54</v>
      </c>
      <c r="E7" s="6">
        <v>42</v>
      </c>
      <c r="G7" s="6" t="s">
        <v>40</v>
      </c>
      <c r="H7" s="6" t="s">
        <v>52</v>
      </c>
      <c r="I7" s="6" t="s">
        <v>37</v>
      </c>
      <c r="M7" s="6">
        <v>1</v>
      </c>
      <c r="P7" s="6">
        <v>1</v>
      </c>
      <c r="R7" s="7">
        <v>2</v>
      </c>
      <c r="V7" s="7">
        <v>1</v>
      </c>
      <c r="AC7" s="6"/>
    </row>
    <row r="8" spans="1:33" x14ac:dyDescent="0.25">
      <c r="A8" s="11" t="s">
        <v>55</v>
      </c>
      <c r="B8" s="7" t="s">
        <v>56</v>
      </c>
      <c r="D8" s="7" t="s">
        <v>57</v>
      </c>
      <c r="E8" s="7">
        <v>40</v>
      </c>
      <c r="F8" s="7" t="s">
        <v>40</v>
      </c>
      <c r="G8" s="7" t="s">
        <v>40</v>
      </c>
      <c r="H8" s="7" t="s">
        <v>58</v>
      </c>
      <c r="I8" s="6" t="s">
        <v>37</v>
      </c>
      <c r="L8" s="7">
        <v>1</v>
      </c>
      <c r="P8" s="7">
        <v>1</v>
      </c>
      <c r="Y8" s="7">
        <v>1</v>
      </c>
      <c r="AC8" s="7">
        <v>1</v>
      </c>
    </row>
    <row r="9" spans="1:33" x14ac:dyDescent="0.25">
      <c r="A9" s="12">
        <v>45332</v>
      </c>
      <c r="B9" s="7" t="s">
        <v>59</v>
      </c>
      <c r="D9" s="7" t="s">
        <v>60</v>
      </c>
      <c r="E9" s="7">
        <v>19</v>
      </c>
      <c r="G9" s="7" t="s">
        <v>40</v>
      </c>
      <c r="H9" s="7" t="s">
        <v>61</v>
      </c>
      <c r="I9" s="7" t="s">
        <v>62</v>
      </c>
      <c r="M9" s="7">
        <v>1</v>
      </c>
      <c r="P9" s="7">
        <v>1</v>
      </c>
      <c r="AC9" s="7">
        <v>1</v>
      </c>
    </row>
    <row r="10" spans="1:33" x14ac:dyDescent="0.25">
      <c r="A10" s="11" t="s">
        <v>63</v>
      </c>
      <c r="B10" s="7" t="s">
        <v>64</v>
      </c>
      <c r="D10" s="7" t="s">
        <v>65</v>
      </c>
      <c r="E10" s="7">
        <v>28</v>
      </c>
      <c r="G10" s="7" t="s">
        <v>35</v>
      </c>
      <c r="H10" s="7" t="s">
        <v>66</v>
      </c>
      <c r="I10" s="6" t="s">
        <v>37</v>
      </c>
      <c r="L10" s="7">
        <v>1</v>
      </c>
      <c r="P10" s="7">
        <v>1</v>
      </c>
      <c r="V10" s="7">
        <v>2</v>
      </c>
      <c r="W10" s="7">
        <v>1</v>
      </c>
      <c r="AC10" s="7">
        <v>1</v>
      </c>
    </row>
    <row r="11" spans="1:33" x14ac:dyDescent="0.25">
      <c r="A11" s="13">
        <v>45780</v>
      </c>
      <c r="B11" s="7" t="s">
        <v>71</v>
      </c>
      <c r="D11" s="7" t="s">
        <v>72</v>
      </c>
      <c r="E11" s="7">
        <v>6</v>
      </c>
      <c r="F11" s="7">
        <v>1</v>
      </c>
      <c r="G11" s="7" t="s">
        <v>35</v>
      </c>
      <c r="H11" s="7" t="s">
        <v>73</v>
      </c>
      <c r="I11" s="6" t="s">
        <v>37</v>
      </c>
      <c r="L11" s="7">
        <v>1</v>
      </c>
      <c r="P11" s="7">
        <v>1</v>
      </c>
      <c r="T11" s="7">
        <v>1</v>
      </c>
    </row>
    <row r="12" spans="1:33" x14ac:dyDescent="0.25">
      <c r="A12" s="11" t="s">
        <v>74</v>
      </c>
      <c r="B12" s="7" t="s">
        <v>75</v>
      </c>
      <c r="D12" s="7" t="s">
        <v>76</v>
      </c>
      <c r="E12" s="7">
        <v>34</v>
      </c>
      <c r="G12" s="7" t="s">
        <v>35</v>
      </c>
      <c r="H12" s="7" t="s">
        <v>66</v>
      </c>
      <c r="I12" s="6" t="s">
        <v>37</v>
      </c>
      <c r="M12" s="7">
        <v>1</v>
      </c>
      <c r="P12" s="7">
        <v>1</v>
      </c>
      <c r="R12" s="7">
        <v>1</v>
      </c>
      <c r="V12" s="7">
        <v>1</v>
      </c>
      <c r="W12" s="7">
        <v>1</v>
      </c>
      <c r="AC12" s="7">
        <v>1</v>
      </c>
    </row>
    <row r="13" spans="1:33" x14ac:dyDescent="0.25">
      <c r="A13" s="13">
        <v>45782</v>
      </c>
      <c r="B13" s="7" t="s">
        <v>38</v>
      </c>
      <c r="D13" s="7" t="s">
        <v>77</v>
      </c>
      <c r="E13" s="7">
        <v>16</v>
      </c>
      <c r="F13" s="7">
        <v>1</v>
      </c>
      <c r="G13" s="7" t="s">
        <v>40</v>
      </c>
      <c r="H13" s="7" t="s">
        <v>78</v>
      </c>
      <c r="I13" s="7" t="s">
        <v>79</v>
      </c>
      <c r="L13" s="7">
        <v>1</v>
      </c>
      <c r="P13" s="7">
        <v>1</v>
      </c>
      <c r="X13" s="7">
        <v>1</v>
      </c>
    </row>
    <row r="14" spans="1:33" x14ac:dyDescent="0.25">
      <c r="A14" s="12">
        <v>44479</v>
      </c>
      <c r="B14" s="7" t="s">
        <v>53</v>
      </c>
      <c r="D14" s="7" t="s">
        <v>80</v>
      </c>
      <c r="E14" s="7">
        <v>54</v>
      </c>
      <c r="G14" s="7" t="s">
        <v>40</v>
      </c>
      <c r="H14" s="7" t="s">
        <v>81</v>
      </c>
      <c r="I14" s="6" t="s">
        <v>37</v>
      </c>
      <c r="L14" s="7">
        <v>1</v>
      </c>
      <c r="P14" s="7">
        <v>1</v>
      </c>
      <c r="AA14" s="7">
        <v>1</v>
      </c>
    </row>
    <row r="15" spans="1:33" x14ac:dyDescent="0.25">
      <c r="A15" s="11" t="s">
        <v>86</v>
      </c>
      <c r="B15" s="7" t="s">
        <v>87</v>
      </c>
      <c r="D15" s="7" t="s">
        <v>88</v>
      </c>
      <c r="E15" s="7">
        <v>13</v>
      </c>
      <c r="F15" s="7">
        <v>1</v>
      </c>
      <c r="G15" s="7" t="s">
        <v>35</v>
      </c>
      <c r="H15" s="7" t="s">
        <v>89</v>
      </c>
      <c r="I15" s="6" t="s">
        <v>37</v>
      </c>
      <c r="L15" s="7">
        <v>1</v>
      </c>
      <c r="P15" s="7">
        <v>1</v>
      </c>
      <c r="AA15" s="7">
        <v>1</v>
      </c>
    </row>
    <row r="16" spans="1:33" x14ac:dyDescent="0.25">
      <c r="A16" s="11" t="s">
        <v>90</v>
      </c>
      <c r="B16" s="7" t="s">
        <v>53</v>
      </c>
      <c r="D16" s="7" t="s">
        <v>91</v>
      </c>
      <c r="E16" s="7">
        <v>23</v>
      </c>
      <c r="G16" s="7" t="s">
        <v>40</v>
      </c>
      <c r="H16" s="7" t="s">
        <v>61</v>
      </c>
      <c r="I16" s="7" t="s">
        <v>70</v>
      </c>
      <c r="M16" s="7">
        <v>1</v>
      </c>
      <c r="P16" s="7">
        <v>1</v>
      </c>
      <c r="AC16" s="7">
        <v>1</v>
      </c>
    </row>
    <row r="17" spans="1:29" x14ac:dyDescent="0.25">
      <c r="A17" s="11" t="s">
        <v>95</v>
      </c>
      <c r="B17" s="7" t="s">
        <v>64</v>
      </c>
      <c r="D17" s="7" t="s">
        <v>96</v>
      </c>
      <c r="E17" s="7">
        <v>44</v>
      </c>
      <c r="G17" s="7" t="s">
        <v>40</v>
      </c>
      <c r="H17" s="6" t="s">
        <v>52</v>
      </c>
      <c r="I17" s="6" t="s">
        <v>37</v>
      </c>
      <c r="L17" s="7">
        <v>1</v>
      </c>
      <c r="P17" s="7">
        <v>1</v>
      </c>
      <c r="R17" s="7">
        <v>1</v>
      </c>
      <c r="U17" s="7">
        <v>1</v>
      </c>
      <c r="V17" s="7">
        <v>2</v>
      </c>
      <c r="AA17" s="7">
        <v>1</v>
      </c>
      <c r="AC17" s="7">
        <v>1</v>
      </c>
    </row>
    <row r="18" spans="1:29" x14ac:dyDescent="0.25">
      <c r="A18" s="11" t="s">
        <v>99</v>
      </c>
      <c r="B18" s="7" t="s">
        <v>100</v>
      </c>
      <c r="D18" s="7" t="s">
        <v>101</v>
      </c>
      <c r="E18" s="7">
        <v>54</v>
      </c>
      <c r="G18" s="7" t="s">
        <v>35</v>
      </c>
      <c r="H18" s="7" t="s">
        <v>102</v>
      </c>
      <c r="I18" s="6" t="s">
        <v>37</v>
      </c>
      <c r="L18" s="7">
        <v>1</v>
      </c>
      <c r="P18" s="7">
        <v>1</v>
      </c>
      <c r="T18" s="7">
        <v>1</v>
      </c>
    </row>
    <row r="19" spans="1:29" x14ac:dyDescent="0.25">
      <c r="A19" s="11" t="s">
        <v>103</v>
      </c>
      <c r="B19" s="7" t="s">
        <v>56</v>
      </c>
      <c r="D19" s="7" t="s">
        <v>104</v>
      </c>
      <c r="E19" s="7">
        <v>37</v>
      </c>
      <c r="G19" s="7" t="s">
        <v>40</v>
      </c>
      <c r="H19" s="7" t="s">
        <v>105</v>
      </c>
      <c r="I19" s="6" t="s">
        <v>37</v>
      </c>
      <c r="L19" s="7">
        <v>1</v>
      </c>
      <c r="P19" s="7">
        <v>1</v>
      </c>
      <c r="V19" s="7">
        <v>1</v>
      </c>
    </row>
    <row r="20" spans="1:29" x14ac:dyDescent="0.25">
      <c r="A20" s="11" t="s">
        <v>106</v>
      </c>
      <c r="B20" s="7" t="s">
        <v>107</v>
      </c>
      <c r="D20" s="7" t="s">
        <v>108</v>
      </c>
      <c r="E20" s="7">
        <v>56</v>
      </c>
      <c r="G20" s="7" t="s">
        <v>40</v>
      </c>
      <c r="H20" s="7" t="s">
        <v>89</v>
      </c>
      <c r="I20" s="6" t="s">
        <v>37</v>
      </c>
      <c r="L20" s="7">
        <v>1</v>
      </c>
      <c r="P20" s="7">
        <v>1</v>
      </c>
      <c r="V20" s="7">
        <v>1</v>
      </c>
    </row>
    <row r="21" spans="1:29" x14ac:dyDescent="0.25">
      <c r="A21" s="11" t="s">
        <v>109</v>
      </c>
      <c r="B21" s="7" t="s">
        <v>110</v>
      </c>
      <c r="D21" s="7" t="s">
        <v>111</v>
      </c>
      <c r="E21" s="7">
        <v>27</v>
      </c>
      <c r="G21" s="7" t="s">
        <v>40</v>
      </c>
      <c r="H21" s="6" t="s">
        <v>52</v>
      </c>
      <c r="I21" s="6" t="s">
        <v>37</v>
      </c>
      <c r="L21" s="7">
        <v>1</v>
      </c>
      <c r="P21" s="7">
        <v>1</v>
      </c>
      <c r="V21" s="7">
        <v>1</v>
      </c>
      <c r="AA21" s="7">
        <v>1</v>
      </c>
    </row>
    <row r="22" spans="1:29" x14ac:dyDescent="0.25">
      <c r="A22" s="11" t="s">
        <v>112</v>
      </c>
      <c r="B22" s="7" t="s">
        <v>64</v>
      </c>
      <c r="D22" s="7" t="s">
        <v>113</v>
      </c>
      <c r="E22" s="7">
        <v>63</v>
      </c>
      <c r="G22" s="7" t="s">
        <v>40</v>
      </c>
      <c r="H22" s="7" t="s">
        <v>114</v>
      </c>
      <c r="I22" s="6" t="s">
        <v>37</v>
      </c>
      <c r="L22" s="7">
        <v>1</v>
      </c>
      <c r="P22" s="7">
        <v>1</v>
      </c>
      <c r="V22" s="7">
        <v>1</v>
      </c>
      <c r="AA22" s="7">
        <v>1</v>
      </c>
    </row>
    <row r="23" spans="1:29" x14ac:dyDescent="0.25">
      <c r="A23" s="11" t="s">
        <v>117</v>
      </c>
      <c r="B23" s="7" t="s">
        <v>33</v>
      </c>
      <c r="D23" s="7" t="s">
        <v>118</v>
      </c>
      <c r="E23" s="7">
        <v>41</v>
      </c>
      <c r="G23" s="7" t="s">
        <v>40</v>
      </c>
      <c r="H23" s="6" t="s">
        <v>52</v>
      </c>
      <c r="I23" s="6" t="s">
        <v>37</v>
      </c>
      <c r="L23" s="7">
        <v>1</v>
      </c>
      <c r="P23" s="7">
        <v>1</v>
      </c>
      <c r="Y23" s="7">
        <v>1</v>
      </c>
      <c r="AC23" s="7">
        <v>1</v>
      </c>
    </row>
    <row r="24" spans="1:29" x14ac:dyDescent="0.25">
      <c r="A24" s="11" t="s">
        <v>119</v>
      </c>
      <c r="B24" s="7" t="s">
        <v>120</v>
      </c>
      <c r="D24" s="7" t="s">
        <v>121</v>
      </c>
      <c r="E24" s="7">
        <v>63</v>
      </c>
      <c r="G24" s="7" t="s">
        <v>40</v>
      </c>
      <c r="H24" s="7" t="s">
        <v>105</v>
      </c>
      <c r="I24" s="6" t="s">
        <v>37</v>
      </c>
      <c r="L24" s="7">
        <v>1</v>
      </c>
      <c r="P24" s="7">
        <v>1</v>
      </c>
      <c r="Y24" s="7">
        <v>1</v>
      </c>
      <c r="AC24" s="7">
        <v>1</v>
      </c>
    </row>
    <row r="25" spans="1:29" x14ac:dyDescent="0.25">
      <c r="A25" s="11" t="s">
        <v>122</v>
      </c>
      <c r="B25" s="7" t="s">
        <v>56</v>
      </c>
      <c r="D25" s="7" t="s">
        <v>123</v>
      </c>
      <c r="E25" s="7">
        <v>65</v>
      </c>
      <c r="G25" s="7" t="s">
        <v>35</v>
      </c>
      <c r="H25" s="7" t="s">
        <v>98</v>
      </c>
      <c r="I25" s="6" t="s">
        <v>37</v>
      </c>
      <c r="M25" s="7">
        <v>1</v>
      </c>
      <c r="P25" s="7">
        <v>1</v>
      </c>
      <c r="Y25" s="7">
        <v>1</v>
      </c>
    </row>
    <row r="26" spans="1:29" x14ac:dyDescent="0.25">
      <c r="A26" s="11" t="s">
        <v>124</v>
      </c>
      <c r="B26" s="7" t="s">
        <v>87</v>
      </c>
      <c r="D26" s="7" t="s">
        <v>125</v>
      </c>
      <c r="E26" s="7">
        <v>39</v>
      </c>
      <c r="G26" s="7" t="s">
        <v>40</v>
      </c>
      <c r="H26" s="7" t="s">
        <v>105</v>
      </c>
      <c r="I26" s="6" t="s">
        <v>37</v>
      </c>
      <c r="L26" s="7">
        <v>1</v>
      </c>
      <c r="P26" s="7">
        <v>1</v>
      </c>
      <c r="Y26" s="7">
        <v>1</v>
      </c>
      <c r="AC26" s="7">
        <v>1</v>
      </c>
    </row>
    <row r="27" spans="1:29" x14ac:dyDescent="0.25">
      <c r="A27" s="13">
        <v>45177</v>
      </c>
      <c r="B27" s="7" t="s">
        <v>126</v>
      </c>
      <c r="D27" s="7" t="s">
        <v>127</v>
      </c>
      <c r="E27" s="7">
        <v>52</v>
      </c>
      <c r="G27" s="7" t="s">
        <v>40</v>
      </c>
      <c r="H27" s="7" t="s">
        <v>128</v>
      </c>
      <c r="I27" s="6" t="s">
        <v>37</v>
      </c>
      <c r="L27" s="7">
        <v>1</v>
      </c>
      <c r="P27" s="7">
        <v>1</v>
      </c>
      <c r="Y27" s="7">
        <v>1</v>
      </c>
    </row>
    <row r="28" spans="1:29" x14ac:dyDescent="0.25">
      <c r="A28" s="11" t="s">
        <v>129</v>
      </c>
      <c r="B28" s="7" t="s">
        <v>130</v>
      </c>
      <c r="D28" s="7" t="s">
        <v>131</v>
      </c>
      <c r="E28" s="7">
        <v>78</v>
      </c>
      <c r="G28" s="7" t="s">
        <v>35</v>
      </c>
      <c r="H28" s="7" t="s">
        <v>98</v>
      </c>
      <c r="I28" s="6" t="s">
        <v>37</v>
      </c>
      <c r="M28" s="7">
        <v>1</v>
      </c>
      <c r="P28" s="7">
        <v>1</v>
      </c>
      <c r="Y28" s="7">
        <v>1</v>
      </c>
    </row>
    <row r="29" spans="1:29" x14ac:dyDescent="0.25">
      <c r="A29" s="11" t="s">
        <v>132</v>
      </c>
      <c r="B29" s="7" t="s">
        <v>120</v>
      </c>
      <c r="D29" s="7" t="s">
        <v>133</v>
      </c>
      <c r="E29" s="7">
        <v>40</v>
      </c>
      <c r="G29" s="7" t="s">
        <v>40</v>
      </c>
      <c r="H29" s="6" t="s">
        <v>52</v>
      </c>
      <c r="I29" s="6" t="s">
        <v>37</v>
      </c>
      <c r="L29" s="7">
        <v>1</v>
      </c>
      <c r="P29" s="7">
        <v>1</v>
      </c>
      <c r="V29" s="7">
        <v>1</v>
      </c>
      <c r="Y29" s="7">
        <v>1</v>
      </c>
    </row>
    <row r="30" spans="1:29" x14ac:dyDescent="0.25">
      <c r="A30" s="11" t="s">
        <v>134</v>
      </c>
      <c r="B30" s="7" t="s">
        <v>135</v>
      </c>
      <c r="D30" s="7" t="s">
        <v>136</v>
      </c>
      <c r="E30" s="7">
        <v>42</v>
      </c>
      <c r="G30" s="7" t="s">
        <v>40</v>
      </c>
      <c r="H30" s="7" t="s">
        <v>105</v>
      </c>
      <c r="I30" s="6" t="s">
        <v>37</v>
      </c>
      <c r="L30" s="7">
        <v>1</v>
      </c>
      <c r="P30" s="7">
        <v>1</v>
      </c>
      <c r="Y30" s="7">
        <v>1</v>
      </c>
    </row>
    <row r="31" spans="1:29" x14ac:dyDescent="0.25">
      <c r="A31" s="11" t="s">
        <v>137</v>
      </c>
      <c r="B31" s="7" t="s">
        <v>33</v>
      </c>
      <c r="D31" s="7" t="s">
        <v>138</v>
      </c>
      <c r="E31" s="7">
        <v>30</v>
      </c>
      <c r="G31" s="7" t="s">
        <v>40</v>
      </c>
      <c r="H31" s="7" t="s">
        <v>105</v>
      </c>
      <c r="I31" s="6" t="s">
        <v>37</v>
      </c>
      <c r="L31" s="7">
        <v>1</v>
      </c>
      <c r="P31" s="7">
        <v>1</v>
      </c>
      <c r="Y31" s="7">
        <v>1</v>
      </c>
    </row>
    <row r="32" spans="1:29" x14ac:dyDescent="0.25">
      <c r="A32" s="13">
        <v>45870</v>
      </c>
      <c r="B32" s="7" t="s">
        <v>139</v>
      </c>
      <c r="D32" s="7" t="s">
        <v>140</v>
      </c>
      <c r="E32" s="7">
        <v>31</v>
      </c>
      <c r="G32" s="7" t="s">
        <v>40</v>
      </c>
      <c r="H32" s="6" t="s">
        <v>52</v>
      </c>
      <c r="I32" s="6" t="s">
        <v>37</v>
      </c>
      <c r="L32" s="7">
        <v>1</v>
      </c>
      <c r="P32" s="7">
        <v>1</v>
      </c>
      <c r="Y32" s="7">
        <v>1</v>
      </c>
    </row>
    <row r="33" spans="1:30" x14ac:dyDescent="0.25">
      <c r="A33" s="13">
        <v>45237</v>
      </c>
      <c r="B33" s="7" t="s">
        <v>33</v>
      </c>
      <c r="D33" s="7" t="s">
        <v>141</v>
      </c>
      <c r="E33" s="7">
        <v>70</v>
      </c>
      <c r="G33" s="7" t="s">
        <v>35</v>
      </c>
      <c r="H33" s="7" t="s">
        <v>98</v>
      </c>
      <c r="I33" s="6" t="s">
        <v>37</v>
      </c>
      <c r="M33" s="7">
        <v>1</v>
      </c>
      <c r="P33" s="7">
        <v>1</v>
      </c>
      <c r="Y33" s="7">
        <v>1</v>
      </c>
    </row>
    <row r="34" spans="1:30" x14ac:dyDescent="0.25">
      <c r="A34" s="11" t="s">
        <v>142</v>
      </c>
      <c r="B34" s="7" t="s">
        <v>120</v>
      </c>
      <c r="D34" s="7" t="s">
        <v>143</v>
      </c>
      <c r="E34" s="7">
        <v>40</v>
      </c>
      <c r="G34" s="7" t="s">
        <v>40</v>
      </c>
      <c r="H34" s="6" t="s">
        <v>52</v>
      </c>
      <c r="I34" s="6" t="s">
        <v>37</v>
      </c>
      <c r="L34" s="7">
        <v>1</v>
      </c>
      <c r="P34" s="7">
        <v>1</v>
      </c>
      <c r="Y34" s="7">
        <v>1</v>
      </c>
    </row>
    <row r="35" spans="1:30" x14ac:dyDescent="0.25">
      <c r="A35" s="13">
        <v>45445</v>
      </c>
      <c r="B35" s="7" t="s">
        <v>53</v>
      </c>
      <c r="D35" s="7" t="s">
        <v>144</v>
      </c>
      <c r="E35" s="7">
        <v>37</v>
      </c>
      <c r="G35" s="7" t="s">
        <v>40</v>
      </c>
      <c r="H35" s="6" t="s">
        <v>52</v>
      </c>
      <c r="I35" s="6" t="s">
        <v>37</v>
      </c>
      <c r="K35" s="7">
        <v>1</v>
      </c>
      <c r="P35" s="7">
        <v>1</v>
      </c>
      <c r="Y35" s="7">
        <v>1</v>
      </c>
      <c r="AD35" s="7">
        <v>1</v>
      </c>
    </row>
    <row r="36" spans="1:30" x14ac:dyDescent="0.25">
      <c r="A36" s="12">
        <v>45363</v>
      </c>
      <c r="B36" s="7" t="s">
        <v>145</v>
      </c>
      <c r="D36" s="7" t="s">
        <v>146</v>
      </c>
      <c r="E36" s="7">
        <v>19</v>
      </c>
      <c r="G36" s="7" t="s">
        <v>40</v>
      </c>
      <c r="H36" s="7" t="s">
        <v>147</v>
      </c>
      <c r="I36" s="6" t="s">
        <v>37</v>
      </c>
      <c r="L36" s="7">
        <v>1</v>
      </c>
      <c r="P36" s="7">
        <v>1</v>
      </c>
      <c r="Y36" s="7">
        <v>1</v>
      </c>
    </row>
    <row r="37" spans="1:30" x14ac:dyDescent="0.25">
      <c r="A37" s="11" t="s">
        <v>148</v>
      </c>
      <c r="B37" s="7" t="s">
        <v>59</v>
      </c>
      <c r="D37" s="7" t="s">
        <v>149</v>
      </c>
      <c r="E37" s="7">
        <v>29</v>
      </c>
      <c r="G37" s="7" t="s">
        <v>40</v>
      </c>
      <c r="H37" s="6" t="s">
        <v>52</v>
      </c>
      <c r="I37" s="6" t="s">
        <v>37</v>
      </c>
      <c r="K37" s="7">
        <v>1</v>
      </c>
      <c r="P37" s="7">
        <v>1</v>
      </c>
      <c r="Y37" s="7">
        <v>1</v>
      </c>
      <c r="AD37" s="7">
        <v>1</v>
      </c>
    </row>
    <row r="38" spans="1:30" x14ac:dyDescent="0.25">
      <c r="A38" s="11" t="s">
        <v>150</v>
      </c>
      <c r="B38" s="7" t="s">
        <v>151</v>
      </c>
      <c r="D38" s="7" t="s">
        <v>152</v>
      </c>
      <c r="E38" s="7">
        <v>60</v>
      </c>
      <c r="G38" s="7" t="s">
        <v>40</v>
      </c>
      <c r="H38" s="6" t="s">
        <v>52</v>
      </c>
      <c r="I38" s="6" t="s">
        <v>37</v>
      </c>
      <c r="L38" s="7">
        <v>1</v>
      </c>
      <c r="P38" s="7">
        <v>1</v>
      </c>
      <c r="Y38" s="7">
        <v>1</v>
      </c>
    </row>
    <row r="39" spans="1:30" x14ac:dyDescent="0.25">
      <c r="A39" s="11" t="s">
        <v>153</v>
      </c>
      <c r="B39" s="7" t="s">
        <v>71</v>
      </c>
      <c r="D39" s="7" t="s">
        <v>154</v>
      </c>
      <c r="E39" s="7">
        <v>50</v>
      </c>
      <c r="G39" s="7" t="s">
        <v>40</v>
      </c>
      <c r="H39" s="7" t="s">
        <v>105</v>
      </c>
      <c r="I39" s="6" t="s">
        <v>37</v>
      </c>
      <c r="L39" s="7">
        <v>1</v>
      </c>
      <c r="P39" s="7">
        <v>1</v>
      </c>
      <c r="Y39" s="7">
        <v>1</v>
      </c>
    </row>
    <row r="40" spans="1:30" x14ac:dyDescent="0.25">
      <c r="A40" s="11" t="s">
        <v>155</v>
      </c>
      <c r="B40" s="7" t="s">
        <v>156</v>
      </c>
      <c r="D40" s="7" t="s">
        <v>157</v>
      </c>
      <c r="E40" s="7">
        <v>43</v>
      </c>
      <c r="G40" s="7" t="s">
        <v>40</v>
      </c>
      <c r="H40" s="7" t="s">
        <v>158</v>
      </c>
      <c r="I40" s="6" t="s">
        <v>37</v>
      </c>
      <c r="M40" s="7">
        <v>1</v>
      </c>
      <c r="P40" s="7">
        <v>1</v>
      </c>
      <c r="Y40" s="7">
        <v>1</v>
      </c>
    </row>
    <row r="41" spans="1:30" x14ac:dyDescent="0.25">
      <c r="A41" s="11" t="s">
        <v>159</v>
      </c>
      <c r="B41" s="7" t="s">
        <v>156</v>
      </c>
      <c r="D41" s="7" t="s">
        <v>160</v>
      </c>
      <c r="E41" s="7">
        <v>39</v>
      </c>
      <c r="G41" s="7" t="s">
        <v>40</v>
      </c>
      <c r="H41" s="7" t="s">
        <v>161</v>
      </c>
      <c r="I41" s="6" t="s">
        <v>37</v>
      </c>
      <c r="L41" s="7">
        <v>1</v>
      </c>
      <c r="P41" s="7">
        <v>1</v>
      </c>
      <c r="Y41" s="7">
        <v>1</v>
      </c>
    </row>
    <row r="42" spans="1:30" x14ac:dyDescent="0.25">
      <c r="A42" s="13">
        <v>45874</v>
      </c>
      <c r="B42" s="7" t="s">
        <v>135</v>
      </c>
      <c r="D42" s="7" t="s">
        <v>162</v>
      </c>
      <c r="E42" s="7">
        <v>56</v>
      </c>
      <c r="G42" s="7" t="s">
        <v>35</v>
      </c>
      <c r="H42" s="7" t="s">
        <v>98</v>
      </c>
      <c r="I42" s="6" t="s">
        <v>37</v>
      </c>
      <c r="L42" s="7">
        <v>1</v>
      </c>
      <c r="P42" s="7">
        <v>1</v>
      </c>
      <c r="Y42" s="7">
        <v>1</v>
      </c>
    </row>
    <row r="43" spans="1:30" x14ac:dyDescent="0.25">
      <c r="A43" s="11" t="s">
        <v>90</v>
      </c>
      <c r="B43" s="7" t="s">
        <v>115</v>
      </c>
      <c r="D43" s="7" t="s">
        <v>163</v>
      </c>
      <c r="E43" s="7">
        <v>5</v>
      </c>
      <c r="F43" s="7">
        <v>1</v>
      </c>
      <c r="G43" s="7" t="s">
        <v>35</v>
      </c>
      <c r="H43" s="7" t="s">
        <v>164</v>
      </c>
      <c r="I43" s="6" t="s">
        <v>37</v>
      </c>
      <c r="L43" s="7">
        <v>1</v>
      </c>
      <c r="P43" s="7">
        <v>1</v>
      </c>
      <c r="Y43" s="7">
        <v>1</v>
      </c>
    </row>
    <row r="44" spans="1:30" x14ac:dyDescent="0.25">
      <c r="A44" s="11" t="s">
        <v>165</v>
      </c>
      <c r="B44" s="7" t="s">
        <v>56</v>
      </c>
      <c r="D44" s="7" t="s">
        <v>166</v>
      </c>
      <c r="E44" s="7">
        <v>50</v>
      </c>
      <c r="G44" s="7" t="s">
        <v>35</v>
      </c>
      <c r="H44" s="7" t="s">
        <v>114</v>
      </c>
      <c r="I44" s="6" t="s">
        <v>37</v>
      </c>
      <c r="L44" s="7">
        <v>1</v>
      </c>
      <c r="P44" s="7">
        <v>1</v>
      </c>
      <c r="Y44" s="7">
        <v>1</v>
      </c>
    </row>
    <row r="45" spans="1:30" x14ac:dyDescent="0.25">
      <c r="A45" s="11" t="s">
        <v>167</v>
      </c>
      <c r="B45" s="7" t="s">
        <v>130</v>
      </c>
      <c r="D45" s="7" t="s">
        <v>168</v>
      </c>
      <c r="E45" s="7">
        <v>54</v>
      </c>
      <c r="G45" s="7" t="s">
        <v>40</v>
      </c>
      <c r="H45" s="6" t="s">
        <v>52</v>
      </c>
      <c r="I45" s="6" t="s">
        <v>37</v>
      </c>
      <c r="M45" s="7">
        <v>1</v>
      </c>
      <c r="P45" s="7">
        <v>1</v>
      </c>
      <c r="Y45" s="7">
        <v>1</v>
      </c>
    </row>
    <row r="46" spans="1:30" x14ac:dyDescent="0.25">
      <c r="A46" s="11" t="s">
        <v>63</v>
      </c>
      <c r="B46" s="7" t="s">
        <v>107</v>
      </c>
      <c r="D46" s="7" t="s">
        <v>169</v>
      </c>
      <c r="E46" s="7">
        <v>42</v>
      </c>
      <c r="G46" s="7" t="s">
        <v>40</v>
      </c>
      <c r="H46" s="7" t="s">
        <v>69</v>
      </c>
      <c r="I46" s="7" t="s">
        <v>70</v>
      </c>
      <c r="M46" s="7">
        <v>1</v>
      </c>
      <c r="P46" s="7">
        <v>1</v>
      </c>
      <c r="Y46" s="7">
        <v>1</v>
      </c>
    </row>
    <row r="47" spans="1:30" x14ac:dyDescent="0.25">
      <c r="A47" s="13">
        <v>45870</v>
      </c>
      <c r="B47" s="7" t="s">
        <v>107</v>
      </c>
      <c r="D47" s="7" t="s">
        <v>170</v>
      </c>
      <c r="E47" s="7">
        <v>45</v>
      </c>
      <c r="G47" s="7" t="s">
        <v>40</v>
      </c>
      <c r="H47" s="7" t="s">
        <v>171</v>
      </c>
      <c r="I47" s="7" t="s">
        <v>70</v>
      </c>
      <c r="L47" s="7">
        <v>1</v>
      </c>
      <c r="P47" s="7">
        <v>1</v>
      </c>
      <c r="Y47" s="7">
        <v>1</v>
      </c>
    </row>
    <row r="48" spans="1:30" x14ac:dyDescent="0.25">
      <c r="A48" s="11" t="s">
        <v>172</v>
      </c>
      <c r="B48" s="7" t="s">
        <v>64</v>
      </c>
      <c r="D48" s="7" t="s">
        <v>173</v>
      </c>
      <c r="E48" s="7">
        <v>45</v>
      </c>
      <c r="G48" s="7" t="s">
        <v>40</v>
      </c>
      <c r="H48" s="6" t="s">
        <v>52</v>
      </c>
      <c r="I48" s="6" t="s">
        <v>37</v>
      </c>
      <c r="L48" s="7">
        <v>1</v>
      </c>
      <c r="P48" s="7">
        <v>1</v>
      </c>
      <c r="Y48" s="7">
        <v>1</v>
      </c>
    </row>
    <row r="49" spans="1:29" x14ac:dyDescent="0.25">
      <c r="A49" s="11" t="s">
        <v>174</v>
      </c>
      <c r="B49" s="7" t="s">
        <v>107</v>
      </c>
      <c r="D49" s="7" t="s">
        <v>175</v>
      </c>
      <c r="E49" s="7">
        <v>70</v>
      </c>
      <c r="G49" s="7" t="s">
        <v>35</v>
      </c>
      <c r="H49" s="7" t="s">
        <v>98</v>
      </c>
      <c r="I49" s="6" t="s">
        <v>37</v>
      </c>
      <c r="L49" s="7">
        <v>1</v>
      </c>
      <c r="P49" s="7">
        <v>1</v>
      </c>
      <c r="T49" s="7">
        <v>1</v>
      </c>
    </row>
    <row r="50" spans="1:29" x14ac:dyDescent="0.25">
      <c r="A50" s="11" t="s">
        <v>177</v>
      </c>
      <c r="B50" s="7" t="s">
        <v>178</v>
      </c>
      <c r="D50" s="7" t="s">
        <v>179</v>
      </c>
      <c r="E50" s="7">
        <v>35</v>
      </c>
      <c r="G50" s="7" t="s">
        <v>40</v>
      </c>
      <c r="H50" s="6" t="s">
        <v>52</v>
      </c>
      <c r="I50" s="6" t="s">
        <v>37</v>
      </c>
      <c r="L50" s="7">
        <v>1</v>
      </c>
      <c r="P50" s="7">
        <v>1</v>
      </c>
      <c r="V50" s="7">
        <v>1</v>
      </c>
      <c r="AC50" s="7">
        <v>1</v>
      </c>
    </row>
    <row r="51" spans="1:29" x14ac:dyDescent="0.25">
      <c r="A51" s="11" t="s">
        <v>182</v>
      </c>
      <c r="B51" s="7" t="s">
        <v>92</v>
      </c>
      <c r="D51" s="7" t="s">
        <v>183</v>
      </c>
      <c r="E51" s="7">
        <v>25</v>
      </c>
      <c r="G51" s="7" t="s">
        <v>35</v>
      </c>
      <c r="H51" s="7" t="s">
        <v>184</v>
      </c>
      <c r="I51" s="7" t="s">
        <v>79</v>
      </c>
      <c r="L51" s="7">
        <v>1</v>
      </c>
      <c r="P51" s="7">
        <v>1</v>
      </c>
      <c r="AC51" s="7">
        <v>1</v>
      </c>
    </row>
    <row r="52" spans="1:29" x14ac:dyDescent="0.25">
      <c r="A52" s="11" t="s">
        <v>190</v>
      </c>
      <c r="B52" s="7" t="s">
        <v>139</v>
      </c>
      <c r="D52" s="7" t="s">
        <v>191</v>
      </c>
      <c r="E52" s="7">
        <v>33</v>
      </c>
      <c r="G52" s="7" t="s">
        <v>40</v>
      </c>
      <c r="H52" s="7" t="s">
        <v>105</v>
      </c>
      <c r="I52" s="6" t="s">
        <v>37</v>
      </c>
      <c r="L52" s="7">
        <v>1</v>
      </c>
      <c r="P52" s="7">
        <v>1</v>
      </c>
      <c r="R52" s="7">
        <v>1</v>
      </c>
      <c r="AC52" s="7">
        <v>1</v>
      </c>
    </row>
    <row r="53" spans="1:29" x14ac:dyDescent="0.25">
      <c r="A53" s="13">
        <v>45780</v>
      </c>
      <c r="B53" s="7" t="s">
        <v>196</v>
      </c>
      <c r="D53" s="7" t="s">
        <v>197</v>
      </c>
      <c r="E53" s="7">
        <v>36</v>
      </c>
      <c r="G53" s="7" t="s">
        <v>35</v>
      </c>
      <c r="H53" s="7" t="s">
        <v>198</v>
      </c>
      <c r="I53" s="6" t="s">
        <v>37</v>
      </c>
      <c r="L53" s="7">
        <v>1</v>
      </c>
      <c r="P53" s="7">
        <v>1</v>
      </c>
      <c r="V53" s="7">
        <v>1</v>
      </c>
    </row>
    <row r="54" spans="1:29" x14ac:dyDescent="0.25">
      <c r="A54" s="11" t="s">
        <v>199</v>
      </c>
      <c r="B54" s="7" t="s">
        <v>200</v>
      </c>
      <c r="D54" s="7" t="s">
        <v>201</v>
      </c>
      <c r="E54" s="7">
        <v>55</v>
      </c>
      <c r="G54" s="7" t="s">
        <v>40</v>
      </c>
      <c r="H54" s="6" t="s">
        <v>52</v>
      </c>
      <c r="I54" s="6" t="s">
        <v>37</v>
      </c>
      <c r="L54" s="7">
        <v>1</v>
      </c>
      <c r="P54" s="7">
        <v>1</v>
      </c>
      <c r="V54" s="7">
        <v>1</v>
      </c>
      <c r="AA54" s="7">
        <v>1</v>
      </c>
    </row>
    <row r="55" spans="1:29" x14ac:dyDescent="0.25">
      <c r="A55" s="11" t="s">
        <v>202</v>
      </c>
      <c r="B55" s="7" t="s">
        <v>47</v>
      </c>
      <c r="D55" s="7" t="s">
        <v>203</v>
      </c>
      <c r="E55" s="7">
        <v>13</v>
      </c>
      <c r="F55" s="7">
        <v>1</v>
      </c>
      <c r="G55" s="7" t="s">
        <v>35</v>
      </c>
      <c r="H55" s="7" t="s">
        <v>204</v>
      </c>
      <c r="I55" s="6" t="s">
        <v>37</v>
      </c>
      <c r="L55" s="7">
        <v>1</v>
      </c>
      <c r="P55" s="7">
        <v>1</v>
      </c>
      <c r="AA55" s="7">
        <v>1</v>
      </c>
      <c r="AC55" s="7">
        <v>1</v>
      </c>
    </row>
    <row r="56" spans="1:29" x14ac:dyDescent="0.25">
      <c r="A56" s="11" t="s">
        <v>207</v>
      </c>
      <c r="B56" s="7" t="s">
        <v>33</v>
      </c>
      <c r="D56" s="7" t="s">
        <v>208</v>
      </c>
      <c r="E56" s="7">
        <v>68</v>
      </c>
      <c r="G56" s="7" t="s">
        <v>35</v>
      </c>
      <c r="H56" s="7" t="s">
        <v>209</v>
      </c>
      <c r="I56" s="6" t="s">
        <v>37</v>
      </c>
      <c r="L56" s="7">
        <v>1</v>
      </c>
      <c r="P56" s="7">
        <v>1</v>
      </c>
      <c r="R56" s="7">
        <v>1</v>
      </c>
      <c r="AC56" s="7">
        <v>1</v>
      </c>
    </row>
    <row r="57" spans="1:29" x14ac:dyDescent="0.25">
      <c r="A57" s="11" t="s">
        <v>119</v>
      </c>
      <c r="B57" s="7" t="s">
        <v>120</v>
      </c>
      <c r="D57" s="7" t="s">
        <v>210</v>
      </c>
      <c r="E57" s="7">
        <v>38</v>
      </c>
      <c r="G57" s="7" t="s">
        <v>40</v>
      </c>
      <c r="H57" s="7" t="s">
        <v>105</v>
      </c>
      <c r="I57" s="6" t="s">
        <v>37</v>
      </c>
      <c r="L57" s="7">
        <v>1</v>
      </c>
      <c r="P57" s="7">
        <v>1</v>
      </c>
      <c r="AC57" s="7">
        <v>1</v>
      </c>
    </row>
    <row r="58" spans="1:29" x14ac:dyDescent="0.25">
      <c r="A58" s="11" t="s">
        <v>211</v>
      </c>
      <c r="B58" s="7" t="s">
        <v>126</v>
      </c>
      <c r="D58" s="7" t="s">
        <v>212</v>
      </c>
      <c r="E58" s="7">
        <v>17</v>
      </c>
      <c r="F58" s="7">
        <v>1</v>
      </c>
      <c r="G58" s="7" t="s">
        <v>35</v>
      </c>
      <c r="H58" s="7" t="s">
        <v>213</v>
      </c>
      <c r="I58" s="6" t="s">
        <v>37</v>
      </c>
      <c r="L58" s="7">
        <v>1</v>
      </c>
      <c r="P58" s="7">
        <v>1</v>
      </c>
      <c r="AC58" s="7">
        <v>1</v>
      </c>
    </row>
    <row r="59" spans="1:29" x14ac:dyDescent="0.25">
      <c r="A59" s="11" t="s">
        <v>214</v>
      </c>
      <c r="B59" s="7" t="s">
        <v>145</v>
      </c>
      <c r="D59" s="7" t="s">
        <v>215</v>
      </c>
      <c r="E59" s="7">
        <v>40</v>
      </c>
      <c r="G59" s="7" t="s">
        <v>40</v>
      </c>
      <c r="H59" s="6" t="s">
        <v>52</v>
      </c>
      <c r="I59" s="6" t="s">
        <v>37</v>
      </c>
      <c r="L59" s="7">
        <v>1</v>
      </c>
      <c r="P59" s="7">
        <v>1</v>
      </c>
      <c r="AC59" s="7">
        <v>1</v>
      </c>
    </row>
    <row r="60" spans="1:29" x14ac:dyDescent="0.25">
      <c r="A60" s="11" t="s">
        <v>220</v>
      </c>
      <c r="B60" s="7" t="s">
        <v>221</v>
      </c>
      <c r="D60" s="7" t="s">
        <v>222</v>
      </c>
      <c r="E60" s="7">
        <v>33</v>
      </c>
      <c r="G60" s="7" t="s">
        <v>35</v>
      </c>
      <c r="H60" s="7" t="s">
        <v>61</v>
      </c>
      <c r="I60" s="7" t="s">
        <v>70</v>
      </c>
      <c r="M60" s="7">
        <v>1</v>
      </c>
      <c r="P60" s="7">
        <v>1</v>
      </c>
      <c r="AC60" s="7">
        <v>1</v>
      </c>
    </row>
    <row r="61" spans="1:29" x14ac:dyDescent="0.25">
      <c r="A61" s="11" t="s">
        <v>224</v>
      </c>
      <c r="B61" s="7" t="s">
        <v>43</v>
      </c>
      <c r="D61" s="7" t="s">
        <v>225</v>
      </c>
      <c r="E61" s="7">
        <v>40</v>
      </c>
      <c r="G61" s="7" t="s">
        <v>40</v>
      </c>
      <c r="H61" s="7" t="s">
        <v>128</v>
      </c>
      <c r="I61" s="6" t="s">
        <v>37</v>
      </c>
      <c r="L61" s="7">
        <v>1</v>
      </c>
      <c r="P61" s="7">
        <v>1</v>
      </c>
      <c r="AC61" s="7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6" t="s">
        <v>1</v>
      </c>
      <c r="B1" s="6" t="s">
        <v>226</v>
      </c>
      <c r="C1" s="6" t="s">
        <v>35</v>
      </c>
      <c r="D1" s="6" t="s">
        <v>40</v>
      </c>
      <c r="E1" s="6" t="s">
        <v>37</v>
      </c>
      <c r="F1" s="6" t="s">
        <v>70</v>
      </c>
      <c r="G1" s="6" t="s">
        <v>42</v>
      </c>
      <c r="H1" s="6" t="s">
        <v>227</v>
      </c>
      <c r="I1" s="6" t="s">
        <v>228</v>
      </c>
      <c r="J1" s="6" t="s">
        <v>15</v>
      </c>
      <c r="K1" s="6" t="s">
        <v>229</v>
      </c>
      <c r="L1" s="6" t="s">
        <v>230</v>
      </c>
      <c r="M1" s="6" t="s">
        <v>231</v>
      </c>
      <c r="N1" s="6" t="s">
        <v>232</v>
      </c>
      <c r="O1" s="14"/>
    </row>
    <row r="2" spans="1:17" ht="13.5" customHeight="1" x14ac:dyDescent="0.25">
      <c r="A2" s="15" t="s">
        <v>100</v>
      </c>
      <c r="B2" s="6">
        <f>COUNTIF('Treatment Record'!B:B,"Banda")</f>
        <v>1</v>
      </c>
      <c r="C2" s="6">
        <f>COUNTIFS('Treatment Record'!B:B,"Banda", 'Treatment Record'!G:G, "M")</f>
        <v>1</v>
      </c>
      <c r="D2" s="6">
        <f>COUNTIFS('Treatment Record'!B:B,"Banda", 'Treatment Record'!G:G, "F")</f>
        <v>0</v>
      </c>
      <c r="E2" s="6">
        <f>COUNTIFS('Treatment Record'!B:B,"Banda", 'Treatment Record'!I:I, "Ca")</f>
        <v>1</v>
      </c>
      <c r="F2" s="6">
        <f>COUNTIFS('Treatment Record'!B:B,"Banda", 'Treatment Record'!I:I, "Ca/HIV")</f>
        <v>0</v>
      </c>
      <c r="G2" s="6">
        <f>COUNTIFS('Treatment Record'!B:B,"Banda", 'Treatment Record'!I:I, "HIV")</f>
        <v>0</v>
      </c>
      <c r="H2" s="6">
        <f>COUNTIFS('Treatment Record'!B:B,"Banda", 'Treatment Record'!I:I, "Other")</f>
        <v>0</v>
      </c>
      <c r="I2" s="6">
        <f>SUMIFS('Treatment Record'!N:N, 'Treatment Record'!B:B, "Banda")</f>
        <v>0</v>
      </c>
      <c r="J2" s="6">
        <f>SUMIFS('Treatment Record'!P:P, 'Treatment Record'!B:B, "Banda")</f>
        <v>1</v>
      </c>
      <c r="K2" s="6">
        <f>SUMIFS('Treatment Record'!S:S, 'Treatment Record'!B:B, "Banda")</f>
        <v>0</v>
      </c>
      <c r="L2" s="6">
        <v>0</v>
      </c>
      <c r="M2" s="6">
        <f>SUMIFS('Treatment Record'!T:T, 'Treatment Record'!B:B, "Banda")</f>
        <v>1</v>
      </c>
      <c r="N2" s="6">
        <v>0</v>
      </c>
    </row>
    <row r="3" spans="1:17" ht="13.5" customHeight="1" x14ac:dyDescent="0.25">
      <c r="A3" s="15" t="s">
        <v>233</v>
      </c>
      <c r="B3" s="6">
        <f>COUNTIF('Treatment Record'!B:B,"Budiima")</f>
        <v>2</v>
      </c>
      <c r="C3" s="6">
        <f>COUNTIFS('Treatment Record'!B:B,"Budiima", 'Treatment Record'!G:G, "M")</f>
        <v>1</v>
      </c>
      <c r="D3" s="6">
        <f>COUNTIFS('Treatment Record'!B:B,"Budiima", 'Treatment Record'!G:G, "F")</f>
        <v>1</v>
      </c>
      <c r="E3" s="6">
        <f>COUNTIFS('Treatment Record'!B:B,"Budiima", 'Treatment Record'!I:I, "Ca")</f>
        <v>1</v>
      </c>
      <c r="F3" s="6">
        <f>COUNTIFS('Treatment Record'!B:B,"Budiima", 'Treatment Record'!I:I, "Ca/HIV")</f>
        <v>1</v>
      </c>
      <c r="G3" s="6">
        <f>COUNTIFS('Treatment Record'!B:B,"Budiima", 'Treatment Record'!I:I, "HIV")</f>
        <v>0</v>
      </c>
      <c r="H3" s="6">
        <f>COUNTIFS('Treatment Record'!B:B,"Budiima", 'Treatment Record'!I:I, "Other")</f>
        <v>0</v>
      </c>
      <c r="I3" s="6">
        <f>SUMIFS('Treatment Record'!N:N, 'Treatment Record'!B:B, "Budiima")</f>
        <v>2</v>
      </c>
      <c r="J3" s="6">
        <f>SUMIFS('Treatment Record'!P:P, 'Treatment Record'!B:B, "Budiima")</f>
        <v>0</v>
      </c>
      <c r="K3" s="6">
        <f>SUMIFS('Treatment Record'!S:S, 'Treatment Record'!B:B, "Budiima")</f>
        <v>0</v>
      </c>
      <c r="L3" s="6">
        <v>0</v>
      </c>
      <c r="M3" s="6">
        <f>SUMIFS('Treatment Record'!T:T, 'Treatment Record'!B:B, "Budiima")</f>
        <v>0</v>
      </c>
      <c r="N3" s="6">
        <v>0</v>
      </c>
      <c r="P3" s="48" t="s">
        <v>234</v>
      </c>
      <c r="Q3" s="49"/>
    </row>
    <row r="4" spans="1:17" x14ac:dyDescent="0.25">
      <c r="A4" s="15" t="s">
        <v>130</v>
      </c>
      <c r="B4" s="6">
        <f>COUNTIF('Treatment Record'!B:B,"Budondo")</f>
        <v>2</v>
      </c>
      <c r="C4" s="6">
        <f>COUNTIFS('Treatment Record'!B:B,"Budondo", 'Treatment Record'!G:G, "M")</f>
        <v>1</v>
      </c>
      <c r="D4" s="6">
        <f>COUNTIFS('Treatment Record'!B:B,"Budondo", 'Treatment Record'!G:G, "F")</f>
        <v>1</v>
      </c>
      <c r="E4" s="6">
        <f>COUNTIFS('Treatment Record'!B:B,"Budondo", 'Treatment Record'!I:I, "Ca")</f>
        <v>2</v>
      </c>
      <c r="F4" s="6">
        <f>COUNTIFS('Treatment Record'!B:B,"Budondo", 'Treatment Record'!I:I, "Ca/HIV")</f>
        <v>0</v>
      </c>
      <c r="G4" s="6">
        <f>COUNTIFS('Treatment Record'!B:B,"Budondo", 'Treatment Record'!I:I, "HIV")</f>
        <v>0</v>
      </c>
      <c r="H4" s="6">
        <f>COUNTIFS('Treatment Record'!B:B,"Budondo", 'Treatment Record'!I:I, "Other")</f>
        <v>0</v>
      </c>
      <c r="I4" s="6">
        <f>SUMIFS('Treatment Record'!N:N, 'Treatment Record'!B:B, "Budondo")</f>
        <v>0</v>
      </c>
      <c r="J4" s="6">
        <f>SUMIFS('Treatment Record'!P:P, 'Treatment Record'!B:B, "Budondo")</f>
        <v>2</v>
      </c>
      <c r="K4" s="6">
        <f>SUMIFS('Treatment Record'!S:S, 'Treatment Record'!B:B, "Budondo")</f>
        <v>0</v>
      </c>
      <c r="L4" s="6">
        <v>0</v>
      </c>
      <c r="M4" s="6">
        <f>SUMIFS('Treatment Record'!T:T, 'Treatment Record'!B:B, "Budondo")</f>
        <v>0</v>
      </c>
      <c r="N4" s="6">
        <v>0</v>
      </c>
      <c r="P4" s="16" t="s">
        <v>235</v>
      </c>
      <c r="Q4" s="17">
        <f>C42/B42</f>
        <v>0.36</v>
      </c>
    </row>
    <row r="5" spans="1:17" x14ac:dyDescent="0.25">
      <c r="A5" s="15" t="s">
        <v>71</v>
      </c>
      <c r="B5" s="6">
        <f>COUNTIF('Treatment Record'!B:B,"Bugaya")</f>
        <v>2</v>
      </c>
      <c r="C5" s="6">
        <f>COUNTIFS('Treatment Record'!B:B,"Bugaya", 'Treatment Record'!G:G, "M")</f>
        <v>1</v>
      </c>
      <c r="D5" s="6">
        <f>COUNTIFS('Treatment Record'!B:B,"Bugaya", 'Treatment Record'!G:G, "F")</f>
        <v>1</v>
      </c>
      <c r="E5" s="6">
        <f>COUNTIFS('Treatment Record'!B:B,"Bugaya", 'Treatment Record'!I:I, "Ca")</f>
        <v>2</v>
      </c>
      <c r="F5" s="6">
        <f>COUNTIFS('Treatment Record'!B:B,"Bugaya", 'Treatment Record'!I:I, "Ca/HIV")</f>
        <v>0</v>
      </c>
      <c r="G5" s="6">
        <f>COUNTIFS('Treatment Record'!B:B,"Bugaya", 'Treatment Record'!I:I, "HIV")</f>
        <v>0</v>
      </c>
      <c r="H5" s="6">
        <f>COUNTIFS('Treatment Record'!B:B,"Bugaya", 'Treatment Record'!I:I, "Other")</f>
        <v>0</v>
      </c>
      <c r="I5" s="6">
        <f>SUMIFS('Treatment Record'!N:N, 'Treatment Record'!B:B, "Bugaya")</f>
        <v>0</v>
      </c>
      <c r="J5" s="6">
        <f>SUMIFS('Treatment Record'!P:P, 'Treatment Record'!B:B, "Bugaya")</f>
        <v>2</v>
      </c>
      <c r="K5" s="6">
        <f>SUMIFS('Treatment Record'!S:S, 'Treatment Record'!B:B, "Bugaya")</f>
        <v>0</v>
      </c>
      <c r="L5" s="6">
        <v>0</v>
      </c>
      <c r="M5" s="6">
        <f>SUMIFS('Treatment Record'!T:T, 'Treatment Record'!B:B, "Bugaya")</f>
        <v>1</v>
      </c>
      <c r="N5" s="6">
        <v>0</v>
      </c>
      <c r="P5" s="16" t="s">
        <v>236</v>
      </c>
      <c r="Q5" s="17">
        <f>D42/B42</f>
        <v>0.64</v>
      </c>
    </row>
    <row r="6" spans="1:17" x14ac:dyDescent="0.25">
      <c r="A6" s="15" t="s">
        <v>107</v>
      </c>
      <c r="B6" s="6">
        <f>COUNTIF('Treatment Record'!B:B,"Bugembe")</f>
        <v>4</v>
      </c>
      <c r="C6" s="6">
        <f>COUNTIFS('Treatment Record'!B:B,"Bugembe", 'Treatment Record'!G:G, "M")</f>
        <v>1</v>
      </c>
      <c r="D6" s="6">
        <f>COUNTIFS('Treatment Record'!B:B,"Bugembe", 'Treatment Record'!G:G, "F")</f>
        <v>3</v>
      </c>
      <c r="E6" s="6">
        <f>COUNTIFS('Treatment Record'!B:B,"Bugembe", 'Treatment Record'!I:I, "Ca")</f>
        <v>2</v>
      </c>
      <c r="F6" s="6">
        <f>COUNTIFS('Treatment Record'!B:B,"Bugembe", 'Treatment Record'!I:I, "Ca/HIV")</f>
        <v>2</v>
      </c>
      <c r="G6" s="6">
        <f>COUNTIFS('Treatment Record'!B:B,"Bugembe", 'Treatment Record'!I:I, "HIV")</f>
        <v>0</v>
      </c>
      <c r="H6" s="6">
        <f>COUNTIFS('Treatment Record'!B:B,"Bugembe", 'Treatment Record'!I:I, "Other")</f>
        <v>0</v>
      </c>
      <c r="I6" s="6">
        <f>SUMIFS('Treatment Record'!N:N, 'Treatment Record'!B:B, "Bugembe")</f>
        <v>0</v>
      </c>
      <c r="J6" s="6">
        <f>SUMIFS('Treatment Record'!P:P, 'Treatment Record'!B:B, "Bugembe")</f>
        <v>4</v>
      </c>
      <c r="K6" s="6">
        <f>SUMIFS('Treatment Record'!S:S, 'Treatment Record'!B:B, "Bugembe")</f>
        <v>0</v>
      </c>
      <c r="L6" s="6">
        <v>0</v>
      </c>
      <c r="M6" s="6">
        <f>SUMIFS('Treatment Record'!T:T, 'Treatment Record'!B:B, "Bugembe")</f>
        <v>1</v>
      </c>
      <c r="N6" s="6">
        <v>0</v>
      </c>
      <c r="P6" s="16"/>
      <c r="Q6" s="17"/>
    </row>
    <row r="7" spans="1:17" x14ac:dyDescent="0.25">
      <c r="A7" s="15" t="s">
        <v>43</v>
      </c>
      <c r="B7" s="6">
        <f>COUNTIF('Treatment Record'!B:B,"Bugerere")</f>
        <v>2</v>
      </c>
      <c r="C7" s="6">
        <f>COUNTIFS('Treatment Record'!B:B,"Bugerere", 'Treatment Record'!G:G, "M")</f>
        <v>1</v>
      </c>
      <c r="D7" s="6">
        <f>COUNTIFS('Treatment Record'!B:B,"Bugerere", 'Treatment Record'!G:G, "F")</f>
        <v>1</v>
      </c>
      <c r="E7" s="6">
        <f>COUNTIFS('Treatment Record'!B:B,"Bugerere", 'Treatment Record'!I:I, "Ca")</f>
        <v>2</v>
      </c>
      <c r="F7" s="6">
        <f>COUNTIFS('Treatment Record'!B:B,"Bugerere", 'Treatment Record'!I:I, "Ca/HIV")</f>
        <v>0</v>
      </c>
      <c r="G7" s="6">
        <f>COUNTIFS('Treatment Record'!B:B,"Bugerere", 'Treatment Record'!I:I, "HIV")</f>
        <v>0</v>
      </c>
      <c r="H7" s="6">
        <f>COUNTIFS('Treatment Record'!B:B,"Bugerere", 'Treatment Record'!I:I, "Other")</f>
        <v>0</v>
      </c>
      <c r="I7" s="6">
        <f>SUMIFS('Treatment Record'!N:N, 'Treatment Record'!B:B, "Bugerere")</f>
        <v>0</v>
      </c>
      <c r="J7" s="6">
        <f>SUMIFS('Treatment Record'!P:P, 'Treatment Record'!B:B, "Bugerere")</f>
        <v>2</v>
      </c>
      <c r="K7" s="6">
        <f>SUMIFS('Treatment Record'!S:S, 'Treatment Record'!B:B, "Bugerere")</f>
        <v>0</v>
      </c>
      <c r="L7" s="6">
        <v>0</v>
      </c>
      <c r="M7" s="6">
        <f>SUMIFS('Treatment Record'!T:T, 'Treatment Record'!B:B, "Bugerere")</f>
        <v>0</v>
      </c>
      <c r="N7" s="6">
        <v>0</v>
      </c>
      <c r="P7" s="48" t="s">
        <v>237</v>
      </c>
      <c r="Q7" s="49"/>
    </row>
    <row r="8" spans="1:17" ht="15.75" customHeight="1" x14ac:dyDescent="0.25">
      <c r="A8" s="15" t="s">
        <v>238</v>
      </c>
      <c r="B8" s="6">
        <f>COUNTIF('Treatment Record'!B:B,"Bugiri")</f>
        <v>0</v>
      </c>
      <c r="C8" s="6">
        <f>COUNTIFS('Treatment Record'!B:B,"Bugiri", 'Treatment Record'!G:G, "M")</f>
        <v>0</v>
      </c>
      <c r="D8" s="6">
        <f>COUNTIFS('Treatment Record'!B:B,"Bugiri", 'Treatment Record'!G:G, "F")</f>
        <v>0</v>
      </c>
      <c r="E8" s="6">
        <f>COUNTIFS('Treatment Record'!B:B,"Bugiri", 'Treatment Record'!I:I, "Ca")</f>
        <v>0</v>
      </c>
      <c r="F8" s="6">
        <f>COUNTIFS('Treatment Record'!B:B,"Bugiri", 'Treatment Record'!I:I, "Ca/HIV")</f>
        <v>0</v>
      </c>
      <c r="G8" s="6">
        <f>COUNTIFS('Treatment Record'!B:B,"Bugiri", 'Treatment Record'!I:I, "HIV")</f>
        <v>0</v>
      </c>
      <c r="H8" s="6">
        <f>COUNTIFS('Treatment Record'!B:B,"Bugiri", 'Treatment Record'!I:I, "Other")</f>
        <v>0</v>
      </c>
      <c r="I8" s="6">
        <f>SUMIFS('Treatment Record'!N:N, 'Treatment Record'!B:B, "Bugiri")</f>
        <v>0</v>
      </c>
      <c r="J8" s="6">
        <f>SUMIFS('Treatment Record'!P:P, 'Treatment Record'!B:B, "Bugiri")</f>
        <v>0</v>
      </c>
      <c r="K8" s="6">
        <f>SUMIFS('Treatment Record'!S:S, 'Treatment Record'!B:B, "Bugiri")</f>
        <v>0</v>
      </c>
      <c r="L8" s="6">
        <v>0</v>
      </c>
      <c r="M8" s="6">
        <f>SUMIFS('Treatment Record'!T:T, 'Treatment Record'!B:B, "Bugiri")</f>
        <v>0</v>
      </c>
      <c r="N8" s="6">
        <v>0</v>
      </c>
      <c r="P8" s="16"/>
      <c r="Q8" s="18"/>
    </row>
    <row r="9" spans="1:17" x14ac:dyDescent="0.25">
      <c r="A9" s="6" t="s">
        <v>239</v>
      </c>
      <c r="B9" s="6">
        <f>COUNTIF('Treatment Record'!B:B,"Bugulumbya")</f>
        <v>1</v>
      </c>
      <c r="C9" s="6">
        <f>COUNTIFS('Treatment Record'!B:B,"Bugulumbya", 'Treatment Record'!G:G, "M")</f>
        <v>0</v>
      </c>
      <c r="D9" s="6">
        <f>COUNTIFS('Treatment Record'!B:B,"Bugulumbya", 'Treatment Record'!G:G, "F")</f>
        <v>1</v>
      </c>
      <c r="E9" s="6">
        <f>COUNTIFS('Treatment Record'!B:B,"Bugulumbya", 'Treatment Record'!I:I, "Ca")</f>
        <v>1</v>
      </c>
      <c r="F9" s="6">
        <f>COUNTIFS('Treatment Record'!B:B,"Bugulumbya", 'Treatment Record'!I:I, "Ca/HIV")</f>
        <v>0</v>
      </c>
      <c r="G9" s="6">
        <f>COUNTIFS('Treatment Record'!B:B,"Bugulumbya", 'Treatment Record'!I:I, "HIV")</f>
        <v>0</v>
      </c>
      <c r="H9" s="6">
        <f>COUNTIFS('Treatment Record'!B:B,"Bugulumbya", 'Treatment Record'!I:I, "Other")</f>
        <v>0</v>
      </c>
      <c r="I9" s="6">
        <f>SUMIFS('Treatment Record'!N:N, 'Treatment Record'!B:B, "Bugulumbya")</f>
        <v>0</v>
      </c>
      <c r="J9" s="6">
        <f>SUMIFS('Treatment Record'!P:P, 'Treatment Record'!B:B, "Bugulumbya")</f>
        <v>1</v>
      </c>
      <c r="K9" s="6">
        <f>SUMIFS('Treatment Record'!S:S, 'Treatment Record'!B:B, "Bugulumbya")</f>
        <v>0</v>
      </c>
      <c r="L9" s="6">
        <v>0</v>
      </c>
      <c r="M9" s="6">
        <f>SUMIFS('Treatment Record'!T:T, 'Treatment Record'!B:B, "Bugulumbya")</f>
        <v>0</v>
      </c>
      <c r="N9" s="6">
        <v>0</v>
      </c>
      <c r="P9" s="16" t="s">
        <v>37</v>
      </c>
      <c r="Q9" s="18">
        <f>E42/B42</f>
        <v>0.8</v>
      </c>
    </row>
    <row r="10" spans="1:17" x14ac:dyDescent="0.25">
      <c r="A10" s="6" t="s">
        <v>87</v>
      </c>
      <c r="B10" s="6">
        <f>COUNTIF('Treatment Record'!B:B,"Buhemba")</f>
        <v>2</v>
      </c>
      <c r="C10" s="6">
        <f>COUNTIFS('Treatment Record'!B:B,"Buhemba", 'Treatment Record'!G:G, "M")</f>
        <v>1</v>
      </c>
      <c r="D10" s="6">
        <f>COUNTIFS('Treatment Record'!B:B,"Buhemba", 'Treatment Record'!G:G, "F")</f>
        <v>1</v>
      </c>
      <c r="E10" s="6">
        <f>COUNTIFS('Treatment Record'!B:B,"Buhemba", 'Treatment Record'!I:I, "Ca")</f>
        <v>2</v>
      </c>
      <c r="F10" s="6">
        <f>COUNTIFS('Treatment Record'!B:B,"Buhemba", 'Treatment Record'!I:I, "Ca/HIV")</f>
        <v>0</v>
      </c>
      <c r="G10" s="6">
        <f>COUNTIFS('Treatment Record'!B:B,"Buhemba", 'Treatment Record'!I:I, "HIV")</f>
        <v>0</v>
      </c>
      <c r="H10" s="6">
        <f>COUNTIFS('Treatment Record'!B:B,"Buhemba", 'Treatment Record'!I:I, "Other")</f>
        <v>0</v>
      </c>
      <c r="I10" s="6">
        <f>SUMIFS('Treatment Record'!N:N, 'Treatment Record'!B:B, "Buhemba")</f>
        <v>0</v>
      </c>
      <c r="J10" s="6">
        <f>SUMIFS('Treatment Record'!P:P, 'Treatment Record'!B:B, "Buhemba")</f>
        <v>2</v>
      </c>
      <c r="K10" s="6">
        <f>SUMIFS('Treatment Record'!S:S, 'Treatment Record'!B:B, "Buhemba")</f>
        <v>0</v>
      </c>
      <c r="L10" s="6">
        <v>0</v>
      </c>
      <c r="M10" s="6">
        <f>SUMIFS('Treatment Record'!T:T, 'Treatment Record'!B:B, "Buhemba")</f>
        <v>0</v>
      </c>
      <c r="N10" s="6">
        <v>0</v>
      </c>
      <c r="P10" s="16" t="s">
        <v>70</v>
      </c>
      <c r="Q10" s="18">
        <f>F42/B42</f>
        <v>0.10666666666666667</v>
      </c>
    </row>
    <row r="11" spans="1:17" x14ac:dyDescent="0.25">
      <c r="A11" s="6" t="s">
        <v>83</v>
      </c>
      <c r="B11" s="6">
        <f>COUNTIF('Treatment Record'!B:B,"Bukungu")</f>
        <v>2</v>
      </c>
      <c r="C11" s="6">
        <f>COUNTIFS('Treatment Record'!B:B,"Bukungu", 'Treatment Record'!G:G, "M")</f>
        <v>1</v>
      </c>
      <c r="D11" s="6">
        <f>COUNTIFS('Treatment Record'!B:B,"Bukungu", 'Treatment Record'!G:G, "F")</f>
        <v>1</v>
      </c>
      <c r="E11" s="6">
        <f>COUNTIFS('Treatment Record'!B:B,"Bukungu", 'Treatment Record'!I:I, "Ca")</f>
        <v>1</v>
      </c>
      <c r="F11" s="6">
        <f>COUNTIFS('Treatment Record'!B:B,"Bukungu", 'Treatment Record'!I:I, "Ca/HIV")</f>
        <v>0</v>
      </c>
      <c r="G11" s="6">
        <f>COUNTIFS('Treatment Record'!B:B,"Bukungu", 'Treatment Record'!I:I, "HIV")</f>
        <v>0</v>
      </c>
      <c r="H11" s="6">
        <f>COUNTIFS('Treatment Record'!B:B,"Bukungu", 'Treatment Record'!I:I, "Other")</f>
        <v>1</v>
      </c>
      <c r="I11" s="6">
        <f>SUMIFS('Treatment Record'!N:N, 'Treatment Record'!B:B, "Bukungu")</f>
        <v>2</v>
      </c>
      <c r="J11" s="6">
        <f>SUMIFS('Treatment Record'!P:P, 'Treatment Record'!B:B, "Bukungu")</f>
        <v>0</v>
      </c>
      <c r="K11" s="6">
        <f>SUMIFS('Treatment Record'!S:S, 'Treatment Record'!B:B, "Bukungu")</f>
        <v>0</v>
      </c>
      <c r="L11" s="6">
        <v>0</v>
      </c>
      <c r="M11" s="6">
        <f>SUMIFS('Treatment Record'!T:T, 'Treatment Record'!B:B, "Bukungu")</f>
        <v>0</v>
      </c>
      <c r="N11" s="6">
        <v>0</v>
      </c>
      <c r="P11" s="16" t="s">
        <v>42</v>
      </c>
      <c r="Q11" s="18">
        <f>G42/B42</f>
        <v>1.3333333333333334E-2</v>
      </c>
    </row>
    <row r="12" spans="1:17" x14ac:dyDescent="0.25">
      <c r="A12" s="15" t="s">
        <v>240</v>
      </c>
      <c r="B12" s="6">
        <f>COUNTIF('Treatment Record'!B:B,"Busedde")</f>
        <v>0</v>
      </c>
      <c r="C12" s="6">
        <f>COUNTIFS('Treatment Record'!B:B,"Busedde", 'Treatment Record'!G:G, "M")</f>
        <v>0</v>
      </c>
      <c r="D12" s="6">
        <f>COUNTIFS('Treatment Record'!B:B,"Busedde", 'Treatment Record'!G:G, "F")</f>
        <v>0</v>
      </c>
      <c r="E12" s="6">
        <f>COUNTIFS('Treatment Record'!B:B,"Busedde", 'Treatment Record'!I:I, "Ca")</f>
        <v>0</v>
      </c>
      <c r="F12" s="6">
        <f>COUNTIFS('Treatment Record'!B:B,"Busedde", 'Treatment Record'!I:I, "Ca/HIV")</f>
        <v>0</v>
      </c>
      <c r="G12" s="6">
        <f>COUNTIFS('Treatment Record'!B:B,"Busedde", 'Treatment Record'!I:I, "HIV")</f>
        <v>0</v>
      </c>
      <c r="H12" s="6">
        <f>COUNTIFS('Treatment Record'!B:B,"Busedde", 'Treatment Record'!I:I, "Other")</f>
        <v>0</v>
      </c>
      <c r="I12" s="6">
        <f>SUMIFS('Treatment Record'!N:N, 'Treatment Record'!B:B, "Busedde")</f>
        <v>0</v>
      </c>
      <c r="J12" s="6">
        <f>SUMIFS('Treatment Record'!P:P, 'Treatment Record'!B:B, "Busedde")</f>
        <v>0</v>
      </c>
      <c r="K12" s="6">
        <f>SUMIFS('Treatment Record'!S:S, 'Treatment Record'!B:B, "Busedde")</f>
        <v>0</v>
      </c>
      <c r="L12" s="6">
        <v>0</v>
      </c>
      <c r="M12" s="6">
        <f>SUMIFS('Treatment Record'!T:T, 'Treatment Record'!B:B, "Busedde")</f>
        <v>0</v>
      </c>
      <c r="N12" s="6">
        <v>0</v>
      </c>
      <c r="P12" s="16" t="s">
        <v>227</v>
      </c>
      <c r="Q12" s="18">
        <f>H42/B42</f>
        <v>0.08</v>
      </c>
    </row>
    <row r="13" spans="1:17" x14ac:dyDescent="0.25">
      <c r="A13" s="15" t="s">
        <v>241</v>
      </c>
      <c r="B13" s="6">
        <f>COUNTIF('Treatment Record'!B:B,"Busembatia")</f>
        <v>0</v>
      </c>
      <c r="C13" s="6">
        <f>COUNTIFS('Treatment Record'!B:B,"Busembatia", 'Treatment Record'!G:G, "M")</f>
        <v>0</v>
      </c>
      <c r="D13" s="6">
        <f>COUNTIFS('Treatment Record'!B:B,"Busembatia", 'Treatment Record'!G:G, "F")</f>
        <v>0</v>
      </c>
      <c r="E13" s="6">
        <f>COUNTIFS('Treatment Record'!B:B,"Busembatia", 'Treatment Record'!I:I, "Ca")</f>
        <v>0</v>
      </c>
      <c r="F13" s="6">
        <f>COUNTIFS('Treatment Record'!B:B,"Busembatia", 'Treatment Record'!I:I, "Ca/HIV")</f>
        <v>0</v>
      </c>
      <c r="G13" s="6">
        <f>COUNTIFS('Treatment Record'!B:B,"Busembatia", 'Treatment Record'!I:I, "HIV")</f>
        <v>0</v>
      </c>
      <c r="H13" s="6">
        <f>COUNTIFS('Treatment Record'!B:B,"Busembatia", 'Treatment Record'!I:I, "Other")</f>
        <v>0</v>
      </c>
      <c r="I13" s="6">
        <f>SUMIFS('Treatment Record'!N:N, 'Treatment Record'!B:B, "Busembatia")</f>
        <v>0</v>
      </c>
      <c r="J13" s="6">
        <f>SUMIFS('Treatment Record'!P:P, 'Treatment Record'!B:B, "Busembatia")</f>
        <v>0</v>
      </c>
      <c r="K13" s="6">
        <f>SUMIFS('Treatment Record'!S:S, 'Treatment Record'!B:B, "Busembatia")</f>
        <v>0</v>
      </c>
      <c r="L13" s="6">
        <v>0</v>
      </c>
      <c r="M13" s="6">
        <f>SUMIFS('Treatment Record'!T:T, 'Treatment Record'!B:B, "Busembatia")</f>
        <v>0</v>
      </c>
      <c r="N13" s="6">
        <v>0</v>
      </c>
    </row>
    <row r="14" spans="1:17" x14ac:dyDescent="0.25">
      <c r="A14" s="15" t="s">
        <v>242</v>
      </c>
      <c r="B14" s="6">
        <f>COUNTIF('Treatment Record'!B:B,"Busia")</f>
        <v>0</v>
      </c>
      <c r="C14" s="6">
        <f>COUNTIFS('Treatment Record'!B:B,"Busia", 'Treatment Record'!G:G, "M")</f>
        <v>0</v>
      </c>
      <c r="D14" s="6">
        <f>COUNTIFS('Treatment Record'!B:B,"Busia", 'Treatment Record'!G:G, "F")</f>
        <v>0</v>
      </c>
      <c r="E14" s="6">
        <f>COUNTIFS('Treatment Record'!B:B,"Busia", 'Treatment Record'!I:I, "Ca")</f>
        <v>0</v>
      </c>
      <c r="F14" s="6">
        <f>COUNTIFS('Treatment Record'!B:B,"Busia", 'Treatment Record'!I:I, "Ca/HIV")</f>
        <v>0</v>
      </c>
      <c r="G14" s="6">
        <f>COUNTIFS('Treatment Record'!B:B,"Busia", 'Treatment Record'!I:I, "HIV")</f>
        <v>0</v>
      </c>
      <c r="H14" s="6">
        <f>COUNTIFS('Treatment Record'!B:B,"Busia", 'Treatment Record'!I:I, "Other")</f>
        <v>0</v>
      </c>
      <c r="I14" s="6">
        <f>SUMIFS('Treatment Record'!N:N, 'Treatment Record'!B:B, "Busia")</f>
        <v>0</v>
      </c>
      <c r="J14" s="6">
        <f>SUMIFS('Treatment Record'!P:P, 'Treatment Record'!B:B, "Busia")</f>
        <v>0</v>
      </c>
      <c r="K14" s="6">
        <f>SUMIFS('Treatment Record'!S:S, 'Treatment Record'!B:B, "Busia")</f>
        <v>0</v>
      </c>
      <c r="L14" s="6">
        <v>0</v>
      </c>
      <c r="M14" s="6">
        <f>SUMIFS('Treatment Record'!T:T, 'Treatment Record'!B:B, "Busia")</f>
        <v>0</v>
      </c>
      <c r="N14" s="6">
        <v>0</v>
      </c>
    </row>
    <row r="15" spans="1:17" x14ac:dyDescent="0.25">
      <c r="A15" s="15" t="s">
        <v>64</v>
      </c>
      <c r="B15" s="6">
        <f>COUNTIF('Treatment Record'!B:B,"Buwenge")</f>
        <v>4</v>
      </c>
      <c r="C15" s="6">
        <f>COUNTIFS('Treatment Record'!B:B,"Buwenge", 'Treatment Record'!G:G, "M")</f>
        <v>1</v>
      </c>
      <c r="D15" s="6">
        <f>COUNTIFS('Treatment Record'!B:B,"Buwenge", 'Treatment Record'!G:G, "F")</f>
        <v>3</v>
      </c>
      <c r="E15" s="6">
        <f>COUNTIFS('Treatment Record'!B:B,"Buwenge", 'Treatment Record'!I:I, "Ca")</f>
        <v>4</v>
      </c>
      <c r="F15" s="6">
        <f>COUNTIFS('Treatment Record'!B:B,"Buwenge", 'Treatment Record'!I:I, "Ca/HIV")</f>
        <v>0</v>
      </c>
      <c r="G15" s="6">
        <f>COUNTIFS('Treatment Record'!B:B,"Buwenge", 'Treatment Record'!I:I, "HIV")</f>
        <v>0</v>
      </c>
      <c r="H15" s="6">
        <f>COUNTIFS('Treatment Record'!B:B,"Buwenge", 'Treatment Record'!I:I, "Other")</f>
        <v>0</v>
      </c>
      <c r="I15" s="6">
        <f>SUMIFS('Treatment Record'!N:N, 'Treatment Record'!B:B, "Buwenge")</f>
        <v>0</v>
      </c>
      <c r="J15" s="6">
        <f>SUMIFS('Treatment Record'!P:P, 'Treatment Record'!B:B, "Buwenge")</f>
        <v>4</v>
      </c>
      <c r="K15" s="6">
        <f>SUMIFS('Treatment Record'!S:S, 'Treatment Record'!B:B, "Buwenge")</f>
        <v>0</v>
      </c>
      <c r="L15" s="6">
        <v>0</v>
      </c>
      <c r="M15" s="6">
        <f>SUMIFS('Treatment Record'!T:T, 'Treatment Record'!B:B, "Buwenge")</f>
        <v>0</v>
      </c>
      <c r="N15" s="6">
        <v>0</v>
      </c>
    </row>
    <row r="16" spans="1:17" x14ac:dyDescent="0.25">
      <c r="A16" s="15" t="s">
        <v>196</v>
      </c>
      <c r="B16" s="6">
        <f>COUNTIF('Treatment Record'!B:B,"Buyende")</f>
        <v>1</v>
      </c>
      <c r="C16" s="6">
        <f>COUNTIFS('Treatment Record'!B:B,"Buyende", 'Treatment Record'!G:G, "M")</f>
        <v>1</v>
      </c>
      <c r="D16" s="6">
        <f>COUNTIFS('Treatment Record'!B:B,"Buyende", 'Treatment Record'!G:G, "F")</f>
        <v>0</v>
      </c>
      <c r="E16" s="6">
        <f>COUNTIFS('Treatment Record'!B:B,"Buyende", 'Treatment Record'!I:I, "Ca")</f>
        <v>1</v>
      </c>
      <c r="F16" s="6">
        <f>COUNTIFS('Treatment Record'!B:B,"Buyende", 'Treatment Record'!I:I, "Ca/HIV")</f>
        <v>0</v>
      </c>
      <c r="G16" s="6">
        <f>COUNTIFS('Treatment Record'!B:B,"Buyende", 'Treatment Record'!I:I, "HIV")</f>
        <v>0</v>
      </c>
      <c r="H16" s="6">
        <f>COUNTIFS('Treatment Record'!B:B,"Buyende", 'Treatment Record'!I:I, "Other")</f>
        <v>0</v>
      </c>
      <c r="I16" s="6">
        <f>SUMIFS('Treatment Record'!N:N, 'Treatment Record'!B:B, "Buyende")</f>
        <v>0</v>
      </c>
      <c r="J16" s="6">
        <f>SUMIFS('Treatment Record'!P:P, 'Treatment Record'!B:B, "Buyende")</f>
        <v>1</v>
      </c>
      <c r="K16" s="6">
        <f>SUMIFS('Treatment Record'!S:S, 'Treatment Record'!B:B, "Buyende")</f>
        <v>0</v>
      </c>
      <c r="L16" s="6">
        <v>0</v>
      </c>
      <c r="M16" s="6">
        <f>SUMIFS('Treatment Record'!T:T, 'Treatment Record'!B:B, "Buyende")</f>
        <v>0</v>
      </c>
      <c r="N16" s="6">
        <v>0</v>
      </c>
    </row>
    <row r="17" spans="1:18" x14ac:dyDescent="0.25">
      <c r="A17" s="15" t="s">
        <v>243</v>
      </c>
      <c r="B17" s="6">
        <f>COUNTIF('Treatment Record'!B:B,"Hospice")</f>
        <v>2</v>
      </c>
      <c r="C17" s="6">
        <f>COUNTIFS('Treatment Record'!B:B,"Hospice", 'Treatment Record'!G:G, "M")</f>
        <v>2</v>
      </c>
      <c r="D17" s="6">
        <f>COUNTIFS('Treatment Record'!B:B,"Hospice", 'Treatment Record'!G:G, "F")</f>
        <v>0</v>
      </c>
      <c r="E17" s="6">
        <f>COUNTIFS('Treatment Record'!B:B,"Hospice", 'Treatment Record'!I:I, "Ca")</f>
        <v>2</v>
      </c>
      <c r="F17" s="6">
        <f>COUNTIFS('Treatment Record'!B:B,"Hospice", 'Treatment Record'!I:I, "Ca/HIV")</f>
        <v>0</v>
      </c>
      <c r="G17" s="6">
        <f>COUNTIFS('Treatment Record'!B:B,"Hospice", 'Treatment Record'!I:I, "HIV")</f>
        <v>0</v>
      </c>
      <c r="H17" s="6">
        <f>COUNTIFS('Treatment Record'!B:B,"Hospice", 'Treatment Record'!I:I, "Other")</f>
        <v>0</v>
      </c>
      <c r="I17" s="6">
        <f>SUMIFS('Treatment Record'!N:N, 'Treatment Record'!B:B, "Hospice")</f>
        <v>1</v>
      </c>
      <c r="J17" s="6">
        <f>SUMIFS('Treatment Record'!P:P, 'Treatment Record'!B:B, "Hospice")</f>
        <v>1</v>
      </c>
      <c r="K17" s="6">
        <f>SUMIFS('Treatment Record'!S:S, 'Treatment Record'!B:B, "Hospice")</f>
        <v>0</v>
      </c>
      <c r="L17" s="6">
        <v>0</v>
      </c>
      <c r="M17" s="6">
        <f>SUMIFS('Treatment Record'!T:T, 'Treatment Record'!B:B, "Hospice")</f>
        <v>0</v>
      </c>
      <c r="N17" s="6">
        <v>0</v>
      </c>
    </row>
    <row r="18" spans="1:18" x14ac:dyDescent="0.25">
      <c r="A18" s="15" t="s">
        <v>244</v>
      </c>
      <c r="B18" s="6">
        <f>COUNTIF('Treatment Record'!B:B,"Hospice NFO")</f>
        <v>0</v>
      </c>
      <c r="C18" s="6">
        <f>COUNTIFS('Treatment Record'!B:B,"Hospice NFO", 'Treatment Record'!G:G, "M")</f>
        <v>0</v>
      </c>
      <c r="D18" s="6">
        <f>COUNTIFS('Treatment Record'!B:B,"Hospice NFO", 'Treatment Record'!G:G, "F")</f>
        <v>0</v>
      </c>
      <c r="E18" s="6">
        <f>COUNTIFS('Treatment Record'!B:B,"Hospice NFO", 'Treatment Record'!I:I, "Ca")</f>
        <v>0</v>
      </c>
      <c r="F18" s="6">
        <f>COUNTIFS('Treatment Record'!B:B,"Hospice NFO", 'Treatment Record'!I:I, "Ca/HIV")</f>
        <v>0</v>
      </c>
      <c r="G18" s="6">
        <f>COUNTIFS('Treatment Record'!B:B,"Hospice NFO", 'Treatment Record'!I:I, "HIV")</f>
        <v>0</v>
      </c>
      <c r="H18" s="6">
        <f>COUNTIFS('Treatment Record'!B:B,"Hospice NFO", 'Treatment Record'!I:I, "Other")</f>
        <v>0</v>
      </c>
      <c r="I18" s="6">
        <f>SUMIFS('Treatment Record'!N:N, 'Treatment Record'!B:B, "Hospice NFO")</f>
        <v>0</v>
      </c>
      <c r="J18" s="6">
        <f>SUMIFS('Treatment Record'!P:P, 'Treatment Record'!B:B, "Hospice NFO")</f>
        <v>0</v>
      </c>
      <c r="K18" s="6">
        <f>SUMIFS('Treatment Record'!S:S, 'Treatment Record'!B:B, "Hospice NFO")</f>
        <v>0</v>
      </c>
      <c r="L18" s="6">
        <v>0</v>
      </c>
      <c r="M18" s="6">
        <f>SUMIFS('Treatment Record'!T:T, 'Treatment Record'!B:B, "Hospice NFO")</f>
        <v>0</v>
      </c>
      <c r="N18" s="6">
        <v>0</v>
      </c>
    </row>
    <row r="19" spans="1:18" x14ac:dyDescent="0.25">
      <c r="A19" s="15" t="s">
        <v>245</v>
      </c>
      <c r="B19" s="6">
        <f>COUNTIF('Treatment Record'!B:B,"Iganga")</f>
        <v>1</v>
      </c>
      <c r="C19" s="6">
        <f>COUNTIFS('Treatment Record'!B:B,"Iganga", 'Treatment Record'!G:G, "M")</f>
        <v>1</v>
      </c>
      <c r="D19" s="6">
        <f>COUNTIFS('Treatment Record'!B:B,"Iganga", 'Treatment Record'!G:G, "F")</f>
        <v>0</v>
      </c>
      <c r="E19" s="6">
        <f>COUNTIFS('Treatment Record'!B:B,"Iganga", 'Treatment Record'!I:I, "Ca")</f>
        <v>0</v>
      </c>
      <c r="F19" s="6">
        <f>COUNTIFS('Treatment Record'!B:B,"Iganga", 'Treatment Record'!I:I, "Ca/HIV")</f>
        <v>1</v>
      </c>
      <c r="G19" s="6">
        <f>COUNTIFS('Treatment Record'!B:B,"Iganga", 'Treatment Record'!I:I, "HIV")</f>
        <v>0</v>
      </c>
      <c r="H19" s="6">
        <f>COUNTIFS('Treatment Record'!B:B,"Iganga", 'Treatment Record'!I:I, "Other")</f>
        <v>0</v>
      </c>
      <c r="I19" s="6">
        <f>SUMIFS('Treatment Record'!N:N, 'Treatment Record'!B:B, "Iganga")</f>
        <v>0</v>
      </c>
      <c r="J19" s="6">
        <f>SUMIFS('Treatment Record'!P:P, 'Treatment Record'!B:B, "Iganga")</f>
        <v>1</v>
      </c>
      <c r="K19" s="6">
        <f>SUMIFS('Treatment Record'!S:S, 'Treatment Record'!B:B, "Iganga")</f>
        <v>0</v>
      </c>
      <c r="L19" s="6">
        <v>0</v>
      </c>
      <c r="M19" s="6">
        <f>SUMIFS('Treatment Record'!T:T, 'Treatment Record'!B:B, "Iganga")</f>
        <v>0</v>
      </c>
      <c r="N19" s="6">
        <v>0</v>
      </c>
    </row>
    <row r="20" spans="1:18" x14ac:dyDescent="0.25">
      <c r="A20" s="15" t="s">
        <v>92</v>
      </c>
      <c r="B20" s="6">
        <f>COUNTIF('Treatment Record'!B:B,"Ivukula")</f>
        <v>2</v>
      </c>
      <c r="C20" s="6">
        <f>COUNTIFS('Treatment Record'!B:B,"Ivukula", 'Treatment Record'!G:G, "M")</f>
        <v>1</v>
      </c>
      <c r="D20" s="6">
        <f>COUNTIFS('Treatment Record'!B:B,"Ivukula", 'Treatment Record'!G:G, "F")</f>
        <v>1</v>
      </c>
      <c r="E20" s="6">
        <f>COUNTIFS('Treatment Record'!B:B,"Ivukula", 'Treatment Record'!I:I, "Ca")</f>
        <v>0</v>
      </c>
      <c r="F20" s="6">
        <f>COUNTIFS('Treatment Record'!B:B,"Ivukula", 'Treatment Record'!I:I, "Ca/HIV")</f>
        <v>0</v>
      </c>
      <c r="G20" s="6">
        <f>COUNTIFS('Treatment Record'!B:B,"Ivukula", 'Treatment Record'!I:I, "HIV")</f>
        <v>0</v>
      </c>
      <c r="H20" s="6">
        <f>COUNTIFS('Treatment Record'!B:B,"Ivukula", 'Treatment Record'!I:I, "Other")</f>
        <v>2</v>
      </c>
      <c r="I20" s="6">
        <f>SUMIFS('Treatment Record'!N:N, 'Treatment Record'!B:B, "Ivukula")</f>
        <v>1</v>
      </c>
      <c r="J20" s="6">
        <f>SUMIFS('Treatment Record'!P:P, 'Treatment Record'!B:B, "Ivukula")</f>
        <v>1</v>
      </c>
      <c r="K20" s="6">
        <f>SUMIFS('Treatment Record'!S:S, 'Treatment Record'!B:B, "Ivukula")</f>
        <v>0</v>
      </c>
      <c r="L20" s="6">
        <v>0</v>
      </c>
      <c r="M20" s="6">
        <f>SUMIFS('Treatment Record'!T:T, 'Treatment Record'!B:B, "Ivukula")</f>
        <v>0</v>
      </c>
      <c r="N20" s="6">
        <v>0</v>
      </c>
      <c r="R20" s="19"/>
    </row>
    <row r="21" spans="1:18" x14ac:dyDescent="0.25">
      <c r="A21" s="15" t="s">
        <v>200</v>
      </c>
      <c r="B21" s="6">
        <f>COUNTIF('Treatment Record'!B:B,"Kagulu")</f>
        <v>1</v>
      </c>
      <c r="C21" s="6">
        <f>COUNTIFS('Treatment Record'!B:B,"Kagulu", 'Treatment Record'!G:G, "M")</f>
        <v>0</v>
      </c>
      <c r="D21" s="6">
        <f>COUNTIFS('Treatment Record'!B:B,"Kagulu", 'Treatment Record'!G:G, "F")</f>
        <v>1</v>
      </c>
      <c r="E21" s="6">
        <f>COUNTIFS('Treatment Record'!B:B,"Kagulu", 'Treatment Record'!I:I, "Ca")</f>
        <v>1</v>
      </c>
      <c r="F21" s="6">
        <f>COUNTIFS('Treatment Record'!B:B,"Kagulu", 'Treatment Record'!I:I, "Ca/HIV")</f>
        <v>0</v>
      </c>
      <c r="G21" s="6">
        <f>COUNTIFS('Treatment Record'!B:B,"Kagulu", 'Treatment Record'!I:I, "HIV")</f>
        <v>0</v>
      </c>
      <c r="H21" s="6">
        <f>COUNTIFS('Treatment Record'!B:B,"Kagulu", 'Treatment Record'!I:I, "Other")</f>
        <v>0</v>
      </c>
      <c r="I21" s="6">
        <f>SUMIFS('Treatment Record'!N:N, 'Treatment Record'!B:B, "Kagulu")</f>
        <v>0</v>
      </c>
      <c r="J21" s="6">
        <f>SUMIFS('Treatment Record'!P:P, 'Treatment Record'!B:B, "Kagulu")</f>
        <v>1</v>
      </c>
      <c r="K21" s="6">
        <f>SUMIFS('Treatment Record'!S:S, 'Treatment Record'!B:B, "Kagulu")</f>
        <v>0</v>
      </c>
      <c r="L21" s="6">
        <v>0</v>
      </c>
      <c r="M21" s="6">
        <f>SUMIFS('Treatment Record'!T:T, 'Treatment Record'!B:B, "Kagulu")</f>
        <v>0</v>
      </c>
      <c r="N21" s="6">
        <v>0</v>
      </c>
      <c r="Q21" s="16" t="s">
        <v>246</v>
      </c>
      <c r="R21" s="16">
        <f>COUNT('Treatment Record'!F:F)</f>
        <v>12</v>
      </c>
    </row>
    <row r="22" spans="1:18" x14ac:dyDescent="0.25">
      <c r="A22" s="15" t="s">
        <v>247</v>
      </c>
      <c r="B22" s="6">
        <f>COUNTIF('Treatment Record'!B:B,"Kagumba")</f>
        <v>0</v>
      </c>
      <c r="C22" s="6">
        <f>COUNTIFS('Treatment Record'!B:B,"Kagumba", 'Treatment Record'!G:G, "M")</f>
        <v>0</v>
      </c>
      <c r="D22" s="6">
        <f>COUNTIFS('Treatment Record'!B:B,"Kagumba", 'Treatment Record'!G:G, "F")</f>
        <v>0</v>
      </c>
      <c r="E22" s="6">
        <f>COUNTIFS('Treatment Record'!B:B,"Kagumba", 'Treatment Record'!I:I, "Ca")</f>
        <v>0</v>
      </c>
      <c r="F22" s="6">
        <f>COUNTIFS('Treatment Record'!B:B,"Kagumba", 'Treatment Record'!I:I, "Ca/HIV")</f>
        <v>0</v>
      </c>
      <c r="G22" s="6">
        <f>COUNTIFS('Treatment Record'!B:B,"Kagumba", 'Treatment Record'!I:I, "HIV")</f>
        <v>0</v>
      </c>
      <c r="H22" s="6">
        <f>COUNTIFS('Treatment Record'!B:B,"Kagumba", 'Treatment Record'!I:I, "Other")</f>
        <v>0</v>
      </c>
      <c r="I22" s="6">
        <f>SUMIFS('Treatment Record'!N:N, 'Treatment Record'!B:B, "Kagumba")</f>
        <v>0</v>
      </c>
      <c r="J22" s="6">
        <f>SUMIFS('Treatment Record'!P:P, 'Treatment Record'!B:B, "Kagumba")</f>
        <v>0</v>
      </c>
      <c r="K22" s="6">
        <f>SUMIFS('Treatment Record'!S:S, 'Treatment Record'!B:B, "Kagumba")</f>
        <v>0</v>
      </c>
      <c r="L22" s="6">
        <v>0</v>
      </c>
      <c r="M22" s="6">
        <f>SUMIFS('Treatment Record'!T:T, 'Treatment Record'!B:B, "Kagumba")</f>
        <v>0</v>
      </c>
      <c r="N22" s="6">
        <v>0</v>
      </c>
      <c r="Q22" s="16" t="s">
        <v>248</v>
      </c>
      <c r="R22" s="16">
        <v>7</v>
      </c>
    </row>
    <row r="23" spans="1:18" x14ac:dyDescent="0.25">
      <c r="A23" s="15" t="s">
        <v>38</v>
      </c>
      <c r="B23" s="6">
        <f>COUNTIF('Treatment Record'!B:B,"Kaliro")</f>
        <v>2</v>
      </c>
      <c r="C23" s="6">
        <f>COUNTIFS('Treatment Record'!B:B,"Kaliro", 'Treatment Record'!G:G, "M")</f>
        <v>0</v>
      </c>
      <c r="D23" s="6">
        <f>COUNTIFS('Treatment Record'!B:B,"Kaliro", 'Treatment Record'!G:G, "F")</f>
        <v>2</v>
      </c>
      <c r="E23" s="6">
        <f>COUNTIFS('Treatment Record'!B:B,"Kaliro", 'Treatment Record'!I:I, "Ca")</f>
        <v>0</v>
      </c>
      <c r="F23" s="6">
        <f>COUNTIFS('Treatment Record'!B:B,"Kaliro", 'Treatment Record'!I:I, "Ca/HIV")</f>
        <v>0</v>
      </c>
      <c r="G23" s="6">
        <f>COUNTIFS('Treatment Record'!B:B,"Kaliro", 'Treatment Record'!I:I, "HIV")</f>
        <v>1</v>
      </c>
      <c r="H23" s="6">
        <f>COUNTIFS('Treatment Record'!B:B,"Kaliro", 'Treatment Record'!I:I, "Other")</f>
        <v>1</v>
      </c>
      <c r="I23" s="6">
        <f>SUMIFS('Treatment Record'!N:N, 'Treatment Record'!B:B, "Kaliro")</f>
        <v>0</v>
      </c>
      <c r="J23" s="6">
        <f>SUMIFS('Treatment Record'!P:P, 'Treatment Record'!B:B, "Kaliro")</f>
        <v>2</v>
      </c>
      <c r="K23" s="6">
        <f>SUMIFS('Treatment Record'!S:S, 'Treatment Record'!B:B, "Kaliro")</f>
        <v>0</v>
      </c>
      <c r="L23" s="6">
        <v>0</v>
      </c>
      <c r="M23" s="6">
        <f>SUMIFS('Treatment Record'!T:T, 'Treatment Record'!B:B, "Kaliro")</f>
        <v>0</v>
      </c>
      <c r="N23" s="6">
        <v>0</v>
      </c>
      <c r="Q23" s="16" t="s">
        <v>249</v>
      </c>
      <c r="R23" s="16">
        <v>1</v>
      </c>
    </row>
    <row r="24" spans="1:18" x14ac:dyDescent="0.25">
      <c r="A24" s="15" t="s">
        <v>50</v>
      </c>
      <c r="B24" s="6">
        <f>COUNTIF('Treatment Record'!B:B,"Kamuli")</f>
        <v>1</v>
      </c>
      <c r="C24" s="6">
        <f>COUNTIFS('Treatment Record'!B:B,"Kamuli", 'Treatment Record'!G:G, "M")</f>
        <v>0</v>
      </c>
      <c r="D24" s="6">
        <f>COUNTIFS('Treatment Record'!B:B,"Kamuli", 'Treatment Record'!G:G, "F")</f>
        <v>1</v>
      </c>
      <c r="E24" s="6">
        <f>COUNTIFS('Treatment Record'!B:B,"Kamuli", 'Treatment Record'!I:I, "Ca")</f>
        <v>1</v>
      </c>
      <c r="F24" s="6">
        <f>COUNTIFS('Treatment Record'!B:B,"Kamuli", 'Treatment Record'!I:I, "Ca/HIV")</f>
        <v>0</v>
      </c>
      <c r="G24" s="6">
        <f>COUNTIFS('Treatment Record'!B:B,"Kamuli", 'Treatment Record'!I:I, "HIV")</f>
        <v>0</v>
      </c>
      <c r="H24" s="6">
        <f>COUNTIFS('Treatment Record'!B:B,"Kamuli", 'Treatment Record'!I:I, "Other")</f>
        <v>0</v>
      </c>
      <c r="I24" s="6">
        <f>SUMIFS('Treatment Record'!N:N, 'Treatment Record'!B:B, "Kamuli")</f>
        <v>0</v>
      </c>
      <c r="J24" s="6">
        <f>SUMIFS('Treatment Record'!P:P, 'Treatment Record'!B:B, "Kamuli")</f>
        <v>1</v>
      </c>
      <c r="K24" s="6">
        <f>SUMIFS('Treatment Record'!S:S, 'Treatment Record'!B:B, "Kamuli")</f>
        <v>0</v>
      </c>
      <c r="L24" s="6">
        <v>0</v>
      </c>
      <c r="M24" s="6">
        <f>SUMIFS('Treatment Record'!T:T, 'Treatment Record'!B:B, "Kamuli")</f>
        <v>0</v>
      </c>
      <c r="N24" s="6">
        <v>0</v>
      </c>
    </row>
    <row r="25" spans="1:18" ht="15.75" customHeight="1" x14ac:dyDescent="0.25">
      <c r="A25" s="15" t="s">
        <v>53</v>
      </c>
      <c r="B25" s="6">
        <f>COUNTIF('Treatment Record'!B:B,"Kayunga")</f>
        <v>6</v>
      </c>
      <c r="C25" s="6">
        <f>COUNTIFS('Treatment Record'!B:B,"Kayunga", 'Treatment Record'!G:G, "M")</f>
        <v>1</v>
      </c>
      <c r="D25" s="6">
        <f>COUNTIFS('Treatment Record'!B:B,"Kayunga", 'Treatment Record'!G:G, "F")</f>
        <v>5</v>
      </c>
      <c r="E25" s="6">
        <f>COUNTIFS('Treatment Record'!B:B,"Kayunga", 'Treatment Record'!I:I, "Ca")</f>
        <v>4</v>
      </c>
      <c r="F25" s="6">
        <f>COUNTIFS('Treatment Record'!B:B,"Kayunga", 'Treatment Record'!I:I, "Ca/HIV")</f>
        <v>2</v>
      </c>
      <c r="G25" s="6">
        <f>COUNTIFS('Treatment Record'!B:B,"Kayunga", 'Treatment Record'!I:I, "HIV")</f>
        <v>0</v>
      </c>
      <c r="H25" s="6">
        <f>COUNTIFS('Treatment Record'!B:B,"Kayunga", 'Treatment Record'!I:I, "Other")</f>
        <v>0</v>
      </c>
      <c r="I25" s="6">
        <f>SUMIFS('Treatment Record'!N:N, 'Treatment Record'!B:B, "Kayunga")</f>
        <v>2</v>
      </c>
      <c r="J25" s="6">
        <f>SUMIFS('Treatment Record'!P:P, 'Treatment Record'!B:B, "Kayunga")</f>
        <v>4</v>
      </c>
      <c r="K25" s="6">
        <f>SUMIFS('Treatment Record'!S:S, 'Treatment Record'!B:B, "Kayunga")</f>
        <v>0</v>
      </c>
      <c r="L25" s="6">
        <v>0</v>
      </c>
      <c r="M25" s="6">
        <f>SUMIFS('Treatment Record'!T:T, 'Treatment Record'!B:B, "Kayunga")</f>
        <v>1</v>
      </c>
      <c r="N25" s="6">
        <v>0</v>
      </c>
    </row>
    <row r="26" spans="1:18" ht="15.75" customHeight="1" x14ac:dyDescent="0.25">
      <c r="A26" s="15" t="s">
        <v>126</v>
      </c>
      <c r="B26" s="6">
        <f>COUNTIF('Treatment Record'!B:B,"Kidera")</f>
        <v>3</v>
      </c>
      <c r="C26" s="6">
        <f>COUNTIFS('Treatment Record'!B:B,"Kidera", 'Treatment Record'!G:G, "M")</f>
        <v>2</v>
      </c>
      <c r="D26" s="6">
        <f>COUNTIFS('Treatment Record'!B:B,"Kidera", 'Treatment Record'!G:G, "F")</f>
        <v>1</v>
      </c>
      <c r="E26" s="6">
        <f>COUNTIFS('Treatment Record'!B:B,"Kidera", 'Treatment Record'!I:I, "Ca")</f>
        <v>2</v>
      </c>
      <c r="F26" s="6">
        <f>COUNTIFS('Treatment Record'!B:B,"Kidera", 'Treatment Record'!I:I, "Ca/HIV")</f>
        <v>0</v>
      </c>
      <c r="G26" s="6">
        <f>COUNTIFS('Treatment Record'!B:B,"Kidera", 'Treatment Record'!I:I, "HIV")</f>
        <v>0</v>
      </c>
      <c r="H26" s="6">
        <f>COUNTIFS('Treatment Record'!B:B,"Kidera", 'Treatment Record'!I:I, "Other")</f>
        <v>1</v>
      </c>
      <c r="I26" s="6">
        <f>SUMIFS('Treatment Record'!N:N, 'Treatment Record'!B:B, "Kidera")</f>
        <v>1</v>
      </c>
      <c r="J26" s="6">
        <f>SUMIFS('Treatment Record'!P:P, 'Treatment Record'!B:B, "Kidera")</f>
        <v>2</v>
      </c>
      <c r="K26" s="6">
        <f>SUMIFS('Treatment Record'!S:S, 'Treatment Record'!B:B, "Kidera")</f>
        <v>0</v>
      </c>
      <c r="L26" s="6">
        <v>0</v>
      </c>
      <c r="M26" s="6">
        <f>SUMIFS('Treatment Record'!T:T, 'Treatment Record'!B:B, "Kidera")</f>
        <v>0</v>
      </c>
      <c r="N26" s="6">
        <v>0</v>
      </c>
    </row>
    <row r="27" spans="1:18" ht="15.75" customHeight="1" x14ac:dyDescent="0.25">
      <c r="A27" s="15" t="s">
        <v>250</v>
      </c>
      <c r="B27" s="6">
        <f>COUNTIF('Treatment Record'!B:B,"Kiyindi")</f>
        <v>3</v>
      </c>
      <c r="C27" s="6">
        <f>COUNTIFS('Treatment Record'!B:B,"Kiyindi", 'Treatment Record'!G:G, "M")</f>
        <v>0</v>
      </c>
      <c r="D27" s="6">
        <f>COUNTIFS('Treatment Record'!B:B,"Kiyindi", 'Treatment Record'!G:G, "F")</f>
        <v>3</v>
      </c>
      <c r="E27" s="6">
        <f>COUNTIFS('Treatment Record'!B:B,"Kiyindi", 'Treatment Record'!I:I, "Ca")</f>
        <v>1</v>
      </c>
      <c r="F27" s="6">
        <f>COUNTIFS('Treatment Record'!B:B,"Kiyindi", 'Treatment Record'!I:I, "Ca/HIV")</f>
        <v>2</v>
      </c>
      <c r="G27" s="6">
        <f>COUNTIFS('Treatment Record'!B:B,"Kiyindi", 'Treatment Record'!I:I, "HIV")</f>
        <v>0</v>
      </c>
      <c r="H27" s="6">
        <f>COUNTIFS('Treatment Record'!B:B,"Kiyindi", 'Treatment Record'!I:I, "Other")</f>
        <v>0</v>
      </c>
      <c r="I27" s="6">
        <f>SUMIFS('Treatment Record'!N:N, 'Treatment Record'!B:B, "Kiyindi")</f>
        <v>1</v>
      </c>
      <c r="J27" s="6">
        <f>SUMIFS('Treatment Record'!P:P, 'Treatment Record'!B:B, "Kiyindi")</f>
        <v>2</v>
      </c>
      <c r="K27" s="6">
        <f>SUMIFS('Treatment Record'!S:S, 'Treatment Record'!B:B, "Kiyindi")</f>
        <v>0</v>
      </c>
      <c r="L27" s="6">
        <v>0</v>
      </c>
      <c r="M27" s="6">
        <f>SUMIFS('Treatment Record'!T:T, 'Treatment Record'!B:B, "Kiyindi")</f>
        <v>0</v>
      </c>
      <c r="N27" s="6">
        <v>0</v>
      </c>
    </row>
    <row r="28" spans="1:18" ht="15.75" customHeight="1" x14ac:dyDescent="0.25">
      <c r="A28" s="15" t="s">
        <v>251</v>
      </c>
      <c r="B28" s="6">
        <f>COUNTIF('Treatment Record'!B:B,"Kiyunga")</f>
        <v>4</v>
      </c>
      <c r="C28" s="6">
        <f>COUNTIFS('Treatment Record'!B:B,"Kiyunga", 'Treatment Record'!G:G, "M")</f>
        <v>0</v>
      </c>
      <c r="D28" s="6">
        <f>COUNTIFS('Treatment Record'!B:B,"Kiyunga", 'Treatment Record'!G:G, "F")</f>
        <v>4</v>
      </c>
      <c r="E28" s="6">
        <f>COUNTIFS('Treatment Record'!B:B,"Kiyunga", 'Treatment Record'!I:I, "Ca")</f>
        <v>4</v>
      </c>
      <c r="F28" s="6">
        <f>COUNTIFS('Treatment Record'!B:B,"Kiyunga", 'Treatment Record'!I:I, "Ca/HIV")</f>
        <v>0</v>
      </c>
      <c r="G28" s="6">
        <f>COUNTIFS('Treatment Record'!B:B,"Kiyunga", 'Treatment Record'!I:I, "HIV")</f>
        <v>0</v>
      </c>
      <c r="H28" s="6">
        <f>COUNTIFS('Treatment Record'!B:B,"Kiyunga", 'Treatment Record'!I:I, "Other")</f>
        <v>0</v>
      </c>
      <c r="I28" s="6">
        <f>SUMIFS('Treatment Record'!N:N, 'Treatment Record'!B:B, "Kiyunga")</f>
        <v>0</v>
      </c>
      <c r="J28" s="6">
        <f>SUMIFS('Treatment Record'!P:P, 'Treatment Record'!B:B, "Kiyunga")</f>
        <v>4</v>
      </c>
      <c r="K28" s="6">
        <f>SUMIFS('Treatment Record'!S:S, 'Treatment Record'!B:B, "Kiyunga")</f>
        <v>0</v>
      </c>
      <c r="L28" s="6">
        <v>0</v>
      </c>
      <c r="M28" s="6">
        <f>SUMIFS('Treatment Record'!T:T, 'Treatment Record'!B:B, "Kiyunga")</f>
        <v>0</v>
      </c>
      <c r="N28" s="6">
        <v>0</v>
      </c>
    </row>
    <row r="29" spans="1:18" ht="15.75" customHeight="1" x14ac:dyDescent="0.25">
      <c r="A29" s="15" t="s">
        <v>252</v>
      </c>
      <c r="B29" s="6">
        <f>COUNTIF('Treatment Record'!B:B,"Lumino")</f>
        <v>0</v>
      </c>
      <c r="C29" s="6">
        <f>COUNTIFS('Treatment Record'!B:B,"Lumino", 'Treatment Record'!G:G, "M")</f>
        <v>0</v>
      </c>
      <c r="D29" s="6">
        <f>COUNTIFS('Treatment Record'!B:B,"Lumino", 'Treatment Record'!G:G, "F")</f>
        <v>0</v>
      </c>
      <c r="E29" s="6">
        <f>COUNTIFS('Treatment Record'!B:B,"Lumino", 'Treatment Record'!I:I, "Ca")</f>
        <v>0</v>
      </c>
      <c r="F29" s="6">
        <f>COUNTIFS('Treatment Record'!B:B,"Lumino", 'Treatment Record'!I:I, "Ca/HIV")</f>
        <v>0</v>
      </c>
      <c r="G29" s="6">
        <f>COUNTIFS('Treatment Record'!B:B,"Lumino", 'Treatment Record'!I:I, "HIV")</f>
        <v>0</v>
      </c>
      <c r="H29" s="6">
        <f>COUNTIFS('Treatment Record'!B:B,"Lumino", 'Treatment Record'!I:I, "Other")</f>
        <v>0</v>
      </c>
      <c r="I29" s="6">
        <f>SUMIFS('Treatment Record'!N:N, 'Treatment Record'!B:B, "Lumino")</f>
        <v>0</v>
      </c>
      <c r="J29" s="6">
        <f>SUMIFS('Treatment Record'!P:P, 'Treatment Record'!B:B, "Lumino")</f>
        <v>0</v>
      </c>
      <c r="K29" s="6">
        <f>SUMIFS('Treatment Record'!S:S, 'Treatment Record'!B:B, "Lumino")</f>
        <v>0</v>
      </c>
      <c r="L29" s="6">
        <v>0</v>
      </c>
      <c r="M29" s="6">
        <f>SUMIFS('Treatment Record'!T:T, 'Treatment Record'!B:B, "Lumino")</f>
        <v>0</v>
      </c>
      <c r="N29" s="6">
        <v>0</v>
      </c>
    </row>
    <row r="30" spans="1:18" ht="15.75" customHeight="1" x14ac:dyDescent="0.25">
      <c r="A30" s="15" t="s">
        <v>253</v>
      </c>
      <c r="B30" s="6">
        <f>COUNTIF('Treatment Record'!B:B,"Makuutu")</f>
        <v>0</v>
      </c>
      <c r="C30" s="6">
        <f>COUNTIFS('Treatment Record'!B:B,"Makuutu", 'Treatment Record'!G:G, "M")</f>
        <v>0</v>
      </c>
      <c r="D30" s="6">
        <f>COUNTIFS('Treatment Record'!B:B,"Makuutu", 'Treatment Record'!G:G, "F")</f>
        <v>0</v>
      </c>
      <c r="E30" s="6">
        <f>COUNTIFS('Treatment Record'!B:B,"Makuutu", 'Treatment Record'!I:I, "Ca")</f>
        <v>0</v>
      </c>
      <c r="F30" s="6">
        <f>COUNTIFS('Treatment Record'!B:B,"Makuutu", 'Treatment Record'!I:I, "Ca/HIV")</f>
        <v>0</v>
      </c>
      <c r="G30" s="6">
        <f>COUNTIFS('Treatment Record'!B:B,"Makuutu", 'Treatment Record'!I:I, "HIV")</f>
        <v>0</v>
      </c>
      <c r="H30" s="6">
        <f>COUNTIFS('Treatment Record'!B:B,"Makuutu", 'Treatment Record'!I:I, "Other")</f>
        <v>0</v>
      </c>
      <c r="I30" s="6">
        <f>SUMIFS('Treatment Record'!N:N, 'Treatment Record'!B:B, "Makuutu")</f>
        <v>0</v>
      </c>
      <c r="J30" s="6">
        <f>SUMIFS('Treatment Record'!P:P, 'Treatment Record'!B:B, "Makuutu")</f>
        <v>0</v>
      </c>
      <c r="K30" s="6">
        <f>SUMIFS('Treatment Record'!S:S, 'Treatment Record'!B:B, "Makuutu")</f>
        <v>0</v>
      </c>
      <c r="L30" s="6">
        <v>0</v>
      </c>
      <c r="M30" s="6">
        <f>SUMIFS('Treatment Record'!T:T, 'Treatment Record'!B:B, "Makuutu")</f>
        <v>0</v>
      </c>
      <c r="N30" s="6">
        <v>0</v>
      </c>
    </row>
    <row r="31" spans="1:18" ht="15.75" customHeight="1" x14ac:dyDescent="0.25">
      <c r="A31" s="15" t="s">
        <v>115</v>
      </c>
      <c r="B31" s="6">
        <f>COUNTIF('Treatment Record'!B:B,"Mayuge")</f>
        <v>3</v>
      </c>
      <c r="C31" s="6">
        <f>COUNTIFS('Treatment Record'!B:B,"Mayuge", 'Treatment Record'!G:G, "M")</f>
        <v>2</v>
      </c>
      <c r="D31" s="6">
        <f>COUNTIFS('Treatment Record'!B:B,"Mayuge", 'Treatment Record'!G:G, "F")</f>
        <v>1</v>
      </c>
      <c r="E31" s="6">
        <f>COUNTIFS('Treatment Record'!B:B,"Mayuge", 'Treatment Record'!I:I, "Ca")</f>
        <v>2</v>
      </c>
      <c r="F31" s="6">
        <f>COUNTIFS('Treatment Record'!B:B,"Mayuge", 'Treatment Record'!I:I, "Ca/HIV")</f>
        <v>0</v>
      </c>
      <c r="G31" s="6">
        <f>COUNTIFS('Treatment Record'!B:B,"Mayuge", 'Treatment Record'!I:I, "HIV")</f>
        <v>0</v>
      </c>
      <c r="H31" s="6">
        <f>COUNTIFS('Treatment Record'!B:B,"Mayuge", 'Treatment Record'!I:I, "Other")</f>
        <v>1</v>
      </c>
      <c r="I31" s="6">
        <f>SUMIFS('Treatment Record'!N:N, 'Treatment Record'!B:B, "Mayuge")</f>
        <v>2</v>
      </c>
      <c r="J31" s="6">
        <f>SUMIFS('Treatment Record'!P:P, 'Treatment Record'!B:B, "Mayuge")</f>
        <v>1</v>
      </c>
      <c r="K31" s="6">
        <f>SUMIFS('Treatment Record'!S:S, 'Treatment Record'!B:B, "Mayuge")</f>
        <v>0</v>
      </c>
      <c r="L31" s="6">
        <v>0</v>
      </c>
      <c r="M31" s="6">
        <f>SUMIFS('Treatment Record'!T:T, 'Treatment Record'!B:B, "Mayuge")</f>
        <v>0</v>
      </c>
      <c r="N31" s="6">
        <v>0</v>
      </c>
    </row>
    <row r="32" spans="1:18" ht="15.75" customHeight="1" x14ac:dyDescent="0.25">
      <c r="A32" s="15" t="s">
        <v>135</v>
      </c>
      <c r="B32" s="6">
        <f>COUNTIF('Treatment Record'!B:B,"Mbulamuti")</f>
        <v>3</v>
      </c>
      <c r="C32" s="6">
        <f>COUNTIFS('Treatment Record'!B:B,"Mbulamuti", 'Treatment Record'!G:G, "M")</f>
        <v>1</v>
      </c>
      <c r="D32" s="6">
        <f>COUNTIFS('Treatment Record'!B:B,"Mbulamuti", 'Treatment Record'!G:G, "F")</f>
        <v>2</v>
      </c>
      <c r="E32" s="6">
        <f>COUNTIFS('Treatment Record'!B:B,"Mbulamuti", 'Treatment Record'!I:I, "Ca")</f>
        <v>3</v>
      </c>
      <c r="F32" s="6">
        <f>COUNTIFS('Treatment Record'!B:B,"Mbulamuti", 'Treatment Record'!I:I, "Ca/HIV")</f>
        <v>0</v>
      </c>
      <c r="G32" s="6">
        <f>COUNTIFS('Treatment Record'!B:B,"Mubulamuti", 'Treatment Record'!I:I, "HIV")</f>
        <v>0</v>
      </c>
      <c r="H32" s="6">
        <f>COUNTIFS('Treatment Record'!B:B,"Mbulamuti", 'Treatment Record'!I:I, "Other")</f>
        <v>0</v>
      </c>
      <c r="I32" s="6">
        <f>SUMIFS('Treatment Record'!N:N, 'Treatment Record'!B:B, "Mbulamuti")</f>
        <v>1</v>
      </c>
      <c r="J32" s="6">
        <f>SUMIFS('Treatment Record'!P:P, 'Treatment Record'!B:B, "Mbulamuti")</f>
        <v>2</v>
      </c>
      <c r="K32" s="6">
        <f>SUMIFS('Treatment Record'!S:S, 'Treatment Record'!B:B, "Mbulamuti")</f>
        <v>0</v>
      </c>
      <c r="L32" s="6">
        <v>0</v>
      </c>
      <c r="M32" s="6">
        <v>0</v>
      </c>
      <c r="N32" s="6">
        <v>0</v>
      </c>
      <c r="Q32" s="48" t="s">
        <v>254</v>
      </c>
      <c r="R32" s="49"/>
    </row>
    <row r="33" spans="1:18" ht="15.75" customHeight="1" x14ac:dyDescent="0.25">
      <c r="A33" s="15" t="s">
        <v>110</v>
      </c>
      <c r="B33" s="6">
        <f>COUNTIF('Treatment Record'!B:B,"Muterere")</f>
        <v>1</v>
      </c>
      <c r="C33" s="6">
        <f>COUNTIFS('Treatment Record'!B:B,"Mutererei", 'Treatment Record'!G:G, "M")</f>
        <v>0</v>
      </c>
      <c r="D33" s="6">
        <f>COUNTIFS('Treatment Record'!B:B,"Muterere", 'Treatment Record'!G:G, "F")</f>
        <v>1</v>
      </c>
      <c r="E33" s="6">
        <f>COUNTIFS('Treatment Record'!B:B,"Muterere", 'Treatment Record'!I:I, "Ca")</f>
        <v>1</v>
      </c>
      <c r="F33" s="6">
        <f>COUNTIFS('Treatment Record'!B:B,"Muterere", 'Treatment Record'!I:I, "Ca/HIV")</f>
        <v>0</v>
      </c>
      <c r="G33" s="6">
        <f>COUNTIFS('Treatment Record'!B:B,"Muterere", 'Treatment Record'!I:I, "HIV")</f>
        <v>0</v>
      </c>
      <c r="H33" s="6">
        <f>COUNTIFS('Treatment Record'!B:B,"Muterere", 'Treatment Record'!I:I, "Other")</f>
        <v>0</v>
      </c>
      <c r="I33" s="6">
        <f>SUMIFS('Treatment Record'!N:N, 'Treatment Record'!B:B, "Muterere")</f>
        <v>0</v>
      </c>
      <c r="J33" s="6">
        <f>SUMIFS('Treatment Record'!P:P, 'Treatment Record'!B:B, "Muterere")</f>
        <v>1</v>
      </c>
      <c r="K33" s="6">
        <f>SUMIFS('Treatment Record'!S:S, 'Treatment Record'!B:B, "Muterere")</f>
        <v>0</v>
      </c>
      <c r="L33" s="6">
        <v>0</v>
      </c>
      <c r="M33" s="6">
        <v>0</v>
      </c>
      <c r="N33" s="6">
        <v>0</v>
      </c>
      <c r="Q33" s="20" t="s">
        <v>255</v>
      </c>
      <c r="R33" s="21">
        <v>1</v>
      </c>
    </row>
    <row r="34" spans="1:18" ht="15.75" customHeight="1" x14ac:dyDescent="0.25">
      <c r="A34" s="15" t="s">
        <v>33</v>
      </c>
      <c r="B34" s="6">
        <f>COUNTIF('Treatment Record'!B:B,"Namayingo")</f>
        <v>5</v>
      </c>
      <c r="C34" s="6">
        <f>COUNTIFS('Treatment Record'!B:B,"Namayingo", 'Treatment Record'!G:G, "M")</f>
        <v>3</v>
      </c>
      <c r="D34" s="6">
        <f>COUNTIFS('Treatment Record'!B:B,"Namayingo", 'Treatment Record'!G:G, "F")</f>
        <v>2</v>
      </c>
      <c r="E34" s="6">
        <f>COUNTIFS('Treatment Record'!B:B,"Namayingo", 'Treatment Record'!I:I, "Ca")</f>
        <v>5</v>
      </c>
      <c r="F34" s="6">
        <f>COUNTIFS('Treatment Record'!B:B,"Namayingo", 'Treatment Record'!I:I, "Ca/HIV")</f>
        <v>0</v>
      </c>
      <c r="G34" s="6">
        <f>COUNTIFS('Treatment Record'!B:B,"Namayingo", 'Treatment Record'!I:I, "HIV")</f>
        <v>0</v>
      </c>
      <c r="H34" s="6">
        <f>COUNTIFS('Treatment Record'!B:B,"Namayingo", 'Treatment Record'!I:I, "Other")</f>
        <v>0</v>
      </c>
      <c r="I34" s="6">
        <f>SUMIFS('Treatment Record'!N:N, 'Treatment Record'!B:B, "Namayingo")</f>
        <v>0</v>
      </c>
      <c r="J34" s="6">
        <f>SUMIFS('Treatment Record'!P:P, 'Treatment Record'!B:B, "Namayingo")</f>
        <v>5</v>
      </c>
      <c r="K34" s="6">
        <f>SUMIFS('Treatment Record'!S:S, 'Treatment Record'!B:B, "Namayingo")</f>
        <v>0</v>
      </c>
      <c r="L34" s="6">
        <v>0</v>
      </c>
      <c r="M34" s="6">
        <f>SUMIFS('Treatment Record'!T:T, 'Treatment Record'!B:B, "Namayingo")</f>
        <v>0</v>
      </c>
      <c r="N34" s="6">
        <v>0</v>
      </c>
      <c r="Q34" s="22" t="s">
        <v>52</v>
      </c>
      <c r="R34" s="23">
        <v>18</v>
      </c>
    </row>
    <row r="35" spans="1:18" ht="15.75" customHeight="1" x14ac:dyDescent="0.25">
      <c r="A35" s="24" t="s">
        <v>139</v>
      </c>
      <c r="B35" s="6">
        <f>COUNTIF('Treatment Record'!B:B,"Namasagali")</f>
        <v>2</v>
      </c>
      <c r="C35" s="6">
        <f>COUNTIFS('Treatment Record'!B:B,"Namasagali", 'Treatment Record'!G:G, "M")</f>
        <v>0</v>
      </c>
      <c r="D35" s="6">
        <f>COUNTIFS('Treatment Record'!B:B,"Namasagali", 'Treatment Record'!G:G, "F")</f>
        <v>2</v>
      </c>
      <c r="E35" s="6">
        <f>COUNTIFS('Treatment Record'!B:B,"Namasagali", 'Treatment Record'!I:I, "Ca")</f>
        <v>2</v>
      </c>
      <c r="F35" s="6">
        <f>COUNTIFS('Treatment Record'!B:B,"Namasagali", 'Treatment Record'!I:I, "Ca/HIV")</f>
        <v>0</v>
      </c>
      <c r="G35" s="6">
        <f>COUNTIFS('Treatment Record'!B:B,"Namasagali", 'Treatment Record'!I:I, "HIV")</f>
        <v>0</v>
      </c>
      <c r="H35" s="6">
        <f>COUNTIFS('Treatment Record'!B:B,"Namasagali", 'Treatment Record'!I:I, "Other")</f>
        <v>0</v>
      </c>
      <c r="I35" s="6">
        <f>SUMIFS('Treatment Record'!N:N, 'Treatment Record'!B:B, "Namasagali")</f>
        <v>0</v>
      </c>
      <c r="J35" s="6">
        <f>SUMIFS('Treatment Record'!P:P, 'Treatment Record'!B:B, "Namasagali")</f>
        <v>2</v>
      </c>
      <c r="K35" s="6">
        <f>SUMIFS('Treatment Record'!S:S, 'Treatment Record'!B:B, "Namasagali")</f>
        <v>0</v>
      </c>
      <c r="L35" s="6">
        <v>0</v>
      </c>
      <c r="M35" s="6">
        <f>SUMIFS('Treatment Record'!T:T, 'Treatment Record'!B:B, "Namasagali")</f>
        <v>0</v>
      </c>
      <c r="N35" s="6">
        <v>0</v>
      </c>
      <c r="Q35" s="25" t="s">
        <v>171</v>
      </c>
      <c r="R35" s="23">
        <v>1</v>
      </c>
    </row>
    <row r="36" spans="1:18" ht="15.75" customHeight="1" x14ac:dyDescent="0.25">
      <c r="A36" s="15" t="s">
        <v>151</v>
      </c>
      <c r="B36" s="6">
        <f>COUNTIF('Treatment Record'!B:B,"Namungalwe")</f>
        <v>2</v>
      </c>
      <c r="C36" s="6">
        <f>COUNTIFS('Treatment Record'!B:B,"Namungalwe", 'Treatment Record'!G:G, "M")</f>
        <v>0</v>
      </c>
      <c r="D36" s="6">
        <f>COUNTIFS('Treatment Record'!B:B,"Namungalwe", 'Treatment Record'!G:G, "F")</f>
        <v>2</v>
      </c>
      <c r="E36" s="6">
        <f>COUNTIFS('Treatment Record'!B:B,"Namungalwe", 'Treatment Record'!I:I, "Ca")</f>
        <v>2</v>
      </c>
      <c r="F36" s="6">
        <f>COUNTIFS('Treatment Record'!B:B,"Namungalwe", 'Treatment Record'!I:I, "Ca/HIV")</f>
        <v>0</v>
      </c>
      <c r="G36" s="6">
        <f>COUNTIFS('Treatment Record'!B:B,"Namungalwe", 'Treatment Record'!I:I, "HIV")</f>
        <v>0</v>
      </c>
      <c r="H36" s="6">
        <f>COUNTIFS('Treatment Record'!B:B,"Namungalwe", 'Treatment Record'!I:I, "Other")</f>
        <v>0</v>
      </c>
      <c r="I36" s="6">
        <f>SUMIFS('Treatment Record'!N:N, 'Treatment Record'!B:B, "Namungalwe")</f>
        <v>1</v>
      </c>
      <c r="J36" s="6">
        <f>SUMIFS('Treatment Record'!P:P, 'Treatment Record'!B:B, "Namungalwe")</f>
        <v>1</v>
      </c>
      <c r="K36" s="6">
        <f>SUMIFS('Treatment Record'!S:S, 'Treatment Record'!B:B, "Namungalwe")</f>
        <v>0</v>
      </c>
      <c r="L36" s="6">
        <v>0</v>
      </c>
      <c r="M36" s="6">
        <f>SUMIFS('Treatment Record'!T:T, 'Treatment Record'!B:B, "Namungalwe")</f>
        <v>0</v>
      </c>
      <c r="N36" s="6">
        <v>0</v>
      </c>
      <c r="Q36" s="26" t="s">
        <v>198</v>
      </c>
      <c r="R36" s="23">
        <v>1</v>
      </c>
    </row>
    <row r="37" spans="1:18" ht="15.75" customHeight="1" x14ac:dyDescent="0.25">
      <c r="A37" s="15" t="s">
        <v>47</v>
      </c>
      <c r="B37" s="6">
        <f>COUNTIF('Treatment Record'!B:B,"Namwendwa")</f>
        <v>3</v>
      </c>
      <c r="C37" s="6">
        <f>COUNTIFS('Treatment Record'!B:B,"Namwendwa", 'Treatment Record'!G:G, "M")</f>
        <v>2</v>
      </c>
      <c r="D37" s="6">
        <f>COUNTIFS('Treatment Record'!B:B,"Namwendwa", 'Treatment Record'!G:G, "F")</f>
        <v>1</v>
      </c>
      <c r="E37" s="6">
        <f>COUNTIFS('Treatment Record'!B:B,"Namwendwa", 'Treatment Record'!I:I, "Ca")</f>
        <v>3</v>
      </c>
      <c r="F37" s="6">
        <f>COUNTIFS('Treatment Record'!B:B,"Namwendwa", 'Treatment Record'!I:I, "Ca/HIV")</f>
        <v>0</v>
      </c>
      <c r="G37" s="6">
        <f>COUNTIFS('Treatment Record'!B:B,"Namwendwa", 'Treatment Record'!I:I, "HIV")</f>
        <v>0</v>
      </c>
      <c r="H37" s="6">
        <f>COUNTIFS('Treatment Record'!B:B,"Namwendwa", 'Treatment Record'!I:I, "Other")</f>
        <v>0</v>
      </c>
      <c r="I37" s="6">
        <f>SUMIFS('Treatment Record'!N:N, 'Treatment Record'!B:B, "Namwendwa")</f>
        <v>1</v>
      </c>
      <c r="J37" s="6">
        <f>SUMIFS('Treatment Record'!P:P, 'Treatment Record'!B:B, "Namwendwa")</f>
        <v>2</v>
      </c>
      <c r="K37" s="6">
        <f>SUMIFS('Treatment Record'!S:S, 'Treatment Record'!B:B, "Namwendwa")</f>
        <v>0</v>
      </c>
      <c r="L37" s="6">
        <v>0</v>
      </c>
      <c r="M37" s="6">
        <f>SUMIFS('Treatment Record'!T:T, 'Treatment Record'!B:B, "Namwendwa")</f>
        <v>0</v>
      </c>
      <c r="N37" s="6">
        <v>0</v>
      </c>
      <c r="Q37" s="26" t="s">
        <v>114</v>
      </c>
      <c r="R37" s="23">
        <v>3</v>
      </c>
    </row>
    <row r="38" spans="1:18" ht="14.25" customHeight="1" x14ac:dyDescent="0.25">
      <c r="A38" s="15" t="s">
        <v>256</v>
      </c>
      <c r="B38" s="6">
        <f>COUNTIF('Treatment Record'!B:B,"Nawampiti")</f>
        <v>0</v>
      </c>
      <c r="C38" s="6">
        <f>COUNTIFS('Treatment Record'!B:B,"Nawampiti", 'Treatment Record'!G:G, "M")</f>
        <v>0</v>
      </c>
      <c r="D38" s="6">
        <f>COUNTIFS('Treatment Record'!B:B,"Nawampiti", 'Treatment Record'!G:G, "F")</f>
        <v>0</v>
      </c>
      <c r="E38" s="6">
        <f>COUNTIFS('Treatment Record'!B:B,"Nawampiti", 'Treatment Record'!I:I, "Ca")</f>
        <v>0</v>
      </c>
      <c r="F38" s="6">
        <f>COUNTIFS('Treatment Record'!B:B,"Nawampiti", 'Treatment Record'!I:I, "Ca/HIV")</f>
        <v>0</v>
      </c>
      <c r="G38" s="6">
        <f>COUNTIFS('Treatment Record'!B:B,"Nawampiti", 'Treatment Record'!I:I, "HIV")</f>
        <v>0</v>
      </c>
      <c r="H38" s="6">
        <f>COUNTIFS('Treatment Record'!B:B,"Nawampiti", 'Treatment Record'!I:I, "Other")</f>
        <v>0</v>
      </c>
      <c r="I38" s="6">
        <f>SUMIFS('Treatment Record'!N:N, 'Treatment Record'!B:B, "Nawampiti")</f>
        <v>0</v>
      </c>
      <c r="J38" s="6">
        <f>SUMIFS('Treatment Record'!P:P, 'Treatment Record'!B:B, "Nawampiti")</f>
        <v>0</v>
      </c>
      <c r="K38" s="6">
        <f>SUMIFS('Treatment Record'!S:S, 'Treatment Record'!B:B, "Nawampiti")</f>
        <v>0</v>
      </c>
      <c r="L38" s="6">
        <v>0</v>
      </c>
      <c r="M38" s="6">
        <f>SUMIFS('Treatment Record'!T:T, 'Treatment Record'!B:B, "Nawampiti")</f>
        <v>0</v>
      </c>
      <c r="N38" s="6">
        <v>0</v>
      </c>
      <c r="Q38" s="27" t="s">
        <v>98</v>
      </c>
      <c r="R38" s="23">
        <v>6</v>
      </c>
    </row>
    <row r="39" spans="1:18" ht="15.75" customHeight="1" x14ac:dyDescent="0.25">
      <c r="A39" s="15" t="s">
        <v>145</v>
      </c>
      <c r="B39" s="6">
        <f>COUNTIF('Treatment Record'!B:B,"Nawanyago")</f>
        <v>2</v>
      </c>
      <c r="C39" s="6">
        <f>COUNTIFS('Treatment Record'!B:B,"Nawanyago", 'Treatment Record'!G:G, "M")</f>
        <v>0</v>
      </c>
      <c r="D39" s="6">
        <f>COUNTIFS('Treatment Record'!B:B,"Nawanyago", 'Treatment Record'!G:G, "F")</f>
        <v>2</v>
      </c>
      <c r="E39" s="6">
        <f>COUNTIFS('Treatment Record'!B:B,"Nawanyago", 'Treatment Record'!I:I, "Ca")</f>
        <v>2</v>
      </c>
      <c r="F39" s="6">
        <f>COUNTIFS('Treatment Record'!B:B,"Nawanyago", 'Treatment Record'!I:I, "Ca/HIV")</f>
        <v>0</v>
      </c>
      <c r="G39" s="6">
        <f>COUNTIFS('Treatment Record'!B:B,"Nawanyago", 'Treatment Record'!I:I, "HIV")</f>
        <v>0</v>
      </c>
      <c r="H39" s="6">
        <f>COUNTIFS('Treatment Record'!B:B,"Nawanyago", 'Treatment Record'!I:I, "Other")</f>
        <v>0</v>
      </c>
      <c r="I39" s="6">
        <f>SUMIFS('Treatment Record'!N:N, 'Treatment Record'!B:B, "Nawanyago")</f>
        <v>0</v>
      </c>
      <c r="J39" s="6">
        <f>SUMIFS('Treatment Record'!P:P, 'Treatment Record'!B:B, "Nawanyago")</f>
        <v>2</v>
      </c>
      <c r="K39" s="6">
        <f>SUMIFS('Treatment Record'!S:S, 'Treatment Record'!B:B, "Nawanyago")</f>
        <v>0</v>
      </c>
      <c r="L39" s="6">
        <v>0</v>
      </c>
      <c r="M39" s="6">
        <f>SUMIFS('Treatment Record'!T:T, 'Treatment Record'!B:B, "Nawanyago")</f>
        <v>0</v>
      </c>
      <c r="N39" s="6">
        <v>0</v>
      </c>
      <c r="Q39" s="16" t="s">
        <v>49</v>
      </c>
      <c r="R39" s="23">
        <v>2</v>
      </c>
    </row>
    <row r="40" spans="1:18" ht="15.75" customHeight="1" x14ac:dyDescent="0.25">
      <c r="A40" s="15" t="s">
        <v>156</v>
      </c>
      <c r="B40" s="6">
        <f>COUNTIF('Treatment Record'!B:B,"Nyenga")</f>
        <v>2</v>
      </c>
      <c r="C40" s="6">
        <f>COUNTIFS('Treatment Record'!B:B,"Nyenga", 'Treatment Record'!G:G, "M")</f>
        <v>0</v>
      </c>
      <c r="D40" s="6">
        <f>COUNTIFS('Treatment Record'!B:B,"Nyenga", 'Treatment Record'!G:G, "F")</f>
        <v>2</v>
      </c>
      <c r="E40" s="6">
        <f>COUNTIFS('Treatment Record'!B:B,"Nyenga", 'Treatment Record'!I:I, "Ca")</f>
        <v>2</v>
      </c>
      <c r="F40" s="6">
        <f>COUNTIFS('Treatment Record'!B:B,"Nyenga", 'Treatment Record'!I:I, "Ca/HIV")</f>
        <v>0</v>
      </c>
      <c r="G40" s="6">
        <f>COUNTIFS('Treatment Record'!B:B,"Nyenga", 'Treatment Record'!I:I, "HIV")</f>
        <v>0</v>
      </c>
      <c r="H40" s="6">
        <f>COUNTIFS('Treatment Record'!B:B,"Nyenga", 'Treatment Record'!I:I, "Other")</f>
        <v>0</v>
      </c>
      <c r="I40" s="6">
        <f>SUMIFS('Treatment Record'!N:N, 'Treatment Record'!B:B, "Nyenga")</f>
        <v>0</v>
      </c>
      <c r="J40" s="6">
        <f>SUMIFS('Treatment Record'!P:P, 'Treatment Record'!B:B, "Nyenga")</f>
        <v>2</v>
      </c>
      <c r="K40" s="6">
        <f>SUMIFS('Treatment Record'!S:S, 'Treatment Record'!B:B, "Nyenga")</f>
        <v>0</v>
      </c>
      <c r="L40" s="6">
        <v>0</v>
      </c>
      <c r="M40" s="6">
        <f>SUMIFS('Treatment Record'!T:T, 'Treatment Record'!B:B, "Nyenga")</f>
        <v>0</v>
      </c>
      <c r="N40" s="6">
        <v>0</v>
      </c>
      <c r="Q40" s="26" t="s">
        <v>81</v>
      </c>
      <c r="R40" s="23">
        <v>1</v>
      </c>
    </row>
    <row r="41" spans="1:18" ht="15.75" customHeight="1" x14ac:dyDescent="0.25">
      <c r="A41" s="15" t="s">
        <v>56</v>
      </c>
      <c r="B41" s="6">
        <f>COUNTIF('Treatment Record'!B:B,"Walukuba")</f>
        <v>4</v>
      </c>
      <c r="C41" s="6">
        <f>COUNTIFS('Treatment Record'!B:B,"Walukuba", 'Treatment Record'!G:G, "M")</f>
        <v>2</v>
      </c>
      <c r="D41" s="6">
        <f>COUNTIFS('Treatment Record'!B:B,"Walukuba", 'Treatment Record'!G:G, "F")</f>
        <v>2</v>
      </c>
      <c r="E41" s="6">
        <f>COUNTIFS('Treatment Record'!B:B,"Walukuba", 'Treatment Record'!I:I, "Ca")</f>
        <v>4</v>
      </c>
      <c r="F41" s="6">
        <f>COUNTIFS('Treatment Record'!B:B,"Walukuba", 'Treatment Record'!I:I, "Ca/HIV")</f>
        <v>0</v>
      </c>
      <c r="G41" s="6">
        <f>COUNTIFS('Treatment Record'!B:B,"Walukuba", 'Treatment Record'!I:I, "HIV")</f>
        <v>0</v>
      </c>
      <c r="H41" s="6">
        <f>COUNTIFS('Treatment Record'!B:B,"Walukuba", 'Treatment Record'!I:I, "Other")</f>
        <v>0</v>
      </c>
      <c r="I41" s="6">
        <f>SUMIFS('Treatment Record'!N:N, 'Treatment Record'!B:B, "Walukuba")</f>
        <v>0</v>
      </c>
      <c r="J41" s="6">
        <f>SUMIFS('Treatment Record'!P:P, 'Treatment Record'!B:B, "Walukuba")</f>
        <v>4</v>
      </c>
      <c r="K41" s="6">
        <f>SUMIFS('Treatment Record'!S:S, 'Treatment Record'!B:B, "Walukuba")</f>
        <v>0</v>
      </c>
      <c r="L41" s="6">
        <v>0</v>
      </c>
      <c r="M41" s="6">
        <f>SUMIFS('Treatment Record'!T:T, 'Treatment Record'!B:B, "Walukuba")</f>
        <v>0</v>
      </c>
      <c r="N41" s="6">
        <v>0</v>
      </c>
      <c r="Q41" s="26" t="s">
        <v>105</v>
      </c>
      <c r="R41" s="23">
        <v>9</v>
      </c>
    </row>
    <row r="42" spans="1:18" ht="15.75" customHeight="1" x14ac:dyDescent="0.25">
      <c r="A42" s="28" t="s">
        <v>257</v>
      </c>
      <c r="B42" s="14">
        <f t="shared" ref="B42:N42" si="0">SUM(B2:B41)</f>
        <v>75</v>
      </c>
      <c r="C42" s="14">
        <f t="shared" si="0"/>
        <v>27</v>
      </c>
      <c r="D42" s="14">
        <f t="shared" si="0"/>
        <v>48</v>
      </c>
      <c r="E42" s="14">
        <f t="shared" si="0"/>
        <v>60</v>
      </c>
      <c r="F42" s="14">
        <f t="shared" si="0"/>
        <v>8</v>
      </c>
      <c r="G42" s="14">
        <f t="shared" si="0"/>
        <v>1</v>
      </c>
      <c r="H42" s="14">
        <f t="shared" si="0"/>
        <v>6</v>
      </c>
      <c r="I42" s="14">
        <f t="shared" si="0"/>
        <v>15</v>
      </c>
      <c r="J42" s="14">
        <f t="shared" si="0"/>
        <v>60</v>
      </c>
      <c r="K42" s="14">
        <f t="shared" si="0"/>
        <v>0</v>
      </c>
      <c r="L42" s="14">
        <f t="shared" si="0"/>
        <v>0</v>
      </c>
      <c r="M42" s="14">
        <f t="shared" si="0"/>
        <v>4</v>
      </c>
      <c r="N42" s="14">
        <f t="shared" si="0"/>
        <v>0</v>
      </c>
      <c r="O42" s="29"/>
      <c r="Q42" s="26" t="s">
        <v>69</v>
      </c>
      <c r="R42" s="23">
        <v>3</v>
      </c>
    </row>
    <row r="43" spans="1:18" ht="15.75" customHeight="1" x14ac:dyDescent="0.25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Q43" s="26" t="s">
        <v>209</v>
      </c>
      <c r="R43" s="23">
        <v>1</v>
      </c>
    </row>
    <row r="44" spans="1:18" ht="15.75" customHeight="1" x14ac:dyDescent="0.25">
      <c r="A44" s="30"/>
      <c r="B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Q44" s="26" t="s">
        <v>206</v>
      </c>
      <c r="R44" s="23">
        <v>1</v>
      </c>
    </row>
    <row r="45" spans="1:18" ht="15.75" customHeight="1" x14ac:dyDescent="0.25">
      <c r="A45" s="30"/>
      <c r="B45" s="29"/>
      <c r="E45" s="29"/>
      <c r="F45" s="29"/>
      <c r="G45" s="29"/>
      <c r="H45" s="29"/>
      <c r="K45" s="29"/>
      <c r="L45" s="29"/>
      <c r="M45" s="29"/>
      <c r="N45" s="29"/>
      <c r="O45" s="29"/>
      <c r="Q45" s="20" t="s">
        <v>258</v>
      </c>
      <c r="R45" s="23">
        <v>1</v>
      </c>
    </row>
    <row r="46" spans="1:18" ht="15.75" customHeight="1" x14ac:dyDescent="0.25">
      <c r="A46" s="30"/>
      <c r="B46" s="29"/>
      <c r="E46" s="29"/>
      <c r="F46" s="29"/>
      <c r="G46" s="29"/>
      <c r="H46" s="29"/>
      <c r="K46" s="29"/>
      <c r="L46" s="29"/>
      <c r="M46" s="29"/>
      <c r="N46" s="29"/>
      <c r="O46" s="29"/>
      <c r="Q46" s="20" t="s">
        <v>259</v>
      </c>
      <c r="R46" s="23">
        <v>2</v>
      </c>
    </row>
    <row r="47" spans="1:18" ht="15.75" customHeight="1" x14ac:dyDescent="0.25">
      <c r="A47" s="30"/>
      <c r="B47" s="29"/>
      <c r="E47" s="29"/>
      <c r="F47" s="29"/>
      <c r="G47" s="29"/>
      <c r="H47" s="29"/>
      <c r="K47" s="29"/>
      <c r="L47" s="29"/>
      <c r="M47" s="29"/>
      <c r="N47" s="29"/>
      <c r="O47" s="29"/>
      <c r="Q47" s="26" t="s">
        <v>218</v>
      </c>
      <c r="R47" s="23">
        <v>1</v>
      </c>
    </row>
    <row r="48" spans="1:18" ht="15.75" customHeight="1" x14ac:dyDescent="0.25">
      <c r="A48" s="30"/>
      <c r="B48" s="29"/>
      <c r="C48" s="31" t="s">
        <v>260</v>
      </c>
      <c r="D48" s="32">
        <f>COUNT('Treatment Record'!X:X)</f>
        <v>1</v>
      </c>
      <c r="E48" s="29"/>
      <c r="F48" s="29"/>
      <c r="G48" s="29"/>
      <c r="H48" s="29"/>
      <c r="K48" s="29"/>
      <c r="L48" s="29"/>
      <c r="M48" s="29"/>
      <c r="N48" s="29"/>
      <c r="O48" s="29"/>
      <c r="Q48" s="26" t="s">
        <v>164</v>
      </c>
      <c r="R48" s="23">
        <v>1</v>
      </c>
    </row>
    <row r="49" spans="1:18" ht="15.75" customHeight="1" x14ac:dyDescent="0.25">
      <c r="A49" s="30"/>
      <c r="B49" s="29"/>
      <c r="C49" s="31" t="s">
        <v>21</v>
      </c>
      <c r="D49" s="32">
        <f>COUNT('Treatment Record'!V:V)</f>
        <v>23</v>
      </c>
      <c r="E49" s="29"/>
      <c r="F49" s="29"/>
      <c r="G49" s="29"/>
      <c r="H49" s="29"/>
      <c r="K49" s="29"/>
      <c r="L49" s="29"/>
      <c r="M49" s="29"/>
      <c r="N49" s="29"/>
      <c r="O49" s="29"/>
      <c r="Q49" s="26" t="s">
        <v>102</v>
      </c>
      <c r="R49" s="23">
        <v>1</v>
      </c>
    </row>
    <row r="50" spans="1:18" ht="15.75" customHeight="1" x14ac:dyDescent="0.25">
      <c r="A50" s="30"/>
      <c r="B50" s="29"/>
      <c r="C50" s="31" t="s">
        <v>261</v>
      </c>
      <c r="D50" s="32">
        <f>COUNT('Treatment Record'!W:W)</f>
        <v>9</v>
      </c>
      <c r="E50" s="29"/>
      <c r="F50" s="29"/>
      <c r="G50" s="29"/>
      <c r="H50" s="29"/>
      <c r="K50" s="29"/>
      <c r="L50" s="29"/>
      <c r="M50" s="29"/>
      <c r="N50" s="29"/>
      <c r="O50" s="29"/>
      <c r="Q50" s="26" t="s">
        <v>184</v>
      </c>
      <c r="R50" s="23">
        <v>1</v>
      </c>
    </row>
    <row r="51" spans="1:18" ht="15.75" customHeight="1" x14ac:dyDescent="0.25">
      <c r="A51" s="30"/>
      <c r="B51" s="29"/>
      <c r="C51" s="2" t="s">
        <v>20</v>
      </c>
      <c r="D51" s="32">
        <f>COUNT('Treatment Record'!U:U)</f>
        <v>1</v>
      </c>
      <c r="E51" s="29"/>
      <c r="F51" s="29"/>
      <c r="G51" s="29"/>
      <c r="H51" s="29"/>
      <c r="K51" s="29"/>
      <c r="L51" s="29"/>
      <c r="M51" s="29"/>
      <c r="N51" s="29"/>
      <c r="O51" s="29"/>
      <c r="Q51" s="26" t="s">
        <v>61</v>
      </c>
      <c r="R51" s="23">
        <v>3</v>
      </c>
    </row>
    <row r="52" spans="1:18" ht="15.75" customHeight="1" x14ac:dyDescent="0.25">
      <c r="A52" s="30"/>
      <c r="B52" s="29"/>
      <c r="C52" s="2" t="s">
        <v>262</v>
      </c>
      <c r="D52" s="32">
        <f>COUNT('Treatment Record'!AF:AF)</f>
        <v>0</v>
      </c>
      <c r="E52" s="29"/>
      <c r="F52" s="29"/>
      <c r="G52" s="29"/>
      <c r="H52" s="29"/>
      <c r="K52" s="29"/>
      <c r="L52" s="29"/>
      <c r="M52" s="29"/>
      <c r="N52" s="29"/>
      <c r="O52" s="29"/>
      <c r="Q52" s="26" t="s">
        <v>161</v>
      </c>
      <c r="R52" s="23">
        <v>1</v>
      </c>
    </row>
    <row r="53" spans="1:18" ht="15.75" customHeight="1" x14ac:dyDescent="0.25">
      <c r="A53" s="30"/>
      <c r="B53" s="29"/>
      <c r="C53" s="2" t="s">
        <v>29</v>
      </c>
      <c r="D53" s="32">
        <f>COUNT('Treatment Record'!AD:AD)</f>
        <v>2</v>
      </c>
      <c r="E53" s="29"/>
      <c r="F53" s="29"/>
      <c r="G53" s="29"/>
      <c r="H53" s="29"/>
      <c r="K53" s="29"/>
      <c r="L53" s="29"/>
      <c r="M53" s="29"/>
      <c r="N53" s="29"/>
      <c r="O53" s="29"/>
      <c r="Q53" s="26" t="s">
        <v>204</v>
      </c>
      <c r="R53" s="33">
        <v>1</v>
      </c>
    </row>
    <row r="54" spans="1:18" ht="15.75" customHeight="1" x14ac:dyDescent="0.25">
      <c r="A54" s="30"/>
      <c r="B54" s="29"/>
      <c r="C54" s="29"/>
      <c r="D54" s="29"/>
      <c r="E54" s="29"/>
      <c r="F54" s="29"/>
      <c r="G54" s="29"/>
      <c r="H54" s="29"/>
      <c r="K54" s="29"/>
      <c r="L54" s="29"/>
      <c r="M54" s="29"/>
      <c r="N54" s="29"/>
      <c r="O54" s="29"/>
      <c r="Q54" s="26" t="s">
        <v>89</v>
      </c>
      <c r="R54" s="33">
        <v>2</v>
      </c>
    </row>
    <row r="55" spans="1:18" ht="15.75" customHeight="1" x14ac:dyDescent="0.25">
      <c r="A55" s="30"/>
      <c r="B55" s="29"/>
      <c r="C55" s="29"/>
      <c r="D55" s="29"/>
      <c r="E55" s="29"/>
      <c r="F55" s="29"/>
      <c r="G55" s="29"/>
      <c r="H55" s="29"/>
      <c r="K55" s="29"/>
      <c r="L55" s="29"/>
      <c r="M55" s="29"/>
      <c r="N55" s="29"/>
      <c r="O55" s="29"/>
      <c r="Q55" s="26" t="s">
        <v>147</v>
      </c>
      <c r="R55" s="33">
        <v>1</v>
      </c>
    </row>
    <row r="56" spans="1:18" ht="15.75" customHeight="1" x14ac:dyDescent="0.25">
      <c r="A56" s="30"/>
      <c r="B56" s="29"/>
      <c r="C56" s="29"/>
      <c r="D56" s="29"/>
      <c r="E56" s="29"/>
      <c r="F56" s="29"/>
      <c r="G56" s="29"/>
      <c r="H56" s="29"/>
      <c r="K56" s="29"/>
      <c r="L56" s="29"/>
      <c r="M56" s="29"/>
      <c r="N56" s="29"/>
      <c r="O56" s="29"/>
      <c r="Q56" s="16" t="s">
        <v>78</v>
      </c>
      <c r="R56" s="33">
        <v>1</v>
      </c>
    </row>
    <row r="57" spans="1:18" ht="15.75" customHeight="1" x14ac:dyDescent="0.25">
      <c r="A57" s="30"/>
      <c r="B57" s="29"/>
      <c r="C57" s="29"/>
      <c r="D57" s="29"/>
      <c r="E57" s="29"/>
      <c r="F57" s="29"/>
      <c r="G57" s="29"/>
      <c r="H57" s="29"/>
      <c r="K57" s="29"/>
      <c r="L57" s="29"/>
      <c r="M57" s="29"/>
      <c r="N57" s="29"/>
      <c r="O57" s="29"/>
      <c r="Q57" s="26" t="s">
        <v>85</v>
      </c>
      <c r="R57" s="33">
        <v>2</v>
      </c>
    </row>
    <row r="58" spans="1:18" ht="15.75" customHeight="1" x14ac:dyDescent="0.25">
      <c r="A58" s="30"/>
      <c r="B58" s="29"/>
      <c r="C58" s="29"/>
      <c r="D58" s="29"/>
      <c r="E58" s="29"/>
      <c r="F58" s="29"/>
      <c r="G58" s="29"/>
      <c r="H58" s="29"/>
      <c r="K58" s="29"/>
      <c r="L58" s="29"/>
      <c r="M58" s="29"/>
      <c r="N58" s="29"/>
      <c r="O58" s="29"/>
      <c r="Q58" s="16" t="s">
        <v>187</v>
      </c>
      <c r="R58" s="33">
        <v>1</v>
      </c>
    </row>
    <row r="59" spans="1:18" ht="15.75" customHeight="1" x14ac:dyDescent="0.25">
      <c r="A59" s="30"/>
      <c r="B59" s="29"/>
      <c r="C59" s="29"/>
      <c r="D59" s="29"/>
      <c r="E59" s="29"/>
      <c r="F59" s="29"/>
      <c r="G59" s="29"/>
      <c r="H59" s="29"/>
      <c r="K59" s="29"/>
      <c r="L59" s="29"/>
      <c r="M59" s="29"/>
      <c r="N59" s="29"/>
      <c r="O59" s="29"/>
      <c r="Q59" s="16" t="s">
        <v>45</v>
      </c>
      <c r="R59" s="33">
        <v>1</v>
      </c>
    </row>
    <row r="60" spans="1:18" ht="15.75" customHeight="1" x14ac:dyDescent="0.25">
      <c r="A60" s="30"/>
      <c r="B60" s="29"/>
      <c r="C60" s="29"/>
      <c r="D60" s="29"/>
      <c r="E60" s="29"/>
      <c r="F60" s="29"/>
      <c r="G60" s="29"/>
      <c r="H60" s="29"/>
      <c r="K60" s="29"/>
      <c r="L60" s="29"/>
      <c r="M60" s="29"/>
      <c r="N60" s="29"/>
      <c r="O60" s="29"/>
      <c r="Q60" s="16" t="s">
        <v>213</v>
      </c>
      <c r="R60" s="33">
        <v>1</v>
      </c>
    </row>
    <row r="61" spans="1:18" ht="15.75" customHeight="1" x14ac:dyDescent="0.25">
      <c r="A61" s="30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Q61" s="26" t="s">
        <v>195</v>
      </c>
      <c r="R61" s="33">
        <v>1</v>
      </c>
    </row>
    <row r="62" spans="1:18" ht="15.75" customHeight="1" x14ac:dyDescent="0.25">
      <c r="A62" s="30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Q62" s="26" t="s">
        <v>158</v>
      </c>
      <c r="R62" s="33">
        <v>1</v>
      </c>
    </row>
    <row r="63" spans="1:18" ht="15.75" customHeight="1" x14ac:dyDescent="0.25">
      <c r="A63" s="30"/>
      <c r="B63" s="29"/>
      <c r="C63" s="29"/>
      <c r="D63" s="29"/>
      <c r="E63" s="29"/>
      <c r="F63" s="29"/>
      <c r="G63" s="29"/>
      <c r="J63" s="29"/>
      <c r="K63" s="29"/>
      <c r="L63" s="29"/>
      <c r="M63" s="29"/>
      <c r="N63" s="29"/>
      <c r="O63" s="29"/>
      <c r="Q63" s="26" t="s">
        <v>128</v>
      </c>
      <c r="R63" s="33">
        <v>2</v>
      </c>
    </row>
    <row r="64" spans="1:18" ht="15.75" customHeight="1" x14ac:dyDescent="0.25">
      <c r="A64" s="30"/>
      <c r="B64" s="29"/>
      <c r="C64" s="29"/>
      <c r="D64" s="29"/>
      <c r="E64" s="29"/>
      <c r="F64" s="29"/>
      <c r="G64" s="29"/>
      <c r="J64" s="29"/>
      <c r="K64" s="29"/>
      <c r="L64" s="29"/>
      <c r="M64" s="29"/>
      <c r="N64" s="29"/>
      <c r="O64" s="29"/>
      <c r="Q64" s="16" t="s">
        <v>263</v>
      </c>
      <c r="R64" s="33">
        <v>1</v>
      </c>
    </row>
    <row r="65" spans="1:18" ht="15.75" customHeight="1" x14ac:dyDescent="0.25">
      <c r="A65" s="30"/>
      <c r="B65" s="29"/>
      <c r="C65" s="29"/>
      <c r="D65" s="29"/>
      <c r="E65" s="29"/>
      <c r="F65" s="29"/>
      <c r="G65" s="29"/>
      <c r="J65" s="29"/>
      <c r="K65" s="29"/>
      <c r="L65" s="29"/>
      <c r="M65" s="29"/>
      <c r="N65" s="29"/>
      <c r="O65" s="29"/>
      <c r="Q65" s="16" t="s">
        <v>264</v>
      </c>
      <c r="R65" s="33">
        <v>2</v>
      </c>
    </row>
    <row r="66" spans="1:18" ht="15.75" customHeight="1" x14ac:dyDescent="0.25">
      <c r="A66" s="30"/>
      <c r="B66" s="29"/>
      <c r="C66" s="29"/>
      <c r="D66" s="29"/>
      <c r="E66" s="29"/>
      <c r="F66" s="29"/>
      <c r="G66" s="29"/>
      <c r="J66" s="29"/>
      <c r="K66" s="29"/>
      <c r="L66" s="29"/>
      <c r="M66" s="29"/>
      <c r="N66" s="29"/>
      <c r="O66" s="29"/>
      <c r="Q66" s="34" t="s">
        <v>226</v>
      </c>
      <c r="R66" s="34">
        <f>SUM(R33:R65)</f>
        <v>75</v>
      </c>
    </row>
    <row r="67" spans="1:18" ht="15.75" customHeight="1" x14ac:dyDescent="0.25">
      <c r="A67" s="30"/>
      <c r="B67" s="29"/>
      <c r="C67" s="29"/>
      <c r="D67" s="29"/>
      <c r="E67" s="29"/>
      <c r="F67" s="29"/>
      <c r="G67" s="29"/>
      <c r="J67" s="29"/>
      <c r="K67" s="29"/>
      <c r="L67" s="29"/>
      <c r="M67" s="29"/>
      <c r="N67" s="29"/>
      <c r="O67" s="29"/>
      <c r="Q67" s="14"/>
      <c r="R67" s="14"/>
    </row>
    <row r="68" spans="1:18" ht="15.75" customHeight="1" x14ac:dyDescent="0.25">
      <c r="A68" s="30"/>
      <c r="B68" s="29"/>
      <c r="C68" s="29"/>
      <c r="D68" s="29"/>
      <c r="E68" s="29"/>
      <c r="F68" s="29"/>
      <c r="G68" s="29"/>
      <c r="J68" s="29"/>
      <c r="K68" s="29"/>
      <c r="L68" s="29"/>
      <c r="M68" s="29"/>
      <c r="N68" s="29"/>
      <c r="O68" s="29"/>
    </row>
    <row r="69" spans="1:18" ht="15.75" customHeight="1" x14ac:dyDescent="0.25">
      <c r="A69" s="30"/>
      <c r="B69" s="29"/>
      <c r="C69" s="29"/>
      <c r="D69" s="29"/>
      <c r="E69" s="29"/>
      <c r="F69" s="29"/>
      <c r="G69" s="29"/>
      <c r="J69" s="29"/>
      <c r="K69" s="29"/>
      <c r="L69" s="29"/>
      <c r="M69" s="29"/>
      <c r="N69" s="29"/>
      <c r="O69" s="29"/>
    </row>
    <row r="70" spans="1:18" ht="15.75" customHeight="1" x14ac:dyDescent="0.25">
      <c r="A70" s="30"/>
      <c r="B70" s="29"/>
      <c r="C70" s="29"/>
      <c r="D70" s="29"/>
      <c r="E70" s="29"/>
      <c r="F70" s="29"/>
      <c r="G70" s="29"/>
      <c r="J70" s="29"/>
      <c r="K70" s="29"/>
      <c r="L70" s="29"/>
      <c r="M70" s="29"/>
      <c r="N70" s="29"/>
      <c r="O70" s="29"/>
    </row>
    <row r="71" spans="1:18" ht="15.75" customHeight="1" x14ac:dyDescent="0.25">
      <c r="A71" s="30"/>
      <c r="B71" s="29"/>
      <c r="C71" s="29"/>
      <c r="D71" s="29"/>
      <c r="E71" s="29"/>
      <c r="F71" s="29"/>
      <c r="G71" s="29"/>
      <c r="J71" s="29"/>
      <c r="K71" s="29"/>
      <c r="L71" s="29"/>
      <c r="M71" s="29"/>
      <c r="N71" s="29"/>
      <c r="O71" s="29"/>
    </row>
    <row r="72" spans="1:18" ht="15.75" customHeight="1" x14ac:dyDescent="0.25">
      <c r="A72" s="30"/>
      <c r="B72" s="29"/>
      <c r="C72" s="29"/>
      <c r="D72" s="29"/>
      <c r="E72" s="29"/>
      <c r="F72" s="29"/>
      <c r="G72" s="29"/>
      <c r="J72" s="29"/>
      <c r="K72" s="29"/>
      <c r="L72" s="29"/>
      <c r="M72" s="29"/>
      <c r="N72" s="29"/>
      <c r="O72" s="29"/>
    </row>
    <row r="73" spans="1:18" ht="15.75" customHeight="1" x14ac:dyDescent="0.25">
      <c r="A73" s="30"/>
      <c r="B73" s="29"/>
      <c r="C73" s="29"/>
      <c r="D73" s="29"/>
      <c r="E73" s="29"/>
      <c r="F73" s="29"/>
      <c r="G73" s="29"/>
      <c r="J73" s="29"/>
      <c r="K73" s="29"/>
      <c r="L73" s="29"/>
      <c r="M73" s="29"/>
      <c r="N73" s="29"/>
      <c r="O73" s="29"/>
    </row>
    <row r="74" spans="1:18" ht="15.75" customHeight="1" x14ac:dyDescent="0.25">
      <c r="A74" s="30"/>
      <c r="B74" s="29"/>
      <c r="C74" s="29"/>
      <c r="D74" s="29"/>
      <c r="E74" s="29"/>
      <c r="F74" s="29"/>
      <c r="G74" s="29"/>
      <c r="J74" s="29"/>
      <c r="K74" s="29"/>
      <c r="L74" s="29"/>
      <c r="M74" s="29"/>
      <c r="N74" s="29"/>
      <c r="O74" s="29"/>
    </row>
    <row r="75" spans="1:18" ht="15.75" customHeight="1" x14ac:dyDescent="0.25">
      <c r="A75" s="30"/>
      <c r="B75" s="29"/>
      <c r="C75" s="29"/>
      <c r="D75" s="29"/>
      <c r="E75" s="29"/>
      <c r="F75" s="29"/>
      <c r="G75" s="29"/>
      <c r="J75" s="29"/>
      <c r="K75" s="29"/>
      <c r="L75" s="29"/>
      <c r="M75" s="29"/>
      <c r="N75" s="29"/>
      <c r="O75" s="29"/>
    </row>
    <row r="76" spans="1:18" ht="15.75" customHeight="1" x14ac:dyDescent="0.25">
      <c r="A76" s="30"/>
      <c r="B76" s="29"/>
      <c r="C76" s="29"/>
      <c r="D76" s="29"/>
      <c r="E76" s="29"/>
      <c r="F76" s="29"/>
      <c r="G76" s="29"/>
      <c r="J76" s="29"/>
      <c r="K76" s="29"/>
      <c r="L76" s="29"/>
      <c r="M76" s="29"/>
      <c r="N76" s="29"/>
      <c r="O76" s="29"/>
    </row>
    <row r="77" spans="1:18" ht="15.75" customHeight="1" x14ac:dyDescent="0.25">
      <c r="A77" s="30"/>
      <c r="B77" s="29"/>
      <c r="C77" s="29"/>
      <c r="D77" s="29"/>
      <c r="E77" s="29"/>
      <c r="F77" s="29"/>
      <c r="G77" s="29"/>
      <c r="J77" s="29"/>
      <c r="K77" s="29"/>
      <c r="L77" s="29"/>
      <c r="M77" s="29"/>
      <c r="N77" s="29"/>
      <c r="O77" s="29"/>
    </row>
    <row r="78" spans="1:18" ht="15.75" customHeight="1" x14ac:dyDescent="0.25">
      <c r="A78" s="30"/>
      <c r="B78" s="29"/>
      <c r="C78" s="29"/>
      <c r="D78" s="29"/>
      <c r="E78" s="29"/>
      <c r="F78" s="29"/>
      <c r="G78" s="29"/>
      <c r="J78" s="29"/>
      <c r="K78" s="29"/>
      <c r="L78" s="29"/>
      <c r="M78" s="29"/>
      <c r="N78" s="29"/>
      <c r="O78" s="29"/>
    </row>
    <row r="79" spans="1:18" ht="15.75" customHeight="1" x14ac:dyDescent="0.25">
      <c r="A79" s="30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spans="1:18" ht="15.75" customHeight="1" x14ac:dyDescent="0.25">
      <c r="A80" s="30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spans="1:15" ht="15.75" customHeight="1" x14ac:dyDescent="0.25">
      <c r="A81" s="30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spans="1:15" ht="15.75" customHeight="1" x14ac:dyDescent="0.25">
      <c r="A82" s="30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spans="1:15" ht="15.75" customHeight="1" x14ac:dyDescent="0.25">
      <c r="A83" s="30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spans="1:15" ht="15.75" customHeight="1" x14ac:dyDescent="0.25">
      <c r="A84" s="30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spans="1:15" ht="15.75" customHeight="1" x14ac:dyDescent="0.25"/>
    <row r="86" spans="1:15" ht="15.75" customHeight="1" x14ac:dyDescent="0.25">
      <c r="A86" s="30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spans="1:15" ht="15.75" customHeight="1" x14ac:dyDescent="0.25">
      <c r="A87" s="30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spans="1:15" ht="15.75" customHeight="1" x14ac:dyDescent="0.25">
      <c r="A88" s="30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spans="1:15" ht="15.75" customHeight="1" x14ac:dyDescent="0.25">
      <c r="A89" s="30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spans="1:15" ht="15.75" customHeight="1" x14ac:dyDescent="0.25">
      <c r="A90" s="30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spans="1:15" ht="15.75" customHeight="1" x14ac:dyDescent="0.25">
      <c r="A91" s="30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>
      <c r="A95" s="30" t="s">
        <v>265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spans="1:15" ht="15.75" customHeight="1" x14ac:dyDescent="0.25">
      <c r="A96" s="30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spans="1:15" ht="15.75" customHeight="1" x14ac:dyDescent="0.25">
      <c r="A97" s="30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spans="1:15" ht="15.75" customHeight="1" x14ac:dyDescent="0.25">
      <c r="A98" s="30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spans="1:15" ht="15.75" customHeight="1" x14ac:dyDescent="0.25">
      <c r="A99" s="30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spans="1:15" ht="15.75" customHeight="1" x14ac:dyDescent="0.25">
      <c r="A100" s="30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spans="1:15" ht="15.75" customHeight="1" x14ac:dyDescent="0.25">
      <c r="A101" s="30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spans="1:15" ht="15.75" customHeight="1" x14ac:dyDescent="0.25">
      <c r="A102" s="30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spans="1:15" ht="15.75" customHeight="1" x14ac:dyDescent="0.25">
      <c r="A103" s="30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spans="1:15" ht="15.75" customHeight="1" x14ac:dyDescent="0.25">
      <c r="A104" s="30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spans="1:15" ht="15.75" customHeight="1" x14ac:dyDescent="0.25">
      <c r="A105" s="30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spans="1:15" ht="15.75" customHeight="1" x14ac:dyDescent="0.25">
      <c r="A106" s="30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spans="1:15" ht="15.75" customHeight="1" x14ac:dyDescent="0.25">
      <c r="A107" s="30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1:15" ht="15.75" customHeight="1" x14ac:dyDescent="0.25">
      <c r="A108" s="30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spans="1:15" ht="15.75" customHeight="1" x14ac:dyDescent="0.25">
      <c r="A109" s="30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42" xr:uid="{00000000-0009-0000-0000-000001000000}"/>
  <mergeCells count="3">
    <mergeCell ref="P3:Q3"/>
    <mergeCell ref="P7:Q7"/>
    <mergeCell ref="Q32:R3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5" t="s">
        <v>266</v>
      </c>
      <c r="B1" s="36" t="s">
        <v>267</v>
      </c>
      <c r="C1" s="36" t="s">
        <v>226</v>
      </c>
      <c r="D1" s="36" t="s">
        <v>35</v>
      </c>
      <c r="E1" s="36" t="s">
        <v>40</v>
      </c>
      <c r="F1" s="36" t="s">
        <v>37</v>
      </c>
      <c r="G1" s="36" t="s">
        <v>70</v>
      </c>
      <c r="H1" s="36" t="s">
        <v>42</v>
      </c>
      <c r="I1" s="36" t="s">
        <v>227</v>
      </c>
      <c r="J1" s="36" t="s">
        <v>228</v>
      </c>
      <c r="K1" s="36" t="s">
        <v>268</v>
      </c>
      <c r="L1" s="36" t="s">
        <v>269</v>
      </c>
      <c r="M1" s="37" t="s">
        <v>29</v>
      </c>
    </row>
    <row r="2" spans="1:13" x14ac:dyDescent="0.25">
      <c r="A2" s="50">
        <v>2020</v>
      </c>
      <c r="B2" s="29" t="s">
        <v>270</v>
      </c>
      <c r="C2" s="29">
        <v>40</v>
      </c>
      <c r="D2" s="29">
        <v>14</v>
      </c>
      <c r="E2" s="29">
        <v>26</v>
      </c>
      <c r="F2" s="29">
        <v>32</v>
      </c>
      <c r="G2" s="29">
        <v>6</v>
      </c>
      <c r="H2" s="29">
        <v>0</v>
      </c>
      <c r="I2" s="29">
        <v>2</v>
      </c>
      <c r="J2" s="29">
        <v>15</v>
      </c>
      <c r="K2" s="29">
        <v>25</v>
      </c>
      <c r="L2" s="29">
        <v>0</v>
      </c>
      <c r="M2" s="38">
        <v>0</v>
      </c>
    </row>
    <row r="3" spans="1:13" x14ac:dyDescent="0.25">
      <c r="A3" s="51"/>
      <c r="B3" s="29" t="s">
        <v>271</v>
      </c>
      <c r="C3" s="29">
        <v>39</v>
      </c>
      <c r="D3" s="29">
        <v>17</v>
      </c>
      <c r="E3" s="29">
        <v>22</v>
      </c>
      <c r="F3" s="29">
        <v>31</v>
      </c>
      <c r="G3" s="29">
        <v>4</v>
      </c>
      <c r="H3" s="29">
        <v>0</v>
      </c>
      <c r="I3" s="29">
        <v>4</v>
      </c>
      <c r="J3" s="29">
        <v>14</v>
      </c>
      <c r="K3" s="29">
        <v>25</v>
      </c>
      <c r="L3" s="29">
        <v>0</v>
      </c>
      <c r="M3" s="38">
        <v>0</v>
      </c>
    </row>
    <row r="4" spans="1:13" x14ac:dyDescent="0.25">
      <c r="A4" s="51"/>
      <c r="B4" s="29" t="s">
        <v>272</v>
      </c>
      <c r="C4" s="29">
        <v>36</v>
      </c>
      <c r="D4" s="29">
        <v>15</v>
      </c>
      <c r="E4" s="29">
        <v>21</v>
      </c>
      <c r="F4" s="29">
        <v>29</v>
      </c>
      <c r="G4" s="29">
        <v>3</v>
      </c>
      <c r="H4" s="29">
        <v>1</v>
      </c>
      <c r="I4" s="29">
        <v>3</v>
      </c>
      <c r="J4" s="29">
        <v>5</v>
      </c>
      <c r="K4" s="29">
        <v>31</v>
      </c>
      <c r="L4" s="29">
        <v>0</v>
      </c>
      <c r="M4" s="38">
        <v>5</v>
      </c>
    </row>
    <row r="5" spans="1:13" x14ac:dyDescent="0.25">
      <c r="A5" s="51"/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</row>
    <row r="6" spans="1:13" x14ac:dyDescent="0.25">
      <c r="A6" s="51"/>
      <c r="B6" s="29" t="s">
        <v>273</v>
      </c>
      <c r="C6" s="29">
        <v>14</v>
      </c>
      <c r="D6" s="29">
        <v>7</v>
      </c>
      <c r="E6" s="29">
        <v>7</v>
      </c>
      <c r="F6" s="29">
        <v>12</v>
      </c>
      <c r="G6" s="29">
        <v>1</v>
      </c>
      <c r="H6" s="29">
        <v>0</v>
      </c>
      <c r="I6" s="29">
        <v>1</v>
      </c>
      <c r="J6" s="29">
        <v>0</v>
      </c>
      <c r="K6" s="29">
        <v>14</v>
      </c>
      <c r="L6" s="29">
        <v>0</v>
      </c>
      <c r="M6" s="42">
        <v>1</v>
      </c>
    </row>
    <row r="7" spans="1:13" x14ac:dyDescent="0.25">
      <c r="A7" s="51"/>
      <c r="B7" s="29" t="s">
        <v>274</v>
      </c>
      <c r="C7" s="29">
        <v>11</v>
      </c>
      <c r="D7" s="29">
        <v>5</v>
      </c>
      <c r="E7" s="29">
        <v>6</v>
      </c>
      <c r="F7" s="29">
        <v>10</v>
      </c>
      <c r="G7" s="29">
        <v>0</v>
      </c>
      <c r="H7" s="29">
        <v>0</v>
      </c>
      <c r="I7" s="29">
        <v>1</v>
      </c>
      <c r="J7" s="29">
        <v>1</v>
      </c>
      <c r="K7" s="29">
        <v>10</v>
      </c>
      <c r="L7" s="29">
        <v>0</v>
      </c>
      <c r="M7" s="42">
        <v>0</v>
      </c>
    </row>
    <row r="8" spans="1:13" x14ac:dyDescent="0.25">
      <c r="A8" s="51"/>
      <c r="B8" s="29" t="s">
        <v>275</v>
      </c>
      <c r="C8" s="29">
        <v>24</v>
      </c>
      <c r="D8" s="29">
        <v>10</v>
      </c>
      <c r="E8" s="29">
        <v>14</v>
      </c>
      <c r="F8" s="29">
        <v>15</v>
      </c>
      <c r="G8" s="29">
        <v>3</v>
      </c>
      <c r="H8" s="29">
        <v>0</v>
      </c>
      <c r="I8" s="29">
        <v>6</v>
      </c>
      <c r="J8" s="29">
        <v>10</v>
      </c>
      <c r="K8" s="29">
        <v>14</v>
      </c>
      <c r="L8" s="29">
        <v>0</v>
      </c>
      <c r="M8" s="42">
        <v>0</v>
      </c>
    </row>
    <row r="9" spans="1:13" x14ac:dyDescent="0.25">
      <c r="A9" s="51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3"/>
    </row>
    <row r="10" spans="1:13" x14ac:dyDescent="0.25">
      <c r="A10" s="51"/>
      <c r="B10" s="29" t="s">
        <v>276</v>
      </c>
      <c r="C10" s="29">
        <v>28</v>
      </c>
      <c r="D10" s="29">
        <v>12</v>
      </c>
      <c r="E10" s="29">
        <v>16</v>
      </c>
      <c r="F10" s="29">
        <v>23</v>
      </c>
      <c r="G10" s="29">
        <v>2</v>
      </c>
      <c r="H10" s="29">
        <v>0</v>
      </c>
      <c r="I10" s="29">
        <v>3</v>
      </c>
      <c r="J10" s="29">
        <v>0</v>
      </c>
      <c r="K10" s="29">
        <v>25</v>
      </c>
      <c r="L10" s="29">
        <v>1</v>
      </c>
      <c r="M10" s="38">
        <v>1</v>
      </c>
    </row>
    <row r="11" spans="1:13" x14ac:dyDescent="0.25">
      <c r="A11" s="51"/>
      <c r="B11" s="29" t="s">
        <v>277</v>
      </c>
      <c r="C11" s="29">
        <v>32</v>
      </c>
      <c r="D11" s="29">
        <v>9</v>
      </c>
      <c r="E11" s="29">
        <v>23</v>
      </c>
      <c r="F11" s="29">
        <v>25</v>
      </c>
      <c r="G11" s="29">
        <v>3</v>
      </c>
      <c r="H11" s="29">
        <v>0</v>
      </c>
      <c r="I11" s="29">
        <v>4</v>
      </c>
      <c r="J11" s="29">
        <v>13</v>
      </c>
      <c r="K11" s="29">
        <v>18</v>
      </c>
      <c r="L11" s="29">
        <v>0</v>
      </c>
      <c r="M11" s="38">
        <v>0</v>
      </c>
    </row>
    <row r="12" spans="1:13" x14ac:dyDescent="0.25">
      <c r="A12" s="51"/>
      <c r="B12" s="29" t="s">
        <v>278</v>
      </c>
      <c r="C12" s="29">
        <v>20</v>
      </c>
      <c r="D12" s="29">
        <v>8</v>
      </c>
      <c r="E12" s="29">
        <v>12</v>
      </c>
      <c r="F12" s="29">
        <v>16</v>
      </c>
      <c r="G12" s="29">
        <v>3</v>
      </c>
      <c r="H12" s="29">
        <v>0</v>
      </c>
      <c r="I12" s="29">
        <v>2</v>
      </c>
      <c r="J12" s="29">
        <v>6</v>
      </c>
      <c r="K12" s="29">
        <v>14</v>
      </c>
      <c r="L12" s="29">
        <v>0</v>
      </c>
      <c r="M12" s="42">
        <v>3</v>
      </c>
    </row>
    <row r="13" spans="1:13" x14ac:dyDescent="0.25">
      <c r="A13" s="51"/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13" x14ac:dyDescent="0.25">
      <c r="A14" s="51"/>
      <c r="B14" s="29" t="s">
        <v>279</v>
      </c>
      <c r="C14" s="29">
        <v>39</v>
      </c>
      <c r="D14" s="29">
        <v>14</v>
      </c>
      <c r="E14" s="29">
        <v>25</v>
      </c>
      <c r="F14" s="29">
        <v>25</v>
      </c>
      <c r="G14" s="29">
        <v>6</v>
      </c>
      <c r="H14" s="29">
        <v>1</v>
      </c>
      <c r="I14" s="29">
        <v>7</v>
      </c>
      <c r="J14" s="29">
        <v>14</v>
      </c>
      <c r="K14" s="29">
        <v>25</v>
      </c>
      <c r="L14" s="29">
        <v>0</v>
      </c>
      <c r="M14" s="42">
        <v>2</v>
      </c>
    </row>
    <row r="15" spans="1:13" x14ac:dyDescent="0.25">
      <c r="A15" s="51"/>
      <c r="B15" s="29" t="s">
        <v>280</v>
      </c>
      <c r="C15" s="29">
        <v>43</v>
      </c>
      <c r="D15" s="29">
        <v>17</v>
      </c>
      <c r="E15" s="29">
        <v>26</v>
      </c>
      <c r="F15" s="29">
        <v>28</v>
      </c>
      <c r="G15" s="29">
        <v>6</v>
      </c>
      <c r="H15" s="29">
        <v>1</v>
      </c>
      <c r="I15" s="29">
        <v>7</v>
      </c>
      <c r="J15" s="29">
        <v>14</v>
      </c>
      <c r="K15" s="29">
        <v>29</v>
      </c>
      <c r="L15" s="29">
        <v>1</v>
      </c>
      <c r="M15" s="42">
        <v>3</v>
      </c>
    </row>
    <row r="16" spans="1:13" x14ac:dyDescent="0.25">
      <c r="A16" s="52"/>
      <c r="B16" s="44" t="s">
        <v>281</v>
      </c>
      <c r="C16" s="44">
        <v>19</v>
      </c>
      <c r="D16" s="44">
        <v>5</v>
      </c>
      <c r="E16" s="44">
        <v>14</v>
      </c>
      <c r="F16" s="44">
        <v>13</v>
      </c>
      <c r="G16" s="44">
        <v>3</v>
      </c>
      <c r="H16" s="44">
        <v>0</v>
      </c>
      <c r="I16" s="44">
        <v>3</v>
      </c>
      <c r="J16" s="44">
        <v>2</v>
      </c>
      <c r="K16" s="44">
        <v>18</v>
      </c>
      <c r="L16" s="44">
        <v>0</v>
      </c>
      <c r="M16" s="45">
        <v>2</v>
      </c>
    </row>
    <row r="17" spans="1:13" x14ac:dyDescent="0.25">
      <c r="D17" s="6">
        <f t="shared" ref="D17:E17" si="0">SUM(D2:D16)</f>
        <v>133</v>
      </c>
      <c r="E17" s="6">
        <f t="shared" si="0"/>
        <v>212</v>
      </c>
      <c r="J17" s="6">
        <f>SUM(J2:J16)</f>
        <v>94</v>
      </c>
    </row>
    <row r="19" spans="1:13" x14ac:dyDescent="0.25">
      <c r="E19" s="53" t="s">
        <v>282</v>
      </c>
      <c r="F19" s="54"/>
      <c r="G19" s="54"/>
      <c r="H19" s="54"/>
      <c r="I19" s="46">
        <v>119</v>
      </c>
    </row>
    <row r="21" spans="1:13" ht="15.75" customHeight="1" x14ac:dyDescent="0.25">
      <c r="A21" s="50">
        <v>2021</v>
      </c>
      <c r="B21" s="29" t="s">
        <v>270</v>
      </c>
      <c r="C21" s="29">
        <v>22</v>
      </c>
      <c r="D21" s="29">
        <v>7</v>
      </c>
      <c r="E21" s="29">
        <v>14</v>
      </c>
      <c r="F21" s="29">
        <v>15</v>
      </c>
      <c r="G21" s="29">
        <v>2</v>
      </c>
      <c r="H21" s="29">
        <v>1</v>
      </c>
      <c r="I21" s="29">
        <v>1</v>
      </c>
      <c r="J21" s="29">
        <v>1</v>
      </c>
      <c r="K21" s="29">
        <v>16</v>
      </c>
      <c r="L21" s="29">
        <v>0</v>
      </c>
      <c r="M21" s="38">
        <v>0</v>
      </c>
    </row>
    <row r="22" spans="1:13" ht="15.75" customHeight="1" x14ac:dyDescent="0.25">
      <c r="A22" s="51"/>
      <c r="B22" s="29" t="s">
        <v>271</v>
      </c>
      <c r="C22" s="29">
        <v>37</v>
      </c>
      <c r="D22" s="29">
        <v>15</v>
      </c>
      <c r="E22" s="29">
        <v>22</v>
      </c>
      <c r="F22" s="29">
        <v>28</v>
      </c>
      <c r="G22" s="29">
        <v>4</v>
      </c>
      <c r="H22" s="29">
        <v>0</v>
      </c>
      <c r="I22" s="29">
        <v>5</v>
      </c>
      <c r="J22" s="29">
        <v>12</v>
      </c>
      <c r="K22" s="29">
        <v>25</v>
      </c>
      <c r="L22" s="29">
        <v>0</v>
      </c>
      <c r="M22" s="38">
        <v>0</v>
      </c>
    </row>
    <row r="23" spans="1:13" ht="15.75" customHeight="1" x14ac:dyDescent="0.25">
      <c r="A23" s="51"/>
      <c r="B23" s="29" t="s">
        <v>272</v>
      </c>
      <c r="C23" s="29">
        <v>43</v>
      </c>
      <c r="D23" s="29">
        <v>13</v>
      </c>
      <c r="E23" s="29">
        <v>30</v>
      </c>
      <c r="F23" s="29">
        <v>29</v>
      </c>
      <c r="G23" s="29">
        <v>6</v>
      </c>
      <c r="H23" s="29">
        <v>0</v>
      </c>
      <c r="I23" s="29">
        <v>8</v>
      </c>
      <c r="J23" s="29">
        <v>14</v>
      </c>
      <c r="K23" s="29">
        <v>29</v>
      </c>
      <c r="L23" s="29">
        <v>0</v>
      </c>
      <c r="M23" s="38">
        <v>0</v>
      </c>
    </row>
    <row r="24" spans="1:13" ht="15.75" customHeight="1" x14ac:dyDescent="0.25">
      <c r="A24" s="51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</row>
    <row r="25" spans="1:13" ht="15.75" customHeight="1" x14ac:dyDescent="0.25">
      <c r="A25" s="51"/>
      <c r="B25" s="29" t="s">
        <v>273</v>
      </c>
      <c r="C25" s="29">
        <v>43</v>
      </c>
      <c r="D25" s="29">
        <v>12</v>
      </c>
      <c r="E25" s="29">
        <v>31</v>
      </c>
      <c r="F25" s="29">
        <v>25</v>
      </c>
      <c r="G25" s="29">
        <v>2</v>
      </c>
      <c r="H25" s="29">
        <v>1</v>
      </c>
      <c r="I25" s="29">
        <v>15</v>
      </c>
      <c r="J25" s="29">
        <v>10</v>
      </c>
      <c r="K25" s="29">
        <v>33</v>
      </c>
      <c r="L25" s="29">
        <v>0</v>
      </c>
      <c r="M25" s="42">
        <v>1</v>
      </c>
    </row>
    <row r="26" spans="1:13" ht="15.75" customHeight="1" x14ac:dyDescent="0.25">
      <c r="A26" s="51"/>
      <c r="B26" s="29" t="s">
        <v>274</v>
      </c>
      <c r="C26" s="29">
        <v>42</v>
      </c>
      <c r="D26" s="29">
        <v>13</v>
      </c>
      <c r="E26" s="29">
        <v>29</v>
      </c>
      <c r="F26" s="29">
        <v>32</v>
      </c>
      <c r="G26" s="29">
        <v>4</v>
      </c>
      <c r="H26" s="29">
        <v>0</v>
      </c>
      <c r="I26" s="29">
        <v>5</v>
      </c>
      <c r="J26" s="29">
        <v>15</v>
      </c>
      <c r="K26" s="29">
        <v>27</v>
      </c>
      <c r="L26" s="29">
        <v>0</v>
      </c>
      <c r="M26" s="42">
        <v>3</v>
      </c>
    </row>
    <row r="27" spans="1:13" ht="15.75" customHeight="1" x14ac:dyDescent="0.25">
      <c r="A27" s="51"/>
      <c r="B27" s="29" t="s">
        <v>275</v>
      </c>
      <c r="C27" s="29">
        <v>45</v>
      </c>
      <c r="D27" s="29">
        <v>9</v>
      </c>
      <c r="E27" s="29">
        <v>36</v>
      </c>
      <c r="F27" s="29">
        <v>37</v>
      </c>
      <c r="G27" s="29">
        <v>4</v>
      </c>
      <c r="H27" s="29">
        <v>1</v>
      </c>
      <c r="I27" s="29">
        <v>3</v>
      </c>
      <c r="J27" s="29">
        <v>14</v>
      </c>
      <c r="K27" s="29">
        <v>31</v>
      </c>
      <c r="L27" s="29">
        <v>0</v>
      </c>
      <c r="M27" s="42">
        <v>2</v>
      </c>
    </row>
    <row r="28" spans="1:13" ht="15.75" customHeight="1" x14ac:dyDescent="0.25">
      <c r="A28" s="51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3"/>
    </row>
    <row r="29" spans="1:13" ht="15.75" customHeight="1" x14ac:dyDescent="0.25">
      <c r="A29" s="51"/>
      <c r="B29" s="29" t="s">
        <v>276</v>
      </c>
      <c r="C29" s="29">
        <v>44</v>
      </c>
      <c r="D29" s="29">
        <v>15</v>
      </c>
      <c r="E29" s="29">
        <v>29</v>
      </c>
      <c r="F29" s="29">
        <v>36</v>
      </c>
      <c r="G29" s="29">
        <v>6</v>
      </c>
      <c r="H29" s="29">
        <v>0</v>
      </c>
      <c r="I29" s="29">
        <v>2</v>
      </c>
      <c r="J29" s="29">
        <v>6</v>
      </c>
      <c r="K29" s="29">
        <v>38</v>
      </c>
      <c r="L29" s="29">
        <v>0</v>
      </c>
      <c r="M29" s="38">
        <v>0</v>
      </c>
    </row>
    <row r="30" spans="1:13" ht="15.75" customHeight="1" x14ac:dyDescent="0.25">
      <c r="A30" s="51"/>
      <c r="B30" s="29" t="s">
        <v>277</v>
      </c>
      <c r="C30" s="29">
        <v>37</v>
      </c>
      <c r="D30" s="29">
        <v>11</v>
      </c>
      <c r="E30" s="29">
        <v>26</v>
      </c>
      <c r="F30" s="29">
        <v>30</v>
      </c>
      <c r="G30" s="29">
        <v>6</v>
      </c>
      <c r="H30" s="29">
        <v>0</v>
      </c>
      <c r="I30" s="29">
        <v>1</v>
      </c>
      <c r="J30" s="29">
        <v>10</v>
      </c>
      <c r="K30" s="29">
        <v>26</v>
      </c>
      <c r="L30" s="29">
        <v>1</v>
      </c>
      <c r="M30" s="38">
        <v>0</v>
      </c>
    </row>
    <row r="31" spans="1:13" ht="15.75" customHeight="1" x14ac:dyDescent="0.25">
      <c r="A31" s="51"/>
      <c r="B31" s="29" t="s">
        <v>278</v>
      </c>
      <c r="C31" s="29">
        <v>63</v>
      </c>
      <c r="D31" s="29">
        <v>20</v>
      </c>
      <c r="E31" s="29">
        <v>43</v>
      </c>
      <c r="F31" s="29">
        <v>48</v>
      </c>
      <c r="G31" s="29">
        <v>7</v>
      </c>
      <c r="H31" s="29">
        <v>0</v>
      </c>
      <c r="I31" s="29">
        <v>8</v>
      </c>
      <c r="J31" s="29">
        <v>8</v>
      </c>
      <c r="K31" s="29">
        <v>55</v>
      </c>
      <c r="L31" s="29">
        <v>2</v>
      </c>
      <c r="M31" s="42">
        <v>0</v>
      </c>
    </row>
    <row r="32" spans="1:13" ht="15.75" customHeight="1" x14ac:dyDescent="0.25">
      <c r="A32" s="51"/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1"/>
    </row>
    <row r="33" spans="1:13" ht="15.75" customHeight="1" x14ac:dyDescent="0.25">
      <c r="A33" s="51"/>
      <c r="B33" s="29" t="s">
        <v>279</v>
      </c>
      <c r="C33" s="29">
        <v>55</v>
      </c>
      <c r="D33" s="29">
        <v>13</v>
      </c>
      <c r="E33" s="29">
        <v>42</v>
      </c>
      <c r="F33" s="29">
        <v>45</v>
      </c>
      <c r="G33" s="29">
        <v>8</v>
      </c>
      <c r="H33" s="29">
        <v>0</v>
      </c>
      <c r="I33" s="29">
        <v>2</v>
      </c>
      <c r="J33" s="29">
        <v>26</v>
      </c>
      <c r="K33" s="29">
        <v>29</v>
      </c>
      <c r="L33" s="29">
        <v>0</v>
      </c>
      <c r="M33" s="42">
        <v>0</v>
      </c>
    </row>
    <row r="34" spans="1:13" ht="15.75" customHeight="1" x14ac:dyDescent="0.25">
      <c r="A34" s="51"/>
      <c r="B34" s="29" t="s">
        <v>280</v>
      </c>
      <c r="C34" s="29">
        <v>84</v>
      </c>
      <c r="D34" s="29">
        <v>27</v>
      </c>
      <c r="E34" s="29">
        <v>57</v>
      </c>
      <c r="F34" s="29">
        <v>69</v>
      </c>
      <c r="G34" s="29">
        <v>8</v>
      </c>
      <c r="H34" s="29">
        <v>0</v>
      </c>
      <c r="I34" s="29">
        <v>7</v>
      </c>
      <c r="J34" s="29">
        <v>27</v>
      </c>
      <c r="K34" s="29">
        <v>57</v>
      </c>
      <c r="L34" s="29">
        <v>0</v>
      </c>
      <c r="M34" s="42">
        <v>5</v>
      </c>
    </row>
    <row r="35" spans="1:13" ht="15.75" customHeight="1" x14ac:dyDescent="0.25">
      <c r="A35" s="52"/>
      <c r="B35" s="44" t="s">
        <v>281</v>
      </c>
      <c r="C35" s="44">
        <v>47</v>
      </c>
      <c r="D35" s="44">
        <v>10</v>
      </c>
      <c r="E35" s="44">
        <v>37</v>
      </c>
      <c r="F35" s="44">
        <v>37</v>
      </c>
      <c r="G35" s="44">
        <v>4</v>
      </c>
      <c r="H35" s="44">
        <v>0</v>
      </c>
      <c r="I35" s="44">
        <v>6</v>
      </c>
      <c r="J35" s="44">
        <v>12</v>
      </c>
      <c r="K35" s="44">
        <v>35</v>
      </c>
      <c r="L35" s="44">
        <v>0</v>
      </c>
      <c r="M35" s="45">
        <v>2</v>
      </c>
    </row>
    <row r="36" spans="1:13" ht="15.75" customHeight="1" x14ac:dyDescent="0.25">
      <c r="J36" s="6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50">
        <v>2022</v>
      </c>
      <c r="B39" s="29" t="s">
        <v>270</v>
      </c>
      <c r="C39" s="29">
        <v>30</v>
      </c>
      <c r="D39" s="29">
        <v>8</v>
      </c>
      <c r="E39" s="29">
        <v>22</v>
      </c>
      <c r="F39" s="29">
        <v>21</v>
      </c>
      <c r="G39" s="29">
        <v>3</v>
      </c>
      <c r="H39" s="29">
        <v>0</v>
      </c>
      <c r="I39" s="29">
        <v>4</v>
      </c>
      <c r="J39" s="29">
        <v>10</v>
      </c>
      <c r="K39" s="29">
        <v>20</v>
      </c>
      <c r="L39" s="29">
        <v>0</v>
      </c>
      <c r="M39" s="38">
        <v>0</v>
      </c>
    </row>
    <row r="40" spans="1:13" ht="15.75" customHeight="1" x14ac:dyDescent="0.25">
      <c r="A40" s="51"/>
      <c r="B40" s="29" t="s">
        <v>271</v>
      </c>
      <c r="C40" s="29">
        <v>58</v>
      </c>
      <c r="D40" s="29">
        <v>23</v>
      </c>
      <c r="E40" s="29">
        <v>35</v>
      </c>
      <c r="F40" s="29">
        <v>45</v>
      </c>
      <c r="G40" s="29">
        <v>6</v>
      </c>
      <c r="H40" s="29">
        <v>0</v>
      </c>
      <c r="I40" s="29">
        <v>7</v>
      </c>
      <c r="J40" s="29">
        <v>11</v>
      </c>
      <c r="K40" s="29">
        <v>47</v>
      </c>
      <c r="L40" s="29">
        <v>1</v>
      </c>
      <c r="M40" s="38">
        <v>0</v>
      </c>
    </row>
    <row r="41" spans="1:13" ht="15.75" customHeight="1" x14ac:dyDescent="0.25">
      <c r="A41" s="51"/>
      <c r="B41" s="29" t="s">
        <v>272</v>
      </c>
      <c r="C41" s="29">
        <v>78</v>
      </c>
      <c r="D41" s="29">
        <v>27</v>
      </c>
      <c r="E41" s="29">
        <v>51</v>
      </c>
      <c r="F41" s="29">
        <v>59</v>
      </c>
      <c r="G41" s="29">
        <v>8</v>
      </c>
      <c r="H41" s="29">
        <v>1</v>
      </c>
      <c r="I41" s="29">
        <v>10</v>
      </c>
      <c r="J41" s="29">
        <v>13</v>
      </c>
      <c r="K41" s="29">
        <v>65</v>
      </c>
      <c r="L41" s="29">
        <v>1</v>
      </c>
      <c r="M41" s="38">
        <v>3</v>
      </c>
    </row>
    <row r="42" spans="1:13" ht="15.75" customHeight="1" x14ac:dyDescent="0.25">
      <c r="A42" s="51"/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</row>
    <row r="43" spans="1:13" ht="15.75" customHeight="1" x14ac:dyDescent="0.25">
      <c r="A43" s="51"/>
      <c r="B43" s="29" t="s">
        <v>273</v>
      </c>
      <c r="C43" s="29">
        <v>48</v>
      </c>
      <c r="D43" s="29">
        <v>19</v>
      </c>
      <c r="E43" s="29">
        <v>29</v>
      </c>
      <c r="F43" s="29">
        <v>40</v>
      </c>
      <c r="G43" s="29">
        <v>4</v>
      </c>
      <c r="H43" s="29">
        <v>0</v>
      </c>
      <c r="I43" s="29">
        <v>4</v>
      </c>
      <c r="J43" s="29">
        <v>8</v>
      </c>
      <c r="K43" s="29">
        <v>40</v>
      </c>
      <c r="L43" s="29">
        <v>0</v>
      </c>
      <c r="M43" s="42">
        <v>1</v>
      </c>
    </row>
    <row r="44" spans="1:13" ht="15.75" customHeight="1" x14ac:dyDescent="0.25">
      <c r="A44" s="51"/>
      <c r="B44" s="29" t="s">
        <v>274</v>
      </c>
      <c r="C44" s="29">
        <v>60</v>
      </c>
      <c r="D44" s="29">
        <v>30</v>
      </c>
      <c r="E44" s="29">
        <v>30</v>
      </c>
      <c r="F44" s="29">
        <v>48</v>
      </c>
      <c r="G44" s="29">
        <v>5</v>
      </c>
      <c r="H44" s="29">
        <v>0</v>
      </c>
      <c r="I44" s="29">
        <v>7</v>
      </c>
      <c r="J44" s="29">
        <v>14</v>
      </c>
      <c r="K44" s="29">
        <v>46</v>
      </c>
      <c r="L44" s="29">
        <v>0</v>
      </c>
      <c r="M44" s="42">
        <v>2</v>
      </c>
    </row>
    <row r="45" spans="1:13" ht="15.75" customHeight="1" x14ac:dyDescent="0.25">
      <c r="A45" s="51"/>
      <c r="B45" s="29" t="s">
        <v>275</v>
      </c>
      <c r="C45" s="29">
        <v>66</v>
      </c>
      <c r="D45" s="29">
        <v>27</v>
      </c>
      <c r="E45" s="29">
        <v>39</v>
      </c>
      <c r="F45" s="29">
        <v>46</v>
      </c>
      <c r="G45" s="29">
        <v>7</v>
      </c>
      <c r="H45" s="29">
        <v>2</v>
      </c>
      <c r="I45" s="29">
        <v>11</v>
      </c>
      <c r="J45" s="29">
        <v>13</v>
      </c>
      <c r="K45" s="29">
        <v>54</v>
      </c>
      <c r="L45" s="29">
        <v>0</v>
      </c>
      <c r="M45" s="42">
        <v>0</v>
      </c>
    </row>
    <row r="46" spans="1:13" ht="15.75" customHeight="1" x14ac:dyDescent="0.25">
      <c r="A46" s="5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3"/>
    </row>
    <row r="47" spans="1:13" ht="15.75" customHeight="1" x14ac:dyDescent="0.25">
      <c r="A47" s="51"/>
      <c r="B47" s="29" t="s">
        <v>276</v>
      </c>
      <c r="C47" s="29">
        <v>68</v>
      </c>
      <c r="D47" s="29">
        <v>20</v>
      </c>
      <c r="E47" s="29">
        <v>48</v>
      </c>
      <c r="F47" s="29">
        <v>47</v>
      </c>
      <c r="G47" s="29">
        <v>6</v>
      </c>
      <c r="H47" s="29">
        <v>4</v>
      </c>
      <c r="I47" s="29">
        <v>11</v>
      </c>
      <c r="J47" s="29">
        <v>18</v>
      </c>
      <c r="K47" s="29">
        <v>50</v>
      </c>
      <c r="L47" s="29">
        <v>0</v>
      </c>
      <c r="M47" s="38">
        <v>4</v>
      </c>
    </row>
    <row r="48" spans="1:13" ht="15.75" customHeight="1" x14ac:dyDescent="0.25">
      <c r="A48" s="51"/>
      <c r="B48" s="29" t="s">
        <v>277</v>
      </c>
      <c r="C48" s="29">
        <v>68</v>
      </c>
      <c r="D48" s="29">
        <v>26</v>
      </c>
      <c r="E48" s="29">
        <v>42</v>
      </c>
      <c r="F48" s="29">
        <v>50</v>
      </c>
      <c r="G48" s="29">
        <v>7</v>
      </c>
      <c r="H48" s="29">
        <v>0</v>
      </c>
      <c r="I48" s="29">
        <v>11</v>
      </c>
      <c r="J48" s="29">
        <v>13</v>
      </c>
      <c r="K48" s="29">
        <v>55</v>
      </c>
      <c r="L48" s="29">
        <v>0</v>
      </c>
      <c r="M48" s="38">
        <v>1</v>
      </c>
    </row>
    <row r="49" spans="1:13" ht="15.75" customHeight="1" x14ac:dyDescent="0.25">
      <c r="A49" s="51"/>
      <c r="B49" s="29" t="s">
        <v>278</v>
      </c>
      <c r="C49" s="29">
        <v>68</v>
      </c>
      <c r="D49" s="29">
        <v>26</v>
      </c>
      <c r="E49" s="29">
        <v>42</v>
      </c>
      <c r="F49" s="29">
        <v>48</v>
      </c>
      <c r="G49" s="29">
        <v>8</v>
      </c>
      <c r="H49" s="29">
        <v>1</v>
      </c>
      <c r="I49" s="29">
        <v>11</v>
      </c>
      <c r="J49" s="29">
        <v>9</v>
      </c>
      <c r="K49" s="29">
        <v>59</v>
      </c>
      <c r="L49" s="29">
        <v>0</v>
      </c>
      <c r="M49" s="42">
        <v>2</v>
      </c>
    </row>
    <row r="50" spans="1:13" ht="15.75" customHeight="1" x14ac:dyDescent="0.25">
      <c r="A50" s="51"/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1"/>
    </row>
    <row r="51" spans="1:13" ht="15.75" customHeight="1" x14ac:dyDescent="0.25">
      <c r="A51" s="51"/>
      <c r="B51" s="29" t="s">
        <v>279</v>
      </c>
      <c r="C51" s="29">
        <v>49</v>
      </c>
      <c r="D51" s="29">
        <v>16</v>
      </c>
      <c r="E51" s="29">
        <v>33</v>
      </c>
      <c r="F51" s="29">
        <v>30</v>
      </c>
      <c r="G51" s="29">
        <v>7</v>
      </c>
      <c r="H51" s="29">
        <v>3</v>
      </c>
      <c r="I51" s="29">
        <v>9</v>
      </c>
      <c r="J51" s="29">
        <v>11</v>
      </c>
      <c r="K51" s="29">
        <v>38</v>
      </c>
      <c r="L51" s="29">
        <v>0</v>
      </c>
      <c r="M51" s="42">
        <v>1</v>
      </c>
    </row>
    <row r="52" spans="1:13" ht="15.75" customHeight="1" x14ac:dyDescent="0.25">
      <c r="A52" s="51"/>
      <c r="B52" s="29" t="s">
        <v>280</v>
      </c>
      <c r="C52" s="29">
        <v>66</v>
      </c>
      <c r="D52" s="29">
        <v>27</v>
      </c>
      <c r="E52" s="29">
        <v>38</v>
      </c>
      <c r="F52" s="29">
        <v>41</v>
      </c>
      <c r="G52" s="29">
        <v>9</v>
      </c>
      <c r="H52" s="29">
        <v>0</v>
      </c>
      <c r="I52" s="29">
        <v>15</v>
      </c>
      <c r="J52" s="29">
        <v>16</v>
      </c>
      <c r="K52" s="29">
        <v>50</v>
      </c>
      <c r="L52" s="29">
        <v>0</v>
      </c>
      <c r="M52" s="42">
        <v>2</v>
      </c>
    </row>
    <row r="53" spans="1:13" ht="15.75" customHeight="1" x14ac:dyDescent="0.25">
      <c r="A53" s="52"/>
      <c r="B53" s="44" t="s">
        <v>281</v>
      </c>
      <c r="C53" s="44">
        <v>38</v>
      </c>
      <c r="D53" s="44">
        <v>17</v>
      </c>
      <c r="E53" s="44">
        <v>21</v>
      </c>
      <c r="F53" s="44">
        <v>27</v>
      </c>
      <c r="G53" s="44">
        <v>5</v>
      </c>
      <c r="H53" s="44">
        <v>1</v>
      </c>
      <c r="I53" s="44">
        <v>5</v>
      </c>
      <c r="J53" s="44">
        <v>6</v>
      </c>
      <c r="K53" s="44">
        <v>32</v>
      </c>
      <c r="L53" s="44">
        <v>1</v>
      </c>
      <c r="M53" s="45">
        <v>2</v>
      </c>
    </row>
    <row r="54" spans="1:13" ht="15.75" customHeight="1" x14ac:dyDescent="0.25"/>
    <row r="55" spans="1:13" ht="15.75" customHeight="1" x14ac:dyDescent="0.25">
      <c r="J55" s="6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50">
        <v>2023</v>
      </c>
      <c r="B58" s="29" t="s">
        <v>270</v>
      </c>
      <c r="C58" s="29">
        <v>50</v>
      </c>
      <c r="D58" s="29">
        <v>19</v>
      </c>
      <c r="E58" s="29">
        <v>31</v>
      </c>
      <c r="F58" s="29">
        <v>38</v>
      </c>
      <c r="G58" s="29">
        <v>3</v>
      </c>
      <c r="H58" s="29">
        <v>1</v>
      </c>
      <c r="I58" s="29">
        <v>8</v>
      </c>
      <c r="J58" s="29">
        <v>11</v>
      </c>
      <c r="K58" s="29">
        <v>39</v>
      </c>
      <c r="L58" s="29">
        <v>0</v>
      </c>
      <c r="M58" s="38">
        <v>0</v>
      </c>
    </row>
    <row r="59" spans="1:13" ht="15.75" customHeight="1" x14ac:dyDescent="0.25">
      <c r="A59" s="51"/>
      <c r="B59" s="29" t="s">
        <v>271</v>
      </c>
      <c r="C59" s="29">
        <v>63</v>
      </c>
      <c r="D59" s="29">
        <v>17</v>
      </c>
      <c r="E59" s="29">
        <v>46</v>
      </c>
      <c r="F59" s="29">
        <v>51</v>
      </c>
      <c r="G59" s="29">
        <v>4</v>
      </c>
      <c r="H59" s="29">
        <v>0</v>
      </c>
      <c r="I59" s="29">
        <v>8</v>
      </c>
      <c r="J59" s="29">
        <v>11</v>
      </c>
      <c r="K59" s="29">
        <v>52</v>
      </c>
      <c r="L59" s="29">
        <v>0</v>
      </c>
      <c r="M59" s="38">
        <v>3</v>
      </c>
    </row>
    <row r="60" spans="1:13" ht="15.75" customHeight="1" x14ac:dyDescent="0.25">
      <c r="A60" s="51"/>
      <c r="B60" s="29" t="s">
        <v>272</v>
      </c>
      <c r="C60" s="29">
        <v>52</v>
      </c>
      <c r="D60" s="29">
        <v>18</v>
      </c>
      <c r="E60" s="29">
        <v>34</v>
      </c>
      <c r="F60" s="29">
        <v>36</v>
      </c>
      <c r="G60" s="29">
        <v>5</v>
      </c>
      <c r="H60" s="29">
        <v>1</v>
      </c>
      <c r="I60" s="29">
        <v>10</v>
      </c>
      <c r="J60" s="29">
        <v>7</v>
      </c>
      <c r="K60" s="29">
        <v>45</v>
      </c>
      <c r="L60" s="29">
        <v>1</v>
      </c>
      <c r="M60" s="38">
        <v>1</v>
      </c>
    </row>
    <row r="61" spans="1:13" ht="15.75" customHeight="1" x14ac:dyDescent="0.25">
      <c r="A61" s="51"/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1"/>
    </row>
    <row r="62" spans="1:13" ht="15.75" customHeight="1" x14ac:dyDescent="0.25">
      <c r="A62" s="51"/>
      <c r="B62" s="29" t="s">
        <v>273</v>
      </c>
      <c r="C62" s="29">
        <v>52</v>
      </c>
      <c r="D62" s="29">
        <v>18</v>
      </c>
      <c r="E62" s="29">
        <v>34</v>
      </c>
      <c r="F62" s="29">
        <v>35</v>
      </c>
      <c r="G62" s="29">
        <v>7</v>
      </c>
      <c r="H62" s="29">
        <v>2</v>
      </c>
      <c r="I62" s="29">
        <v>8</v>
      </c>
      <c r="J62" s="29">
        <v>17</v>
      </c>
      <c r="K62" s="29">
        <v>35</v>
      </c>
      <c r="L62" s="29">
        <v>0</v>
      </c>
      <c r="M62" s="42">
        <v>2</v>
      </c>
    </row>
    <row r="63" spans="1:13" ht="15.75" customHeight="1" x14ac:dyDescent="0.25">
      <c r="A63" s="51"/>
      <c r="B63" s="29" t="s">
        <v>274</v>
      </c>
      <c r="C63" s="29">
        <v>68</v>
      </c>
      <c r="D63" s="29">
        <v>31</v>
      </c>
      <c r="E63" s="29">
        <v>37</v>
      </c>
      <c r="F63" s="29">
        <v>43</v>
      </c>
      <c r="G63" s="29">
        <v>12</v>
      </c>
      <c r="H63" s="29">
        <v>1</v>
      </c>
      <c r="I63" s="29">
        <v>12</v>
      </c>
      <c r="J63" s="29">
        <v>21</v>
      </c>
      <c r="K63" s="29">
        <v>47</v>
      </c>
      <c r="L63" s="29">
        <v>1</v>
      </c>
      <c r="M63" s="42">
        <v>1</v>
      </c>
    </row>
    <row r="64" spans="1:13" ht="15.75" customHeight="1" x14ac:dyDescent="0.25">
      <c r="A64" s="51"/>
      <c r="B64" s="29" t="s">
        <v>275</v>
      </c>
      <c r="C64" s="29">
        <v>77</v>
      </c>
      <c r="D64" s="29">
        <v>29</v>
      </c>
      <c r="E64" s="29">
        <v>48</v>
      </c>
      <c r="F64" s="29">
        <v>55</v>
      </c>
      <c r="G64" s="29">
        <v>8</v>
      </c>
      <c r="H64" s="29">
        <v>1</v>
      </c>
      <c r="I64" s="29">
        <v>13</v>
      </c>
      <c r="J64" s="29">
        <v>27</v>
      </c>
      <c r="K64" s="29">
        <v>50</v>
      </c>
      <c r="L64" s="29">
        <v>0</v>
      </c>
      <c r="M64" s="42">
        <v>1</v>
      </c>
    </row>
    <row r="65" spans="1:13" ht="15.75" customHeight="1" x14ac:dyDescent="0.25">
      <c r="A65" s="51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43"/>
    </row>
    <row r="66" spans="1:13" ht="15.75" customHeight="1" x14ac:dyDescent="0.25">
      <c r="A66" s="51"/>
      <c r="B66" s="29" t="s">
        <v>276</v>
      </c>
      <c r="C66" s="29">
        <v>85</v>
      </c>
      <c r="D66" s="29">
        <v>32</v>
      </c>
      <c r="E66" s="29">
        <v>53</v>
      </c>
      <c r="F66" s="29">
        <v>62</v>
      </c>
      <c r="G66" s="29">
        <v>8</v>
      </c>
      <c r="H66" s="29">
        <v>1</v>
      </c>
      <c r="I66" s="29">
        <v>14</v>
      </c>
      <c r="J66" s="29">
        <v>25</v>
      </c>
      <c r="K66" s="29">
        <v>60</v>
      </c>
      <c r="L66" s="29">
        <v>0</v>
      </c>
      <c r="M66" s="38">
        <v>2</v>
      </c>
    </row>
    <row r="67" spans="1:13" ht="15.75" customHeight="1" x14ac:dyDescent="0.25">
      <c r="A67" s="51"/>
      <c r="B67" s="29" t="s">
        <v>277</v>
      </c>
      <c r="C67" s="29">
        <v>83</v>
      </c>
      <c r="D67" s="29">
        <v>37</v>
      </c>
      <c r="E67" s="29">
        <v>46</v>
      </c>
      <c r="F67" s="29">
        <v>61</v>
      </c>
      <c r="G67" s="29">
        <v>12</v>
      </c>
      <c r="H67" s="29">
        <v>0</v>
      </c>
      <c r="I67" s="29">
        <v>10</v>
      </c>
      <c r="J67" s="29">
        <v>22</v>
      </c>
      <c r="K67" s="29">
        <v>61</v>
      </c>
      <c r="L67" s="29">
        <v>0</v>
      </c>
      <c r="M67" s="38">
        <v>2</v>
      </c>
    </row>
    <row r="68" spans="1:13" ht="15.75" customHeight="1" x14ac:dyDescent="0.25">
      <c r="A68" s="51"/>
      <c r="B68" s="29" t="s">
        <v>278</v>
      </c>
      <c r="C68" s="29">
        <v>71</v>
      </c>
      <c r="D68" s="29">
        <v>29</v>
      </c>
      <c r="E68" s="29">
        <v>42</v>
      </c>
      <c r="F68" s="29">
        <v>58</v>
      </c>
      <c r="G68" s="29">
        <v>6</v>
      </c>
      <c r="H68" s="29">
        <v>1</v>
      </c>
      <c r="I68" s="29">
        <v>6</v>
      </c>
      <c r="J68" s="29">
        <v>15</v>
      </c>
      <c r="K68" s="29">
        <v>56</v>
      </c>
      <c r="L68" s="29">
        <v>0</v>
      </c>
      <c r="M68" s="42">
        <v>1</v>
      </c>
    </row>
    <row r="69" spans="1:13" ht="15.75" customHeight="1" x14ac:dyDescent="0.25">
      <c r="A69" s="51"/>
      <c r="B69" s="39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1"/>
    </row>
    <row r="70" spans="1:13" ht="15.75" customHeight="1" x14ac:dyDescent="0.25">
      <c r="A70" s="51"/>
      <c r="B70" s="29" t="s">
        <v>279</v>
      </c>
      <c r="C70" s="29">
        <v>59</v>
      </c>
      <c r="D70" s="29">
        <v>18</v>
      </c>
      <c r="E70" s="29">
        <v>41</v>
      </c>
      <c r="F70" s="29">
        <v>39</v>
      </c>
      <c r="G70" s="29">
        <v>12</v>
      </c>
      <c r="H70" s="29">
        <v>1</v>
      </c>
      <c r="I70" s="29">
        <v>7</v>
      </c>
      <c r="J70" s="29">
        <v>17</v>
      </c>
      <c r="K70" s="29">
        <v>42</v>
      </c>
      <c r="L70" s="29">
        <v>0</v>
      </c>
      <c r="M70" s="42">
        <v>0</v>
      </c>
    </row>
    <row r="71" spans="1:13" ht="15.75" customHeight="1" x14ac:dyDescent="0.25">
      <c r="A71" s="51"/>
      <c r="B71" s="29" t="s">
        <v>280</v>
      </c>
      <c r="C71" s="29">
        <v>82</v>
      </c>
      <c r="D71" s="29">
        <v>29</v>
      </c>
      <c r="E71" s="29">
        <v>53</v>
      </c>
      <c r="F71" s="29">
        <v>57</v>
      </c>
      <c r="G71" s="29">
        <v>14</v>
      </c>
      <c r="H71" s="29">
        <v>0</v>
      </c>
      <c r="I71" s="29">
        <v>11</v>
      </c>
      <c r="J71" s="29">
        <v>18</v>
      </c>
      <c r="K71" s="29">
        <v>64</v>
      </c>
      <c r="L71" s="29">
        <v>0</v>
      </c>
      <c r="M71" s="42">
        <v>0</v>
      </c>
    </row>
    <row r="72" spans="1:13" ht="15.75" customHeight="1" x14ac:dyDescent="0.25">
      <c r="A72" s="52"/>
      <c r="B72" s="44" t="s">
        <v>281</v>
      </c>
      <c r="C72" s="44">
        <v>60</v>
      </c>
      <c r="D72" s="44">
        <v>25</v>
      </c>
      <c r="E72" s="44">
        <v>35</v>
      </c>
      <c r="F72" s="44">
        <v>47</v>
      </c>
      <c r="G72" s="44">
        <v>5</v>
      </c>
      <c r="H72" s="44">
        <v>0</v>
      </c>
      <c r="I72" s="44">
        <v>8</v>
      </c>
      <c r="J72" s="44">
        <v>15</v>
      </c>
      <c r="K72" s="44">
        <v>45</v>
      </c>
      <c r="L72" s="44">
        <v>0</v>
      </c>
      <c r="M72" s="45">
        <v>0</v>
      </c>
    </row>
    <row r="73" spans="1:13" ht="15.75" customHeight="1" x14ac:dyDescent="0.25">
      <c r="J73" s="6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50">
        <v>2024</v>
      </c>
      <c r="B76" s="29" t="s">
        <v>270</v>
      </c>
      <c r="C76" s="29">
        <v>85</v>
      </c>
      <c r="D76" s="29">
        <v>29</v>
      </c>
      <c r="E76" s="29">
        <v>56</v>
      </c>
      <c r="F76" s="29">
        <v>74</v>
      </c>
      <c r="G76" s="29">
        <v>7</v>
      </c>
      <c r="H76" s="29">
        <v>0</v>
      </c>
      <c r="I76" s="29">
        <v>4</v>
      </c>
      <c r="J76" s="29">
        <v>12</v>
      </c>
      <c r="K76" s="29">
        <v>73</v>
      </c>
      <c r="L76" s="29">
        <v>0</v>
      </c>
      <c r="M76" s="38">
        <v>0</v>
      </c>
    </row>
    <row r="77" spans="1:13" ht="15.75" customHeight="1" x14ac:dyDescent="0.25">
      <c r="A77" s="51"/>
      <c r="B77" s="29" t="s">
        <v>271</v>
      </c>
      <c r="C77" s="47">
        <v>74</v>
      </c>
      <c r="D77" s="47">
        <v>27</v>
      </c>
      <c r="E77" s="47">
        <v>47</v>
      </c>
      <c r="F77" s="47">
        <v>57</v>
      </c>
      <c r="G77" s="47">
        <v>7</v>
      </c>
      <c r="H77" s="47">
        <v>0</v>
      </c>
      <c r="I77" s="47">
        <v>10</v>
      </c>
      <c r="J77" s="47">
        <v>23</v>
      </c>
      <c r="K77" s="47">
        <v>51</v>
      </c>
      <c r="L77" s="29">
        <v>2</v>
      </c>
      <c r="M77" s="38">
        <v>1</v>
      </c>
    </row>
    <row r="78" spans="1:13" ht="15.75" customHeight="1" x14ac:dyDescent="0.25">
      <c r="A78" s="51"/>
      <c r="B78" s="29" t="s">
        <v>272</v>
      </c>
      <c r="C78" s="29">
        <v>69</v>
      </c>
      <c r="D78" s="29">
        <v>20</v>
      </c>
      <c r="E78" s="29">
        <v>49</v>
      </c>
      <c r="F78" s="29">
        <v>53</v>
      </c>
      <c r="G78" s="29">
        <v>4</v>
      </c>
      <c r="H78" s="29">
        <v>0</v>
      </c>
      <c r="I78" s="29">
        <v>12</v>
      </c>
      <c r="J78" s="29">
        <v>15</v>
      </c>
      <c r="K78" s="29">
        <v>54</v>
      </c>
      <c r="L78" s="29">
        <v>0</v>
      </c>
      <c r="M78" s="38">
        <v>0</v>
      </c>
    </row>
    <row r="79" spans="1:13" ht="15.75" customHeight="1" x14ac:dyDescent="0.25">
      <c r="A79" s="51"/>
      <c r="B79" s="39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1"/>
    </row>
    <row r="80" spans="1:13" ht="15.75" customHeight="1" x14ac:dyDescent="0.25">
      <c r="A80" s="51"/>
      <c r="B80" s="29" t="s">
        <v>273</v>
      </c>
      <c r="C80" s="29">
        <v>57</v>
      </c>
      <c r="D80" s="29">
        <v>20</v>
      </c>
      <c r="E80" s="29">
        <v>37</v>
      </c>
      <c r="F80" s="29">
        <v>50</v>
      </c>
      <c r="G80" s="29">
        <v>2</v>
      </c>
      <c r="H80" s="29">
        <v>0</v>
      </c>
      <c r="I80" s="29">
        <v>5</v>
      </c>
      <c r="J80" s="29">
        <v>9</v>
      </c>
      <c r="K80" s="29">
        <v>48</v>
      </c>
      <c r="L80" s="29">
        <v>0</v>
      </c>
      <c r="M80" s="42">
        <v>0</v>
      </c>
    </row>
    <row r="81" spans="1:13" ht="15.75" customHeight="1" x14ac:dyDescent="0.25">
      <c r="A81" s="51"/>
      <c r="B81" s="29" t="s">
        <v>274</v>
      </c>
      <c r="C81" s="29">
        <v>85</v>
      </c>
      <c r="D81" s="29">
        <v>25</v>
      </c>
      <c r="E81" s="29">
        <v>60</v>
      </c>
      <c r="F81" s="29">
        <v>68</v>
      </c>
      <c r="G81" s="29">
        <v>6</v>
      </c>
      <c r="H81" s="29">
        <v>0</v>
      </c>
      <c r="I81" s="29">
        <v>11</v>
      </c>
      <c r="J81" s="29">
        <v>25</v>
      </c>
      <c r="K81" s="29">
        <v>60</v>
      </c>
      <c r="L81" s="29">
        <v>1</v>
      </c>
      <c r="M81" s="42">
        <v>4</v>
      </c>
    </row>
    <row r="82" spans="1:13" ht="15.75" customHeight="1" x14ac:dyDescent="0.25">
      <c r="A82" s="51"/>
      <c r="B82" s="29" t="s">
        <v>275</v>
      </c>
      <c r="C82" s="29">
        <v>55</v>
      </c>
      <c r="D82" s="29">
        <v>13</v>
      </c>
      <c r="E82" s="29">
        <v>42</v>
      </c>
      <c r="F82" s="29">
        <v>38</v>
      </c>
      <c r="G82" s="29">
        <v>3</v>
      </c>
      <c r="H82" s="29">
        <v>1</v>
      </c>
      <c r="I82" s="29">
        <v>13</v>
      </c>
      <c r="J82" s="29">
        <v>14</v>
      </c>
      <c r="K82" s="29">
        <v>41</v>
      </c>
      <c r="L82" s="29">
        <v>1</v>
      </c>
      <c r="M82" s="42">
        <v>2</v>
      </c>
    </row>
    <row r="83" spans="1:13" ht="15.75" customHeight="1" x14ac:dyDescent="0.25">
      <c r="A83" s="5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43"/>
    </row>
    <row r="84" spans="1:13" ht="15.75" customHeight="1" x14ac:dyDescent="0.25">
      <c r="A84" s="51"/>
      <c r="B84" s="29" t="s">
        <v>276</v>
      </c>
      <c r="C84" s="29">
        <v>62</v>
      </c>
      <c r="D84" s="29">
        <v>18</v>
      </c>
      <c r="E84" s="29">
        <v>44</v>
      </c>
      <c r="F84" s="29">
        <v>53</v>
      </c>
      <c r="G84" s="29">
        <v>3</v>
      </c>
      <c r="H84" s="29">
        <v>1</v>
      </c>
      <c r="I84" s="29">
        <v>5</v>
      </c>
      <c r="J84" s="29">
        <v>10</v>
      </c>
      <c r="K84" s="29">
        <v>52</v>
      </c>
      <c r="L84" s="29">
        <v>0</v>
      </c>
      <c r="M84" s="38">
        <v>0</v>
      </c>
    </row>
    <row r="85" spans="1:13" ht="15.75" customHeight="1" x14ac:dyDescent="0.25">
      <c r="A85" s="51"/>
      <c r="B85" s="29" t="s">
        <v>277</v>
      </c>
      <c r="C85" s="29">
        <v>72</v>
      </c>
      <c r="D85" s="29">
        <v>24</v>
      </c>
      <c r="E85" s="29">
        <v>48</v>
      </c>
      <c r="F85" s="29">
        <v>66</v>
      </c>
      <c r="G85" s="29">
        <v>3</v>
      </c>
      <c r="H85" s="29">
        <v>0</v>
      </c>
      <c r="I85" s="29">
        <v>3</v>
      </c>
      <c r="J85" s="29">
        <v>8</v>
      </c>
      <c r="K85" s="29">
        <v>64</v>
      </c>
      <c r="L85" s="29">
        <v>0</v>
      </c>
      <c r="M85" s="38">
        <v>1</v>
      </c>
    </row>
    <row r="86" spans="1:13" ht="15.75" customHeight="1" x14ac:dyDescent="0.25">
      <c r="A86" s="51"/>
      <c r="B86" s="29" t="s">
        <v>278</v>
      </c>
      <c r="C86" s="29">
        <v>77</v>
      </c>
      <c r="D86" s="29">
        <v>14</v>
      </c>
      <c r="E86" s="29">
        <v>63</v>
      </c>
      <c r="F86" s="29">
        <v>62</v>
      </c>
      <c r="G86" s="29">
        <v>7</v>
      </c>
      <c r="H86" s="29">
        <v>1</v>
      </c>
      <c r="I86" s="29">
        <v>7</v>
      </c>
      <c r="J86" s="29">
        <v>18</v>
      </c>
      <c r="K86" s="29">
        <v>59</v>
      </c>
      <c r="L86" s="29">
        <v>2</v>
      </c>
      <c r="M86" s="42">
        <v>0</v>
      </c>
    </row>
    <row r="87" spans="1:13" ht="15.75" customHeight="1" x14ac:dyDescent="0.25">
      <c r="A87" s="51"/>
      <c r="B87" s="39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1"/>
    </row>
    <row r="88" spans="1:13" ht="15.75" customHeight="1" x14ac:dyDescent="0.25">
      <c r="A88" s="51"/>
      <c r="B88" s="29" t="s">
        <v>279</v>
      </c>
      <c r="C88" s="29">
        <v>90</v>
      </c>
      <c r="D88" s="29">
        <v>27</v>
      </c>
      <c r="E88" s="29">
        <v>63</v>
      </c>
      <c r="F88" s="29">
        <v>66</v>
      </c>
      <c r="G88" s="29">
        <v>14</v>
      </c>
      <c r="H88" s="29">
        <v>0</v>
      </c>
      <c r="I88" s="29">
        <v>10</v>
      </c>
      <c r="J88" s="29">
        <v>20</v>
      </c>
      <c r="K88" s="29">
        <v>70</v>
      </c>
      <c r="L88" s="29">
        <v>0</v>
      </c>
      <c r="M88" s="42">
        <v>1</v>
      </c>
    </row>
    <row r="89" spans="1:13" ht="15.75" customHeight="1" x14ac:dyDescent="0.25">
      <c r="A89" s="51"/>
      <c r="B89" s="29" t="s">
        <v>280</v>
      </c>
      <c r="C89" s="29">
        <v>72</v>
      </c>
      <c r="D89" s="29">
        <v>15</v>
      </c>
      <c r="E89" s="29">
        <v>57</v>
      </c>
      <c r="F89" s="29">
        <v>56</v>
      </c>
      <c r="G89" s="29">
        <v>10</v>
      </c>
      <c r="H89" s="29">
        <v>1</v>
      </c>
      <c r="I89" s="29">
        <v>5</v>
      </c>
      <c r="J89" s="29">
        <v>13</v>
      </c>
      <c r="K89" s="29">
        <v>59</v>
      </c>
      <c r="L89" s="29">
        <v>0</v>
      </c>
      <c r="M89" s="42">
        <v>4</v>
      </c>
    </row>
    <row r="90" spans="1:13" ht="15.75" customHeight="1" x14ac:dyDescent="0.25">
      <c r="A90" s="52"/>
      <c r="B90" s="44" t="s">
        <v>281</v>
      </c>
      <c r="C90" s="44">
        <v>38</v>
      </c>
      <c r="D90" s="44">
        <v>12</v>
      </c>
      <c r="E90" s="44">
        <v>26</v>
      </c>
      <c r="F90" s="44">
        <v>34</v>
      </c>
      <c r="G90" s="44">
        <v>4</v>
      </c>
      <c r="H90" s="44">
        <v>0</v>
      </c>
      <c r="I90" s="44">
        <v>0</v>
      </c>
      <c r="J90" s="44">
        <v>4</v>
      </c>
      <c r="K90" s="44">
        <v>34</v>
      </c>
      <c r="L90" s="44">
        <v>0</v>
      </c>
      <c r="M90" s="45">
        <v>1</v>
      </c>
    </row>
    <row r="91" spans="1:13" ht="15.75" customHeight="1" x14ac:dyDescent="0.25">
      <c r="J91" s="6">
        <f>SUM(J76:J90)</f>
        <v>171</v>
      </c>
    </row>
    <row r="92" spans="1:13" ht="15.75" customHeight="1" x14ac:dyDescent="0.25">
      <c r="J92" s="6">
        <v>73</v>
      </c>
    </row>
    <row r="93" spans="1:13" ht="15.75" customHeight="1" x14ac:dyDescent="0.25"/>
    <row r="94" spans="1:13" ht="15.75" customHeight="1" x14ac:dyDescent="0.25">
      <c r="A94" s="50">
        <v>2025</v>
      </c>
      <c r="B94" s="29" t="s">
        <v>270</v>
      </c>
      <c r="C94" s="29">
        <v>83</v>
      </c>
      <c r="D94" s="29">
        <v>26</v>
      </c>
      <c r="E94" s="29">
        <v>57</v>
      </c>
      <c r="F94" s="29">
        <v>72</v>
      </c>
      <c r="G94" s="29">
        <v>7</v>
      </c>
      <c r="H94" s="29">
        <v>0</v>
      </c>
      <c r="I94" s="29">
        <v>4</v>
      </c>
      <c r="J94" s="29">
        <v>26</v>
      </c>
      <c r="K94" s="29">
        <v>57</v>
      </c>
      <c r="L94" s="29">
        <v>4</v>
      </c>
      <c r="M94" s="38">
        <v>3</v>
      </c>
    </row>
    <row r="95" spans="1:13" ht="15.75" customHeight="1" x14ac:dyDescent="0.25">
      <c r="A95" s="51"/>
      <c r="B95" s="29" t="s">
        <v>271</v>
      </c>
      <c r="C95" s="14">
        <v>88</v>
      </c>
      <c r="D95" s="14">
        <v>22</v>
      </c>
      <c r="E95" s="14">
        <v>66</v>
      </c>
      <c r="F95" s="14">
        <v>67</v>
      </c>
      <c r="G95" s="14">
        <v>11</v>
      </c>
      <c r="H95" s="14">
        <v>1</v>
      </c>
      <c r="I95" s="14">
        <v>9</v>
      </c>
      <c r="J95" s="14">
        <v>24</v>
      </c>
      <c r="K95" s="14">
        <v>64</v>
      </c>
      <c r="L95" s="29">
        <v>0</v>
      </c>
      <c r="M95" s="38">
        <v>1</v>
      </c>
    </row>
    <row r="96" spans="1:13" ht="15.75" customHeight="1" x14ac:dyDescent="0.25">
      <c r="A96" s="51"/>
      <c r="B96" s="29" t="s">
        <v>272</v>
      </c>
      <c r="C96" s="29">
        <v>71</v>
      </c>
      <c r="D96" s="29">
        <v>22</v>
      </c>
      <c r="E96" s="29">
        <v>49</v>
      </c>
      <c r="F96" s="29">
        <v>56</v>
      </c>
      <c r="G96" s="29">
        <v>8</v>
      </c>
      <c r="H96" s="29">
        <v>0</v>
      </c>
      <c r="I96" s="29">
        <v>7</v>
      </c>
      <c r="J96" s="29">
        <v>21</v>
      </c>
      <c r="K96" s="29">
        <v>50</v>
      </c>
      <c r="L96" s="29">
        <v>0</v>
      </c>
      <c r="M96" s="38">
        <v>1</v>
      </c>
    </row>
    <row r="97" spans="1:13" ht="15.75" customHeight="1" x14ac:dyDescent="0.25">
      <c r="A97" s="51"/>
      <c r="B97" s="39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1"/>
    </row>
    <row r="98" spans="1:13" ht="15.75" customHeight="1" x14ac:dyDescent="0.25">
      <c r="A98" s="51"/>
      <c r="B98" s="29" t="s">
        <v>273</v>
      </c>
      <c r="C98" s="29">
        <v>75</v>
      </c>
      <c r="D98" s="29">
        <v>20</v>
      </c>
      <c r="E98" s="29">
        <v>55</v>
      </c>
      <c r="F98" s="29">
        <v>66</v>
      </c>
      <c r="G98" s="29">
        <v>6</v>
      </c>
      <c r="H98" s="29">
        <v>1</v>
      </c>
      <c r="I98" s="29">
        <v>2</v>
      </c>
      <c r="J98" s="29">
        <v>12</v>
      </c>
      <c r="K98" s="29">
        <v>63</v>
      </c>
      <c r="L98" s="29">
        <v>0</v>
      </c>
      <c r="M98" s="42">
        <v>1</v>
      </c>
    </row>
    <row r="99" spans="1:13" ht="15.75" customHeight="1" x14ac:dyDescent="0.25">
      <c r="A99" s="51"/>
      <c r="B99" s="29" t="s">
        <v>274</v>
      </c>
      <c r="C99" s="29">
        <v>68</v>
      </c>
      <c r="D99" s="29">
        <v>22</v>
      </c>
      <c r="E99" s="29">
        <v>46</v>
      </c>
      <c r="F99" s="29">
        <v>56</v>
      </c>
      <c r="G99" s="29">
        <v>4</v>
      </c>
      <c r="H99" s="29">
        <v>1</v>
      </c>
      <c r="I99" s="29">
        <v>7</v>
      </c>
      <c r="J99" s="29">
        <v>20</v>
      </c>
      <c r="K99" s="29">
        <v>48</v>
      </c>
      <c r="L99" s="29">
        <v>0</v>
      </c>
      <c r="M99" s="42">
        <v>2</v>
      </c>
    </row>
    <row r="100" spans="1:13" ht="15.75" customHeight="1" x14ac:dyDescent="0.25">
      <c r="A100" s="51"/>
      <c r="B100" s="29" t="s">
        <v>275</v>
      </c>
      <c r="C100" s="14">
        <v>75</v>
      </c>
      <c r="D100" s="14">
        <v>27</v>
      </c>
      <c r="E100" s="14">
        <v>48</v>
      </c>
      <c r="F100" s="14">
        <v>60</v>
      </c>
      <c r="G100" s="14">
        <v>9</v>
      </c>
      <c r="H100" s="14">
        <v>0</v>
      </c>
      <c r="I100" s="14">
        <v>6</v>
      </c>
      <c r="J100" s="14">
        <v>15</v>
      </c>
      <c r="K100" s="14">
        <v>57</v>
      </c>
      <c r="L100" s="29">
        <v>0</v>
      </c>
      <c r="M100" s="42">
        <v>2</v>
      </c>
    </row>
    <row r="101" spans="1:13" ht="15.75" customHeight="1" x14ac:dyDescent="0.25">
      <c r="A101" s="5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43"/>
    </row>
    <row r="102" spans="1:13" ht="15.75" customHeight="1" x14ac:dyDescent="0.25">
      <c r="A102" s="51"/>
      <c r="B102" s="29" t="s">
        <v>276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38"/>
    </row>
    <row r="103" spans="1:13" ht="15.75" customHeight="1" x14ac:dyDescent="0.25">
      <c r="A103" s="51"/>
      <c r="B103" s="29" t="s">
        <v>277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38"/>
    </row>
    <row r="104" spans="1:13" ht="15.75" customHeight="1" x14ac:dyDescent="0.25">
      <c r="A104" s="51"/>
      <c r="B104" s="29" t="s">
        <v>278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42"/>
    </row>
    <row r="105" spans="1:13" ht="15.75" customHeight="1" x14ac:dyDescent="0.25">
      <c r="A105" s="51"/>
      <c r="B105" s="39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1"/>
    </row>
    <row r="106" spans="1:13" ht="15.75" customHeight="1" x14ac:dyDescent="0.25">
      <c r="A106" s="51"/>
      <c r="B106" s="29" t="s">
        <v>279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42"/>
    </row>
    <row r="107" spans="1:13" ht="15.75" customHeight="1" x14ac:dyDescent="0.25">
      <c r="A107" s="51"/>
      <c r="B107" s="29" t="s">
        <v>280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42"/>
    </row>
    <row r="108" spans="1:13" ht="15.75" customHeight="1" x14ac:dyDescent="0.25">
      <c r="A108" s="52"/>
      <c r="B108" s="44" t="s">
        <v>281</v>
      </c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5"/>
    </row>
    <row r="109" spans="1:13" ht="15.75" customHeight="1" x14ac:dyDescent="0.25">
      <c r="J109" s="7">
        <f>SUM(J94:J108)</f>
        <v>118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2026-01-15T12:30:02Z</dcterms:modified>
</cp:coreProperties>
</file>