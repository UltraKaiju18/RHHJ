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 Measure" sheetId="1" r:id="rId4"/>
  </sheets>
  <definedNames/>
  <calcPr/>
  <extLst>
    <ext uri="GoogleSheetsCustomDataVersion2">
      <go:sheetsCustomData xmlns:go="http://customooxmlschemas.google.com/" r:id="rId5" roundtripDataChecksum="EmusHCc0K0hpmK1/nRewFIcEgmEl0QGpfWTY/827cw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4">
      <text>
        <t xml:space="preserve">======
ID#AAABmFVBomM
Windows User    (2025-07-04 07:07:01)
All Visited</t>
      </text>
    </comment>
    <comment authorId="0" ref="H54">
      <text>
        <t xml:space="preserve">======
ID#AAABmFVBomQ
Windows User    (2025-07-04 07:07:01)
Fees payments</t>
      </text>
    </comment>
    <comment authorId="0" ref="M29">
      <text>
        <t xml:space="preserve">======
ID#AAABmFVBomE
RHHJ    (2025-07-04 07:07:01)
Kakira advocates
Butagaya</t>
      </text>
    </comment>
    <comment authorId="0" ref="N54">
      <text>
        <t xml:space="preserve">======
ID#AAABmFVBomI
Windows User    (2025-07-04 07:07:01)
Follow Up</t>
      </text>
    </comment>
    <comment authorId="0" ref="M36">
      <text>
        <t xml:space="preserve">======
ID#AAABmFVBomA
Windows User    (2025-07-04 07:07:01)
Calculated as %ages</t>
      </text>
    </comment>
    <comment authorId="0" ref="M54">
      <text>
        <t xml:space="preserve">======
ID#AAABmFVBol4
Windows User    (2025-07-04 07:07:01)
Follow up</t>
      </text>
    </comment>
    <comment authorId="0" ref="L12">
      <text>
        <t xml:space="preserve">======
ID#AAABmFVBol8
Windows User    (2025-07-04 07:07:01)
Buyende</t>
      </text>
    </comment>
    <comment authorId="0" ref="T6">
      <text>
        <t xml:space="preserve">======
ID#AAABmFVBol0
RHHJ    (2025-07-04 07:07:01)
To be calculated at the end of year 2022
number of controlled pain/TNw Patient in the year %</t>
      </text>
    </comment>
    <comment authorId="0" ref="F30">
      <text>
        <t xml:space="preserve">======
ID#AAABmFVBols
Emma    (2025-07-04 07:07:01)
on in every two months</t>
      </text>
    </comment>
    <comment authorId="0" ref="F27">
      <text>
        <t xml:space="preserve">======
ID#AAABmFVBolw
Emma    (2025-07-04 07:07:01)
1 per quarty</t>
      </text>
    </comment>
    <comment authorId="0" ref="T26">
      <text>
        <t xml:space="preserve">======
ID#AAABmFVBolk
RHHJ    (2025-07-04 07:07:01)
RHHJ:</t>
      </text>
    </comment>
    <comment authorId="0" ref="J54">
      <text>
        <t xml:space="preserve">======
ID#AAABmFVBolo
Windows User    (2025-07-04 07:07:01)
Monitoring Done</t>
      </text>
    </comment>
    <comment authorId="0" ref="F3">
      <text>
        <t xml:space="preserve">======
ID#AAABmFVBolU
Emma    (2025-07-04 07:07:01)
This is Annual target</t>
      </text>
    </comment>
    <comment authorId="0" ref="F29">
      <text>
        <t xml:space="preserve">======
ID#AAABmFVBolY
Emma    (2025-07-04 07:07:01)
1 in 4 month</t>
      </text>
    </comment>
    <comment authorId="0" ref="F56">
      <text>
        <t xml:space="preserve">======
ID#AAABmFVBolc
Emma    (2025-07-04 07:07:01)
1 in 4 month</t>
      </text>
    </comment>
    <comment authorId="0" ref="F32">
      <text>
        <t xml:space="preserve">======
ID#AAABmFVBolg
Emma    (2025-07-04 07:07:01)
One in every 4 month</t>
      </text>
    </comment>
    <comment authorId="0" ref="P54">
      <text>
        <t xml:space="preserve">======
ID#AAABmFVBolM
Windows User    (2025-07-04 07:07:01)
Fees payment</t>
      </text>
    </comment>
    <comment authorId="0" ref="M35">
      <text>
        <t xml:space="preserve">======
ID#AAABmFVBolQ
Windows User    (2025-07-04 07:07:01)
These are percentages</t>
      </text>
    </comment>
    <comment authorId="0" ref="H14">
      <text>
        <t xml:space="preserve">======
ID#AAABmFVBolI
RHHJ    (2025-07-04 07:07:01)
Hospital Collabration
- Jinja Hospital
-Bugiri
-Kyabirwa
-St Benedict
- Iganga 
- Buyinja 
-Kamuli
- Kidera</t>
      </text>
    </comment>
    <comment authorId="0" ref="C83">
      <text>
        <t xml:space="preserve">======
ID#AAABmFVBok4
Windows User    (2025-07-04 07:07:01)
Financial performance</t>
      </text>
    </comment>
    <comment authorId="0" ref="J12">
      <text>
        <t xml:space="preserve">======
ID#AAABmFVBok8
Windows User    (2025-07-04 07:07:01)
Buyende</t>
      </text>
    </comment>
    <comment authorId="0" ref="K54">
      <text>
        <t xml:space="preserve">======
ID#AAABmFVBok0
Windows User    (2025-07-04 07:07:01)
Holidays</t>
      </text>
    </comment>
    <comment authorId="0" ref="K12">
      <text>
        <t xml:space="preserve">======
ID#AAABmFVBolE
Windows User    (2025-07-04 07:07:01)
Buyende</t>
      </text>
    </comment>
    <comment authorId="0" ref="O54">
      <text>
        <t xml:space="preserve">======
ID#AAABmFVBolA
Windows User    (2025-07-04 07:07:01)
Holidays</t>
      </text>
    </comment>
    <comment authorId="0" ref="H29">
      <text>
        <t xml:space="preserve">======
ID#AAABmFVBoks
RHHJ    (2025-07-04 07:07:01)
Namayingo advocates</t>
      </text>
    </comment>
    <comment authorId="0" ref="H12">
      <text>
        <t xml:space="preserve">======
ID#AAABmFVBokw
Windows User    (2025-07-04 07:07:01)
Buyende</t>
      </text>
    </comment>
    <comment authorId="0" ref="T7">
      <text>
        <t xml:space="preserve">======
ID#AAABmFVBokk
RHHJ    (2025-07-04 07:07:01)
Getting the average of LFUP/12</t>
      </text>
    </comment>
    <comment authorId="0" ref="K19">
      <text>
        <t xml:space="preserve">======
ID#AAABmFVBoko
RHHJ    (2025-07-04 07:07:01)
its done quarterly by c/v head</t>
      </text>
    </comment>
    <comment authorId="0" ref="N12">
      <text>
        <t xml:space="preserve">======
ID#AAABmFVBokg
Windows User    (2025-07-04 07:07:01)
Buyende</t>
      </text>
    </comment>
    <comment authorId="0" ref="F2">
      <text>
        <t xml:space="preserve">======
ID#AAABmFVBokc
Windows User    (2025-07-04 07:07:01)
Monthly Indicators</t>
      </text>
    </comment>
    <comment authorId="0" ref="M12">
      <text>
        <t xml:space="preserve">======
ID#AAABmFVBokU
Windows User    (2025-07-04 07:07:01)
Buyende</t>
      </text>
    </comment>
    <comment authorId="0" ref="F58">
      <text>
        <t xml:space="preserve">======
ID#AAABmFVBokY
Emma    (2025-07-04 07:07:01)
1 every 4 months</t>
      </text>
    </comment>
    <comment authorId="0" ref="L54">
      <text>
        <t xml:space="preserve">======
ID#AAABmFVBokQ
Windows User    (2025-07-04 07:07:01)
Fees payment</t>
      </text>
    </comment>
    <comment authorId="0" ref="I12">
      <text>
        <t xml:space="preserve">======
ID#AAABmFVBokM
Windows User    (2025-07-04 07:07:01)
Buyende</t>
      </text>
    </comment>
  </commentList>
  <extLst>
    <ext uri="GoogleSheetsCustomDataVersion2">
      <go:sheetsCustomData xmlns:go="http://customooxmlschemas.google.com/" r:id="rId1" roundtripDataSignature="AMtx7mjlMC9ZQzf9OfdjdibNKoWiBooIlA=="/>
    </ext>
  </extLst>
</comments>
</file>

<file path=xl/sharedStrings.xml><?xml version="1.0" encoding="utf-8"?>
<sst xmlns="http://schemas.openxmlformats.org/spreadsheetml/2006/main" count="346" uniqueCount="230">
  <si>
    <t>REVIEW OF 2025 TARGETS VS PERFORMANCE UNDER THE SIX STRATEGIC OBJECTIVES PER MONTH</t>
  </si>
  <si>
    <t>DEPARTMENT</t>
  </si>
  <si>
    <t>Thematic area</t>
  </si>
  <si>
    <t>Activities</t>
  </si>
  <si>
    <t>Annual Measurable indicators</t>
  </si>
  <si>
    <t>Annual defult Total</t>
  </si>
  <si>
    <t>Target</t>
  </si>
  <si>
    <t>Responsible person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</si>
  <si>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</si>
  <si>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</si>
  <si>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</si>
  <si>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</si>
  <si>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</si>
  <si>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</si>
  <si>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</si>
  <si>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</si>
  <si>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Septeber</t>
  </si>
  <si>
    <t>Oct</t>
  </si>
  <si>
    <t>Nov</t>
  </si>
  <si>
    <t>Dec</t>
  </si>
  <si>
    <t>Target Grade</t>
  </si>
  <si>
    <t>Annual balance(Defult)</t>
  </si>
  <si>
    <t>Cumulative/totals</t>
  </si>
  <si>
    <t>Comments</t>
  </si>
  <si>
    <t>CLINICAL DEPARTMENT</t>
  </si>
  <si>
    <t xml:space="preserve">Provide quality clinical palliative care of patients with terminal or life-limiting illnesses </t>
  </si>
  <si>
    <t xml:space="preserve">Outreach and home visits to administer pain and symptoms management to enrolled patients </t>
  </si>
  <si>
    <t>1415 active patients on program</t>
  </si>
  <si>
    <t>Joan</t>
  </si>
  <si>
    <t>Assess new patients for palliative care needs and if none refer for appropriate services.</t>
  </si>
  <si>
    <t>792 New patients</t>
  </si>
  <si>
    <t>744 Consultations</t>
  </si>
  <si>
    <t>Train family members and care givers  on basic  care, pain control, proper use of medications, etc.</t>
  </si>
  <si>
    <t>75% of new  patients with controlled pain after 1 month</t>
  </si>
  <si>
    <t xml:space="preserve">Monthly review and follow-up of all scheduled patients appointments </t>
  </si>
  <si>
    <t>&lt; 5% loss to follow-up</t>
  </si>
  <si>
    <t>&lt;5%</t>
  </si>
  <si>
    <t>Monthly patients care schedules</t>
  </si>
  <si>
    <t>12 approved monthly patients care schedules</t>
  </si>
  <si>
    <t>Medicines and supplies stocked each quarter</t>
  </si>
  <si>
    <t>Monthly availability of essential drugs supplies</t>
  </si>
  <si>
    <t>Quarterly supplies</t>
  </si>
  <si>
    <t>Maintaining proper and updated patients records</t>
  </si>
  <si>
    <t>Updated patients data reports</t>
  </si>
  <si>
    <t>Monthly reviews, reflections and evaluations</t>
  </si>
  <si>
    <t>90% staff participation (with minutes and action plan)</t>
  </si>
  <si>
    <t>increase knowledge for palliative care in community</t>
  </si>
  <si>
    <t>Provide palliative care at home, outreaches, road side clinics, and other ways as deemed necessary</t>
  </si>
  <si>
    <t>Establish field offices 1 outreach centers in peripheral districts</t>
  </si>
  <si>
    <t>Namayingo field office</t>
  </si>
  <si>
    <t>ED</t>
  </si>
  <si>
    <t>Only one office is active</t>
  </si>
  <si>
    <t>Strengthening the Buyende field office</t>
  </si>
  <si>
    <t>288 patients served</t>
  </si>
  <si>
    <t>Establish working relationship with hospitals and HCs partners for joint care and referral</t>
  </si>
  <si>
    <t>establish total basic palliative care units in district hospitals/HC IV, Baale and one in Buyende</t>
  </si>
  <si>
    <t>2 new health facilities</t>
  </si>
  <si>
    <t>35% of referrals from hospitals and Health Centers</t>
  </si>
  <si>
    <t>Increase enrolled patients from remote districts (Buyende, Kaliro, Namyingo, Bugiri)</t>
  </si>
  <si>
    <t xml:space="preserve">40% Charts and database from Buyende, Kaliro, Namyingo, Bugiri </t>
  </si>
  <si>
    <t xml:space="preserve">Review and supply of needed equipment  of volunteers </t>
  </si>
  <si>
    <t>100  Community volunteers adequately equipped</t>
  </si>
  <si>
    <t>Emma</t>
  </si>
  <si>
    <t>IEC Materials in place</t>
  </si>
  <si>
    <t>Two palliative care IEC messages developed and disseminated</t>
  </si>
  <si>
    <t xml:space="preserve">Follow up and assess the work of the community volunteers </t>
  </si>
  <si>
    <t xml:space="preserve">C/V reports /Quarter </t>
  </si>
  <si>
    <t xml:space="preserve">Quarterly </t>
  </si>
  <si>
    <t>Access to treatment</t>
  </si>
  <si>
    <t>Support  biopsy, diagnostic  investigations and treatment for treatable or early stage cancers</t>
  </si>
  <si>
    <t xml:space="preserve">205Treatable cancer cases </t>
  </si>
  <si>
    <t>Susan</t>
  </si>
  <si>
    <t>Adherence support for 100%sick HIV/AIDS patients</t>
  </si>
  <si>
    <t>Cervical and Breast Cancer screening in rural communities</t>
  </si>
  <si>
    <t>Screening of women 20-70 years for cervical and breast cancer</t>
  </si>
  <si>
    <t>4000 women</t>
  </si>
  <si>
    <t>Irene</t>
  </si>
  <si>
    <t>Strengthen the 4 established screening centres</t>
  </si>
  <si>
    <t>4 centers are functioning 20 pts per month(240pts)</t>
  </si>
  <si>
    <t>Training screeners and advocates and sustainability of screening services</t>
  </si>
  <si>
    <t>Quaretely trainings and refresher trainings and also update meetings (50 to be trained)</t>
  </si>
  <si>
    <t>Establish screening centres in two districts ( Kayunga and Buikwe)</t>
  </si>
  <si>
    <t>240 ladies screened</t>
  </si>
  <si>
    <t>Collaboration on basic palliative care services provision at hospitals or HC IV</t>
  </si>
  <si>
    <t xml:space="preserve">25 hospitals or HC IV </t>
  </si>
  <si>
    <t xml:space="preserve">quarterly training courses to increase knowledge and performance among community volunteers </t>
  </si>
  <si>
    <t>100 community volunteer in 4 quarters</t>
  </si>
  <si>
    <t>1 per quarter</t>
  </si>
  <si>
    <t xml:space="preserve">Workshops centered around advocacy  for community leaders about palliative care services, cancer prevention and early detection. </t>
  </si>
  <si>
    <t>One workshop in 4 districts per year</t>
  </si>
  <si>
    <t xml:space="preserve">Establishment of community support groups  </t>
  </si>
  <si>
    <t>3 groups established</t>
  </si>
  <si>
    <t>Radio/TV sensitizations</t>
  </si>
  <si>
    <t>6 Local audience/policy makers</t>
  </si>
  <si>
    <t xml:space="preserve">Community sensitizations and meetings </t>
  </si>
  <si>
    <t xml:space="preserve">Four in districts/communities with few patients </t>
  </si>
  <si>
    <t>PSYCHO-SOCAL</t>
  </si>
  <si>
    <t>Attend to psycho-social needs of patients and family</t>
  </si>
  <si>
    <t>Counselling needs  evaluated and offered if needed -</t>
  </si>
  <si>
    <t>90% of clients</t>
  </si>
  <si>
    <t>Josephine</t>
  </si>
  <si>
    <t>Day Cares for patients</t>
  </si>
  <si>
    <t>36 daycares per year</t>
  </si>
  <si>
    <t>Bereavement</t>
  </si>
  <si>
    <t>75% of deaths  bereaved</t>
  </si>
  <si>
    <t>Spiritual Support, according to the patient’s faith and needs, mainstreamed in routine patients care</t>
  </si>
  <si>
    <t xml:space="preserve"> Spiritual support - reaching 75% of clients according to charts</t>
  </si>
  <si>
    <t>Memorial Service</t>
  </si>
  <si>
    <t>1 service per year</t>
  </si>
  <si>
    <t>Acheived</t>
  </si>
  <si>
    <t xml:space="preserve">Patients Christmas Party </t>
  </si>
  <si>
    <t xml:space="preserve"> </t>
  </si>
  <si>
    <t>Meeting patients and their families basic needs</t>
  </si>
  <si>
    <t xml:space="preserve">190 patients helped w. bedding </t>
  </si>
  <si>
    <t>Matress(16)</t>
  </si>
  <si>
    <t>Not achieved</t>
  </si>
  <si>
    <t>Matresses and bedding support</t>
  </si>
  <si>
    <t>Blanket(16)</t>
  </si>
  <si>
    <t>Macknitosh</t>
  </si>
  <si>
    <t>A pair of bed sheets(16)</t>
  </si>
  <si>
    <t>a pair Diaper16</t>
  </si>
  <si>
    <t>Food and Nutritional needs support patients and their families</t>
  </si>
  <si>
    <t xml:space="preserve">150 food and 150 porridge per month to needy patients </t>
  </si>
  <si>
    <t>Food  150</t>
  </si>
  <si>
    <t>Josephine (Food)</t>
  </si>
  <si>
    <t>178 were fed throughout the year and 302 were given chrismas parkage only</t>
  </si>
  <si>
    <t>Porridge 150</t>
  </si>
  <si>
    <t>Josephine(porridge)</t>
  </si>
  <si>
    <t>Social fund and economic support to patients and families</t>
  </si>
  <si>
    <t xml:space="preserve">150 patients and their families </t>
  </si>
  <si>
    <t xml:space="preserve">132 were given comfort  </t>
  </si>
  <si>
    <t>Shelter construction support</t>
  </si>
  <si>
    <t xml:space="preserve">11 houses, 4 two room houses, 5 repair  </t>
  </si>
  <si>
    <t>Single room</t>
  </si>
  <si>
    <t>repairs</t>
  </si>
  <si>
    <t>Two roomed houses</t>
  </si>
  <si>
    <t>Wheel chairs for handicapped patients</t>
  </si>
  <si>
    <t>12 people given wheelcahir</t>
  </si>
  <si>
    <t>Clothing support</t>
  </si>
  <si>
    <t>86 families</t>
  </si>
  <si>
    <t>Hope for the Future</t>
  </si>
  <si>
    <t>School fees support</t>
  </si>
  <si>
    <t>130 children supported in school</t>
  </si>
  <si>
    <t>Vocational or secondary school support</t>
  </si>
  <si>
    <t xml:space="preserve">25 children </t>
  </si>
  <si>
    <t xml:space="preserve">Follow-up of school children and sec./vocational children </t>
  </si>
  <si>
    <t xml:space="preserve">130 +25 children visited  each of 3 terms </t>
  </si>
  <si>
    <t>Income generating support</t>
  </si>
  <si>
    <t>40 patients/families supported</t>
  </si>
  <si>
    <t>ADMINISTRATION</t>
  </si>
  <si>
    <t>Organizations’ strategy, systems and governance</t>
  </si>
  <si>
    <t>Review of organizations strategic plan, operational plans, Human resources and finance manuals</t>
  </si>
  <si>
    <t xml:space="preserve"> Strategy Midterm review and policies in place</t>
  </si>
  <si>
    <t>Done</t>
  </si>
  <si>
    <t>Sharing experiences and practices at meetings and conferences</t>
  </si>
  <si>
    <t>2 conferences and meetings with papers presented</t>
  </si>
  <si>
    <t>KEPCA ,PCAU</t>
  </si>
  <si>
    <t>None</t>
  </si>
  <si>
    <t>Two conferences attented</t>
  </si>
  <si>
    <t>Active research group in place</t>
  </si>
  <si>
    <t>3  Research topics identified and worked on</t>
  </si>
  <si>
    <r>
      <rPr>
        <rFont val="Calibri"/>
        <color rgb="FFFF0000"/>
        <sz val="9.0"/>
      </rPr>
      <t xml:space="preserve"> </t>
    </r>
    <r>
      <rPr>
        <rFont val="Calibri"/>
        <color theme="1"/>
        <sz val="9.0"/>
      </rPr>
      <t>Strategy and policies in place</t>
    </r>
  </si>
  <si>
    <t>Drawings plans and budgets 2021</t>
  </si>
  <si>
    <t>Plans and budget 2021</t>
  </si>
  <si>
    <t>Sharing all key reviewed organisational documents with the staff</t>
  </si>
  <si>
    <t>HR Guidelines and Constitution</t>
  </si>
  <si>
    <t>Reviewed</t>
  </si>
  <si>
    <t xml:space="preserve">Staff meetings and annual retreat </t>
  </si>
  <si>
    <t>Monthly staff Meetings</t>
  </si>
  <si>
    <t>Agnes</t>
  </si>
  <si>
    <t xml:space="preserve"> Board meetings</t>
  </si>
  <si>
    <t>Quarterly Board meetings</t>
  </si>
  <si>
    <t>New Board contracts</t>
  </si>
  <si>
    <t>All Board members</t>
  </si>
  <si>
    <t>Organize AGM</t>
  </si>
  <si>
    <t>All Aproved members</t>
  </si>
  <si>
    <t>Refresher training on Board roles</t>
  </si>
  <si>
    <t xml:space="preserve">All board members </t>
  </si>
  <si>
    <t>Personnel performance review and Analysis and review of job description and persons specifications</t>
  </si>
  <si>
    <t xml:space="preserve">All existing positions </t>
  </si>
  <si>
    <t>HR</t>
  </si>
  <si>
    <t>Improve resource mobilization</t>
  </si>
  <si>
    <t>Interactive websites, face book and twitter</t>
  </si>
  <si>
    <t>Website, face book and twitter</t>
  </si>
  <si>
    <t>Bonita</t>
  </si>
  <si>
    <t>Seek local funding from individuals and private sector</t>
  </si>
  <si>
    <t xml:space="preserve">17 % of budget covered from local funding </t>
  </si>
  <si>
    <t>Recruit Hospice Members and friends</t>
  </si>
  <si>
    <t>100 members</t>
  </si>
  <si>
    <t>On track</t>
  </si>
  <si>
    <t>Provide timely reports and maintain interaction with existing donors and friends</t>
  </si>
  <si>
    <t>All donors</t>
  </si>
  <si>
    <t>Retain donors</t>
  </si>
  <si>
    <t>100% of possibly renewable donations given</t>
  </si>
  <si>
    <t xml:space="preserve"> Terbanacle church, Uganda for the roses, BFC, APCA</t>
  </si>
  <si>
    <t xml:space="preserve">Increase local funding </t>
  </si>
  <si>
    <t>8.75% of income from local funding</t>
  </si>
  <si>
    <t>BFC/APCA</t>
  </si>
  <si>
    <t xml:space="preserve">Widen donor base </t>
  </si>
  <si>
    <t>one new external  donor source covering at least  5% of budget</t>
  </si>
  <si>
    <t>Improve understanding of  palliative care issues in the region and document and share with key stake holders</t>
  </si>
  <si>
    <t xml:space="preserve"> Active membership to relevant key networks and alliances. 3 in 2021 , and continuing as relevant come</t>
  </si>
  <si>
    <t>3 organization PCAU, UCS, APCA</t>
  </si>
  <si>
    <t>Improve Monitoring &amp; Evaluation of Programme Activities</t>
  </si>
  <si>
    <t>Maintain monitoring and evaluation of programme activities</t>
  </si>
  <si>
    <t>results up to date and accurate</t>
  </si>
  <si>
    <t>John</t>
  </si>
  <si>
    <t>Write and disseminate annual and quarterly reports</t>
  </si>
  <si>
    <t xml:space="preserve">Annual/quarterly </t>
  </si>
  <si>
    <t>Follow programme progress on monthly basis</t>
  </si>
  <si>
    <t xml:space="preserve">monthly outcome indicators measured and presented </t>
  </si>
  <si>
    <t>N/A</t>
  </si>
  <si>
    <t>Good work standard</t>
  </si>
  <si>
    <t>Capacity building of staff</t>
  </si>
  <si>
    <t>External training courses</t>
  </si>
  <si>
    <t xml:space="preserve">25% of staff </t>
  </si>
  <si>
    <t xml:space="preserve">Condusive and sufficient working space for staff and volunteers </t>
  </si>
  <si>
    <t>Start income generating on office space</t>
  </si>
  <si>
    <t>Results up to date and accurate</t>
  </si>
  <si>
    <t>FINANCE</t>
  </si>
  <si>
    <t xml:space="preserve">Financial management </t>
  </si>
  <si>
    <t>Budgets reviews</t>
  </si>
  <si>
    <t>Quarterly reviews</t>
  </si>
  <si>
    <t>Finance reports</t>
  </si>
  <si>
    <t>Monthly, quarterly, Biannual and annual reports</t>
  </si>
  <si>
    <t>JANET</t>
  </si>
  <si>
    <t>Annual Audits</t>
  </si>
  <si>
    <t xml:space="preserve">Annually </t>
  </si>
  <si>
    <t>Develop 2024 budget</t>
  </si>
  <si>
    <t>Oct.2023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</si>
</sst>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8.0"/>
      <color theme="1"/>
      <name val="Calibri"/>
    </font>
    <font>
      <sz val="9.0"/>
      <color rgb="FFFF0000"/>
      <name val="Calibri"/>
    </font>
    <font>
      <sz val="9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9.0"/>
      <color theme="1"/>
      <name val="Times New Roman"/>
    </font>
    <font>
      <sz val="11.0"/>
      <color rgb="FFFF0000"/>
      <name val="Calibri"/>
    </font>
    <font>
      <sz val="9.0"/>
      <color theme="1"/>
      <name val="Cambria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</fills>
  <borders count="15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/>
    </xf>
    <xf borderId="0" fillId="0" fontId="5" numFmtId="0" xfId="0" applyFont="1"/>
    <xf borderId="5" fillId="0" fontId="4" numFmtId="0" xfId="0" applyBorder="1" applyFont="1"/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/>
    </xf>
    <xf borderId="7" fillId="0" fontId="6" numFmtId="0" xfId="0" applyAlignment="1" applyBorder="1" applyFont="1">
      <alignment horizontal="center" textRotation="255"/>
    </xf>
    <xf borderId="7" fillId="0" fontId="2" numFmtId="0" xfId="0" applyAlignment="1" applyBorder="1" applyFont="1">
      <alignment horizontal="center" shrinkToFit="0" textRotation="90" vertical="center" wrapText="1"/>
    </xf>
    <xf borderId="5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shrinkToFit="0" wrapText="1"/>
    </xf>
    <xf borderId="5" fillId="3" fontId="5" numFmtId="0" xfId="0" applyBorder="1" applyFill="1" applyFont="1"/>
    <xf borderId="5" fillId="0" fontId="5" numFmtId="0" xfId="0" applyBorder="1" applyFont="1"/>
    <xf borderId="6" fillId="0" fontId="3" numFmtId="0" xfId="0" applyBorder="1" applyFont="1"/>
    <xf borderId="7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left" readingOrder="0"/>
    </xf>
    <xf borderId="5" fillId="0" fontId="8" numFmtId="0" xfId="0" applyAlignment="1" applyBorder="1" applyFont="1">
      <alignment horizontal="left"/>
    </xf>
    <xf borderId="5" fillId="0" fontId="5" numFmtId="0" xfId="0" applyAlignment="1" applyBorder="1" applyFont="1">
      <alignment readingOrder="0"/>
    </xf>
    <xf borderId="8" fillId="0" fontId="3" numFmtId="0" xfId="0" applyBorder="1" applyFont="1"/>
    <xf borderId="5" fillId="0" fontId="7" numFmtId="0" xfId="0" applyAlignment="1" applyBorder="1" applyFont="1">
      <alignment horizontal="left" shrinkToFit="0" vertical="center" wrapText="1"/>
    </xf>
    <xf borderId="5" fillId="0" fontId="9" numFmtId="9" xfId="0" applyAlignment="1" applyBorder="1" applyFont="1" applyNumberFormat="1">
      <alignment horizontal="left" shrinkToFit="0" vertical="center" wrapText="1"/>
    </xf>
    <xf borderId="5" fillId="0" fontId="5" numFmtId="9" xfId="0" applyAlignment="1" applyBorder="1" applyFont="1" applyNumberFormat="1">
      <alignment shrinkToFit="0" wrapText="1"/>
    </xf>
    <xf borderId="5" fillId="0" fontId="5" numFmtId="164" xfId="0" applyBorder="1" applyFont="1" applyNumberFormat="1"/>
    <xf borderId="5" fillId="0" fontId="5" numFmtId="1" xfId="0" applyBorder="1" applyFont="1" applyNumberFormat="1"/>
    <xf borderId="5" fillId="0" fontId="5" numFmtId="0" xfId="0" applyAlignment="1" applyBorder="1" applyFont="1">
      <alignment horizontal="right" shrinkToFit="0" wrapText="1"/>
    </xf>
    <xf borderId="5" fillId="0" fontId="5" numFmtId="0" xfId="0" applyAlignment="1" applyBorder="1" applyFont="1">
      <alignment horizontal="left" shrinkToFit="0" wrapText="1"/>
    </xf>
    <xf borderId="5" fillId="0" fontId="5" numFmtId="164" xfId="0" applyAlignment="1" applyBorder="1" applyFont="1" applyNumberFormat="1">
      <alignment readingOrder="0"/>
    </xf>
    <xf borderId="5" fillId="0" fontId="5" numFmtId="2" xfId="0" applyBorder="1" applyFont="1" applyNumberFormat="1"/>
    <xf borderId="5" fillId="0" fontId="9" numFmtId="0" xfId="0" applyAlignment="1" applyBorder="1" applyFont="1">
      <alignment horizontal="left" shrinkToFit="0" vertical="center" wrapText="1"/>
    </xf>
    <xf borderId="5" fillId="0" fontId="5" numFmtId="1" xfId="0" applyAlignment="1" applyBorder="1" applyFont="1" applyNumberFormat="1">
      <alignment readingOrder="0"/>
    </xf>
    <xf borderId="5" fillId="4" fontId="5" numFmtId="1" xfId="0" applyBorder="1" applyFill="1" applyFont="1" applyNumberFormat="1"/>
    <xf borderId="5" fillId="4" fontId="5" numFmtId="0" xfId="0" applyBorder="1" applyFont="1"/>
    <xf borderId="7" fillId="0" fontId="8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0" fillId="0" fontId="10" numFmtId="0" xfId="0" applyFont="1"/>
    <xf borderId="5" fillId="4" fontId="5" numFmtId="164" xfId="0" applyBorder="1" applyFont="1" applyNumberFormat="1"/>
    <xf borderId="5" fillId="0" fontId="11" numFmtId="0" xfId="0" applyAlignment="1" applyBorder="1" applyFont="1">
      <alignment shrinkToFit="0" vertical="center" wrapText="1"/>
    </xf>
    <xf borderId="5" fillId="0" fontId="8" numFmtId="9" xfId="0" applyAlignment="1" applyBorder="1" applyFont="1" applyNumberFormat="1">
      <alignment horizontal="left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left" shrinkToFit="0" vertical="top" wrapText="1"/>
    </xf>
    <xf borderId="5" fillId="5" fontId="8" numFmtId="0" xfId="0" applyAlignment="1" applyBorder="1" applyFill="1" applyFont="1">
      <alignment horizontal="left" shrinkToFit="0" vertical="center" wrapText="1"/>
    </xf>
    <xf borderId="5" fillId="6" fontId="5" numFmtId="0" xfId="0" applyAlignment="1" applyBorder="1" applyFill="1" applyFont="1">
      <alignment shrinkToFit="0" wrapText="1"/>
    </xf>
    <xf borderId="5" fillId="6" fontId="5" numFmtId="0" xfId="0" applyBorder="1" applyFont="1"/>
    <xf borderId="5" fillId="0" fontId="8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left"/>
    </xf>
    <xf borderId="5" fillId="7" fontId="12" numFmtId="0" xfId="0" applyAlignment="1" applyBorder="1" applyFill="1" applyFont="1">
      <alignment shrinkToFit="0" wrapText="1"/>
    </xf>
    <xf borderId="5" fillId="5" fontId="11" numFmtId="0" xfId="0" applyAlignment="1" applyBorder="1" applyFont="1">
      <alignment horizontal="left" shrinkToFit="0" vertical="center" wrapText="1"/>
    </xf>
    <xf borderId="5" fillId="5" fontId="8" numFmtId="0" xfId="0" applyAlignment="1" applyBorder="1" applyFont="1">
      <alignment horizontal="left" shrinkToFit="0" wrapText="1"/>
    </xf>
    <xf borderId="5" fillId="0" fontId="5" numFmtId="165" xfId="0" applyBorder="1" applyFont="1" applyNumberFormat="1"/>
    <xf borderId="5" fillId="0" fontId="5" numFmtId="9" xfId="0" applyBorder="1" applyFont="1" applyNumberFormat="1"/>
    <xf borderId="5" fillId="5" fontId="8" numFmtId="0" xfId="0" applyAlignment="1" applyBorder="1" applyFont="1">
      <alignment horizontal="left" vertical="center"/>
    </xf>
    <xf borderId="5" fillId="4" fontId="5" numFmtId="10" xfId="0" applyBorder="1" applyFont="1" applyNumberFormat="1"/>
    <xf borderId="5" fillId="0" fontId="5" numFmtId="10" xfId="0" applyBorder="1" applyFont="1" applyNumberFormat="1"/>
    <xf borderId="5" fillId="5" fontId="8" numFmtId="9" xfId="0" applyAlignment="1" applyBorder="1" applyFont="1" applyNumberFormat="1">
      <alignment horizontal="left" shrinkToFit="0" vertical="center" wrapText="1"/>
    </xf>
    <xf borderId="5" fillId="8" fontId="5" numFmtId="0" xfId="0" applyAlignment="1" applyBorder="1" applyFill="1" applyFont="1">
      <alignment shrinkToFit="0" wrapText="1"/>
    </xf>
    <xf borderId="5" fillId="8" fontId="5" numFmtId="0" xfId="0" applyBorder="1" applyFont="1"/>
    <xf borderId="5" fillId="9" fontId="5" numFmtId="0" xfId="0" applyBorder="1" applyFill="1" applyFont="1"/>
    <xf borderId="5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3" numFmtId="0" xfId="0" applyBorder="1" applyFont="1"/>
    <xf borderId="5" fillId="0" fontId="8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wrapText="1"/>
    </xf>
    <xf borderId="10" fillId="0" fontId="5" numFmtId="0" xfId="0" applyAlignment="1" applyBorder="1" applyFont="1">
      <alignment shrinkToFit="0" wrapText="1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shrinkToFit="0" wrapText="1"/>
    </xf>
    <xf borderId="5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textRotation="90" vertical="center"/>
    </xf>
    <xf borderId="12" fillId="0" fontId="3" numFmtId="0" xfId="0" applyBorder="1" applyFont="1"/>
    <xf borderId="13" fillId="0" fontId="5" numFmtId="0" xfId="0" applyAlignment="1" applyBorder="1" applyFont="1">
      <alignment horizontal="center"/>
    </xf>
    <xf borderId="14" fillId="0" fontId="3" numFmtId="0" xfId="0" applyBorder="1" applyFont="1"/>
    <xf borderId="10" fillId="0" fontId="3" numFmtId="0" xfId="0" applyBorder="1" applyFont="1"/>
    <xf borderId="6" fillId="0" fontId="11" numFmtId="0" xfId="0" applyAlignment="1" applyBorder="1" applyFont="1">
      <alignment shrinkToFit="0" vertical="center" wrapText="1"/>
    </xf>
    <xf borderId="5" fillId="4" fontId="12" numFmtId="0" xfId="0" applyBorder="1" applyFont="1"/>
    <xf borderId="5" fillId="0" fontId="12" numFmtId="0" xfId="0" applyBorder="1" applyFont="1"/>
    <xf borderId="0" fillId="0" fontId="5" numFmtId="9" xfId="0" applyFont="1" applyNumberFormat="1"/>
    <xf borderId="5" fillId="0" fontId="13" numFmtId="0" xfId="0" applyAlignment="1" applyBorder="1" applyFont="1">
      <alignment shrinkToFit="0" vertical="top" wrapText="1"/>
    </xf>
    <xf borderId="0" fillId="0" fontId="8" numFmtId="0" xfId="0" applyAlignment="1" applyFont="1">
      <alignment shrinkToFit="0" wrapText="1"/>
    </xf>
    <xf borderId="6" fillId="0" fontId="5" numFmtId="0" xfId="0" applyBorder="1" applyFont="1"/>
    <xf borderId="5" fillId="0" fontId="2" numFmtId="0" xfId="0" applyAlignment="1" applyBorder="1" applyFont="1">
      <alignment horizontal="center" shrinkToFit="0" textRotation="9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5" numFmtId="3" xfId="0" applyBorder="1" applyFont="1" applyNumberFormat="1"/>
    <xf borderId="5" fillId="4" fontId="5" numFmtId="3" xfId="0" applyBorder="1" applyFont="1" applyNumberFormat="1"/>
    <xf borderId="5" fillId="0" fontId="2" numFmtId="0" xfId="0" applyAlignment="1" applyBorder="1" applyFont="1">
      <alignment shrinkToFit="0" textRotation="90" wrapText="1"/>
    </xf>
    <xf borderId="12" fillId="0" fontId="2" numFmtId="0" xfId="0" applyAlignment="1" applyBorder="1" applyFont="1">
      <alignment horizontal="center" textRotation="9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14"/>
    <col customWidth="1" min="2" max="2" width="14.57"/>
    <col customWidth="1" min="3" max="4" width="48.29"/>
    <col customWidth="1" min="5" max="5" width="16.14"/>
    <col customWidth="1" min="6" max="6" width="15.86"/>
    <col customWidth="1" min="7" max="7" width="18.43"/>
    <col customWidth="1" min="8" max="8" width="11.57"/>
    <col customWidth="1" min="9" max="9" width="10.14"/>
    <col customWidth="1" min="10" max="10" width="9.86"/>
    <col customWidth="1" min="11" max="11" width="11.14"/>
    <col customWidth="1" min="12" max="12" width="10.71"/>
    <col customWidth="1" min="13" max="13" width="11.0"/>
    <col customWidth="1" min="14" max="14" width="11.29"/>
    <col customWidth="1" min="15" max="15" width="10.71"/>
    <col customWidth="1" min="16" max="16" width="11.43"/>
    <col customWidth="1" min="17" max="17" width="6.43"/>
    <col customWidth="1" min="18" max="18" width="6.0"/>
    <col customWidth="1" min="19" max="19" width="8.71"/>
    <col customWidth="1" min="20" max="20" width="13.86"/>
    <col customWidth="1" min="21" max="21" width="16.71"/>
    <col customWidth="1" min="22" max="22" width="17.14"/>
    <col customWidth="1" min="23" max="26" width="8.71"/>
  </cols>
  <sheetData>
    <row r="1" ht="15.0" customHeight="1">
      <c r="A1" s="1" t="s">
        <v>0</v>
      </c>
      <c r="E1" s="2"/>
      <c r="F1" s="3"/>
      <c r="G1" s="4"/>
      <c r="H1" s="5"/>
      <c r="N1" s="6"/>
      <c r="O1" s="6"/>
      <c r="P1" s="6"/>
      <c r="U1" s="7"/>
    </row>
    <row r="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11" t="s">
        <v>23</v>
      </c>
    </row>
    <row r="3" ht="24.0" customHeight="1">
      <c r="A3" s="12" t="s">
        <v>24</v>
      </c>
      <c r="B3" s="13" t="s">
        <v>25</v>
      </c>
      <c r="C3" s="14" t="s">
        <v>26</v>
      </c>
      <c r="D3" s="15" t="s">
        <v>27</v>
      </c>
      <c r="E3" s="16">
        <v>1415.0</v>
      </c>
      <c r="F3" s="17">
        <v>1415.0</v>
      </c>
      <c r="G3" s="17" t="s">
        <v>28</v>
      </c>
      <c r="H3" s="18">
        <v>768.0</v>
      </c>
      <c r="I3" s="18">
        <f t="shared" ref="I3:L3" si="1">SUM(H3+I4)</f>
        <v>844</v>
      </c>
      <c r="J3" s="18">
        <f t="shared" si="1"/>
        <v>921</v>
      </c>
      <c r="K3" s="18">
        <f t="shared" si="1"/>
        <v>989</v>
      </c>
      <c r="L3" s="18">
        <f t="shared" si="1"/>
        <v>1054</v>
      </c>
      <c r="M3" s="18">
        <f>(L3+M4)</f>
        <v>1125</v>
      </c>
      <c r="N3" s="18"/>
      <c r="O3" s="18"/>
      <c r="P3" s="18"/>
      <c r="Q3" s="18"/>
      <c r="R3" s="18"/>
      <c r="S3" s="18"/>
      <c r="T3" s="19">
        <f>SUM(H3,I4:S4)</f>
        <v>1125</v>
      </c>
      <c r="U3" s="19">
        <f>(F3-T3)</f>
        <v>290</v>
      </c>
      <c r="V3" s="19">
        <f>SUM(H3,I4,J4,K4,L4,M4,N4,O4,P4,Q4,R4,S4)</f>
        <v>1125</v>
      </c>
    </row>
    <row r="4" ht="21.0" customHeight="1">
      <c r="A4" s="20"/>
      <c r="B4" s="20"/>
      <c r="C4" s="21" t="s">
        <v>29</v>
      </c>
      <c r="D4" s="22" t="s">
        <v>30</v>
      </c>
      <c r="E4" s="23">
        <v>792.0</v>
      </c>
      <c r="F4" s="17">
        <v>66.0</v>
      </c>
      <c r="G4" s="17" t="s">
        <v>28</v>
      </c>
      <c r="H4" s="19">
        <v>63.0</v>
      </c>
      <c r="I4" s="19">
        <v>76.0</v>
      </c>
      <c r="J4" s="19">
        <v>77.0</v>
      </c>
      <c r="K4" s="19">
        <v>68.0</v>
      </c>
      <c r="L4" s="19">
        <v>65.0</v>
      </c>
      <c r="M4" s="24">
        <v>71.0</v>
      </c>
      <c r="N4" s="19"/>
      <c r="O4" s="19"/>
      <c r="P4" s="19"/>
      <c r="Q4" s="19"/>
      <c r="R4" s="19"/>
      <c r="S4" s="19"/>
      <c r="T4" s="19">
        <f t="shared" ref="T4:T5" si="2">SUM(H4:S4)</f>
        <v>420</v>
      </c>
      <c r="U4" s="19">
        <f t="shared" ref="U4:U5" si="3">(792-T4)</f>
        <v>372</v>
      </c>
      <c r="V4" s="19">
        <f t="shared" ref="V4:V5" si="4">SUM(H4:S4)</f>
        <v>420</v>
      </c>
    </row>
    <row r="5">
      <c r="A5" s="20"/>
      <c r="B5" s="20"/>
      <c r="C5" s="25"/>
      <c r="D5" s="22" t="s">
        <v>31</v>
      </c>
      <c r="E5" s="23">
        <v>744.0</v>
      </c>
      <c r="F5" s="17">
        <v>62.0</v>
      </c>
      <c r="G5" s="17" t="s">
        <v>28</v>
      </c>
      <c r="H5" s="19">
        <v>52.0</v>
      </c>
      <c r="I5" s="19">
        <v>78.0</v>
      </c>
      <c r="J5" s="19">
        <v>68.0</v>
      </c>
      <c r="K5" s="19">
        <v>64.0</v>
      </c>
      <c r="L5" s="19">
        <v>54.0</v>
      </c>
      <c r="M5" s="24">
        <v>67.0</v>
      </c>
      <c r="N5" s="19"/>
      <c r="O5" s="19"/>
      <c r="P5" s="19"/>
      <c r="Q5" s="19"/>
      <c r="R5" s="19"/>
      <c r="S5" s="19"/>
      <c r="T5" s="19">
        <f t="shared" si="2"/>
        <v>383</v>
      </c>
      <c r="U5" s="19">
        <f t="shared" si="3"/>
        <v>409</v>
      </c>
      <c r="V5" s="19">
        <f t="shared" si="4"/>
        <v>383</v>
      </c>
    </row>
    <row r="6" ht="24.75" customHeight="1">
      <c r="A6" s="20"/>
      <c r="B6" s="20"/>
      <c r="C6" s="16" t="s">
        <v>32</v>
      </c>
      <c r="D6" s="26" t="s">
        <v>33</v>
      </c>
      <c r="E6" s="27">
        <v>0.85</v>
      </c>
      <c r="F6" s="28">
        <v>0.85</v>
      </c>
      <c r="G6" s="28" t="s">
        <v>28</v>
      </c>
      <c r="H6" s="29">
        <v>86.5</v>
      </c>
      <c r="I6" s="29">
        <v>76.2</v>
      </c>
      <c r="J6" s="29"/>
      <c r="K6" s="29"/>
      <c r="L6" s="29"/>
      <c r="M6" s="29"/>
      <c r="N6" s="29"/>
      <c r="O6" s="30"/>
      <c r="P6" s="30"/>
      <c r="Q6" s="30"/>
      <c r="R6" s="30"/>
      <c r="S6" s="30"/>
      <c r="T6" s="30">
        <f>SUM(H6:S6)/12</f>
        <v>13.55833333</v>
      </c>
      <c r="U6" s="30">
        <f>(80-T6)</f>
        <v>66.44166667</v>
      </c>
      <c r="V6" s="29">
        <f>SUM(H6:S6)/12</f>
        <v>13.55833333</v>
      </c>
    </row>
    <row r="7">
      <c r="A7" s="20"/>
      <c r="B7" s="20"/>
      <c r="C7" s="16" t="s">
        <v>34</v>
      </c>
      <c r="D7" s="26" t="s">
        <v>35</v>
      </c>
      <c r="E7" s="27" t="s">
        <v>36</v>
      </c>
      <c r="F7" s="31" t="s">
        <v>36</v>
      </c>
      <c r="G7" s="32" t="s">
        <v>28</v>
      </c>
      <c r="H7" s="29">
        <v>0.0</v>
      </c>
      <c r="I7" s="29">
        <v>0.3</v>
      </c>
      <c r="J7" s="33">
        <v>1.5</v>
      </c>
      <c r="K7" s="33">
        <v>2.4</v>
      </c>
      <c r="L7" s="33">
        <v>2.9</v>
      </c>
      <c r="M7" s="33">
        <v>0.8</v>
      </c>
      <c r="N7" s="29"/>
      <c r="O7" s="29"/>
      <c r="P7" s="29"/>
      <c r="Q7" s="30"/>
      <c r="R7" s="29"/>
      <c r="S7" s="30"/>
      <c r="T7" s="34">
        <f>SUM(I7,K7,M7)/12</f>
        <v>0.2916666667</v>
      </c>
      <c r="U7" s="30"/>
      <c r="V7" s="19"/>
    </row>
    <row r="8">
      <c r="A8" s="20"/>
      <c r="B8" s="20"/>
      <c r="C8" s="16" t="s">
        <v>37</v>
      </c>
      <c r="D8" s="26" t="s">
        <v>38</v>
      </c>
      <c r="E8" s="35">
        <v>12.0</v>
      </c>
      <c r="F8" s="17">
        <v>1.0</v>
      </c>
      <c r="G8" s="28" t="s">
        <v>28</v>
      </c>
      <c r="H8" s="30">
        <v>1.0</v>
      </c>
      <c r="I8" s="30">
        <v>1.0</v>
      </c>
      <c r="J8" s="36">
        <v>1.0</v>
      </c>
      <c r="K8" s="36">
        <v>1.0</v>
      </c>
      <c r="L8" s="36">
        <v>1.0</v>
      </c>
      <c r="M8" s="36">
        <v>1.0</v>
      </c>
      <c r="N8" s="30"/>
      <c r="O8" s="30"/>
      <c r="P8" s="30"/>
      <c r="Q8" s="30"/>
      <c r="R8" s="30"/>
      <c r="S8" s="30"/>
      <c r="T8" s="37">
        <f>SUM(H8:S8)</f>
        <v>6</v>
      </c>
      <c r="U8" s="30">
        <f>12-T8</f>
        <v>6</v>
      </c>
      <c r="V8" s="30">
        <f>SUM(H8:S8)</f>
        <v>6</v>
      </c>
    </row>
    <row r="9" ht="31.5" customHeight="1">
      <c r="A9" s="20"/>
      <c r="B9" s="20"/>
      <c r="C9" s="16" t="s">
        <v>39</v>
      </c>
      <c r="D9" s="26" t="s">
        <v>40</v>
      </c>
      <c r="E9" s="16"/>
      <c r="F9" s="28" t="s">
        <v>41</v>
      </c>
      <c r="G9" s="28" t="s">
        <v>28</v>
      </c>
      <c r="H9" s="19">
        <v>1.0</v>
      </c>
      <c r="I9" s="19">
        <v>1.0</v>
      </c>
      <c r="J9" s="24">
        <v>1.0</v>
      </c>
      <c r="K9" s="24">
        <v>1.0</v>
      </c>
      <c r="L9" s="24">
        <v>1.0</v>
      </c>
      <c r="M9" s="24">
        <v>1.0</v>
      </c>
      <c r="N9" s="19"/>
      <c r="O9" s="19"/>
      <c r="P9" s="19"/>
      <c r="Q9" s="19"/>
      <c r="R9" s="19"/>
      <c r="S9" s="19"/>
      <c r="T9" s="38"/>
      <c r="U9" s="19"/>
      <c r="V9" s="19"/>
    </row>
    <row r="10" ht="31.5" customHeight="1">
      <c r="A10" s="20"/>
      <c r="B10" s="20"/>
      <c r="C10" s="39" t="s">
        <v>42</v>
      </c>
      <c r="D10" s="26" t="s">
        <v>43</v>
      </c>
      <c r="E10" s="16">
        <v>12.0</v>
      </c>
      <c r="F10" s="17">
        <v>1.0</v>
      </c>
      <c r="G10" s="28"/>
      <c r="H10" s="19">
        <v>1.0</v>
      </c>
      <c r="I10" s="19">
        <v>1.0</v>
      </c>
      <c r="J10" s="24">
        <v>1.0</v>
      </c>
      <c r="K10" s="24">
        <v>1.0</v>
      </c>
      <c r="L10" s="24">
        <v>1.0</v>
      </c>
      <c r="M10" s="24">
        <v>1.0</v>
      </c>
      <c r="N10" s="19"/>
      <c r="O10" s="19"/>
      <c r="P10" s="19"/>
      <c r="Q10" s="19"/>
      <c r="R10" s="19"/>
      <c r="S10" s="19"/>
      <c r="T10" s="38"/>
      <c r="U10" s="19"/>
      <c r="V10" s="19"/>
    </row>
    <row r="11" ht="31.5" customHeight="1">
      <c r="A11" s="20"/>
      <c r="B11" s="25"/>
      <c r="C11" s="39" t="s">
        <v>44</v>
      </c>
      <c r="D11" s="26" t="s">
        <v>45</v>
      </c>
      <c r="E11" s="16">
        <v>12.0</v>
      </c>
      <c r="F11" s="17">
        <v>1.0</v>
      </c>
      <c r="G11" s="28"/>
      <c r="H11" s="19">
        <v>1.0</v>
      </c>
      <c r="I11" s="19">
        <v>1.0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38"/>
      <c r="U11" s="19"/>
      <c r="V11" s="19"/>
    </row>
    <row r="12">
      <c r="A12" s="20"/>
      <c r="B12" s="13" t="s">
        <v>46</v>
      </c>
      <c r="C12" s="40" t="s">
        <v>47</v>
      </c>
      <c r="D12" s="26" t="s">
        <v>48</v>
      </c>
      <c r="E12" s="16" t="s">
        <v>49</v>
      </c>
      <c r="F12" s="17"/>
      <c r="G12" s="17" t="s">
        <v>50</v>
      </c>
      <c r="H12" s="24">
        <v>1.0</v>
      </c>
      <c r="I12" s="24">
        <v>1.0</v>
      </c>
      <c r="J12" s="24">
        <v>1.0</v>
      </c>
      <c r="K12" s="19"/>
      <c r="L12" s="19"/>
      <c r="M12" s="19"/>
      <c r="N12" s="19"/>
      <c r="O12" s="19"/>
      <c r="P12" s="19"/>
      <c r="Q12" s="19"/>
      <c r="R12" s="19"/>
      <c r="S12" s="19"/>
      <c r="T12" s="38">
        <v>1.0</v>
      </c>
      <c r="U12" s="19"/>
      <c r="V12" s="19"/>
      <c r="W12" s="41" t="s">
        <v>51</v>
      </c>
    </row>
    <row r="13">
      <c r="A13" s="20"/>
      <c r="B13" s="20"/>
      <c r="C13" s="25"/>
      <c r="D13" s="26" t="s">
        <v>52</v>
      </c>
      <c r="E13" s="16" t="s">
        <v>53</v>
      </c>
      <c r="F13" s="17">
        <v>24.0</v>
      </c>
      <c r="G13" s="17" t="s">
        <v>28</v>
      </c>
      <c r="H13" s="19">
        <v>149.0</v>
      </c>
      <c r="I13" s="19">
        <v>20.0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38">
        <f>SUM(H13:S13)</f>
        <v>169</v>
      </c>
      <c r="U13" s="19">
        <f>(288-T13)</f>
        <v>119</v>
      </c>
      <c r="V13" s="19"/>
    </row>
    <row r="14" ht="24.0" customHeight="1">
      <c r="A14" s="20"/>
      <c r="B14" s="20"/>
      <c r="C14" s="39" t="s">
        <v>54</v>
      </c>
      <c r="D14" s="26" t="s">
        <v>55</v>
      </c>
      <c r="E14" s="16" t="s">
        <v>56</v>
      </c>
      <c r="F14" s="17">
        <v>2.0</v>
      </c>
      <c r="G14" s="17" t="s">
        <v>28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38"/>
      <c r="U14" s="19"/>
      <c r="V14" s="19"/>
    </row>
    <row r="15">
      <c r="A15" s="20"/>
      <c r="B15" s="20"/>
      <c r="C15" s="25"/>
      <c r="D15" s="26" t="s">
        <v>57</v>
      </c>
      <c r="E15" s="16">
        <v>252.0</v>
      </c>
      <c r="F15" s="17">
        <v>21.0</v>
      </c>
      <c r="G15" s="28" t="s">
        <v>28</v>
      </c>
      <c r="H15" s="30">
        <v>9.0</v>
      </c>
      <c r="I15" s="30">
        <v>16.0</v>
      </c>
      <c r="J15" s="29"/>
      <c r="K15" s="29"/>
      <c r="L15" s="29"/>
      <c r="M15" s="30"/>
      <c r="N15" s="30"/>
      <c r="O15" s="30"/>
      <c r="P15" s="30"/>
      <c r="Q15" s="30"/>
      <c r="R15" s="29"/>
      <c r="S15" s="29"/>
      <c r="T15" s="42"/>
      <c r="U15" s="30"/>
      <c r="V15" s="19"/>
    </row>
    <row r="16">
      <c r="A16" s="20"/>
      <c r="B16" s="20"/>
      <c r="C16" s="16" t="s">
        <v>58</v>
      </c>
      <c r="D16" s="26" t="s">
        <v>59</v>
      </c>
      <c r="E16" s="16">
        <v>288.0</v>
      </c>
      <c r="F16" s="17">
        <v>24.0</v>
      </c>
      <c r="G16" s="17" t="s">
        <v>28</v>
      </c>
      <c r="H16" s="19">
        <v>36.0</v>
      </c>
      <c r="I16" s="19">
        <v>24.0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>
        <f>SUM(H16:S16)</f>
        <v>60</v>
      </c>
      <c r="U16" s="19">
        <f>(295-T16)</f>
        <v>235</v>
      </c>
      <c r="V16" s="19"/>
    </row>
    <row r="17">
      <c r="A17" s="20"/>
      <c r="B17" s="20"/>
      <c r="C17" s="16" t="s">
        <v>60</v>
      </c>
      <c r="D17" s="26" t="s">
        <v>61</v>
      </c>
      <c r="E17" s="16">
        <v>100.0</v>
      </c>
      <c r="F17" s="17">
        <v>100.0</v>
      </c>
      <c r="G17" s="17" t="s">
        <v>62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>
      <c r="A18" s="20"/>
      <c r="B18" s="20"/>
      <c r="C18" s="43" t="s">
        <v>63</v>
      </c>
      <c r="D18" s="43" t="s">
        <v>64</v>
      </c>
      <c r="E18" s="43"/>
      <c r="F18" s="17"/>
      <c r="G18" s="17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38"/>
      <c r="U18" s="19"/>
      <c r="V18" s="19"/>
    </row>
    <row r="19">
      <c r="A19" s="20"/>
      <c r="B19" s="25"/>
      <c r="C19" s="16" t="s">
        <v>65</v>
      </c>
      <c r="D19" s="26" t="s">
        <v>66</v>
      </c>
      <c r="E19" s="16">
        <v>4.0</v>
      </c>
      <c r="F19" s="17" t="s">
        <v>67</v>
      </c>
      <c r="G19" s="17" t="s">
        <v>62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>
      <c r="A20" s="20"/>
      <c r="B20" s="13" t="s">
        <v>68</v>
      </c>
      <c r="C20" s="39" t="s">
        <v>69</v>
      </c>
      <c r="D20" s="16" t="s">
        <v>70</v>
      </c>
      <c r="E20" s="16">
        <v>205.0</v>
      </c>
      <c r="F20" s="17">
        <v>18.0</v>
      </c>
      <c r="G20" s="17" t="s">
        <v>71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>
        <f t="shared" ref="T20:T23" si="5">SUM(H20:S20)</f>
        <v>0</v>
      </c>
      <c r="U20" s="19"/>
      <c r="V20" s="19"/>
    </row>
    <row r="21" ht="24.75" customHeight="1">
      <c r="A21" s="20"/>
      <c r="B21" s="25"/>
      <c r="C21" s="25"/>
      <c r="D21" s="16" t="s">
        <v>72</v>
      </c>
      <c r="E21" s="44">
        <v>1.0</v>
      </c>
      <c r="F21" s="28">
        <v>1.0</v>
      </c>
      <c r="G21" s="17" t="s">
        <v>71</v>
      </c>
      <c r="H21" s="19">
        <v>100.0</v>
      </c>
      <c r="I21" s="19">
        <v>67.0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>
        <f t="shared" si="5"/>
        <v>167</v>
      </c>
      <c r="U21" s="19"/>
      <c r="V21" s="19"/>
    </row>
    <row r="22" ht="26.25" customHeight="1">
      <c r="A22" s="20"/>
      <c r="B22" s="13" t="s">
        <v>73</v>
      </c>
      <c r="C22" s="16" t="s">
        <v>74</v>
      </c>
      <c r="D22" s="15" t="s">
        <v>75</v>
      </c>
      <c r="E22" s="45">
        <v>4000.0</v>
      </c>
      <c r="F22" s="46">
        <v>334.0</v>
      </c>
      <c r="G22" s="17" t="s">
        <v>76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f t="shared" si="5"/>
        <v>0</v>
      </c>
      <c r="U22" s="19">
        <f>(E22-T22)</f>
        <v>4000</v>
      </c>
      <c r="V22" s="19"/>
    </row>
    <row r="23" ht="26.25" customHeight="1">
      <c r="A23" s="20"/>
      <c r="B23" s="20"/>
      <c r="C23" s="16" t="s">
        <v>77</v>
      </c>
      <c r="D23" s="16" t="s">
        <v>78</v>
      </c>
      <c r="E23" s="16">
        <v>1440.0</v>
      </c>
      <c r="F23" s="17">
        <v>120.0</v>
      </c>
      <c r="G23" s="17" t="s">
        <v>76</v>
      </c>
      <c r="H23" s="19">
        <v>49.0</v>
      </c>
      <c r="I23" s="19">
        <v>82.0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f t="shared" si="5"/>
        <v>131</v>
      </c>
      <c r="U23" s="19"/>
      <c r="V23" s="19"/>
    </row>
    <row r="24" ht="26.25" customHeight="1">
      <c r="A24" s="20"/>
      <c r="B24" s="20"/>
      <c r="C24" s="16" t="s">
        <v>79</v>
      </c>
      <c r="D24" s="16" t="s">
        <v>80</v>
      </c>
      <c r="E24" s="16">
        <v>50.0</v>
      </c>
      <c r="F24" s="17">
        <v>50.0</v>
      </c>
      <c r="G24" s="17" t="s">
        <v>76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28.5" customHeight="1">
      <c r="A25" s="20"/>
      <c r="B25" s="20"/>
      <c r="C25" s="16" t="s">
        <v>81</v>
      </c>
      <c r="D25" s="16" t="s">
        <v>82</v>
      </c>
      <c r="E25" s="16">
        <v>240.0</v>
      </c>
      <c r="F25" s="17">
        <v>20.0</v>
      </c>
      <c r="G25" s="17" t="s">
        <v>76</v>
      </c>
      <c r="H25" s="19">
        <v>0.0</v>
      </c>
      <c r="I25" s="19">
        <v>0.0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>
        <f>SUM(H25:S25)</f>
        <v>0</v>
      </c>
      <c r="U25" s="19"/>
      <c r="V25" s="19"/>
      <c r="W25" s="7"/>
      <c r="X25" s="7"/>
      <c r="Y25" s="7"/>
      <c r="Z25" s="7"/>
    </row>
    <row r="26" ht="39.75" customHeight="1">
      <c r="A26" s="20"/>
      <c r="B26" s="20"/>
      <c r="C26" s="47" t="s">
        <v>83</v>
      </c>
      <c r="D26" s="48" t="s">
        <v>84</v>
      </c>
      <c r="E26" s="48">
        <v>9.0</v>
      </c>
      <c r="F26" s="49">
        <v>9.0</v>
      </c>
      <c r="G26" s="49" t="s">
        <v>76</v>
      </c>
      <c r="H26" s="50"/>
      <c r="I26" s="50"/>
      <c r="J26" s="50"/>
      <c r="K26" s="50"/>
      <c r="L26" s="50"/>
      <c r="M26" s="50"/>
      <c r="N26" s="19"/>
      <c r="O26" s="19"/>
      <c r="P26" s="19"/>
      <c r="Q26" s="19"/>
      <c r="R26" s="19"/>
      <c r="S26" s="19"/>
      <c r="T26" s="38"/>
      <c r="U26" s="19"/>
      <c r="V26" s="19"/>
    </row>
    <row r="27" ht="15.75" customHeight="1">
      <c r="A27" s="20"/>
      <c r="B27" s="20"/>
      <c r="C27" s="51" t="s">
        <v>85</v>
      </c>
      <c r="D27" s="52" t="s">
        <v>86</v>
      </c>
      <c r="E27" s="52">
        <v>4.0</v>
      </c>
      <c r="F27" s="53" t="s">
        <v>87</v>
      </c>
      <c r="G27" s="53" t="s">
        <v>71</v>
      </c>
      <c r="H27" s="18"/>
      <c r="I27" s="18"/>
      <c r="J27" s="19"/>
      <c r="K27" s="18"/>
      <c r="L27" s="18"/>
      <c r="M27" s="18"/>
      <c r="N27" s="18"/>
      <c r="O27" s="19"/>
      <c r="P27" s="18"/>
      <c r="Q27" s="18"/>
      <c r="R27" s="18"/>
      <c r="S27" s="19"/>
      <c r="T27" s="38"/>
      <c r="U27" s="19"/>
      <c r="V27" s="19"/>
    </row>
    <row r="28" ht="15.75" customHeight="1">
      <c r="A28" s="20"/>
      <c r="B28" s="20"/>
      <c r="C28" s="47" t="s">
        <v>88</v>
      </c>
      <c r="D28" s="54" t="s">
        <v>89</v>
      </c>
      <c r="E28" s="54">
        <v>4.0</v>
      </c>
      <c r="F28" s="17">
        <v>1.0</v>
      </c>
      <c r="G28" s="17" t="s">
        <v>76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>
        <f t="shared" ref="T28:T32" si="6">SUM(H28:S28)</f>
        <v>0</v>
      </c>
      <c r="U28" s="19"/>
      <c r="V28" s="19"/>
    </row>
    <row r="29" ht="15.75" customHeight="1">
      <c r="A29" s="20"/>
      <c r="B29" s="20"/>
      <c r="C29" s="47" t="s">
        <v>90</v>
      </c>
      <c r="D29" s="48" t="s">
        <v>91</v>
      </c>
      <c r="E29" s="48">
        <v>3.0</v>
      </c>
      <c r="F29" s="17">
        <v>1.0</v>
      </c>
      <c r="G29" s="17" t="s">
        <v>50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>
        <f t="shared" si="6"/>
        <v>0</v>
      </c>
      <c r="U29" s="19"/>
      <c r="V29" s="19"/>
    </row>
    <row r="30" ht="15.75" customHeight="1">
      <c r="A30" s="20"/>
      <c r="B30" s="20"/>
      <c r="C30" s="16" t="s">
        <v>92</v>
      </c>
      <c r="D30" s="16" t="s">
        <v>93</v>
      </c>
      <c r="E30" s="16">
        <v>6.0</v>
      </c>
      <c r="F30" s="17">
        <v>1.0</v>
      </c>
      <c r="G30" s="17" t="s">
        <v>76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>
        <f t="shared" si="6"/>
        <v>0</v>
      </c>
      <c r="U30" s="19"/>
      <c r="V30" s="19"/>
    </row>
    <row r="31" ht="15.75" customHeight="1">
      <c r="A31" s="20"/>
      <c r="B31" s="20"/>
      <c r="C31" s="43" t="s">
        <v>63</v>
      </c>
      <c r="D31" s="43" t="s">
        <v>64</v>
      </c>
      <c r="E31" s="43">
        <v>2.0</v>
      </c>
      <c r="F31" s="17"/>
      <c r="G31" s="17" t="s">
        <v>76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>
        <f t="shared" si="6"/>
        <v>0</v>
      </c>
      <c r="U31" s="19"/>
      <c r="V31" s="19"/>
    </row>
    <row r="32" ht="15.75" customHeight="1">
      <c r="A32" s="25"/>
      <c r="B32" s="25"/>
      <c r="C32" s="16" t="s">
        <v>94</v>
      </c>
      <c r="D32" s="16" t="s">
        <v>95</v>
      </c>
      <c r="E32" s="16">
        <v>4.0</v>
      </c>
      <c r="F32" s="17">
        <v>1.0</v>
      </c>
      <c r="G32" s="17" t="s">
        <v>76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>
        <f t="shared" si="6"/>
        <v>0</v>
      </c>
      <c r="U32" s="19"/>
      <c r="V32" s="19"/>
    </row>
    <row r="33" ht="18.0" customHeight="1">
      <c r="A33" s="12" t="s">
        <v>96</v>
      </c>
      <c r="B33" s="13" t="s">
        <v>97</v>
      </c>
      <c r="C33" s="55" t="s">
        <v>98</v>
      </c>
      <c r="D33" s="16" t="s">
        <v>99</v>
      </c>
      <c r="E33" s="44">
        <v>0.9</v>
      </c>
      <c r="F33" s="28">
        <v>0.9</v>
      </c>
      <c r="G33" s="17" t="s">
        <v>100</v>
      </c>
      <c r="H33" s="30">
        <v>86.3</v>
      </c>
      <c r="I33" s="30">
        <v>85.6</v>
      </c>
      <c r="J33" s="30">
        <v>87.7</v>
      </c>
      <c r="K33" s="30">
        <v>85.1</v>
      </c>
      <c r="L33" s="30">
        <v>85.8</v>
      </c>
      <c r="M33" s="30">
        <v>85.7</v>
      </c>
      <c r="N33" s="30">
        <v>85.3</v>
      </c>
      <c r="O33" s="19">
        <v>85.0</v>
      </c>
      <c r="P33" s="30">
        <v>68.2</v>
      </c>
      <c r="Q33" s="30">
        <v>82.7</v>
      </c>
      <c r="R33" s="30">
        <v>71.0</v>
      </c>
      <c r="S33" s="19"/>
      <c r="T33" s="56">
        <v>0.836</v>
      </c>
      <c r="U33" s="57">
        <v>6.04</v>
      </c>
      <c r="V33" s="30">
        <f>SUM(H33:S33)</f>
        <v>908.4</v>
      </c>
    </row>
    <row r="34" ht="15.75" customHeight="1">
      <c r="A34" s="20"/>
      <c r="B34" s="20"/>
      <c r="C34" s="58" t="s">
        <v>101</v>
      </c>
      <c r="D34" s="16" t="s">
        <v>102</v>
      </c>
      <c r="E34" s="16">
        <v>36.0</v>
      </c>
      <c r="F34" s="17">
        <v>3.0</v>
      </c>
      <c r="G34" s="17" t="s">
        <v>100</v>
      </c>
      <c r="H34" s="19">
        <v>1.0</v>
      </c>
      <c r="I34" s="19">
        <v>2.0</v>
      </c>
      <c r="J34" s="19">
        <v>3.0</v>
      </c>
      <c r="K34" s="19">
        <v>2.0</v>
      </c>
      <c r="L34" s="19">
        <v>3.0</v>
      </c>
      <c r="M34" s="19">
        <v>3.0</v>
      </c>
      <c r="N34" s="19">
        <v>3.0</v>
      </c>
      <c r="O34" s="19">
        <v>3.0</v>
      </c>
      <c r="P34" s="19">
        <v>2.0</v>
      </c>
      <c r="Q34" s="19">
        <v>3.0</v>
      </c>
      <c r="R34" s="19">
        <v>1.0</v>
      </c>
      <c r="S34" s="19">
        <v>0.0</v>
      </c>
      <c r="T34" s="19">
        <f>SUM(H34:S34)</f>
        <v>26</v>
      </c>
      <c r="U34" s="19">
        <f>(E34-T34)</f>
        <v>10</v>
      </c>
      <c r="V34" s="19">
        <f>SUM(I34:T34)</f>
        <v>51</v>
      </c>
    </row>
    <row r="35" ht="15.75" customHeight="1">
      <c r="A35" s="20"/>
      <c r="B35" s="20"/>
      <c r="C35" s="58" t="s">
        <v>103</v>
      </c>
      <c r="D35" s="16" t="s">
        <v>104</v>
      </c>
      <c r="E35" s="44">
        <v>0.75</v>
      </c>
      <c r="F35" s="28">
        <v>0.75</v>
      </c>
      <c r="G35" s="17" t="s">
        <v>100</v>
      </c>
      <c r="H35" s="30">
        <v>10.0</v>
      </c>
      <c r="I35" s="30">
        <v>7.0</v>
      </c>
      <c r="J35" s="30">
        <v>7.0</v>
      </c>
      <c r="K35" s="30">
        <v>6.0</v>
      </c>
      <c r="L35" s="30">
        <v>19.0</v>
      </c>
      <c r="M35" s="30">
        <v>8.0</v>
      </c>
      <c r="N35" s="30">
        <v>10.0</v>
      </c>
      <c r="O35" s="30">
        <v>8.0</v>
      </c>
      <c r="P35" s="30">
        <v>8.0</v>
      </c>
      <c r="Q35" s="30">
        <v>8.0</v>
      </c>
      <c r="R35" s="30">
        <v>12.0</v>
      </c>
      <c r="S35" s="30">
        <v>2.0</v>
      </c>
      <c r="T35" s="59">
        <v>0.273</v>
      </c>
      <c r="U35" s="60"/>
      <c r="V35" s="30">
        <f>SUM(H35:T35)</f>
        <v>105.273</v>
      </c>
    </row>
    <row r="36" ht="36.75" customHeight="1">
      <c r="A36" s="20"/>
      <c r="B36" s="20"/>
      <c r="C36" s="48" t="s">
        <v>105</v>
      </c>
      <c r="D36" s="48" t="s">
        <v>106</v>
      </c>
      <c r="E36" s="61">
        <v>0.75</v>
      </c>
      <c r="F36" s="28">
        <v>0.75</v>
      </c>
      <c r="G36" s="17" t="s">
        <v>100</v>
      </c>
      <c r="H36" s="19">
        <v>71.3</v>
      </c>
      <c r="I36" s="19">
        <v>70.6</v>
      </c>
      <c r="J36" s="19">
        <v>72.7</v>
      </c>
      <c r="K36" s="19">
        <v>70.0</v>
      </c>
      <c r="L36" s="19">
        <v>70.8</v>
      </c>
      <c r="M36" s="19">
        <v>70.7</v>
      </c>
      <c r="N36" s="19">
        <v>70.3</v>
      </c>
      <c r="O36" s="19">
        <v>70.0</v>
      </c>
      <c r="P36" s="19">
        <v>71.2</v>
      </c>
      <c r="Q36" s="19">
        <v>67.7</v>
      </c>
      <c r="R36" s="19">
        <v>67.7</v>
      </c>
      <c r="S36" s="19"/>
      <c r="T36" s="38"/>
      <c r="U36" s="19"/>
      <c r="V36" s="19">
        <f>SUM(H36:S36)</f>
        <v>773</v>
      </c>
    </row>
    <row r="37" ht="15.75" customHeight="1">
      <c r="A37" s="20"/>
      <c r="B37" s="20"/>
      <c r="C37" s="48" t="s">
        <v>107</v>
      </c>
      <c r="D37" s="16" t="s">
        <v>108</v>
      </c>
      <c r="E37" s="16">
        <v>1.0</v>
      </c>
      <c r="F37" s="62"/>
      <c r="G37" s="62" t="s">
        <v>100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19">
        <v>1.0</v>
      </c>
      <c r="S37" s="64"/>
      <c r="T37" s="64">
        <v>1.0</v>
      </c>
      <c r="U37" s="19">
        <v>0.0</v>
      </c>
      <c r="V37" s="19">
        <v>1.0</v>
      </c>
      <c r="W37" s="41" t="s">
        <v>109</v>
      </c>
    </row>
    <row r="38" ht="15.75" customHeight="1">
      <c r="A38" s="20"/>
      <c r="B38" s="25"/>
      <c r="C38" s="16" t="s">
        <v>110</v>
      </c>
      <c r="D38" s="16" t="s">
        <v>111</v>
      </c>
      <c r="E38" s="16">
        <v>1.0</v>
      </c>
      <c r="F38" s="62"/>
      <c r="G38" s="65" t="s">
        <v>100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18">
        <v>1.0</v>
      </c>
      <c r="S38" s="19"/>
      <c r="T38" s="19">
        <v>1.0</v>
      </c>
      <c r="U38" s="19">
        <v>0.0</v>
      </c>
      <c r="V38" s="19">
        <v>1.0</v>
      </c>
      <c r="W38" s="41" t="s">
        <v>109</v>
      </c>
    </row>
    <row r="39" ht="15.75" customHeight="1">
      <c r="A39" s="20"/>
      <c r="B39" s="13" t="s">
        <v>112</v>
      </c>
      <c r="C39" s="39"/>
      <c r="D39" s="40" t="s">
        <v>113</v>
      </c>
      <c r="E39" s="40">
        <v>190.0</v>
      </c>
      <c r="F39" s="65" t="s">
        <v>114</v>
      </c>
      <c r="G39" s="66" t="s">
        <v>100</v>
      </c>
      <c r="H39" s="19">
        <v>1.0</v>
      </c>
      <c r="I39" s="19">
        <v>6.0</v>
      </c>
      <c r="J39" s="19">
        <v>5.0</v>
      </c>
      <c r="K39" s="19">
        <v>2.0</v>
      </c>
      <c r="L39" s="19">
        <v>1.0</v>
      </c>
      <c r="M39" s="19">
        <v>3.0</v>
      </c>
      <c r="N39" s="19">
        <v>3.0</v>
      </c>
      <c r="O39" s="19">
        <v>5.0</v>
      </c>
      <c r="P39" s="19">
        <v>3.0</v>
      </c>
      <c r="Q39" s="19">
        <v>1.0</v>
      </c>
      <c r="R39" s="19">
        <v>4.0</v>
      </c>
      <c r="S39" s="19">
        <v>0.0</v>
      </c>
      <c r="T39" s="19">
        <f t="shared" ref="T39:T42" si="7">SUM(H39:S39)</f>
        <v>34</v>
      </c>
      <c r="U39" s="67">
        <f>(E39-V39)</f>
        <v>46</v>
      </c>
      <c r="V39" s="67">
        <f>SUM(T39:T42)</f>
        <v>144</v>
      </c>
      <c r="W39" s="68" t="s">
        <v>115</v>
      </c>
    </row>
    <row r="40" ht="15.0" customHeight="1">
      <c r="A40" s="20"/>
      <c r="B40" s="20"/>
      <c r="C40" s="40" t="s">
        <v>116</v>
      </c>
      <c r="D40" s="20"/>
      <c r="E40" s="20"/>
      <c r="F40" s="65" t="s">
        <v>117</v>
      </c>
      <c r="G40" s="20"/>
      <c r="H40" s="19">
        <v>1.0</v>
      </c>
      <c r="I40" s="19">
        <v>6.0</v>
      </c>
      <c r="J40" s="19">
        <v>2.0</v>
      </c>
      <c r="K40" s="19">
        <v>2.0</v>
      </c>
      <c r="L40" s="19">
        <v>1.0</v>
      </c>
      <c r="M40" s="19">
        <v>3.0</v>
      </c>
      <c r="N40" s="19">
        <v>3.0</v>
      </c>
      <c r="O40" s="19">
        <v>5.0</v>
      </c>
      <c r="P40" s="19">
        <v>3.0</v>
      </c>
      <c r="Q40" s="19">
        <v>1.0</v>
      </c>
      <c r="R40" s="19">
        <v>4.0</v>
      </c>
      <c r="S40" s="19">
        <v>0.0</v>
      </c>
      <c r="T40" s="19">
        <f t="shared" si="7"/>
        <v>31</v>
      </c>
      <c r="U40" s="20"/>
      <c r="V40" s="20"/>
      <c r="W40" s="69"/>
    </row>
    <row r="41" ht="15.0" customHeight="1">
      <c r="A41" s="20"/>
      <c r="B41" s="20"/>
      <c r="C41" s="20"/>
      <c r="D41" s="20"/>
      <c r="E41" s="20"/>
      <c r="F41" s="65" t="s">
        <v>118</v>
      </c>
      <c r="G41" s="20"/>
      <c r="H41" s="19">
        <v>5.0</v>
      </c>
      <c r="I41" s="19">
        <v>2.0</v>
      </c>
      <c r="J41" s="19">
        <v>3.0</v>
      </c>
      <c r="K41" s="19">
        <v>4.0</v>
      </c>
      <c r="L41" s="19">
        <v>3.0</v>
      </c>
      <c r="M41" s="19">
        <v>3.0</v>
      </c>
      <c r="N41" s="19">
        <v>5.0</v>
      </c>
      <c r="O41" s="19">
        <v>6.0</v>
      </c>
      <c r="P41" s="19">
        <v>4.0</v>
      </c>
      <c r="Q41" s="19">
        <v>4.0</v>
      </c>
      <c r="R41" s="19">
        <v>5.0</v>
      </c>
      <c r="S41" s="19">
        <v>0.0</v>
      </c>
      <c r="T41" s="19">
        <f t="shared" si="7"/>
        <v>44</v>
      </c>
      <c r="U41" s="20"/>
      <c r="V41" s="20"/>
      <c r="W41" s="69"/>
    </row>
    <row r="42" ht="15.0" customHeight="1">
      <c r="A42" s="20"/>
      <c r="B42" s="20"/>
      <c r="C42" s="20"/>
      <c r="D42" s="20"/>
      <c r="E42" s="20"/>
      <c r="F42" s="65" t="s">
        <v>119</v>
      </c>
      <c r="G42" s="20"/>
      <c r="H42" s="19">
        <v>1.0</v>
      </c>
      <c r="I42" s="19">
        <v>8.0</v>
      </c>
      <c r="J42" s="19">
        <v>3.0</v>
      </c>
      <c r="K42" s="19">
        <v>2.0</v>
      </c>
      <c r="L42" s="19">
        <v>1.0</v>
      </c>
      <c r="M42" s="19">
        <v>3.0</v>
      </c>
      <c r="N42" s="19">
        <v>3.0</v>
      </c>
      <c r="O42" s="19">
        <v>4.0</v>
      </c>
      <c r="P42" s="19">
        <v>3.0</v>
      </c>
      <c r="Q42" s="19">
        <v>3.0</v>
      </c>
      <c r="R42" s="19">
        <v>4.0</v>
      </c>
      <c r="S42" s="19">
        <v>0.0</v>
      </c>
      <c r="T42" s="19">
        <f t="shared" si="7"/>
        <v>35</v>
      </c>
      <c r="U42" s="25"/>
      <c r="V42" s="25"/>
      <c r="W42" s="69"/>
    </row>
    <row r="43" ht="32.25" customHeight="1">
      <c r="A43" s="20"/>
      <c r="B43" s="20"/>
      <c r="C43" s="25"/>
      <c r="D43" s="25"/>
      <c r="E43" s="25"/>
      <c r="F43" s="65" t="s">
        <v>120</v>
      </c>
      <c r="G43" s="25"/>
      <c r="H43" s="19">
        <v>5.0</v>
      </c>
      <c r="I43" s="19">
        <v>5.0</v>
      </c>
      <c r="J43" s="19">
        <v>7.0</v>
      </c>
      <c r="K43" s="19">
        <v>6.0</v>
      </c>
      <c r="L43" s="19">
        <v>5.0</v>
      </c>
      <c r="M43" s="19">
        <v>3.0</v>
      </c>
      <c r="N43" s="19">
        <v>8.0</v>
      </c>
      <c r="O43" s="19">
        <v>6.0</v>
      </c>
      <c r="P43" s="19">
        <v>5.0</v>
      </c>
      <c r="Q43" s="19">
        <v>7.0</v>
      </c>
      <c r="R43" s="19">
        <v>18.0</v>
      </c>
      <c r="S43" s="19">
        <v>5.0</v>
      </c>
      <c r="T43" s="19">
        <f>SUM(F43:S43)</f>
        <v>80</v>
      </c>
      <c r="U43" s="19"/>
      <c r="V43" s="19"/>
    </row>
    <row r="44" ht="21.75" customHeight="1">
      <c r="A44" s="20"/>
      <c r="B44" s="20"/>
      <c r="C44" s="40" t="s">
        <v>121</v>
      </c>
      <c r="D44" s="40" t="s">
        <v>122</v>
      </c>
      <c r="E44" s="70" t="s">
        <v>123</v>
      </c>
      <c r="F44" s="71">
        <v>25.0</v>
      </c>
      <c r="G44" s="72" t="s">
        <v>124</v>
      </c>
      <c r="H44" s="19">
        <v>120.0</v>
      </c>
      <c r="I44" s="19">
        <v>3.0</v>
      </c>
      <c r="J44" s="19">
        <v>7.0</v>
      </c>
      <c r="K44" s="19">
        <v>3.0</v>
      </c>
      <c r="L44" s="19">
        <v>10.0</v>
      </c>
      <c r="M44" s="19">
        <v>4.0</v>
      </c>
      <c r="N44" s="19">
        <v>6.0</v>
      </c>
      <c r="O44" s="19">
        <v>8.0</v>
      </c>
      <c r="P44" s="19">
        <v>4.0</v>
      </c>
      <c r="Q44" s="19">
        <v>7.0</v>
      </c>
      <c r="R44" s="19">
        <v>6.0</v>
      </c>
      <c r="S44" s="19">
        <v>480.0</v>
      </c>
      <c r="T44" s="73">
        <v>480.0</v>
      </c>
      <c r="U44" s="19"/>
      <c r="V44" s="19"/>
      <c r="W44" s="41" t="s">
        <v>125</v>
      </c>
    </row>
    <row r="45" ht="21.0" customHeight="1">
      <c r="A45" s="20"/>
      <c r="B45" s="20"/>
      <c r="C45" s="25"/>
      <c r="D45" s="25"/>
      <c r="E45" s="70" t="s">
        <v>126</v>
      </c>
      <c r="F45" s="17">
        <v>25.0</v>
      </c>
      <c r="G45" s="72" t="s">
        <v>127</v>
      </c>
      <c r="H45" s="19">
        <v>70.0</v>
      </c>
      <c r="I45" s="19">
        <v>5.0</v>
      </c>
      <c r="J45" s="19">
        <v>9.0</v>
      </c>
      <c r="K45" s="19">
        <v>7.0</v>
      </c>
      <c r="L45" s="19">
        <v>10.0</v>
      </c>
      <c r="M45" s="19">
        <v>4.0</v>
      </c>
      <c r="N45" s="19">
        <v>6.0</v>
      </c>
      <c r="O45" s="19">
        <v>7.0</v>
      </c>
      <c r="P45" s="19">
        <v>9.0</v>
      </c>
      <c r="Q45" s="19">
        <v>5.0</v>
      </c>
      <c r="R45" s="19">
        <v>4.0</v>
      </c>
      <c r="S45" s="19">
        <v>15.0</v>
      </c>
      <c r="T45" s="73">
        <f>SUM(H45:S45)</f>
        <v>151</v>
      </c>
      <c r="U45" s="19"/>
      <c r="V45" s="19"/>
    </row>
    <row r="46" ht="21.0" customHeight="1">
      <c r="A46" s="20"/>
      <c r="B46" s="20"/>
      <c r="C46" s="16" t="s">
        <v>128</v>
      </c>
      <c r="D46" s="16" t="s">
        <v>129</v>
      </c>
      <c r="E46" s="16"/>
      <c r="F46" s="74">
        <v>110.0</v>
      </c>
      <c r="G46" s="17" t="s">
        <v>100</v>
      </c>
      <c r="H46" s="19">
        <v>70.0</v>
      </c>
      <c r="I46" s="19">
        <v>9.0</v>
      </c>
      <c r="J46" s="19">
        <v>6.0</v>
      </c>
      <c r="K46" s="19">
        <v>7.0</v>
      </c>
      <c r="L46" s="19">
        <v>5.0</v>
      </c>
      <c r="M46" s="19">
        <v>5.0</v>
      </c>
      <c r="N46" s="19">
        <v>5.0</v>
      </c>
      <c r="O46" s="19">
        <v>7.0</v>
      </c>
      <c r="P46" s="19">
        <v>8.0</v>
      </c>
      <c r="Q46" s="19">
        <v>4.0</v>
      </c>
      <c r="R46" s="19">
        <v>6.0</v>
      </c>
      <c r="S46" s="19">
        <v>473.0</v>
      </c>
      <c r="T46" s="19">
        <v>97.0</v>
      </c>
      <c r="U46" s="19"/>
      <c r="V46" s="19"/>
      <c r="W46" s="41" t="s">
        <v>130</v>
      </c>
    </row>
    <row r="47" ht="21.0" customHeight="1">
      <c r="A47" s="20"/>
      <c r="B47" s="20"/>
      <c r="C47" s="40" t="s">
        <v>131</v>
      </c>
      <c r="D47" s="40" t="s">
        <v>132</v>
      </c>
      <c r="E47" s="16" t="s">
        <v>133</v>
      </c>
      <c r="F47" s="75">
        <v>11.0</v>
      </c>
      <c r="G47" s="17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f t="shared" ref="T47:T51" si="8">SUM(H47:S47)</f>
        <v>0</v>
      </c>
      <c r="U47" s="19"/>
      <c r="V47" s="19"/>
    </row>
    <row r="48" ht="21.0" customHeight="1">
      <c r="A48" s="20"/>
      <c r="B48" s="20"/>
      <c r="C48" s="20"/>
      <c r="D48" s="20"/>
      <c r="E48" s="16" t="s">
        <v>134</v>
      </c>
      <c r="F48" s="76">
        <v>5.0</v>
      </c>
      <c r="G48" s="17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>
        <f t="shared" si="8"/>
        <v>0</v>
      </c>
      <c r="U48" s="19"/>
      <c r="V48" s="19"/>
    </row>
    <row r="49" ht="21.0" customHeight="1">
      <c r="A49" s="20"/>
      <c r="B49" s="20"/>
      <c r="C49" s="20"/>
      <c r="D49" s="20"/>
      <c r="E49" s="16" t="s">
        <v>135</v>
      </c>
      <c r="F49" s="74">
        <v>4.0</v>
      </c>
      <c r="G49" s="17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>
        <f t="shared" si="8"/>
        <v>0</v>
      </c>
      <c r="U49" s="19"/>
      <c r="V49" s="19"/>
    </row>
    <row r="50" ht="19.5" customHeight="1">
      <c r="A50" s="20"/>
      <c r="B50" s="20"/>
      <c r="C50" s="16" t="s">
        <v>136</v>
      </c>
      <c r="D50" s="16" t="s">
        <v>137</v>
      </c>
      <c r="E50" s="16"/>
      <c r="F50" s="17">
        <v>1.0</v>
      </c>
      <c r="G50" s="17" t="s">
        <v>100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>
        <f t="shared" si="8"/>
        <v>0</v>
      </c>
      <c r="U50" s="19"/>
      <c r="V50" s="19"/>
    </row>
    <row r="51" ht="15.75" customHeight="1">
      <c r="A51" s="20"/>
      <c r="B51" s="25"/>
      <c r="C51" s="16" t="s">
        <v>138</v>
      </c>
      <c r="D51" s="16" t="s">
        <v>139</v>
      </c>
      <c r="E51" s="16"/>
      <c r="F51" s="17">
        <v>86.0</v>
      </c>
      <c r="G51" s="17" t="s">
        <v>100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>
        <f t="shared" si="8"/>
        <v>0</v>
      </c>
      <c r="U51" s="19"/>
      <c r="V51" s="19"/>
    </row>
    <row r="52" ht="18.0" customHeight="1">
      <c r="A52" s="20"/>
      <c r="B52" s="13" t="s">
        <v>140</v>
      </c>
      <c r="C52" s="16" t="s">
        <v>141</v>
      </c>
      <c r="D52" s="16" t="s">
        <v>142</v>
      </c>
      <c r="E52" s="16"/>
      <c r="F52" s="17">
        <v>130.0</v>
      </c>
      <c r="G52" s="17" t="s">
        <v>100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>
        <v>102.0</v>
      </c>
      <c r="U52" s="19"/>
      <c r="V52" s="19"/>
    </row>
    <row r="53" ht="26.25" customHeight="1">
      <c r="A53" s="20"/>
      <c r="B53" s="20"/>
      <c r="C53" s="16" t="s">
        <v>143</v>
      </c>
      <c r="D53" s="16" t="s">
        <v>144</v>
      </c>
      <c r="E53" s="16"/>
      <c r="F53" s="17">
        <v>25.0</v>
      </c>
      <c r="G53" s="17" t="s">
        <v>100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>
        <f>SUM(H53:S53)</f>
        <v>0</v>
      </c>
      <c r="U53" s="19"/>
      <c r="V53" s="19"/>
    </row>
    <row r="54" ht="24.0" customHeight="1">
      <c r="A54" s="20"/>
      <c r="B54" s="20"/>
      <c r="C54" s="16" t="s">
        <v>145</v>
      </c>
      <c r="D54" s="16" t="s">
        <v>146</v>
      </c>
      <c r="E54" s="16"/>
      <c r="F54" s="17">
        <v>155.0</v>
      </c>
      <c r="G54" s="17" t="s">
        <v>100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38">
        <v>155.0</v>
      </c>
      <c r="U54" s="19"/>
      <c r="V54" s="19"/>
    </row>
    <row r="55" ht="27.75" customHeight="1">
      <c r="A55" s="25"/>
      <c r="B55" s="25"/>
      <c r="C55" s="16" t="s">
        <v>147</v>
      </c>
      <c r="D55" s="16" t="s">
        <v>148</v>
      </c>
      <c r="E55" s="16"/>
      <c r="F55" s="17">
        <v>40.0</v>
      </c>
      <c r="G55" s="17" t="s">
        <v>100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>
        <f>SUM(H55:S55)</f>
        <v>0</v>
      </c>
      <c r="U55" s="19"/>
      <c r="V55" s="19"/>
    </row>
    <row r="56" ht="24.0" customHeight="1">
      <c r="A56" s="77" t="s">
        <v>149</v>
      </c>
      <c r="B56" s="13" t="s">
        <v>150</v>
      </c>
      <c r="C56" s="70" t="s">
        <v>151</v>
      </c>
      <c r="D56" s="70" t="s">
        <v>152</v>
      </c>
      <c r="E56" s="70"/>
      <c r="F56" s="17">
        <v>1.0</v>
      </c>
      <c r="G56" s="17" t="s">
        <v>50</v>
      </c>
      <c r="H56" s="19" t="s">
        <v>153</v>
      </c>
      <c r="I56" s="19" t="s">
        <v>153</v>
      </c>
      <c r="J56" s="19" t="s">
        <v>153</v>
      </c>
      <c r="K56" s="19" t="s">
        <v>153</v>
      </c>
      <c r="L56" s="19" t="s">
        <v>153</v>
      </c>
      <c r="M56" s="19" t="s">
        <v>153</v>
      </c>
      <c r="N56" s="19" t="s">
        <v>153</v>
      </c>
      <c r="O56" s="19" t="s">
        <v>153</v>
      </c>
      <c r="P56" s="19" t="s">
        <v>153</v>
      </c>
      <c r="Q56" s="19" t="s">
        <v>153</v>
      </c>
      <c r="R56" s="19" t="s">
        <v>153</v>
      </c>
      <c r="S56" s="19" t="s">
        <v>153</v>
      </c>
      <c r="T56" s="38"/>
      <c r="U56" s="19"/>
      <c r="V56" s="19"/>
    </row>
    <row r="57" ht="15.75" customHeight="1">
      <c r="A57" s="78"/>
      <c r="B57" s="20"/>
      <c r="C57" s="43" t="s">
        <v>154</v>
      </c>
      <c r="D57" s="43" t="s">
        <v>155</v>
      </c>
      <c r="E57" s="43"/>
      <c r="F57" s="17">
        <v>2.0</v>
      </c>
      <c r="G57" s="17" t="s">
        <v>50</v>
      </c>
      <c r="H57" s="79">
        <v>2.0</v>
      </c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1"/>
      <c r="T57" s="38" t="s">
        <v>156</v>
      </c>
      <c r="U57" s="19" t="s">
        <v>157</v>
      </c>
      <c r="V57" s="19" t="s">
        <v>158</v>
      </c>
    </row>
    <row r="58" ht="15.75" customHeight="1">
      <c r="A58" s="78"/>
      <c r="B58" s="20"/>
      <c r="C58" s="43" t="s">
        <v>159</v>
      </c>
      <c r="D58" s="43" t="s">
        <v>160</v>
      </c>
      <c r="E58" s="43"/>
      <c r="F58" s="17">
        <v>1.0</v>
      </c>
      <c r="G58" s="17" t="s">
        <v>50</v>
      </c>
      <c r="H58" s="82" t="s">
        <v>153</v>
      </c>
      <c r="I58" s="19">
        <v>1.0</v>
      </c>
      <c r="J58" s="19">
        <v>1.0</v>
      </c>
      <c r="K58" s="19" t="s">
        <v>153</v>
      </c>
      <c r="L58" s="19" t="s">
        <v>153</v>
      </c>
      <c r="M58" s="19" t="s">
        <v>153</v>
      </c>
      <c r="N58" s="19" t="s">
        <v>153</v>
      </c>
      <c r="O58" s="19" t="s">
        <v>153</v>
      </c>
      <c r="P58" s="19" t="s">
        <v>153</v>
      </c>
      <c r="Q58" s="19" t="s">
        <v>153</v>
      </c>
      <c r="R58" s="19" t="s">
        <v>153</v>
      </c>
      <c r="S58" s="19" t="s">
        <v>153</v>
      </c>
      <c r="T58" s="38">
        <f>SUM(I58:S58)</f>
        <v>2</v>
      </c>
      <c r="U58" s="19"/>
      <c r="V58" s="19"/>
    </row>
    <row r="59" ht="15.75" customHeight="1">
      <c r="A59" s="78"/>
      <c r="B59" s="20"/>
      <c r="C59" s="16" t="s">
        <v>151</v>
      </c>
      <c r="D59" s="16" t="s">
        <v>161</v>
      </c>
      <c r="E59" s="16"/>
      <c r="F59" s="17"/>
      <c r="G59" s="17" t="s">
        <v>50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38"/>
      <c r="U59" s="19"/>
      <c r="V59" s="19"/>
    </row>
    <row r="60" ht="15.75" customHeight="1">
      <c r="A60" s="78"/>
      <c r="B60" s="20"/>
      <c r="C60" s="16" t="s">
        <v>162</v>
      </c>
      <c r="D60" s="16" t="s">
        <v>163</v>
      </c>
      <c r="E60" s="16"/>
      <c r="F60" s="17"/>
      <c r="G60" s="17" t="s">
        <v>50</v>
      </c>
      <c r="H60" s="19" t="s">
        <v>153</v>
      </c>
      <c r="I60" s="19" t="s">
        <v>153</v>
      </c>
      <c r="J60" s="19" t="s">
        <v>153</v>
      </c>
      <c r="K60" s="19" t="s">
        <v>153</v>
      </c>
      <c r="L60" s="19" t="s">
        <v>153</v>
      </c>
      <c r="M60" s="19" t="s">
        <v>153</v>
      </c>
      <c r="N60" s="19" t="s">
        <v>153</v>
      </c>
      <c r="O60" s="19" t="s">
        <v>153</v>
      </c>
      <c r="P60" s="19" t="s">
        <v>153</v>
      </c>
      <c r="Q60" s="19" t="s">
        <v>153</v>
      </c>
      <c r="R60" s="19" t="s">
        <v>153</v>
      </c>
      <c r="S60" s="19" t="s">
        <v>153</v>
      </c>
      <c r="T60" s="38"/>
      <c r="U60" s="19"/>
      <c r="V60" s="19"/>
    </row>
    <row r="61" ht="15.75" customHeight="1">
      <c r="A61" s="78"/>
      <c r="B61" s="20"/>
      <c r="C61" s="16" t="s">
        <v>164</v>
      </c>
      <c r="D61" s="16" t="s">
        <v>165</v>
      </c>
      <c r="E61" s="16"/>
      <c r="F61" s="17"/>
      <c r="G61" s="17" t="s">
        <v>50</v>
      </c>
      <c r="H61" s="19" t="s">
        <v>166</v>
      </c>
      <c r="I61" s="19" t="s">
        <v>153</v>
      </c>
      <c r="J61" s="19" t="s">
        <v>153</v>
      </c>
      <c r="K61" s="19" t="s">
        <v>153</v>
      </c>
      <c r="L61" s="19" t="s">
        <v>153</v>
      </c>
      <c r="M61" s="19" t="s">
        <v>153</v>
      </c>
      <c r="N61" s="19" t="s">
        <v>153</v>
      </c>
      <c r="O61" s="19" t="s">
        <v>153</v>
      </c>
      <c r="P61" s="19" t="s">
        <v>153</v>
      </c>
      <c r="Q61" s="19" t="s">
        <v>153</v>
      </c>
      <c r="R61" s="19" t="s">
        <v>153</v>
      </c>
      <c r="S61" s="19" t="s">
        <v>153</v>
      </c>
      <c r="T61" s="38"/>
      <c r="U61" s="19"/>
      <c r="V61" s="19"/>
    </row>
    <row r="62" ht="15.75" customHeight="1">
      <c r="A62" s="78"/>
      <c r="B62" s="20"/>
      <c r="C62" s="16" t="s">
        <v>167</v>
      </c>
      <c r="D62" s="16" t="s">
        <v>168</v>
      </c>
      <c r="E62" s="16"/>
      <c r="F62" s="17">
        <v>1.0</v>
      </c>
      <c r="G62" s="17" t="s">
        <v>169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83"/>
      <c r="U62" s="84"/>
      <c r="V62" s="19"/>
    </row>
    <row r="63" ht="15.75" customHeight="1">
      <c r="A63" s="78"/>
      <c r="B63" s="20"/>
      <c r="C63" s="16" t="s">
        <v>170</v>
      </c>
      <c r="D63" s="16" t="s">
        <v>171</v>
      </c>
      <c r="E63" s="16"/>
      <c r="F63" s="17">
        <v>4.0</v>
      </c>
      <c r="G63" s="17" t="s">
        <v>50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38"/>
      <c r="U63" s="19"/>
      <c r="V63" s="19"/>
    </row>
    <row r="64" ht="15.75" customHeight="1">
      <c r="A64" s="78"/>
      <c r="B64" s="20"/>
      <c r="C64" s="16" t="s">
        <v>172</v>
      </c>
      <c r="D64" s="16" t="s">
        <v>173</v>
      </c>
      <c r="E64" s="16"/>
      <c r="F64" s="17"/>
      <c r="G64" s="17" t="s">
        <v>50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38"/>
      <c r="U64" s="19"/>
      <c r="V64" s="19"/>
    </row>
    <row r="65" ht="15.75" customHeight="1">
      <c r="A65" s="78"/>
      <c r="B65" s="20"/>
      <c r="C65" s="16" t="s">
        <v>174</v>
      </c>
      <c r="D65" s="52" t="s">
        <v>175</v>
      </c>
      <c r="E65" s="52"/>
      <c r="F65" s="17">
        <v>1.0</v>
      </c>
      <c r="G65" s="17" t="s">
        <v>50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38"/>
      <c r="U65" s="19"/>
      <c r="V65" s="19"/>
    </row>
    <row r="66" ht="15.75" customHeight="1">
      <c r="A66" s="78"/>
      <c r="B66" s="20"/>
      <c r="C66" s="16" t="s">
        <v>176</v>
      </c>
      <c r="D66" s="16" t="s">
        <v>177</v>
      </c>
      <c r="E66" s="16"/>
      <c r="F66" s="17">
        <v>1.0</v>
      </c>
      <c r="G66" s="17" t="s">
        <v>50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38"/>
      <c r="U66" s="19"/>
      <c r="V66" s="19"/>
    </row>
    <row r="67" ht="15.75" customHeight="1">
      <c r="A67" s="78"/>
      <c r="B67" s="25"/>
      <c r="C67" s="16" t="s">
        <v>178</v>
      </c>
      <c r="D67" s="16" t="s">
        <v>179</v>
      </c>
      <c r="E67" s="16"/>
      <c r="F67" s="17">
        <v>24.0</v>
      </c>
      <c r="G67" s="17" t="s">
        <v>180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38"/>
      <c r="U67" s="19"/>
      <c r="V67" s="19"/>
    </row>
    <row r="68" ht="15.0" customHeight="1">
      <c r="A68" s="78"/>
      <c r="B68" s="13" t="s">
        <v>181</v>
      </c>
      <c r="C68" s="16" t="s">
        <v>182</v>
      </c>
      <c r="D68" s="16" t="s">
        <v>183</v>
      </c>
      <c r="E68" s="16"/>
      <c r="F68" s="17"/>
      <c r="G68" s="17" t="s">
        <v>184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38"/>
      <c r="U68" s="19"/>
      <c r="V68" s="19"/>
    </row>
    <row r="69" ht="15.0" customHeight="1">
      <c r="A69" s="78"/>
      <c r="B69" s="20"/>
      <c r="C69" s="70" t="s">
        <v>185</v>
      </c>
      <c r="D69" s="70" t="s">
        <v>186</v>
      </c>
      <c r="E69" s="70"/>
      <c r="F69" s="17"/>
      <c r="G69" s="17" t="s">
        <v>50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38"/>
      <c r="U69" s="19"/>
      <c r="V69" s="19"/>
    </row>
    <row r="70" ht="15.75" customHeight="1">
      <c r="A70" s="78"/>
      <c r="B70" s="20"/>
      <c r="C70" s="16" t="s">
        <v>187</v>
      </c>
      <c r="D70" s="16" t="s">
        <v>188</v>
      </c>
      <c r="E70" s="16"/>
      <c r="F70" s="17">
        <v>100.0</v>
      </c>
      <c r="G70" s="17" t="s">
        <v>50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38"/>
      <c r="U70" s="19"/>
      <c r="V70" s="19"/>
      <c r="W70" s="41" t="s">
        <v>189</v>
      </c>
    </row>
    <row r="71" ht="15.75" customHeight="1">
      <c r="A71" s="78"/>
      <c r="B71" s="20"/>
      <c r="C71" s="16" t="s">
        <v>190</v>
      </c>
      <c r="D71" s="16" t="s">
        <v>191</v>
      </c>
      <c r="E71" s="16"/>
      <c r="F71" s="17">
        <v>5.0</v>
      </c>
      <c r="G71" s="17" t="s">
        <v>50</v>
      </c>
      <c r="H71" s="30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38"/>
      <c r="U71" s="19"/>
      <c r="V71" s="19"/>
      <c r="W71" s="85">
        <v>1.0</v>
      </c>
    </row>
    <row r="72" ht="15.75" customHeight="1">
      <c r="A72" s="78"/>
      <c r="B72" s="20"/>
      <c r="C72" s="16" t="s">
        <v>192</v>
      </c>
      <c r="D72" s="16" t="s">
        <v>193</v>
      </c>
      <c r="E72" s="16"/>
      <c r="F72" s="17"/>
      <c r="G72" s="17" t="s">
        <v>50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38"/>
      <c r="U72" s="19"/>
      <c r="V72" s="19"/>
      <c r="W72" s="41" t="s">
        <v>194</v>
      </c>
    </row>
    <row r="73" ht="15.75" customHeight="1">
      <c r="A73" s="78"/>
      <c r="B73" s="20"/>
      <c r="C73" s="16" t="s">
        <v>195</v>
      </c>
      <c r="D73" s="16" t="s">
        <v>196</v>
      </c>
      <c r="E73" s="16"/>
      <c r="F73" s="17"/>
      <c r="G73" s="17" t="s">
        <v>50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83"/>
      <c r="U73" s="84"/>
      <c r="V73" s="19"/>
      <c r="W73" s="41" t="s">
        <v>197</v>
      </c>
    </row>
    <row r="74" ht="15.75" customHeight="1">
      <c r="A74" s="78"/>
      <c r="B74" s="25"/>
      <c r="C74" s="16" t="s">
        <v>198</v>
      </c>
      <c r="D74" s="16" t="s">
        <v>199</v>
      </c>
      <c r="E74" s="16"/>
      <c r="F74" s="17"/>
      <c r="G74" s="17" t="s">
        <v>50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38"/>
      <c r="U74" s="19"/>
      <c r="V74" s="19"/>
    </row>
    <row r="75" ht="15.75" customHeight="1">
      <c r="A75" s="78"/>
      <c r="B75" s="13" t="s">
        <v>200</v>
      </c>
      <c r="C75" s="86" t="s">
        <v>201</v>
      </c>
      <c r="D75" s="87" t="s">
        <v>202</v>
      </c>
      <c r="E75" s="87"/>
      <c r="F75" s="17"/>
      <c r="G75" s="17" t="s">
        <v>50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38"/>
      <c r="U75" s="19"/>
      <c r="V75" s="19"/>
    </row>
    <row r="76" ht="30.0" customHeight="1">
      <c r="A76" s="78"/>
      <c r="B76" s="20"/>
      <c r="C76" s="43" t="s">
        <v>154</v>
      </c>
      <c r="D76" s="43" t="s">
        <v>155</v>
      </c>
      <c r="E76" s="43"/>
      <c r="F76" s="17"/>
      <c r="G76" s="17" t="s">
        <v>50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38"/>
      <c r="U76" s="19"/>
      <c r="V76" s="19"/>
    </row>
    <row r="77" ht="31.5" customHeight="1">
      <c r="A77" s="78"/>
      <c r="B77" s="25"/>
      <c r="C77" s="43" t="s">
        <v>159</v>
      </c>
      <c r="D77" s="43" t="s">
        <v>160</v>
      </c>
      <c r="E77" s="43"/>
      <c r="F77" s="17"/>
      <c r="G77" s="17" t="s">
        <v>50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38"/>
      <c r="U77" s="19"/>
      <c r="V77" s="19"/>
    </row>
    <row r="78" ht="15.75" customHeight="1">
      <c r="A78" s="78"/>
      <c r="B78" s="13" t="s">
        <v>203</v>
      </c>
      <c r="C78" s="70" t="s">
        <v>204</v>
      </c>
      <c r="D78" s="70" t="s">
        <v>205</v>
      </c>
      <c r="E78" s="70"/>
      <c r="F78" s="17"/>
      <c r="G78" s="17" t="s">
        <v>206</v>
      </c>
      <c r="H78" s="19">
        <v>1.0</v>
      </c>
      <c r="I78" s="19">
        <v>1.0</v>
      </c>
      <c r="J78" s="19">
        <v>1.0</v>
      </c>
      <c r="K78" s="19">
        <v>1.0</v>
      </c>
      <c r="L78" s="19">
        <v>1.0</v>
      </c>
      <c r="M78" s="19">
        <v>1.0</v>
      </c>
      <c r="N78" s="19">
        <v>1.0</v>
      </c>
      <c r="O78" s="19">
        <v>1.0</v>
      </c>
      <c r="P78" s="19">
        <v>1.0</v>
      </c>
      <c r="Q78" s="19">
        <v>1.0</v>
      </c>
      <c r="R78" s="19"/>
      <c r="S78" s="19"/>
      <c r="T78" s="38"/>
      <c r="U78" s="19"/>
      <c r="V78" s="19"/>
    </row>
    <row r="79" ht="15.75" customHeight="1">
      <c r="A79" s="78"/>
      <c r="B79" s="20"/>
      <c r="C79" s="70" t="s">
        <v>207</v>
      </c>
      <c r="D79" s="70" t="s">
        <v>208</v>
      </c>
      <c r="E79" s="70"/>
      <c r="F79" s="17"/>
      <c r="G79" s="17" t="s">
        <v>206</v>
      </c>
      <c r="H79" s="19">
        <v>1.0</v>
      </c>
      <c r="I79" s="19">
        <v>1.0</v>
      </c>
      <c r="J79" s="19">
        <v>1.0</v>
      </c>
      <c r="K79" s="19">
        <v>1.0</v>
      </c>
      <c r="L79" s="19">
        <v>1.0</v>
      </c>
      <c r="M79" s="19">
        <v>1.0</v>
      </c>
      <c r="N79" s="19">
        <v>1.0</v>
      </c>
      <c r="O79" s="19">
        <v>1.0</v>
      </c>
      <c r="P79" s="19">
        <v>1.0</v>
      </c>
      <c r="Q79" s="19">
        <v>1.0</v>
      </c>
      <c r="R79" s="19"/>
      <c r="S79" s="19"/>
      <c r="T79" s="38"/>
      <c r="U79" s="19"/>
      <c r="V79" s="19"/>
    </row>
    <row r="80" ht="33.75" customHeight="1">
      <c r="A80" s="78"/>
      <c r="B80" s="25"/>
      <c r="C80" s="70" t="s">
        <v>209</v>
      </c>
      <c r="D80" s="70" t="s">
        <v>210</v>
      </c>
      <c r="E80" s="70"/>
      <c r="F80" s="17"/>
      <c r="G80" s="17" t="s">
        <v>206</v>
      </c>
      <c r="H80" s="19">
        <v>1.0</v>
      </c>
      <c r="I80" s="19">
        <v>1.0</v>
      </c>
      <c r="J80" s="19">
        <v>1.0</v>
      </c>
      <c r="K80" s="19">
        <v>1.0</v>
      </c>
      <c r="L80" s="19">
        <v>1.0</v>
      </c>
      <c r="M80" s="19">
        <v>1.0</v>
      </c>
      <c r="N80" s="19">
        <v>1.0</v>
      </c>
      <c r="O80" s="19">
        <v>1.0</v>
      </c>
      <c r="P80" s="19">
        <v>1.0</v>
      </c>
      <c r="Q80" s="19">
        <v>1.0</v>
      </c>
      <c r="R80" s="19"/>
      <c r="S80" s="19"/>
      <c r="T80" s="38"/>
      <c r="U80" s="19" t="s">
        <v>211</v>
      </c>
      <c r="V80" s="19" t="s">
        <v>211</v>
      </c>
      <c r="W80" s="88" t="s">
        <v>212</v>
      </c>
    </row>
    <row r="81" ht="62.25" customHeight="1">
      <c r="A81" s="78"/>
      <c r="B81" s="89" t="s">
        <v>213</v>
      </c>
      <c r="C81" s="43" t="s">
        <v>214</v>
      </c>
      <c r="D81" s="90" t="s">
        <v>215</v>
      </c>
      <c r="E81" s="90"/>
      <c r="F81" s="17"/>
      <c r="G81" s="17" t="s">
        <v>50</v>
      </c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2"/>
      <c r="U81" s="91"/>
      <c r="V81" s="19"/>
    </row>
    <row r="82" ht="62.25" customHeight="1">
      <c r="A82" s="78"/>
      <c r="B82" s="93" t="s">
        <v>216</v>
      </c>
      <c r="C82" s="70" t="s">
        <v>217</v>
      </c>
      <c r="D82" s="70" t="s">
        <v>218</v>
      </c>
      <c r="E82" s="70"/>
      <c r="F82" s="17"/>
      <c r="G82" s="17" t="s">
        <v>50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38"/>
      <c r="U82" s="19"/>
      <c r="V82" s="19"/>
    </row>
    <row r="83" ht="15.75" customHeight="1">
      <c r="A83" s="94" t="s">
        <v>219</v>
      </c>
      <c r="B83" s="13" t="s">
        <v>220</v>
      </c>
      <c r="C83" s="70" t="s">
        <v>221</v>
      </c>
      <c r="D83" s="70" t="s">
        <v>222</v>
      </c>
      <c r="E83" s="70"/>
      <c r="F83" s="17"/>
      <c r="G83" s="17" t="s">
        <v>50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38"/>
      <c r="U83" s="19"/>
      <c r="V83" s="19"/>
    </row>
    <row r="84" ht="15.75" customHeight="1">
      <c r="A84" s="78"/>
      <c r="B84" s="20"/>
      <c r="C84" s="70" t="s">
        <v>223</v>
      </c>
      <c r="D84" s="70" t="s">
        <v>224</v>
      </c>
      <c r="E84" s="70"/>
      <c r="F84" s="17"/>
      <c r="G84" s="17" t="s">
        <v>225</v>
      </c>
      <c r="H84" s="19">
        <v>1.0</v>
      </c>
      <c r="I84" s="19">
        <v>1.0</v>
      </c>
      <c r="J84" s="19">
        <v>1.0</v>
      </c>
      <c r="K84" s="19">
        <v>1.0</v>
      </c>
      <c r="L84" s="19">
        <v>1.0</v>
      </c>
      <c r="M84" s="19">
        <v>1.0</v>
      </c>
      <c r="N84" s="19">
        <v>1.0</v>
      </c>
      <c r="O84" s="19"/>
      <c r="P84" s="19"/>
      <c r="Q84" s="19"/>
      <c r="R84" s="19"/>
      <c r="S84" s="19"/>
      <c r="T84" s="38"/>
      <c r="U84" s="19"/>
      <c r="V84" s="19"/>
    </row>
    <row r="85" ht="15.75" customHeight="1">
      <c r="A85" s="78"/>
      <c r="B85" s="20"/>
      <c r="C85" s="70" t="s">
        <v>226</v>
      </c>
      <c r="D85" s="70" t="s">
        <v>227</v>
      </c>
      <c r="E85" s="70"/>
      <c r="F85" s="17"/>
      <c r="G85" s="17" t="s">
        <v>50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9"/>
      <c r="T85" s="38"/>
      <c r="U85" s="19"/>
      <c r="V85" s="19"/>
    </row>
    <row r="86" ht="15.75" customHeight="1">
      <c r="A86" s="78"/>
      <c r="B86" s="25"/>
      <c r="C86" s="70" t="s">
        <v>228</v>
      </c>
      <c r="D86" s="70" t="s">
        <v>229</v>
      </c>
      <c r="E86" s="70"/>
      <c r="F86" s="17"/>
      <c r="G86" s="17" t="s">
        <v>50</v>
      </c>
      <c r="H86" s="18"/>
      <c r="I86" s="18"/>
      <c r="J86" s="18"/>
      <c r="K86" s="18"/>
      <c r="L86" s="18"/>
      <c r="M86" s="18"/>
      <c r="N86" s="18"/>
      <c r="O86" s="18"/>
      <c r="P86" s="18"/>
      <c r="Q86" s="19"/>
      <c r="R86" s="18"/>
      <c r="S86" s="18"/>
      <c r="T86" s="18" t="s">
        <v>153</v>
      </c>
      <c r="U86" s="19"/>
      <c r="V86" s="19"/>
    </row>
    <row r="87" ht="15.75" customHeight="1">
      <c r="F87" s="95"/>
      <c r="G87" s="95"/>
      <c r="U87" s="7"/>
    </row>
    <row r="88" ht="15.75" customHeight="1">
      <c r="F88" s="95"/>
      <c r="G88" s="95"/>
      <c r="U88" s="7"/>
    </row>
    <row r="89" ht="15.75" customHeight="1">
      <c r="F89" s="95"/>
      <c r="G89" s="95"/>
      <c r="U89" s="7"/>
    </row>
    <row r="90" ht="15.75" customHeight="1">
      <c r="F90" s="95"/>
      <c r="G90" s="95"/>
      <c r="U90" s="7"/>
    </row>
    <row r="91" ht="15.75" customHeight="1">
      <c r="F91" s="95"/>
      <c r="G91" s="95"/>
      <c r="U91" s="7"/>
    </row>
    <row r="92" ht="15.75" customHeight="1">
      <c r="F92" s="95"/>
      <c r="G92" s="95"/>
      <c r="U92" s="7"/>
    </row>
    <row r="93" ht="15.75" customHeight="1">
      <c r="F93" s="95"/>
      <c r="G93" s="95"/>
      <c r="U93" s="7"/>
    </row>
    <row r="94" ht="15.75" customHeight="1">
      <c r="F94" s="95"/>
      <c r="G94" s="95"/>
      <c r="U94" s="7"/>
    </row>
    <row r="95" ht="15.75" customHeight="1">
      <c r="F95" s="95"/>
      <c r="G95" s="95"/>
      <c r="U95" s="7"/>
    </row>
    <row r="96" ht="15.75" customHeight="1">
      <c r="F96" s="95"/>
      <c r="G96" s="95"/>
      <c r="U96" s="7"/>
    </row>
    <row r="97" ht="15.75" customHeight="1">
      <c r="F97" s="95"/>
      <c r="G97" s="95"/>
      <c r="U97" s="7"/>
    </row>
    <row r="98" ht="15.75" customHeight="1">
      <c r="F98" s="95"/>
      <c r="G98" s="95"/>
      <c r="U98" s="7"/>
    </row>
    <row r="99" ht="15.75" customHeight="1">
      <c r="F99" s="95"/>
      <c r="G99" s="95"/>
      <c r="U99" s="7"/>
    </row>
    <row r="100" ht="15.75" customHeight="1">
      <c r="F100" s="95"/>
      <c r="G100" s="95"/>
      <c r="U100" s="7"/>
    </row>
    <row r="101" ht="15.75" customHeight="1">
      <c r="F101" s="95"/>
      <c r="G101" s="95"/>
      <c r="U101" s="7"/>
    </row>
    <row r="102" ht="15.75" customHeight="1">
      <c r="F102" s="95"/>
      <c r="G102" s="95"/>
      <c r="U102" s="7"/>
    </row>
    <row r="103" ht="15.75" customHeight="1">
      <c r="F103" s="95"/>
      <c r="G103" s="95"/>
      <c r="U103" s="7"/>
    </row>
    <row r="104" ht="15.75" customHeight="1">
      <c r="F104" s="95"/>
      <c r="G104" s="95"/>
      <c r="U104" s="7"/>
    </row>
    <row r="105" ht="15.75" customHeight="1">
      <c r="F105" s="95"/>
      <c r="G105" s="95"/>
      <c r="U105" s="7"/>
    </row>
    <row r="106" ht="15.75" customHeight="1">
      <c r="F106" s="95"/>
      <c r="G106" s="95"/>
      <c r="U106" s="7"/>
    </row>
    <row r="107" ht="15.75" customHeight="1">
      <c r="F107" s="95"/>
      <c r="G107" s="95"/>
      <c r="U107" s="7"/>
    </row>
    <row r="108" ht="15.75" customHeight="1">
      <c r="F108" s="95"/>
      <c r="G108" s="95"/>
      <c r="U108" s="7"/>
    </row>
    <row r="109" ht="15.75" customHeight="1">
      <c r="F109" s="95"/>
      <c r="G109" s="95"/>
      <c r="U109" s="7"/>
    </row>
    <row r="110" ht="15.75" customHeight="1">
      <c r="F110" s="95"/>
      <c r="G110" s="95"/>
      <c r="U110" s="7"/>
    </row>
    <row r="111" ht="15.75" customHeight="1">
      <c r="F111" s="95"/>
      <c r="G111" s="95"/>
      <c r="U111" s="7"/>
    </row>
    <row r="112" ht="15.75" customHeight="1">
      <c r="F112" s="95"/>
      <c r="G112" s="95"/>
      <c r="U112" s="7"/>
    </row>
    <row r="113" ht="15.75" customHeight="1">
      <c r="F113" s="95"/>
      <c r="G113" s="95"/>
      <c r="U113" s="7"/>
    </row>
    <row r="114" ht="15.75" customHeight="1">
      <c r="F114" s="95"/>
      <c r="G114" s="95"/>
      <c r="U114" s="7"/>
    </row>
    <row r="115" ht="15.75" customHeight="1">
      <c r="F115" s="95"/>
      <c r="G115" s="95"/>
      <c r="U115" s="7"/>
    </row>
    <row r="116" ht="15.75" customHeight="1">
      <c r="F116" s="95"/>
      <c r="G116" s="95"/>
      <c r="U116" s="7"/>
    </row>
    <row r="117" ht="15.75" customHeight="1">
      <c r="F117" s="95"/>
      <c r="G117" s="95"/>
      <c r="U117" s="7"/>
    </row>
    <row r="118" ht="15.75" customHeight="1">
      <c r="F118" s="95"/>
      <c r="G118" s="95"/>
      <c r="U118" s="7"/>
    </row>
    <row r="119" ht="15.75" customHeight="1">
      <c r="F119" s="95"/>
      <c r="G119" s="95"/>
      <c r="U119" s="7"/>
    </row>
    <row r="120" ht="15.75" customHeight="1">
      <c r="F120" s="95"/>
      <c r="G120" s="95"/>
      <c r="U120" s="7"/>
    </row>
    <row r="121" ht="15.75" customHeight="1">
      <c r="F121" s="95"/>
      <c r="G121" s="95"/>
      <c r="U121" s="7"/>
    </row>
    <row r="122" ht="15.75" customHeight="1">
      <c r="F122" s="95"/>
      <c r="G122" s="95"/>
      <c r="U122" s="7"/>
    </row>
    <row r="123" ht="15.75" customHeight="1">
      <c r="F123" s="95"/>
      <c r="G123" s="95"/>
      <c r="U123" s="7"/>
    </row>
    <row r="124" ht="15.75" customHeight="1">
      <c r="F124" s="95"/>
      <c r="G124" s="95"/>
      <c r="U124" s="7"/>
    </row>
    <row r="125" ht="15.75" customHeight="1">
      <c r="F125" s="95"/>
      <c r="G125" s="95"/>
      <c r="U125" s="7"/>
    </row>
    <row r="126" ht="15.75" customHeight="1">
      <c r="F126" s="95"/>
      <c r="G126" s="95"/>
      <c r="U126" s="7"/>
    </row>
    <row r="127" ht="15.75" customHeight="1">
      <c r="F127" s="95"/>
      <c r="G127" s="95"/>
      <c r="U127" s="7"/>
    </row>
    <row r="128" ht="15.75" customHeight="1">
      <c r="F128" s="95"/>
      <c r="G128" s="95"/>
      <c r="U128" s="7"/>
    </row>
    <row r="129" ht="15.75" customHeight="1">
      <c r="F129" s="95"/>
      <c r="G129" s="95"/>
      <c r="U129" s="7"/>
    </row>
    <row r="130" ht="15.75" customHeight="1">
      <c r="F130" s="95"/>
      <c r="G130" s="95"/>
      <c r="U130" s="7"/>
    </row>
    <row r="131" ht="15.75" customHeight="1">
      <c r="F131" s="95"/>
      <c r="G131" s="95"/>
      <c r="U131" s="7"/>
    </row>
    <row r="132" ht="15.75" customHeight="1">
      <c r="F132" s="95"/>
      <c r="G132" s="95"/>
      <c r="U132" s="7"/>
    </row>
    <row r="133" ht="15.75" customHeight="1">
      <c r="F133" s="95"/>
      <c r="G133" s="95"/>
      <c r="U133" s="7"/>
    </row>
    <row r="134" ht="15.75" customHeight="1">
      <c r="F134" s="95"/>
      <c r="G134" s="95"/>
      <c r="U134" s="7"/>
    </row>
    <row r="135" ht="15.75" customHeight="1">
      <c r="F135" s="95"/>
      <c r="G135" s="95"/>
      <c r="U135" s="7"/>
    </row>
    <row r="136" ht="15.75" customHeight="1">
      <c r="F136" s="95"/>
      <c r="G136" s="95"/>
      <c r="U136" s="7"/>
    </row>
    <row r="137" ht="15.75" customHeight="1">
      <c r="F137" s="95"/>
      <c r="G137" s="95"/>
      <c r="U137" s="7"/>
    </row>
    <row r="138" ht="15.75" customHeight="1">
      <c r="F138" s="95"/>
      <c r="G138" s="95"/>
      <c r="U138" s="7"/>
    </row>
    <row r="139" ht="15.75" customHeight="1">
      <c r="F139" s="95"/>
      <c r="G139" s="95"/>
      <c r="U139" s="7"/>
    </row>
    <row r="140" ht="15.75" customHeight="1">
      <c r="F140" s="95"/>
      <c r="G140" s="95"/>
      <c r="U140" s="7"/>
    </row>
    <row r="141" ht="15.75" customHeight="1">
      <c r="F141" s="95"/>
      <c r="G141" s="95"/>
      <c r="U141" s="7"/>
    </row>
    <row r="142" ht="15.75" customHeight="1">
      <c r="F142" s="95"/>
      <c r="G142" s="95"/>
      <c r="U142" s="7"/>
    </row>
    <row r="143" ht="15.75" customHeight="1">
      <c r="F143" s="95"/>
      <c r="G143" s="95"/>
      <c r="U143" s="7"/>
    </row>
    <row r="144" ht="15.75" customHeight="1">
      <c r="F144" s="95"/>
      <c r="G144" s="95"/>
      <c r="U144" s="7"/>
    </row>
    <row r="145" ht="15.75" customHeight="1">
      <c r="F145" s="95"/>
      <c r="G145" s="95"/>
      <c r="U145" s="7"/>
    </row>
    <row r="146" ht="15.75" customHeight="1">
      <c r="F146" s="95"/>
      <c r="G146" s="95"/>
      <c r="U146" s="7"/>
    </row>
    <row r="147" ht="15.75" customHeight="1">
      <c r="F147" s="95"/>
      <c r="G147" s="95"/>
      <c r="U147" s="7"/>
    </row>
    <row r="148" ht="15.75" customHeight="1">
      <c r="F148" s="95"/>
      <c r="G148" s="95"/>
      <c r="U148" s="7"/>
    </row>
    <row r="149" ht="15.75" customHeight="1">
      <c r="F149" s="95"/>
      <c r="G149" s="95"/>
      <c r="U149" s="7"/>
    </row>
    <row r="150" ht="15.75" customHeight="1">
      <c r="F150" s="95"/>
      <c r="G150" s="95"/>
      <c r="U150" s="7"/>
    </row>
    <row r="151" ht="15.75" customHeight="1">
      <c r="F151" s="95"/>
      <c r="G151" s="95"/>
      <c r="U151" s="7"/>
    </row>
    <row r="152" ht="15.75" customHeight="1">
      <c r="F152" s="95"/>
      <c r="G152" s="95"/>
      <c r="U152" s="7"/>
    </row>
    <row r="153" ht="15.75" customHeight="1">
      <c r="F153" s="95"/>
      <c r="G153" s="95"/>
      <c r="U153" s="7"/>
    </row>
    <row r="154" ht="15.75" customHeight="1">
      <c r="F154" s="95"/>
      <c r="G154" s="95"/>
      <c r="U154" s="7"/>
    </row>
    <row r="155" ht="15.75" customHeight="1">
      <c r="F155" s="95"/>
      <c r="G155" s="95"/>
      <c r="U155" s="7"/>
    </row>
    <row r="156" ht="15.75" customHeight="1">
      <c r="F156" s="95"/>
      <c r="G156" s="95"/>
      <c r="U156" s="7"/>
    </row>
    <row r="157" ht="15.75" customHeight="1">
      <c r="F157" s="95"/>
      <c r="G157" s="95"/>
      <c r="U157" s="7"/>
    </row>
    <row r="158" ht="15.75" customHeight="1">
      <c r="F158" s="95"/>
      <c r="G158" s="95"/>
      <c r="U158" s="7"/>
    </row>
    <row r="159" ht="15.75" customHeight="1">
      <c r="F159" s="95"/>
      <c r="G159" s="95"/>
      <c r="U159" s="7"/>
    </row>
    <row r="160" ht="15.75" customHeight="1">
      <c r="F160" s="95"/>
      <c r="G160" s="95"/>
      <c r="U160" s="7"/>
    </row>
    <row r="161" ht="15.75" customHeight="1">
      <c r="F161" s="95"/>
      <c r="G161" s="95"/>
      <c r="U161" s="7"/>
    </row>
    <row r="162" ht="15.75" customHeight="1">
      <c r="F162" s="95"/>
      <c r="G162" s="95"/>
      <c r="U162" s="7"/>
    </row>
    <row r="163" ht="15.75" customHeight="1">
      <c r="F163" s="95"/>
      <c r="G163" s="95"/>
      <c r="U163" s="7"/>
    </row>
    <row r="164" ht="15.75" customHeight="1">
      <c r="F164" s="95"/>
      <c r="G164" s="95"/>
      <c r="U164" s="7"/>
    </row>
    <row r="165" ht="15.75" customHeight="1">
      <c r="F165" s="95"/>
      <c r="G165" s="95"/>
      <c r="U165" s="7"/>
    </row>
    <row r="166" ht="15.75" customHeight="1">
      <c r="F166" s="95"/>
      <c r="G166" s="95"/>
      <c r="U166" s="7"/>
    </row>
    <row r="167" ht="15.75" customHeight="1">
      <c r="F167" s="95"/>
      <c r="G167" s="95"/>
      <c r="U167" s="7"/>
    </row>
    <row r="168" ht="15.75" customHeight="1">
      <c r="F168" s="95"/>
      <c r="G168" s="95"/>
      <c r="U168" s="7"/>
    </row>
    <row r="169" ht="15.75" customHeight="1">
      <c r="F169" s="95"/>
      <c r="G169" s="95"/>
      <c r="U169" s="7"/>
    </row>
    <row r="170" ht="15.75" customHeight="1">
      <c r="F170" s="95"/>
      <c r="G170" s="95"/>
      <c r="U170" s="7"/>
    </row>
    <row r="171" ht="15.75" customHeight="1">
      <c r="F171" s="95"/>
      <c r="G171" s="95"/>
      <c r="U171" s="7"/>
    </row>
    <row r="172" ht="15.75" customHeight="1">
      <c r="F172" s="95"/>
      <c r="G172" s="95"/>
      <c r="U172" s="7"/>
    </row>
    <row r="173" ht="15.75" customHeight="1">
      <c r="F173" s="95"/>
      <c r="G173" s="95"/>
      <c r="U173" s="7"/>
    </row>
    <row r="174" ht="15.75" customHeight="1">
      <c r="F174" s="95"/>
      <c r="G174" s="95"/>
      <c r="U174" s="7"/>
    </row>
    <row r="175" ht="15.75" customHeight="1">
      <c r="F175" s="95"/>
      <c r="G175" s="95"/>
      <c r="U175" s="7"/>
    </row>
    <row r="176" ht="15.75" customHeight="1">
      <c r="F176" s="95"/>
      <c r="G176" s="95"/>
      <c r="U176" s="7"/>
    </row>
    <row r="177" ht="15.75" customHeight="1">
      <c r="F177" s="95"/>
      <c r="G177" s="95"/>
      <c r="U177" s="7"/>
    </row>
    <row r="178" ht="15.75" customHeight="1">
      <c r="F178" s="95"/>
      <c r="G178" s="95"/>
      <c r="U178" s="7"/>
    </row>
    <row r="179" ht="15.75" customHeight="1">
      <c r="F179" s="95"/>
      <c r="G179" s="95"/>
      <c r="U179" s="7"/>
    </row>
    <row r="180" ht="15.75" customHeight="1">
      <c r="F180" s="95"/>
      <c r="G180" s="95"/>
      <c r="U180" s="7"/>
    </row>
    <row r="181" ht="15.75" customHeight="1">
      <c r="F181" s="95"/>
      <c r="G181" s="95"/>
      <c r="U181" s="7"/>
    </row>
    <row r="182" ht="15.75" customHeight="1">
      <c r="F182" s="95"/>
      <c r="G182" s="95"/>
      <c r="U182" s="7"/>
    </row>
    <row r="183" ht="15.75" customHeight="1">
      <c r="F183" s="95"/>
      <c r="G183" s="95"/>
      <c r="U183" s="7"/>
    </row>
    <row r="184" ht="15.75" customHeight="1">
      <c r="F184" s="95"/>
      <c r="G184" s="95"/>
      <c r="U184" s="7"/>
    </row>
    <row r="185" ht="15.75" customHeight="1">
      <c r="F185" s="95"/>
      <c r="G185" s="95"/>
      <c r="U185" s="7"/>
    </row>
    <row r="186" ht="15.75" customHeight="1">
      <c r="F186" s="95"/>
      <c r="G186" s="95"/>
      <c r="U186" s="7"/>
    </row>
    <row r="187" ht="15.75" customHeight="1">
      <c r="F187" s="95"/>
      <c r="G187" s="95"/>
      <c r="U187" s="7"/>
    </row>
    <row r="188" ht="15.75" customHeight="1">
      <c r="F188" s="95"/>
      <c r="G188" s="95"/>
      <c r="U188" s="7"/>
    </row>
    <row r="189" ht="15.75" customHeight="1">
      <c r="F189" s="95"/>
      <c r="G189" s="95"/>
      <c r="U189" s="7"/>
    </row>
    <row r="190" ht="15.75" customHeight="1">
      <c r="F190" s="95"/>
      <c r="G190" s="95"/>
      <c r="U190" s="7"/>
    </row>
    <row r="191" ht="15.75" customHeight="1">
      <c r="F191" s="95"/>
      <c r="G191" s="95"/>
      <c r="U191" s="7"/>
    </row>
    <row r="192" ht="15.75" customHeight="1">
      <c r="F192" s="95"/>
      <c r="G192" s="95"/>
      <c r="U192" s="7"/>
    </row>
    <row r="193" ht="15.75" customHeight="1">
      <c r="F193" s="95"/>
      <c r="G193" s="95"/>
      <c r="U193" s="7"/>
    </row>
    <row r="194" ht="15.75" customHeight="1">
      <c r="F194" s="95"/>
      <c r="G194" s="95"/>
      <c r="U194" s="7"/>
    </row>
    <row r="195" ht="15.75" customHeight="1">
      <c r="F195" s="95"/>
      <c r="G195" s="95"/>
      <c r="U195" s="7"/>
    </row>
    <row r="196" ht="15.75" customHeight="1">
      <c r="F196" s="95"/>
      <c r="G196" s="95"/>
      <c r="U196" s="7"/>
    </row>
    <row r="197" ht="15.75" customHeight="1">
      <c r="F197" s="95"/>
      <c r="G197" s="95"/>
      <c r="U197" s="7"/>
    </row>
    <row r="198" ht="15.75" customHeight="1">
      <c r="F198" s="95"/>
      <c r="G198" s="95"/>
      <c r="U198" s="7"/>
    </row>
    <row r="199" ht="15.75" customHeight="1">
      <c r="F199" s="95"/>
      <c r="G199" s="95"/>
      <c r="U199" s="7"/>
    </row>
    <row r="200" ht="15.75" customHeight="1">
      <c r="F200" s="95"/>
      <c r="G200" s="95"/>
      <c r="U200" s="7"/>
    </row>
    <row r="201" ht="15.75" customHeight="1">
      <c r="F201" s="95"/>
      <c r="G201" s="95"/>
      <c r="U201" s="7"/>
    </row>
    <row r="202" ht="15.75" customHeight="1">
      <c r="F202" s="95"/>
      <c r="G202" s="95"/>
      <c r="U202" s="7"/>
    </row>
    <row r="203" ht="15.75" customHeight="1">
      <c r="F203" s="95"/>
      <c r="G203" s="95"/>
      <c r="U203" s="7"/>
    </row>
    <row r="204" ht="15.75" customHeight="1">
      <c r="F204" s="95"/>
      <c r="G204" s="95"/>
      <c r="U204" s="7"/>
    </row>
    <row r="205" ht="15.75" customHeight="1">
      <c r="F205" s="95"/>
      <c r="G205" s="95"/>
      <c r="U205" s="7"/>
    </row>
    <row r="206" ht="15.75" customHeight="1">
      <c r="F206" s="95"/>
      <c r="G206" s="95"/>
      <c r="U206" s="7"/>
    </row>
    <row r="207" ht="15.75" customHeight="1">
      <c r="F207" s="95"/>
      <c r="G207" s="95"/>
      <c r="U207" s="7"/>
    </row>
    <row r="208" ht="15.75" customHeight="1">
      <c r="F208" s="95"/>
      <c r="G208" s="95"/>
      <c r="U208" s="7"/>
    </row>
    <row r="209" ht="15.75" customHeight="1">
      <c r="F209" s="95"/>
      <c r="G209" s="95"/>
      <c r="U209" s="7"/>
    </row>
    <row r="210" ht="15.75" customHeight="1">
      <c r="F210" s="95"/>
      <c r="G210" s="95"/>
      <c r="U210" s="7"/>
    </row>
    <row r="211" ht="15.75" customHeight="1">
      <c r="F211" s="95"/>
      <c r="G211" s="95"/>
      <c r="U211" s="7"/>
    </row>
    <row r="212" ht="15.75" customHeight="1">
      <c r="F212" s="95"/>
      <c r="G212" s="95"/>
      <c r="U212" s="7"/>
    </row>
    <row r="213" ht="15.75" customHeight="1">
      <c r="F213" s="95"/>
      <c r="G213" s="95"/>
      <c r="U213" s="7"/>
    </row>
    <row r="214" ht="15.75" customHeight="1">
      <c r="F214" s="95"/>
      <c r="G214" s="95"/>
      <c r="U214" s="7"/>
    </row>
    <row r="215" ht="15.75" customHeight="1">
      <c r="F215" s="95"/>
      <c r="G215" s="95"/>
      <c r="U215" s="7"/>
    </row>
    <row r="216" ht="15.75" customHeight="1">
      <c r="F216" s="95"/>
      <c r="G216" s="95"/>
      <c r="U216" s="7"/>
    </row>
    <row r="217" ht="15.75" customHeight="1">
      <c r="F217" s="95"/>
      <c r="G217" s="95"/>
      <c r="U217" s="7"/>
    </row>
    <row r="218" ht="15.75" customHeight="1">
      <c r="F218" s="95"/>
      <c r="G218" s="95"/>
      <c r="U218" s="7"/>
    </row>
    <row r="219" ht="15.75" customHeight="1">
      <c r="F219" s="95"/>
      <c r="G219" s="95"/>
      <c r="U219" s="7"/>
    </row>
    <row r="220" ht="15.75" customHeight="1">
      <c r="F220" s="95"/>
      <c r="G220" s="95"/>
      <c r="U220" s="7"/>
    </row>
    <row r="221" ht="15.75" customHeight="1">
      <c r="F221" s="95"/>
      <c r="G221" s="95"/>
      <c r="U221" s="7"/>
    </row>
    <row r="222" ht="15.75" customHeight="1">
      <c r="F222" s="95"/>
      <c r="G222" s="95"/>
      <c r="U222" s="7"/>
    </row>
    <row r="223" ht="15.75" customHeight="1">
      <c r="F223" s="95"/>
      <c r="G223" s="95"/>
      <c r="U223" s="7"/>
    </row>
    <row r="224" ht="15.75" customHeight="1">
      <c r="F224" s="95"/>
      <c r="G224" s="95"/>
      <c r="U224" s="7"/>
    </row>
    <row r="225" ht="15.75" customHeight="1">
      <c r="F225" s="95"/>
      <c r="G225" s="95"/>
      <c r="U225" s="7"/>
    </row>
    <row r="226" ht="15.75" customHeight="1">
      <c r="F226" s="95"/>
      <c r="G226" s="95"/>
      <c r="U226" s="7"/>
    </row>
    <row r="227" ht="15.75" customHeight="1">
      <c r="F227" s="95"/>
      <c r="G227" s="95"/>
      <c r="U227" s="7"/>
    </row>
    <row r="228" ht="15.75" customHeight="1">
      <c r="F228" s="95"/>
      <c r="G228" s="95"/>
      <c r="U228" s="7"/>
    </row>
    <row r="229" ht="15.75" customHeight="1">
      <c r="F229" s="95"/>
      <c r="G229" s="95"/>
      <c r="U229" s="7"/>
    </row>
    <row r="230" ht="15.75" customHeight="1">
      <c r="F230" s="95"/>
      <c r="G230" s="95"/>
      <c r="U230" s="7"/>
    </row>
    <row r="231" ht="15.75" customHeight="1">
      <c r="F231" s="95"/>
      <c r="G231" s="95"/>
      <c r="U231" s="7"/>
    </row>
    <row r="232" ht="15.75" customHeight="1">
      <c r="F232" s="95"/>
      <c r="G232" s="95"/>
      <c r="U232" s="7"/>
    </row>
    <row r="233" ht="15.75" customHeight="1">
      <c r="F233" s="95"/>
      <c r="G233" s="95"/>
      <c r="U233" s="7"/>
    </row>
    <row r="234" ht="15.75" customHeight="1">
      <c r="F234" s="95"/>
      <c r="G234" s="95"/>
      <c r="U234" s="7"/>
    </row>
    <row r="235" ht="15.75" customHeight="1">
      <c r="F235" s="95"/>
      <c r="G235" s="95"/>
      <c r="U235" s="7"/>
    </row>
    <row r="236" ht="15.75" customHeight="1">
      <c r="F236" s="95"/>
      <c r="G236" s="95"/>
      <c r="U236" s="7"/>
    </row>
    <row r="237" ht="15.75" customHeight="1">
      <c r="F237" s="95"/>
      <c r="G237" s="95"/>
      <c r="U237" s="7"/>
    </row>
    <row r="238" ht="15.75" customHeight="1">
      <c r="F238" s="95"/>
      <c r="G238" s="95"/>
      <c r="U238" s="7"/>
    </row>
    <row r="239" ht="15.75" customHeight="1">
      <c r="F239" s="95"/>
      <c r="G239" s="95"/>
      <c r="U239" s="7"/>
    </row>
    <row r="240" ht="15.75" customHeight="1">
      <c r="F240" s="95"/>
      <c r="G240" s="95"/>
      <c r="U240" s="7"/>
    </row>
    <row r="241" ht="15.75" customHeight="1">
      <c r="F241" s="95"/>
      <c r="G241" s="95"/>
      <c r="U241" s="7"/>
    </row>
    <row r="242" ht="15.75" customHeight="1">
      <c r="F242" s="95"/>
      <c r="G242" s="95"/>
      <c r="U242" s="7"/>
    </row>
    <row r="243" ht="15.75" customHeight="1">
      <c r="F243" s="95"/>
      <c r="G243" s="95"/>
      <c r="U243" s="7"/>
    </row>
    <row r="244" ht="15.75" customHeight="1">
      <c r="F244" s="95"/>
      <c r="G244" s="95"/>
      <c r="U244" s="7"/>
    </row>
    <row r="245" ht="15.75" customHeight="1">
      <c r="F245" s="95"/>
      <c r="G245" s="95"/>
      <c r="U245" s="7"/>
    </row>
    <row r="246" ht="15.75" customHeight="1">
      <c r="F246" s="95"/>
      <c r="G246" s="95"/>
      <c r="U246" s="7"/>
    </row>
    <row r="247" ht="15.75" customHeight="1">
      <c r="F247" s="95"/>
      <c r="G247" s="95"/>
      <c r="U247" s="7"/>
    </row>
    <row r="248" ht="15.75" customHeight="1">
      <c r="F248" s="95"/>
      <c r="G248" s="95"/>
      <c r="U248" s="7"/>
    </row>
    <row r="249" ht="15.75" customHeight="1">
      <c r="F249" s="95"/>
      <c r="G249" s="95"/>
      <c r="U249" s="7"/>
    </row>
    <row r="250" ht="15.75" customHeight="1">
      <c r="F250" s="95"/>
      <c r="G250" s="95"/>
      <c r="U250" s="7"/>
    </row>
    <row r="251" ht="15.75" customHeight="1">
      <c r="F251" s="95"/>
      <c r="G251" s="95"/>
      <c r="U251" s="7"/>
    </row>
    <row r="252" ht="15.75" customHeight="1">
      <c r="F252" s="95"/>
      <c r="G252" s="95"/>
      <c r="U252" s="7"/>
    </row>
    <row r="253" ht="15.75" customHeight="1">
      <c r="F253" s="95"/>
      <c r="G253" s="95"/>
      <c r="U253" s="7"/>
    </row>
    <row r="254" ht="15.75" customHeight="1">
      <c r="F254" s="95"/>
      <c r="G254" s="95"/>
      <c r="U254" s="7"/>
    </row>
    <row r="255" ht="15.75" customHeight="1">
      <c r="F255" s="95"/>
      <c r="G255" s="95"/>
      <c r="U255" s="7"/>
    </row>
    <row r="256" ht="15.75" customHeight="1">
      <c r="F256" s="95"/>
      <c r="G256" s="95"/>
      <c r="U256" s="7"/>
    </row>
    <row r="257" ht="15.75" customHeight="1">
      <c r="F257" s="95"/>
      <c r="G257" s="95"/>
      <c r="U257" s="7"/>
    </row>
    <row r="258" ht="15.75" customHeight="1">
      <c r="F258" s="95"/>
      <c r="G258" s="95"/>
      <c r="U258" s="7"/>
    </row>
    <row r="259" ht="15.75" customHeight="1">
      <c r="F259" s="95"/>
      <c r="G259" s="95"/>
      <c r="U259" s="7"/>
    </row>
    <row r="260" ht="15.75" customHeight="1">
      <c r="F260" s="95"/>
      <c r="G260" s="95"/>
      <c r="U260" s="7"/>
    </row>
    <row r="261" ht="15.75" customHeight="1">
      <c r="F261" s="95"/>
      <c r="G261" s="95"/>
      <c r="U261" s="7"/>
    </row>
    <row r="262" ht="15.75" customHeight="1">
      <c r="F262" s="95"/>
      <c r="G262" s="95"/>
      <c r="U262" s="7"/>
    </row>
    <row r="263" ht="15.75" customHeight="1">
      <c r="F263" s="95"/>
      <c r="G263" s="95"/>
      <c r="U263" s="7"/>
    </row>
    <row r="264" ht="15.75" customHeight="1">
      <c r="F264" s="95"/>
      <c r="G264" s="95"/>
      <c r="U264" s="7"/>
    </row>
    <row r="265" ht="15.75" customHeight="1">
      <c r="F265" s="95"/>
      <c r="G265" s="95"/>
      <c r="U265" s="7"/>
    </row>
    <row r="266" ht="15.75" customHeight="1">
      <c r="F266" s="95"/>
      <c r="G266" s="95"/>
      <c r="U266" s="7"/>
    </row>
    <row r="267" ht="15.75" customHeight="1">
      <c r="F267" s="95"/>
      <c r="G267" s="95"/>
      <c r="U267" s="7"/>
    </row>
    <row r="268" ht="15.75" customHeight="1">
      <c r="F268" s="95"/>
      <c r="G268" s="95"/>
      <c r="U268" s="7"/>
    </row>
    <row r="269" ht="15.75" customHeight="1">
      <c r="F269" s="95"/>
      <c r="G269" s="95"/>
      <c r="U269" s="7"/>
    </row>
    <row r="270" ht="15.75" customHeight="1">
      <c r="F270" s="95"/>
      <c r="G270" s="95"/>
      <c r="U270" s="7"/>
    </row>
    <row r="271" ht="15.75" customHeight="1">
      <c r="F271" s="95"/>
      <c r="G271" s="95"/>
      <c r="U271" s="7"/>
    </row>
    <row r="272" ht="15.75" customHeight="1">
      <c r="F272" s="95"/>
      <c r="G272" s="95"/>
      <c r="U272" s="7"/>
    </row>
    <row r="273" ht="15.75" customHeight="1">
      <c r="F273" s="95"/>
      <c r="G273" s="95"/>
      <c r="U273" s="7"/>
    </row>
    <row r="274" ht="15.75" customHeight="1">
      <c r="F274" s="95"/>
      <c r="G274" s="95"/>
      <c r="U274" s="7"/>
    </row>
    <row r="275" ht="15.75" customHeight="1">
      <c r="F275" s="95"/>
      <c r="G275" s="95"/>
      <c r="U275" s="7"/>
    </row>
    <row r="276" ht="15.75" customHeight="1">
      <c r="F276" s="95"/>
      <c r="G276" s="95"/>
      <c r="U276" s="7"/>
    </row>
    <row r="277" ht="15.75" customHeight="1">
      <c r="F277" s="95"/>
      <c r="G277" s="95"/>
      <c r="U277" s="7"/>
    </row>
    <row r="278" ht="15.75" customHeight="1">
      <c r="F278" s="95"/>
      <c r="G278" s="95"/>
      <c r="U278" s="7"/>
    </row>
    <row r="279" ht="15.75" customHeight="1">
      <c r="F279" s="95"/>
      <c r="G279" s="95"/>
      <c r="U279" s="7"/>
    </row>
    <row r="280" ht="15.75" customHeight="1">
      <c r="F280" s="95"/>
      <c r="G280" s="95"/>
      <c r="U280" s="7"/>
    </row>
    <row r="281" ht="15.75" customHeight="1">
      <c r="F281" s="95"/>
      <c r="G281" s="95"/>
      <c r="U281" s="7"/>
    </row>
    <row r="282" ht="15.75" customHeight="1">
      <c r="F282" s="95"/>
      <c r="G282" s="95"/>
      <c r="U282" s="7"/>
    </row>
    <row r="283" ht="15.75" customHeight="1">
      <c r="F283" s="95"/>
      <c r="G283" s="95"/>
      <c r="U283" s="7"/>
    </row>
    <row r="284" ht="15.75" customHeight="1">
      <c r="F284" s="95"/>
      <c r="G284" s="95"/>
      <c r="U284" s="7"/>
    </row>
    <row r="285" ht="15.75" customHeight="1">
      <c r="F285" s="95"/>
      <c r="G285" s="95"/>
      <c r="U285" s="7"/>
    </row>
    <row r="286" ht="15.75" customHeight="1">
      <c r="F286" s="95"/>
      <c r="G286" s="95"/>
      <c r="U286" s="7"/>
    </row>
    <row r="287" ht="15.75" customHeight="1">
      <c r="F287" s="95"/>
      <c r="G287" s="95"/>
      <c r="U287" s="7"/>
    </row>
    <row r="288" ht="15.75" customHeight="1">
      <c r="F288" s="95"/>
      <c r="G288" s="95"/>
      <c r="U288" s="7"/>
    </row>
    <row r="289" ht="15.75" customHeight="1">
      <c r="F289" s="95"/>
      <c r="G289" s="95"/>
      <c r="U289" s="7"/>
    </row>
    <row r="290" ht="15.75" customHeight="1">
      <c r="F290" s="95"/>
      <c r="G290" s="95"/>
      <c r="U290" s="7"/>
    </row>
    <row r="291" ht="15.75" customHeight="1">
      <c r="F291" s="95"/>
      <c r="G291" s="95"/>
      <c r="U291" s="7"/>
    </row>
    <row r="292" ht="15.75" customHeight="1">
      <c r="F292" s="95"/>
      <c r="G292" s="95"/>
      <c r="U292" s="7"/>
    </row>
    <row r="293" ht="15.75" customHeight="1">
      <c r="F293" s="95"/>
      <c r="G293" s="95"/>
      <c r="U293" s="7"/>
    </row>
    <row r="294" ht="15.75" customHeight="1">
      <c r="F294" s="95"/>
      <c r="G294" s="95"/>
      <c r="U294" s="7"/>
    </row>
    <row r="295" ht="15.75" customHeight="1">
      <c r="F295" s="95"/>
      <c r="G295" s="95"/>
      <c r="U295" s="7"/>
    </row>
    <row r="296" ht="15.75" customHeight="1">
      <c r="F296" s="95"/>
      <c r="G296" s="95"/>
      <c r="U296" s="7"/>
    </row>
    <row r="297" ht="15.75" customHeight="1">
      <c r="F297" s="95"/>
      <c r="G297" s="95"/>
      <c r="U297" s="7"/>
    </row>
    <row r="298" ht="15.75" customHeight="1">
      <c r="F298" s="95"/>
      <c r="G298" s="95"/>
      <c r="U298" s="7"/>
    </row>
    <row r="299" ht="15.75" customHeight="1">
      <c r="F299" s="95"/>
      <c r="G299" s="95"/>
      <c r="U299" s="7"/>
    </row>
    <row r="300" ht="15.75" customHeight="1">
      <c r="F300" s="95"/>
      <c r="G300" s="95"/>
      <c r="U300" s="7"/>
    </row>
    <row r="301" ht="15.75" customHeight="1">
      <c r="F301" s="95"/>
      <c r="G301" s="95"/>
      <c r="U301" s="7"/>
    </row>
    <row r="302" ht="15.75" customHeight="1">
      <c r="F302" s="95"/>
      <c r="G302" s="95"/>
      <c r="U302" s="7"/>
    </row>
    <row r="303" ht="15.75" customHeight="1">
      <c r="F303" s="95"/>
      <c r="G303" s="95"/>
      <c r="U303" s="7"/>
    </row>
    <row r="304" ht="15.75" customHeight="1">
      <c r="F304" s="95"/>
      <c r="G304" s="95"/>
      <c r="U304" s="7"/>
    </row>
    <row r="305" ht="15.75" customHeight="1">
      <c r="F305" s="95"/>
      <c r="G305" s="95"/>
      <c r="U305" s="7"/>
    </row>
    <row r="306" ht="15.75" customHeight="1">
      <c r="F306" s="95"/>
      <c r="G306" s="95"/>
      <c r="U306" s="7"/>
    </row>
    <row r="307" ht="15.75" customHeight="1">
      <c r="F307" s="95"/>
      <c r="G307" s="95"/>
      <c r="U307" s="7"/>
    </row>
    <row r="308" ht="15.75" customHeight="1">
      <c r="F308" s="95"/>
      <c r="G308" s="95"/>
      <c r="U308" s="7"/>
    </row>
    <row r="309" ht="15.75" customHeight="1">
      <c r="F309" s="95"/>
      <c r="G309" s="95"/>
      <c r="U309" s="7"/>
    </row>
    <row r="310" ht="15.75" customHeight="1">
      <c r="F310" s="95"/>
      <c r="G310" s="95"/>
      <c r="U310" s="7"/>
    </row>
    <row r="311" ht="15.75" customHeight="1">
      <c r="F311" s="95"/>
      <c r="G311" s="95"/>
      <c r="U311" s="7"/>
    </row>
    <row r="312" ht="15.75" customHeight="1">
      <c r="F312" s="95"/>
      <c r="G312" s="95"/>
      <c r="U312" s="7"/>
    </row>
    <row r="313" ht="15.75" customHeight="1">
      <c r="F313" s="95"/>
      <c r="G313" s="95"/>
      <c r="U313" s="7"/>
    </row>
    <row r="314" ht="15.75" customHeight="1">
      <c r="F314" s="95"/>
      <c r="G314" s="95"/>
      <c r="U314" s="7"/>
    </row>
    <row r="315" ht="15.75" customHeight="1">
      <c r="F315" s="95"/>
      <c r="G315" s="95"/>
      <c r="U315" s="7"/>
    </row>
    <row r="316" ht="15.75" customHeight="1">
      <c r="F316" s="95"/>
      <c r="G316" s="95"/>
      <c r="U316" s="7"/>
    </row>
    <row r="317" ht="15.75" customHeight="1">
      <c r="F317" s="95"/>
      <c r="G317" s="95"/>
      <c r="U317" s="7"/>
    </row>
    <row r="318" ht="15.75" customHeight="1">
      <c r="F318" s="95"/>
      <c r="G318" s="95"/>
      <c r="U318" s="7"/>
    </row>
    <row r="319" ht="15.75" customHeight="1">
      <c r="F319" s="95"/>
      <c r="G319" s="95"/>
      <c r="U319" s="7"/>
    </row>
    <row r="320" ht="15.75" customHeight="1">
      <c r="F320" s="95"/>
      <c r="G320" s="95"/>
      <c r="U320" s="7"/>
    </row>
    <row r="321" ht="15.75" customHeight="1">
      <c r="F321" s="95"/>
      <c r="G321" s="95"/>
      <c r="U321" s="7"/>
    </row>
    <row r="322" ht="15.75" customHeight="1">
      <c r="F322" s="95"/>
      <c r="G322" s="95"/>
      <c r="U322" s="7"/>
    </row>
    <row r="323" ht="15.75" customHeight="1">
      <c r="F323" s="95"/>
      <c r="G323" s="95"/>
      <c r="U323" s="7"/>
    </row>
    <row r="324" ht="15.75" customHeight="1">
      <c r="F324" s="95"/>
      <c r="G324" s="95"/>
      <c r="U324" s="7"/>
    </row>
    <row r="325" ht="15.75" customHeight="1">
      <c r="F325" s="95"/>
      <c r="G325" s="95"/>
      <c r="U325" s="7"/>
    </row>
    <row r="326" ht="15.75" customHeight="1">
      <c r="F326" s="95"/>
      <c r="G326" s="95"/>
      <c r="U326" s="7"/>
    </row>
    <row r="327" ht="15.75" customHeight="1">
      <c r="F327" s="95"/>
      <c r="G327" s="95"/>
      <c r="U327" s="7"/>
    </row>
    <row r="328" ht="15.75" customHeight="1">
      <c r="F328" s="95"/>
      <c r="G328" s="95"/>
      <c r="U328" s="7"/>
    </row>
    <row r="329" ht="15.75" customHeight="1">
      <c r="F329" s="95"/>
      <c r="G329" s="95"/>
      <c r="U329" s="7"/>
    </row>
    <row r="330" ht="15.75" customHeight="1">
      <c r="F330" s="95"/>
      <c r="G330" s="95"/>
      <c r="U330" s="7"/>
    </row>
    <row r="331" ht="15.75" customHeight="1">
      <c r="F331" s="95"/>
      <c r="G331" s="95"/>
      <c r="U331" s="7"/>
    </row>
    <row r="332" ht="15.75" customHeight="1">
      <c r="F332" s="95"/>
      <c r="G332" s="95"/>
      <c r="U332" s="7"/>
    </row>
    <row r="333" ht="15.75" customHeight="1">
      <c r="F333" s="95"/>
      <c r="G333" s="95"/>
      <c r="U333" s="7"/>
    </row>
    <row r="334" ht="15.75" customHeight="1">
      <c r="F334" s="95"/>
      <c r="G334" s="95"/>
      <c r="U334" s="7"/>
    </row>
    <row r="335" ht="15.75" customHeight="1">
      <c r="F335" s="95"/>
      <c r="G335" s="95"/>
      <c r="U335" s="7"/>
    </row>
    <row r="336" ht="15.75" customHeight="1">
      <c r="F336" s="95"/>
      <c r="G336" s="95"/>
      <c r="U336" s="7"/>
    </row>
    <row r="337" ht="15.75" customHeight="1">
      <c r="F337" s="95"/>
      <c r="G337" s="95"/>
      <c r="U337" s="7"/>
    </row>
    <row r="338" ht="15.75" customHeight="1">
      <c r="F338" s="95"/>
      <c r="G338" s="95"/>
      <c r="U338" s="7"/>
    </row>
    <row r="339" ht="15.75" customHeight="1">
      <c r="F339" s="95"/>
      <c r="G339" s="95"/>
      <c r="U339" s="7"/>
    </row>
    <row r="340" ht="15.75" customHeight="1">
      <c r="F340" s="95"/>
      <c r="G340" s="95"/>
      <c r="U340" s="7"/>
    </row>
    <row r="341" ht="15.75" customHeight="1">
      <c r="F341" s="95"/>
      <c r="G341" s="95"/>
      <c r="U341" s="7"/>
    </row>
    <row r="342" ht="15.75" customHeight="1">
      <c r="F342" s="95"/>
      <c r="G342" s="95"/>
      <c r="U342" s="7"/>
    </row>
    <row r="343" ht="15.75" customHeight="1">
      <c r="F343" s="95"/>
      <c r="G343" s="95"/>
      <c r="U343" s="7"/>
    </row>
    <row r="344" ht="15.75" customHeight="1">
      <c r="F344" s="95"/>
      <c r="G344" s="95"/>
      <c r="U344" s="7"/>
    </row>
    <row r="345" ht="15.75" customHeight="1">
      <c r="F345" s="95"/>
      <c r="G345" s="95"/>
      <c r="U345" s="7"/>
    </row>
    <row r="346" ht="15.75" customHeight="1">
      <c r="F346" s="95"/>
      <c r="G346" s="95"/>
      <c r="U346" s="7"/>
    </row>
    <row r="347" ht="15.75" customHeight="1">
      <c r="F347" s="95"/>
      <c r="G347" s="95"/>
      <c r="U347" s="7"/>
    </row>
    <row r="348" ht="15.75" customHeight="1">
      <c r="F348" s="95"/>
      <c r="G348" s="95"/>
      <c r="U348" s="7"/>
    </row>
    <row r="349" ht="15.75" customHeight="1">
      <c r="F349" s="95"/>
      <c r="G349" s="95"/>
      <c r="U349" s="7"/>
    </row>
    <row r="350" ht="15.75" customHeight="1">
      <c r="F350" s="95"/>
      <c r="G350" s="95"/>
      <c r="U350" s="7"/>
    </row>
    <row r="351" ht="15.75" customHeight="1">
      <c r="F351" s="95"/>
      <c r="G351" s="95"/>
      <c r="U351" s="7"/>
    </row>
    <row r="352" ht="15.75" customHeight="1">
      <c r="F352" s="95"/>
      <c r="G352" s="95"/>
      <c r="U352" s="7"/>
    </row>
    <row r="353" ht="15.75" customHeight="1">
      <c r="F353" s="95"/>
      <c r="G353" s="95"/>
      <c r="U353" s="7"/>
    </row>
    <row r="354" ht="15.75" customHeight="1">
      <c r="F354" s="95"/>
      <c r="G354" s="95"/>
      <c r="U354" s="7"/>
    </row>
    <row r="355" ht="15.75" customHeight="1">
      <c r="F355" s="95"/>
      <c r="G355" s="95"/>
      <c r="U355" s="7"/>
    </row>
    <row r="356" ht="15.75" customHeight="1">
      <c r="F356" s="95"/>
      <c r="G356" s="95"/>
      <c r="U356" s="7"/>
    </row>
    <row r="357" ht="15.75" customHeight="1">
      <c r="F357" s="95"/>
      <c r="G357" s="95"/>
      <c r="U357" s="7"/>
    </row>
    <row r="358" ht="15.75" customHeight="1">
      <c r="F358" s="95"/>
      <c r="G358" s="95"/>
      <c r="U358" s="7"/>
    </row>
    <row r="359" ht="15.75" customHeight="1">
      <c r="F359" s="95"/>
      <c r="G359" s="95"/>
      <c r="U359" s="7"/>
    </row>
    <row r="360" ht="15.75" customHeight="1">
      <c r="F360" s="95"/>
      <c r="G360" s="95"/>
      <c r="U360" s="7"/>
    </row>
    <row r="361" ht="15.75" customHeight="1">
      <c r="F361" s="95"/>
      <c r="G361" s="95"/>
      <c r="U361" s="7"/>
    </row>
    <row r="362" ht="15.75" customHeight="1">
      <c r="F362" s="95"/>
      <c r="G362" s="95"/>
      <c r="U362" s="7"/>
    </row>
    <row r="363" ht="15.75" customHeight="1">
      <c r="F363" s="95"/>
      <c r="G363" s="95"/>
      <c r="U363" s="7"/>
    </row>
    <row r="364" ht="15.75" customHeight="1">
      <c r="F364" s="95"/>
      <c r="G364" s="95"/>
      <c r="U364" s="7"/>
    </row>
    <row r="365" ht="15.75" customHeight="1">
      <c r="F365" s="95"/>
      <c r="G365" s="95"/>
      <c r="U365" s="7"/>
    </row>
    <row r="366" ht="15.75" customHeight="1">
      <c r="F366" s="95"/>
      <c r="G366" s="95"/>
      <c r="U366" s="7"/>
    </row>
    <row r="367" ht="15.75" customHeight="1">
      <c r="F367" s="95"/>
      <c r="G367" s="95"/>
      <c r="U367" s="7"/>
    </row>
    <row r="368" ht="15.75" customHeight="1">
      <c r="F368" s="95"/>
      <c r="G368" s="95"/>
      <c r="U368" s="7"/>
    </row>
    <row r="369" ht="15.75" customHeight="1">
      <c r="F369" s="95"/>
      <c r="G369" s="95"/>
      <c r="U369" s="7"/>
    </row>
    <row r="370" ht="15.75" customHeight="1">
      <c r="F370" s="95"/>
      <c r="G370" s="95"/>
      <c r="U370" s="7"/>
    </row>
    <row r="371" ht="15.75" customHeight="1">
      <c r="F371" s="95"/>
      <c r="G371" s="95"/>
      <c r="U371" s="7"/>
    </row>
    <row r="372" ht="15.75" customHeight="1">
      <c r="F372" s="95"/>
      <c r="G372" s="95"/>
      <c r="U372" s="7"/>
    </row>
    <row r="373" ht="15.75" customHeight="1">
      <c r="F373" s="95"/>
      <c r="G373" s="95"/>
      <c r="U373" s="7"/>
    </row>
    <row r="374" ht="15.75" customHeight="1">
      <c r="F374" s="95"/>
      <c r="G374" s="95"/>
      <c r="U374" s="7"/>
    </row>
    <row r="375" ht="15.75" customHeight="1">
      <c r="F375" s="95"/>
      <c r="G375" s="95"/>
      <c r="U375" s="7"/>
    </row>
    <row r="376" ht="15.75" customHeight="1">
      <c r="F376" s="95"/>
      <c r="G376" s="95"/>
      <c r="U376" s="7"/>
    </row>
    <row r="377" ht="15.75" customHeight="1">
      <c r="F377" s="95"/>
      <c r="G377" s="95"/>
      <c r="U377" s="7"/>
    </row>
    <row r="378" ht="15.75" customHeight="1">
      <c r="F378" s="95"/>
      <c r="G378" s="95"/>
      <c r="U378" s="7"/>
    </row>
    <row r="379" ht="15.75" customHeight="1">
      <c r="F379" s="95"/>
      <c r="G379" s="95"/>
      <c r="U379" s="7"/>
    </row>
    <row r="380" ht="15.75" customHeight="1">
      <c r="F380" s="95"/>
      <c r="G380" s="95"/>
      <c r="U380" s="7"/>
    </row>
    <row r="381" ht="15.75" customHeight="1">
      <c r="F381" s="95"/>
      <c r="G381" s="95"/>
      <c r="U381" s="7"/>
    </row>
    <row r="382" ht="15.75" customHeight="1">
      <c r="F382" s="95"/>
      <c r="G382" s="95"/>
      <c r="U382" s="7"/>
    </row>
    <row r="383" ht="15.75" customHeight="1">
      <c r="F383" s="95"/>
      <c r="G383" s="95"/>
      <c r="U383" s="7"/>
    </row>
    <row r="384" ht="15.75" customHeight="1">
      <c r="F384" s="95"/>
      <c r="G384" s="95"/>
      <c r="U384" s="7"/>
    </row>
    <row r="385" ht="15.75" customHeight="1">
      <c r="F385" s="95"/>
      <c r="G385" s="95"/>
      <c r="U385" s="7"/>
    </row>
    <row r="386" ht="15.75" customHeight="1">
      <c r="F386" s="95"/>
      <c r="G386" s="95"/>
      <c r="U386" s="7"/>
    </row>
    <row r="387" ht="15.75" customHeight="1">
      <c r="F387" s="95"/>
      <c r="G387" s="95"/>
      <c r="U387" s="7"/>
    </row>
    <row r="388" ht="15.75" customHeight="1">
      <c r="F388" s="95"/>
      <c r="G388" s="95"/>
      <c r="U388" s="7"/>
    </row>
    <row r="389" ht="15.75" customHeight="1">
      <c r="F389" s="95"/>
      <c r="G389" s="95"/>
      <c r="U389" s="7"/>
    </row>
    <row r="390" ht="15.75" customHeight="1">
      <c r="F390" s="95"/>
      <c r="G390" s="95"/>
      <c r="U390" s="7"/>
    </row>
    <row r="391" ht="15.75" customHeight="1">
      <c r="F391" s="95"/>
      <c r="G391" s="95"/>
      <c r="U391" s="7"/>
    </row>
    <row r="392" ht="15.75" customHeight="1">
      <c r="F392" s="95"/>
      <c r="G392" s="95"/>
      <c r="U392" s="7"/>
    </row>
    <row r="393" ht="15.75" customHeight="1">
      <c r="F393" s="95"/>
      <c r="G393" s="95"/>
      <c r="U393" s="7"/>
    </row>
    <row r="394" ht="15.75" customHeight="1">
      <c r="F394" s="95"/>
      <c r="G394" s="95"/>
      <c r="U394" s="7"/>
    </row>
    <row r="395" ht="15.75" customHeight="1">
      <c r="F395" s="95"/>
      <c r="G395" s="95"/>
      <c r="U395" s="7"/>
    </row>
    <row r="396" ht="15.75" customHeight="1">
      <c r="F396" s="95"/>
      <c r="G396" s="95"/>
      <c r="U396" s="7"/>
    </row>
    <row r="397" ht="15.75" customHeight="1">
      <c r="F397" s="95"/>
      <c r="G397" s="95"/>
      <c r="U397" s="7"/>
    </row>
    <row r="398" ht="15.75" customHeight="1">
      <c r="F398" s="95"/>
      <c r="G398" s="95"/>
      <c r="U398" s="7"/>
    </row>
    <row r="399" ht="15.75" customHeight="1">
      <c r="F399" s="95"/>
      <c r="G399" s="95"/>
      <c r="U399" s="7"/>
    </row>
    <row r="400" ht="15.75" customHeight="1">
      <c r="F400" s="95"/>
      <c r="G400" s="95"/>
      <c r="U400" s="7"/>
    </row>
    <row r="401" ht="15.75" customHeight="1">
      <c r="F401" s="95"/>
      <c r="G401" s="95"/>
      <c r="U401" s="7"/>
    </row>
    <row r="402" ht="15.75" customHeight="1">
      <c r="F402" s="95"/>
      <c r="G402" s="95"/>
      <c r="U402" s="7"/>
    </row>
    <row r="403" ht="15.75" customHeight="1">
      <c r="F403" s="95"/>
      <c r="G403" s="95"/>
      <c r="U403" s="7"/>
    </row>
    <row r="404" ht="15.75" customHeight="1">
      <c r="F404" s="95"/>
      <c r="G404" s="95"/>
      <c r="U404" s="7"/>
    </row>
    <row r="405" ht="15.75" customHeight="1">
      <c r="F405" s="95"/>
      <c r="G405" s="95"/>
      <c r="U405" s="7"/>
    </row>
    <row r="406" ht="15.75" customHeight="1">
      <c r="F406" s="95"/>
      <c r="G406" s="95"/>
      <c r="U406" s="7"/>
    </row>
    <row r="407" ht="15.75" customHeight="1">
      <c r="F407" s="95"/>
      <c r="G407" s="95"/>
      <c r="U407" s="7"/>
    </row>
    <row r="408" ht="15.75" customHeight="1">
      <c r="F408" s="95"/>
      <c r="G408" s="95"/>
      <c r="U408" s="7"/>
    </row>
    <row r="409" ht="15.75" customHeight="1">
      <c r="F409" s="95"/>
      <c r="G409" s="95"/>
      <c r="U409" s="7"/>
    </row>
    <row r="410" ht="15.75" customHeight="1">
      <c r="F410" s="95"/>
      <c r="G410" s="95"/>
      <c r="U410" s="7"/>
    </row>
    <row r="411" ht="15.75" customHeight="1">
      <c r="F411" s="95"/>
      <c r="G411" s="95"/>
      <c r="U411" s="7"/>
    </row>
    <row r="412" ht="15.75" customHeight="1">
      <c r="F412" s="95"/>
      <c r="G412" s="95"/>
      <c r="U412" s="7"/>
    </row>
    <row r="413" ht="15.75" customHeight="1">
      <c r="F413" s="95"/>
      <c r="G413" s="95"/>
      <c r="U413" s="7"/>
    </row>
    <row r="414" ht="15.75" customHeight="1">
      <c r="F414" s="95"/>
      <c r="G414" s="95"/>
      <c r="U414" s="7"/>
    </row>
    <row r="415" ht="15.75" customHeight="1">
      <c r="F415" s="95"/>
      <c r="G415" s="95"/>
      <c r="U415" s="7"/>
    </row>
    <row r="416" ht="15.75" customHeight="1">
      <c r="F416" s="95"/>
      <c r="G416" s="95"/>
      <c r="U416" s="7"/>
    </row>
    <row r="417" ht="15.75" customHeight="1">
      <c r="F417" s="95"/>
      <c r="G417" s="95"/>
      <c r="U417" s="7"/>
    </row>
    <row r="418" ht="15.75" customHeight="1">
      <c r="F418" s="95"/>
      <c r="G418" s="95"/>
      <c r="U418" s="7"/>
    </row>
    <row r="419" ht="15.75" customHeight="1">
      <c r="F419" s="95"/>
      <c r="G419" s="95"/>
      <c r="U419" s="7"/>
    </row>
    <row r="420" ht="15.75" customHeight="1">
      <c r="F420" s="95"/>
      <c r="G420" s="95"/>
      <c r="U420" s="7"/>
    </row>
    <row r="421" ht="15.75" customHeight="1">
      <c r="F421" s="95"/>
      <c r="G421" s="95"/>
      <c r="U421" s="7"/>
    </row>
    <row r="422" ht="15.75" customHeight="1">
      <c r="F422" s="95"/>
      <c r="G422" s="95"/>
      <c r="U422" s="7"/>
    </row>
    <row r="423" ht="15.75" customHeight="1">
      <c r="F423" s="95"/>
      <c r="G423" s="95"/>
      <c r="U423" s="7"/>
    </row>
    <row r="424" ht="15.75" customHeight="1">
      <c r="F424" s="95"/>
      <c r="G424" s="95"/>
      <c r="U424" s="7"/>
    </row>
    <row r="425" ht="15.75" customHeight="1">
      <c r="F425" s="95"/>
      <c r="G425" s="95"/>
      <c r="U425" s="7"/>
    </row>
    <row r="426" ht="15.75" customHeight="1">
      <c r="F426" s="95"/>
      <c r="G426" s="95"/>
      <c r="U426" s="7"/>
    </row>
    <row r="427" ht="15.75" customHeight="1">
      <c r="F427" s="95"/>
      <c r="G427" s="95"/>
      <c r="U427" s="7"/>
    </row>
    <row r="428" ht="15.75" customHeight="1">
      <c r="F428" s="95"/>
      <c r="G428" s="95"/>
      <c r="U428" s="7"/>
    </row>
    <row r="429" ht="15.75" customHeight="1">
      <c r="F429" s="95"/>
      <c r="G429" s="95"/>
      <c r="U429" s="7"/>
    </row>
    <row r="430" ht="15.75" customHeight="1">
      <c r="F430" s="95"/>
      <c r="G430" s="95"/>
      <c r="U430" s="7"/>
    </row>
    <row r="431" ht="15.75" customHeight="1">
      <c r="F431" s="95"/>
      <c r="G431" s="95"/>
      <c r="U431" s="7"/>
    </row>
    <row r="432" ht="15.75" customHeight="1">
      <c r="F432" s="95"/>
      <c r="G432" s="95"/>
      <c r="U432" s="7"/>
    </row>
    <row r="433" ht="15.75" customHeight="1">
      <c r="F433" s="95"/>
      <c r="G433" s="95"/>
      <c r="U433" s="7"/>
    </row>
    <row r="434" ht="15.75" customHeight="1">
      <c r="F434" s="95"/>
      <c r="G434" s="95"/>
      <c r="U434" s="7"/>
    </row>
    <row r="435" ht="15.75" customHeight="1">
      <c r="F435" s="95"/>
      <c r="G435" s="95"/>
      <c r="U435" s="7"/>
    </row>
    <row r="436" ht="15.75" customHeight="1">
      <c r="F436" s="95"/>
      <c r="G436" s="95"/>
      <c r="U436" s="7"/>
    </row>
    <row r="437" ht="15.75" customHeight="1">
      <c r="F437" s="95"/>
      <c r="G437" s="95"/>
      <c r="U437" s="7"/>
    </row>
    <row r="438" ht="15.75" customHeight="1">
      <c r="F438" s="95"/>
      <c r="G438" s="95"/>
      <c r="U438" s="7"/>
    </row>
    <row r="439" ht="15.75" customHeight="1">
      <c r="F439" s="95"/>
      <c r="G439" s="95"/>
      <c r="U439" s="7"/>
    </row>
    <row r="440" ht="15.75" customHeight="1">
      <c r="F440" s="95"/>
      <c r="G440" s="95"/>
      <c r="U440" s="7"/>
    </row>
    <row r="441" ht="15.75" customHeight="1">
      <c r="F441" s="95"/>
      <c r="G441" s="95"/>
      <c r="U441" s="7"/>
    </row>
    <row r="442" ht="15.75" customHeight="1">
      <c r="F442" s="95"/>
      <c r="G442" s="95"/>
      <c r="U442" s="7"/>
    </row>
    <row r="443" ht="15.75" customHeight="1">
      <c r="F443" s="95"/>
      <c r="G443" s="95"/>
      <c r="U443" s="7"/>
    </row>
    <row r="444" ht="15.75" customHeight="1">
      <c r="F444" s="95"/>
      <c r="G444" s="95"/>
      <c r="U444" s="7"/>
    </row>
    <row r="445" ht="15.75" customHeight="1">
      <c r="F445" s="95"/>
      <c r="G445" s="95"/>
      <c r="U445" s="7"/>
    </row>
    <row r="446" ht="15.75" customHeight="1">
      <c r="F446" s="95"/>
      <c r="G446" s="95"/>
      <c r="U446" s="7"/>
    </row>
    <row r="447" ht="15.75" customHeight="1">
      <c r="F447" s="95"/>
      <c r="G447" s="95"/>
      <c r="U447" s="7"/>
    </row>
    <row r="448" ht="15.75" customHeight="1">
      <c r="F448" s="95"/>
      <c r="G448" s="95"/>
      <c r="U448" s="7"/>
    </row>
    <row r="449" ht="15.75" customHeight="1">
      <c r="F449" s="95"/>
      <c r="G449" s="95"/>
      <c r="U449" s="7"/>
    </row>
    <row r="450" ht="15.75" customHeight="1">
      <c r="F450" s="95"/>
      <c r="G450" s="95"/>
      <c r="U450" s="7"/>
    </row>
    <row r="451" ht="15.75" customHeight="1">
      <c r="F451" s="95"/>
      <c r="G451" s="95"/>
      <c r="U451" s="7"/>
    </row>
    <row r="452" ht="15.75" customHeight="1">
      <c r="F452" s="95"/>
      <c r="G452" s="95"/>
      <c r="U452" s="7"/>
    </row>
    <row r="453" ht="15.75" customHeight="1">
      <c r="F453" s="95"/>
      <c r="G453" s="95"/>
      <c r="U453" s="7"/>
    </row>
    <row r="454" ht="15.75" customHeight="1">
      <c r="F454" s="95"/>
      <c r="G454" s="95"/>
      <c r="U454" s="7"/>
    </row>
    <row r="455" ht="15.75" customHeight="1">
      <c r="F455" s="95"/>
      <c r="G455" s="95"/>
      <c r="U455" s="7"/>
    </row>
    <row r="456" ht="15.75" customHeight="1">
      <c r="F456" s="95"/>
      <c r="G456" s="95"/>
      <c r="U456" s="7"/>
    </row>
    <row r="457" ht="15.75" customHeight="1">
      <c r="F457" s="95"/>
      <c r="G457" s="95"/>
      <c r="U457" s="7"/>
    </row>
    <row r="458" ht="15.75" customHeight="1">
      <c r="F458" s="95"/>
      <c r="G458" s="95"/>
      <c r="U458" s="7"/>
    </row>
    <row r="459" ht="15.75" customHeight="1">
      <c r="F459" s="95"/>
      <c r="G459" s="95"/>
      <c r="U459" s="7"/>
    </row>
    <row r="460" ht="15.75" customHeight="1">
      <c r="F460" s="95"/>
      <c r="G460" s="95"/>
      <c r="U460" s="7"/>
    </row>
    <row r="461" ht="15.75" customHeight="1">
      <c r="F461" s="95"/>
      <c r="G461" s="95"/>
      <c r="U461" s="7"/>
    </row>
    <row r="462" ht="15.75" customHeight="1">
      <c r="F462" s="95"/>
      <c r="G462" s="95"/>
      <c r="U462" s="7"/>
    </row>
    <row r="463" ht="15.75" customHeight="1">
      <c r="F463" s="95"/>
      <c r="G463" s="95"/>
      <c r="U463" s="7"/>
    </row>
    <row r="464" ht="15.75" customHeight="1">
      <c r="F464" s="95"/>
      <c r="G464" s="95"/>
      <c r="U464" s="7"/>
    </row>
    <row r="465" ht="15.75" customHeight="1">
      <c r="F465" s="95"/>
      <c r="G465" s="95"/>
      <c r="U465" s="7"/>
    </row>
    <row r="466" ht="15.75" customHeight="1">
      <c r="F466" s="95"/>
      <c r="G466" s="95"/>
      <c r="U466" s="7"/>
    </row>
    <row r="467" ht="15.75" customHeight="1">
      <c r="F467" s="95"/>
      <c r="G467" s="95"/>
      <c r="U467" s="7"/>
    </row>
    <row r="468" ht="15.75" customHeight="1">
      <c r="F468" s="95"/>
      <c r="G468" s="95"/>
      <c r="U468" s="7"/>
    </row>
    <row r="469" ht="15.75" customHeight="1">
      <c r="F469" s="95"/>
      <c r="G469" s="95"/>
      <c r="U469" s="7"/>
    </row>
    <row r="470" ht="15.75" customHeight="1">
      <c r="F470" s="95"/>
      <c r="G470" s="95"/>
      <c r="U470" s="7"/>
    </row>
    <row r="471" ht="15.75" customHeight="1">
      <c r="F471" s="95"/>
      <c r="G471" s="95"/>
      <c r="U471" s="7"/>
    </row>
    <row r="472" ht="15.75" customHeight="1">
      <c r="F472" s="95"/>
      <c r="G472" s="95"/>
      <c r="U472" s="7"/>
    </row>
    <row r="473" ht="15.75" customHeight="1">
      <c r="F473" s="95"/>
      <c r="G473" s="95"/>
      <c r="U473" s="7"/>
    </row>
    <row r="474" ht="15.75" customHeight="1">
      <c r="F474" s="95"/>
      <c r="G474" s="95"/>
      <c r="U474" s="7"/>
    </row>
    <row r="475" ht="15.75" customHeight="1">
      <c r="F475" s="95"/>
      <c r="G475" s="95"/>
      <c r="U475" s="7"/>
    </row>
    <row r="476" ht="15.75" customHeight="1">
      <c r="F476" s="95"/>
      <c r="G476" s="95"/>
      <c r="U476" s="7"/>
    </row>
    <row r="477" ht="15.75" customHeight="1">
      <c r="F477" s="95"/>
      <c r="G477" s="95"/>
      <c r="U477" s="7"/>
    </row>
    <row r="478" ht="15.75" customHeight="1">
      <c r="F478" s="95"/>
      <c r="G478" s="95"/>
      <c r="U478" s="7"/>
    </row>
    <row r="479" ht="15.75" customHeight="1">
      <c r="F479" s="95"/>
      <c r="G479" s="95"/>
      <c r="U479" s="7"/>
    </row>
    <row r="480" ht="15.75" customHeight="1">
      <c r="F480" s="95"/>
      <c r="G480" s="95"/>
      <c r="U480" s="7"/>
    </row>
    <row r="481" ht="15.75" customHeight="1">
      <c r="F481" s="95"/>
      <c r="G481" s="95"/>
      <c r="U481" s="7"/>
    </row>
    <row r="482" ht="15.75" customHeight="1">
      <c r="F482" s="95"/>
      <c r="G482" s="95"/>
      <c r="U482" s="7"/>
    </row>
    <row r="483" ht="15.75" customHeight="1">
      <c r="F483" s="95"/>
      <c r="G483" s="95"/>
      <c r="U483" s="7"/>
    </row>
    <row r="484" ht="15.75" customHeight="1">
      <c r="F484" s="95"/>
      <c r="G484" s="95"/>
      <c r="U484" s="7"/>
    </row>
    <row r="485" ht="15.75" customHeight="1">
      <c r="F485" s="95"/>
      <c r="G485" s="95"/>
      <c r="U485" s="7"/>
    </row>
    <row r="486" ht="15.75" customHeight="1">
      <c r="F486" s="95"/>
      <c r="G486" s="95"/>
      <c r="U486" s="7"/>
    </row>
    <row r="487" ht="15.75" customHeight="1">
      <c r="F487" s="95"/>
      <c r="G487" s="95"/>
      <c r="U487" s="7"/>
    </row>
    <row r="488" ht="15.75" customHeight="1">
      <c r="F488" s="95"/>
      <c r="G488" s="95"/>
      <c r="U488" s="7"/>
    </row>
    <row r="489" ht="15.75" customHeight="1">
      <c r="F489" s="95"/>
      <c r="G489" s="95"/>
      <c r="U489" s="7"/>
    </row>
    <row r="490" ht="15.75" customHeight="1">
      <c r="F490" s="95"/>
      <c r="G490" s="95"/>
      <c r="U490" s="7"/>
    </row>
    <row r="491" ht="15.75" customHeight="1">
      <c r="F491" s="95"/>
      <c r="G491" s="95"/>
      <c r="U491" s="7"/>
    </row>
    <row r="492" ht="15.75" customHeight="1">
      <c r="F492" s="95"/>
      <c r="G492" s="95"/>
      <c r="U492" s="7"/>
    </row>
    <row r="493" ht="15.75" customHeight="1">
      <c r="F493" s="95"/>
      <c r="G493" s="95"/>
      <c r="U493" s="7"/>
    </row>
    <row r="494" ht="15.75" customHeight="1">
      <c r="F494" s="95"/>
      <c r="G494" s="95"/>
      <c r="U494" s="7"/>
    </row>
    <row r="495" ht="15.75" customHeight="1">
      <c r="F495" s="95"/>
      <c r="G495" s="95"/>
      <c r="U495" s="7"/>
    </row>
    <row r="496" ht="15.75" customHeight="1">
      <c r="F496" s="95"/>
      <c r="G496" s="95"/>
      <c r="U496" s="7"/>
    </row>
    <row r="497" ht="15.75" customHeight="1">
      <c r="F497" s="95"/>
      <c r="G497" s="95"/>
      <c r="U497" s="7"/>
    </row>
    <row r="498" ht="15.75" customHeight="1">
      <c r="F498" s="95"/>
      <c r="G498" s="95"/>
      <c r="U498" s="7"/>
    </row>
    <row r="499" ht="15.75" customHeight="1">
      <c r="F499" s="95"/>
      <c r="G499" s="95"/>
      <c r="U499" s="7"/>
    </row>
    <row r="500" ht="15.75" customHeight="1">
      <c r="F500" s="95"/>
      <c r="G500" s="95"/>
      <c r="U500" s="7"/>
    </row>
    <row r="501" ht="15.75" customHeight="1">
      <c r="F501" s="95"/>
      <c r="G501" s="95"/>
      <c r="U501" s="7"/>
    </row>
    <row r="502" ht="15.75" customHeight="1">
      <c r="F502" s="95"/>
      <c r="G502" s="95"/>
      <c r="U502" s="7"/>
    </row>
    <row r="503" ht="15.75" customHeight="1">
      <c r="F503" s="95"/>
      <c r="G503" s="95"/>
      <c r="U503" s="7"/>
    </row>
    <row r="504" ht="15.75" customHeight="1">
      <c r="F504" s="95"/>
      <c r="G504" s="95"/>
      <c r="U504" s="7"/>
    </row>
    <row r="505" ht="15.75" customHeight="1">
      <c r="F505" s="95"/>
      <c r="G505" s="95"/>
      <c r="U505" s="7"/>
    </row>
    <row r="506" ht="15.75" customHeight="1">
      <c r="F506" s="95"/>
      <c r="G506" s="95"/>
      <c r="U506" s="7"/>
    </row>
    <row r="507" ht="15.75" customHeight="1">
      <c r="F507" s="95"/>
      <c r="G507" s="95"/>
      <c r="U507" s="7"/>
    </row>
    <row r="508" ht="15.75" customHeight="1">
      <c r="F508" s="95"/>
      <c r="G508" s="95"/>
      <c r="U508" s="7"/>
    </row>
    <row r="509" ht="15.75" customHeight="1">
      <c r="F509" s="95"/>
      <c r="G509" s="95"/>
      <c r="U509" s="7"/>
    </row>
    <row r="510" ht="15.75" customHeight="1">
      <c r="F510" s="95"/>
      <c r="G510" s="95"/>
      <c r="U510" s="7"/>
    </row>
    <row r="511" ht="15.75" customHeight="1">
      <c r="F511" s="95"/>
      <c r="G511" s="95"/>
      <c r="U511" s="7"/>
    </row>
    <row r="512" ht="15.75" customHeight="1">
      <c r="F512" s="95"/>
      <c r="G512" s="95"/>
      <c r="U512" s="7"/>
    </row>
    <row r="513" ht="15.75" customHeight="1">
      <c r="F513" s="95"/>
      <c r="G513" s="95"/>
      <c r="U513" s="7"/>
    </row>
    <row r="514" ht="15.75" customHeight="1">
      <c r="F514" s="95"/>
      <c r="G514" s="95"/>
      <c r="U514" s="7"/>
    </row>
    <row r="515" ht="15.75" customHeight="1">
      <c r="F515" s="95"/>
      <c r="G515" s="95"/>
      <c r="U515" s="7"/>
    </row>
    <row r="516" ht="15.75" customHeight="1">
      <c r="F516" s="95"/>
      <c r="G516" s="95"/>
      <c r="U516" s="7"/>
    </row>
    <row r="517" ht="15.75" customHeight="1">
      <c r="F517" s="95"/>
      <c r="G517" s="95"/>
      <c r="U517" s="7"/>
    </row>
    <row r="518" ht="15.75" customHeight="1">
      <c r="F518" s="95"/>
      <c r="G518" s="95"/>
      <c r="U518" s="7"/>
    </row>
    <row r="519" ht="15.75" customHeight="1">
      <c r="F519" s="95"/>
      <c r="G519" s="95"/>
      <c r="U519" s="7"/>
    </row>
    <row r="520" ht="15.75" customHeight="1">
      <c r="F520" s="95"/>
      <c r="G520" s="95"/>
      <c r="U520" s="7"/>
    </row>
    <row r="521" ht="15.75" customHeight="1">
      <c r="F521" s="95"/>
      <c r="G521" s="95"/>
      <c r="U521" s="7"/>
    </row>
    <row r="522" ht="15.75" customHeight="1">
      <c r="F522" s="95"/>
      <c r="G522" s="95"/>
      <c r="U522" s="7"/>
    </row>
    <row r="523" ht="15.75" customHeight="1">
      <c r="F523" s="95"/>
      <c r="G523" s="95"/>
      <c r="U523" s="7"/>
    </row>
    <row r="524" ht="15.75" customHeight="1">
      <c r="F524" s="95"/>
      <c r="G524" s="95"/>
      <c r="U524" s="7"/>
    </row>
    <row r="525" ht="15.75" customHeight="1">
      <c r="F525" s="95"/>
      <c r="G525" s="95"/>
      <c r="U525" s="7"/>
    </row>
    <row r="526" ht="15.75" customHeight="1">
      <c r="F526" s="95"/>
      <c r="G526" s="95"/>
      <c r="U526" s="7"/>
    </row>
    <row r="527" ht="15.75" customHeight="1">
      <c r="F527" s="95"/>
      <c r="G527" s="95"/>
      <c r="U527" s="7"/>
    </row>
    <row r="528" ht="15.75" customHeight="1">
      <c r="F528" s="95"/>
      <c r="G528" s="95"/>
      <c r="U528" s="7"/>
    </row>
    <row r="529" ht="15.75" customHeight="1">
      <c r="F529" s="95"/>
      <c r="G529" s="95"/>
      <c r="U529" s="7"/>
    </row>
    <row r="530" ht="15.75" customHeight="1">
      <c r="F530" s="95"/>
      <c r="G530" s="95"/>
      <c r="U530" s="7"/>
    </row>
    <row r="531" ht="15.75" customHeight="1">
      <c r="F531" s="95"/>
      <c r="G531" s="95"/>
      <c r="U531" s="7"/>
    </row>
    <row r="532" ht="15.75" customHeight="1">
      <c r="F532" s="95"/>
      <c r="G532" s="95"/>
      <c r="U532" s="7"/>
    </row>
    <row r="533" ht="15.75" customHeight="1">
      <c r="F533" s="95"/>
      <c r="G533" s="95"/>
      <c r="U533" s="7"/>
    </row>
    <row r="534" ht="15.75" customHeight="1">
      <c r="F534" s="95"/>
      <c r="G534" s="95"/>
      <c r="U534" s="7"/>
    </row>
    <row r="535" ht="15.75" customHeight="1">
      <c r="F535" s="95"/>
      <c r="G535" s="95"/>
      <c r="U535" s="7"/>
    </row>
    <row r="536" ht="15.75" customHeight="1">
      <c r="F536" s="95"/>
      <c r="G536" s="95"/>
      <c r="U536" s="7"/>
    </row>
    <row r="537" ht="15.75" customHeight="1">
      <c r="F537" s="95"/>
      <c r="G537" s="95"/>
      <c r="U537" s="7"/>
    </row>
    <row r="538" ht="15.75" customHeight="1">
      <c r="F538" s="95"/>
      <c r="G538" s="95"/>
      <c r="U538" s="7"/>
    </row>
    <row r="539" ht="15.75" customHeight="1">
      <c r="F539" s="95"/>
      <c r="G539" s="95"/>
      <c r="U539" s="7"/>
    </row>
    <row r="540" ht="15.75" customHeight="1">
      <c r="F540" s="95"/>
      <c r="G540" s="95"/>
      <c r="U540" s="7"/>
    </row>
    <row r="541" ht="15.75" customHeight="1">
      <c r="F541" s="95"/>
      <c r="G541" s="95"/>
      <c r="U541" s="7"/>
    </row>
    <row r="542" ht="15.75" customHeight="1">
      <c r="F542" s="95"/>
      <c r="G542" s="95"/>
      <c r="U542" s="7"/>
    </row>
    <row r="543" ht="15.75" customHeight="1">
      <c r="F543" s="95"/>
      <c r="G543" s="95"/>
      <c r="U543" s="7"/>
    </row>
    <row r="544" ht="15.75" customHeight="1">
      <c r="F544" s="95"/>
      <c r="G544" s="95"/>
      <c r="U544" s="7"/>
    </row>
    <row r="545" ht="15.75" customHeight="1">
      <c r="F545" s="95"/>
      <c r="G545" s="95"/>
      <c r="U545" s="7"/>
    </row>
    <row r="546" ht="15.75" customHeight="1">
      <c r="F546" s="95"/>
      <c r="G546" s="95"/>
      <c r="U546" s="7"/>
    </row>
    <row r="547" ht="15.75" customHeight="1">
      <c r="F547" s="95"/>
      <c r="G547" s="95"/>
      <c r="U547" s="7"/>
    </row>
    <row r="548" ht="15.75" customHeight="1">
      <c r="F548" s="95"/>
      <c r="G548" s="95"/>
      <c r="U548" s="7"/>
    </row>
    <row r="549" ht="15.75" customHeight="1">
      <c r="F549" s="95"/>
      <c r="G549" s="95"/>
      <c r="U549" s="7"/>
    </row>
    <row r="550" ht="15.75" customHeight="1">
      <c r="F550" s="95"/>
      <c r="G550" s="95"/>
      <c r="U550" s="7"/>
    </row>
    <row r="551" ht="15.75" customHeight="1">
      <c r="F551" s="95"/>
      <c r="G551" s="95"/>
      <c r="U551" s="7"/>
    </row>
    <row r="552" ht="15.75" customHeight="1">
      <c r="F552" s="95"/>
      <c r="G552" s="95"/>
      <c r="U552" s="7"/>
    </row>
    <row r="553" ht="15.75" customHeight="1">
      <c r="F553" s="95"/>
      <c r="G553" s="95"/>
      <c r="U553" s="7"/>
    </row>
    <row r="554" ht="15.75" customHeight="1">
      <c r="F554" s="95"/>
      <c r="G554" s="95"/>
      <c r="U554" s="7"/>
    </row>
    <row r="555" ht="15.75" customHeight="1">
      <c r="F555" s="95"/>
      <c r="G555" s="95"/>
      <c r="U555" s="7"/>
    </row>
    <row r="556" ht="15.75" customHeight="1">
      <c r="F556" s="95"/>
      <c r="G556" s="95"/>
      <c r="U556" s="7"/>
    </row>
    <row r="557" ht="15.75" customHeight="1">
      <c r="F557" s="95"/>
      <c r="G557" s="95"/>
      <c r="U557" s="7"/>
    </row>
    <row r="558" ht="15.75" customHeight="1">
      <c r="F558" s="95"/>
      <c r="G558" s="95"/>
      <c r="U558" s="7"/>
    </row>
    <row r="559" ht="15.75" customHeight="1">
      <c r="F559" s="95"/>
      <c r="G559" s="95"/>
      <c r="U559" s="7"/>
    </row>
    <row r="560" ht="15.75" customHeight="1">
      <c r="F560" s="95"/>
      <c r="G560" s="95"/>
      <c r="U560" s="7"/>
    </row>
    <row r="561" ht="15.75" customHeight="1">
      <c r="F561" s="95"/>
      <c r="G561" s="95"/>
      <c r="U561" s="7"/>
    </row>
    <row r="562" ht="15.75" customHeight="1">
      <c r="F562" s="95"/>
      <c r="G562" s="95"/>
      <c r="U562" s="7"/>
    </row>
    <row r="563" ht="15.75" customHeight="1">
      <c r="F563" s="95"/>
      <c r="G563" s="95"/>
      <c r="U563" s="7"/>
    </row>
    <row r="564" ht="15.75" customHeight="1">
      <c r="F564" s="95"/>
      <c r="G564" s="95"/>
      <c r="U564" s="7"/>
    </row>
    <row r="565" ht="15.75" customHeight="1">
      <c r="F565" s="95"/>
      <c r="G565" s="95"/>
      <c r="U565" s="7"/>
    </row>
    <row r="566" ht="15.75" customHeight="1">
      <c r="F566" s="95"/>
      <c r="G566" s="95"/>
      <c r="U566" s="7"/>
    </row>
    <row r="567" ht="15.75" customHeight="1">
      <c r="F567" s="95"/>
      <c r="G567" s="95"/>
      <c r="U567" s="7"/>
    </row>
    <row r="568" ht="15.75" customHeight="1">
      <c r="F568" s="95"/>
      <c r="G568" s="95"/>
      <c r="U568" s="7"/>
    </row>
    <row r="569" ht="15.75" customHeight="1">
      <c r="F569" s="95"/>
      <c r="G569" s="95"/>
      <c r="U569" s="7"/>
    </row>
    <row r="570" ht="15.75" customHeight="1">
      <c r="F570" s="95"/>
      <c r="G570" s="95"/>
      <c r="U570" s="7"/>
    </row>
    <row r="571" ht="15.75" customHeight="1">
      <c r="F571" s="95"/>
      <c r="G571" s="95"/>
      <c r="U571" s="7"/>
    </row>
    <row r="572" ht="15.75" customHeight="1">
      <c r="F572" s="95"/>
      <c r="G572" s="95"/>
      <c r="U572" s="7"/>
    </row>
    <row r="573" ht="15.75" customHeight="1">
      <c r="F573" s="95"/>
      <c r="G573" s="95"/>
      <c r="U573" s="7"/>
    </row>
    <row r="574" ht="15.75" customHeight="1">
      <c r="F574" s="95"/>
      <c r="G574" s="95"/>
      <c r="U574" s="7"/>
    </row>
    <row r="575" ht="15.75" customHeight="1">
      <c r="F575" s="95"/>
      <c r="G575" s="95"/>
      <c r="U575" s="7"/>
    </row>
    <row r="576" ht="15.75" customHeight="1">
      <c r="F576" s="95"/>
      <c r="G576" s="95"/>
      <c r="U576" s="7"/>
    </row>
    <row r="577" ht="15.75" customHeight="1">
      <c r="F577" s="95"/>
      <c r="G577" s="95"/>
      <c r="U577" s="7"/>
    </row>
    <row r="578" ht="15.75" customHeight="1">
      <c r="F578" s="95"/>
      <c r="G578" s="95"/>
      <c r="U578" s="7"/>
    </row>
    <row r="579" ht="15.75" customHeight="1">
      <c r="F579" s="95"/>
      <c r="G579" s="95"/>
      <c r="U579" s="7"/>
    </row>
    <row r="580" ht="15.75" customHeight="1">
      <c r="F580" s="95"/>
      <c r="G580" s="95"/>
      <c r="U580" s="7"/>
    </row>
    <row r="581" ht="15.75" customHeight="1">
      <c r="F581" s="95"/>
      <c r="G581" s="95"/>
      <c r="U581" s="7"/>
    </row>
    <row r="582" ht="15.75" customHeight="1">
      <c r="F582" s="95"/>
      <c r="G582" s="95"/>
      <c r="U582" s="7"/>
    </row>
    <row r="583" ht="15.75" customHeight="1">
      <c r="F583" s="95"/>
      <c r="G583" s="95"/>
      <c r="U583" s="7"/>
    </row>
    <row r="584" ht="15.75" customHeight="1">
      <c r="F584" s="95"/>
      <c r="G584" s="95"/>
      <c r="U584" s="7"/>
    </row>
    <row r="585" ht="15.75" customHeight="1">
      <c r="F585" s="95"/>
      <c r="G585" s="95"/>
      <c r="U585" s="7"/>
    </row>
    <row r="586" ht="15.75" customHeight="1">
      <c r="F586" s="95"/>
      <c r="G586" s="95"/>
      <c r="U586" s="7"/>
    </row>
    <row r="587" ht="15.75" customHeight="1">
      <c r="F587" s="95"/>
      <c r="G587" s="95"/>
      <c r="U587" s="7"/>
    </row>
    <row r="588" ht="15.75" customHeight="1">
      <c r="F588" s="95"/>
      <c r="G588" s="95"/>
      <c r="U588" s="7"/>
    </row>
    <row r="589" ht="15.75" customHeight="1">
      <c r="F589" s="95"/>
      <c r="G589" s="95"/>
      <c r="U589" s="7"/>
    </row>
    <row r="590" ht="15.75" customHeight="1">
      <c r="F590" s="95"/>
      <c r="G590" s="95"/>
      <c r="U590" s="7"/>
    </row>
    <row r="591" ht="15.75" customHeight="1">
      <c r="F591" s="95"/>
      <c r="G591" s="95"/>
      <c r="U591" s="7"/>
    </row>
    <row r="592" ht="15.75" customHeight="1">
      <c r="F592" s="95"/>
      <c r="G592" s="95"/>
      <c r="U592" s="7"/>
    </row>
    <row r="593" ht="15.75" customHeight="1">
      <c r="F593" s="95"/>
      <c r="G593" s="95"/>
      <c r="U593" s="7"/>
    </row>
    <row r="594" ht="15.75" customHeight="1">
      <c r="F594" s="95"/>
      <c r="G594" s="95"/>
      <c r="U594" s="7"/>
    </row>
    <row r="595" ht="15.75" customHeight="1">
      <c r="F595" s="95"/>
      <c r="G595" s="95"/>
      <c r="U595" s="7"/>
    </row>
    <row r="596" ht="15.75" customHeight="1">
      <c r="F596" s="95"/>
      <c r="G596" s="95"/>
      <c r="U596" s="7"/>
    </row>
    <row r="597" ht="15.75" customHeight="1">
      <c r="F597" s="95"/>
      <c r="G597" s="95"/>
      <c r="U597" s="7"/>
    </row>
    <row r="598" ht="15.75" customHeight="1">
      <c r="F598" s="95"/>
      <c r="G598" s="95"/>
      <c r="U598" s="7"/>
    </row>
    <row r="599" ht="15.75" customHeight="1">
      <c r="F599" s="95"/>
      <c r="G599" s="95"/>
      <c r="U599" s="7"/>
    </row>
    <row r="600" ht="15.75" customHeight="1">
      <c r="F600" s="95"/>
      <c r="G600" s="95"/>
      <c r="U600" s="7"/>
    </row>
    <row r="601" ht="15.75" customHeight="1">
      <c r="F601" s="95"/>
      <c r="G601" s="95"/>
      <c r="U601" s="7"/>
    </row>
    <row r="602" ht="15.75" customHeight="1">
      <c r="F602" s="95"/>
      <c r="G602" s="95"/>
      <c r="U602" s="7"/>
    </row>
    <row r="603" ht="15.75" customHeight="1">
      <c r="F603" s="95"/>
      <c r="G603" s="95"/>
      <c r="U603" s="7"/>
    </row>
    <row r="604" ht="15.75" customHeight="1">
      <c r="F604" s="95"/>
      <c r="G604" s="95"/>
      <c r="U604" s="7"/>
    </row>
    <row r="605" ht="15.75" customHeight="1">
      <c r="F605" s="95"/>
      <c r="G605" s="95"/>
      <c r="U605" s="7"/>
    </row>
    <row r="606" ht="15.75" customHeight="1">
      <c r="F606" s="95"/>
      <c r="G606" s="95"/>
      <c r="U606" s="7"/>
    </row>
    <row r="607" ht="15.75" customHeight="1">
      <c r="F607" s="95"/>
      <c r="G607" s="95"/>
      <c r="U607" s="7"/>
    </row>
    <row r="608" ht="15.75" customHeight="1">
      <c r="F608" s="95"/>
      <c r="G608" s="95"/>
      <c r="U608" s="7"/>
    </row>
    <row r="609" ht="15.75" customHeight="1">
      <c r="F609" s="95"/>
      <c r="G609" s="95"/>
      <c r="U609" s="7"/>
    </row>
    <row r="610" ht="15.75" customHeight="1">
      <c r="F610" s="95"/>
      <c r="G610" s="95"/>
      <c r="U610" s="7"/>
    </row>
    <row r="611" ht="15.75" customHeight="1">
      <c r="F611" s="95"/>
      <c r="G611" s="95"/>
      <c r="U611" s="7"/>
    </row>
    <row r="612" ht="15.75" customHeight="1">
      <c r="F612" s="95"/>
      <c r="G612" s="95"/>
      <c r="U612" s="7"/>
    </row>
    <row r="613" ht="15.75" customHeight="1">
      <c r="F613" s="95"/>
      <c r="G613" s="95"/>
      <c r="U613" s="7"/>
    </row>
    <row r="614" ht="15.75" customHeight="1">
      <c r="F614" s="95"/>
      <c r="G614" s="95"/>
      <c r="U614" s="7"/>
    </row>
    <row r="615" ht="15.75" customHeight="1">
      <c r="F615" s="95"/>
      <c r="G615" s="95"/>
      <c r="U615" s="7"/>
    </row>
    <row r="616" ht="15.75" customHeight="1">
      <c r="F616" s="95"/>
      <c r="G616" s="95"/>
      <c r="U616" s="7"/>
    </row>
    <row r="617" ht="15.75" customHeight="1">
      <c r="F617" s="95"/>
      <c r="G617" s="95"/>
      <c r="U617" s="7"/>
    </row>
    <row r="618" ht="15.75" customHeight="1">
      <c r="F618" s="95"/>
      <c r="G618" s="95"/>
      <c r="U618" s="7"/>
    </row>
    <row r="619" ht="15.75" customHeight="1">
      <c r="F619" s="95"/>
      <c r="G619" s="95"/>
      <c r="U619" s="7"/>
    </row>
    <row r="620" ht="15.75" customHeight="1">
      <c r="F620" s="95"/>
      <c r="G620" s="95"/>
      <c r="U620" s="7"/>
    </row>
    <row r="621" ht="15.75" customHeight="1">
      <c r="F621" s="95"/>
      <c r="G621" s="95"/>
      <c r="U621" s="7"/>
    </row>
    <row r="622" ht="15.75" customHeight="1">
      <c r="F622" s="95"/>
      <c r="G622" s="95"/>
      <c r="U622" s="7"/>
    </row>
    <row r="623" ht="15.75" customHeight="1">
      <c r="F623" s="95"/>
      <c r="G623" s="95"/>
      <c r="U623" s="7"/>
    </row>
    <row r="624" ht="15.75" customHeight="1">
      <c r="F624" s="95"/>
      <c r="G624" s="95"/>
      <c r="U624" s="7"/>
    </row>
    <row r="625" ht="15.75" customHeight="1">
      <c r="F625" s="95"/>
      <c r="G625" s="95"/>
      <c r="U625" s="7"/>
    </row>
    <row r="626" ht="15.75" customHeight="1">
      <c r="F626" s="95"/>
      <c r="G626" s="95"/>
      <c r="U626" s="7"/>
    </row>
    <row r="627" ht="15.75" customHeight="1">
      <c r="F627" s="95"/>
      <c r="G627" s="95"/>
      <c r="U627" s="7"/>
    </row>
    <row r="628" ht="15.75" customHeight="1">
      <c r="F628" s="95"/>
      <c r="G628" s="95"/>
      <c r="U628" s="7"/>
    </row>
    <row r="629" ht="15.75" customHeight="1">
      <c r="F629" s="95"/>
      <c r="G629" s="95"/>
      <c r="U629" s="7"/>
    </row>
    <row r="630" ht="15.75" customHeight="1">
      <c r="F630" s="95"/>
      <c r="G630" s="95"/>
      <c r="U630" s="7"/>
    </row>
    <row r="631" ht="15.75" customHeight="1">
      <c r="F631" s="95"/>
      <c r="G631" s="95"/>
      <c r="U631" s="7"/>
    </row>
    <row r="632" ht="15.75" customHeight="1">
      <c r="F632" s="95"/>
      <c r="G632" s="95"/>
      <c r="U632" s="7"/>
    </row>
    <row r="633" ht="15.75" customHeight="1">
      <c r="F633" s="95"/>
      <c r="G633" s="95"/>
      <c r="U633" s="7"/>
    </row>
    <row r="634" ht="15.75" customHeight="1">
      <c r="F634" s="95"/>
      <c r="G634" s="95"/>
      <c r="U634" s="7"/>
    </row>
    <row r="635" ht="15.75" customHeight="1">
      <c r="F635" s="95"/>
      <c r="G635" s="95"/>
      <c r="U635" s="7"/>
    </row>
    <row r="636" ht="15.75" customHeight="1">
      <c r="F636" s="95"/>
      <c r="G636" s="95"/>
      <c r="U636" s="7"/>
    </row>
    <row r="637" ht="15.75" customHeight="1">
      <c r="F637" s="95"/>
      <c r="G637" s="95"/>
      <c r="U637" s="7"/>
    </row>
    <row r="638" ht="15.75" customHeight="1">
      <c r="F638" s="95"/>
      <c r="G638" s="95"/>
      <c r="U638" s="7"/>
    </row>
    <row r="639" ht="15.75" customHeight="1">
      <c r="F639" s="95"/>
      <c r="G639" s="95"/>
      <c r="U639" s="7"/>
    </row>
    <row r="640" ht="15.75" customHeight="1">
      <c r="F640" s="95"/>
      <c r="G640" s="95"/>
      <c r="U640" s="7"/>
    </row>
    <row r="641" ht="15.75" customHeight="1">
      <c r="F641" s="95"/>
      <c r="G641" s="95"/>
      <c r="U641" s="7"/>
    </row>
    <row r="642" ht="15.75" customHeight="1">
      <c r="F642" s="95"/>
      <c r="G642" s="95"/>
      <c r="U642" s="7"/>
    </row>
    <row r="643" ht="15.75" customHeight="1">
      <c r="F643" s="95"/>
      <c r="G643" s="95"/>
      <c r="U643" s="7"/>
    </row>
    <row r="644" ht="15.75" customHeight="1">
      <c r="F644" s="95"/>
      <c r="G644" s="95"/>
      <c r="U644" s="7"/>
    </row>
    <row r="645" ht="15.75" customHeight="1">
      <c r="F645" s="95"/>
      <c r="G645" s="95"/>
      <c r="U645" s="7"/>
    </row>
    <row r="646" ht="15.75" customHeight="1">
      <c r="F646" s="95"/>
      <c r="G646" s="95"/>
      <c r="U646" s="7"/>
    </row>
    <row r="647" ht="15.75" customHeight="1">
      <c r="F647" s="95"/>
      <c r="G647" s="95"/>
      <c r="U647" s="7"/>
    </row>
    <row r="648" ht="15.75" customHeight="1">
      <c r="F648" s="95"/>
      <c r="G648" s="95"/>
      <c r="U648" s="7"/>
    </row>
    <row r="649" ht="15.75" customHeight="1">
      <c r="F649" s="95"/>
      <c r="G649" s="95"/>
      <c r="U649" s="7"/>
    </row>
    <row r="650" ht="15.75" customHeight="1">
      <c r="F650" s="95"/>
      <c r="G650" s="95"/>
      <c r="U650" s="7"/>
    </row>
    <row r="651" ht="15.75" customHeight="1">
      <c r="F651" s="95"/>
      <c r="G651" s="95"/>
      <c r="U651" s="7"/>
    </row>
    <row r="652" ht="15.75" customHeight="1">
      <c r="F652" s="95"/>
      <c r="G652" s="95"/>
      <c r="U652" s="7"/>
    </row>
    <row r="653" ht="15.75" customHeight="1">
      <c r="F653" s="95"/>
      <c r="G653" s="95"/>
      <c r="U653" s="7"/>
    </row>
    <row r="654" ht="15.75" customHeight="1">
      <c r="F654" s="95"/>
      <c r="G654" s="95"/>
      <c r="U654" s="7"/>
    </row>
    <row r="655" ht="15.75" customHeight="1">
      <c r="F655" s="95"/>
      <c r="G655" s="95"/>
      <c r="U655" s="7"/>
    </row>
    <row r="656" ht="15.75" customHeight="1">
      <c r="F656" s="95"/>
      <c r="G656" s="95"/>
      <c r="U656" s="7"/>
    </row>
    <row r="657" ht="15.75" customHeight="1">
      <c r="F657" s="95"/>
      <c r="G657" s="95"/>
      <c r="U657" s="7"/>
    </row>
    <row r="658" ht="15.75" customHeight="1">
      <c r="F658" s="95"/>
      <c r="G658" s="95"/>
      <c r="U658" s="7"/>
    </row>
    <row r="659" ht="15.75" customHeight="1">
      <c r="F659" s="95"/>
      <c r="G659" s="95"/>
      <c r="U659" s="7"/>
    </row>
    <row r="660" ht="15.75" customHeight="1">
      <c r="F660" s="95"/>
      <c r="G660" s="95"/>
      <c r="U660" s="7"/>
    </row>
    <row r="661" ht="15.75" customHeight="1">
      <c r="F661" s="95"/>
      <c r="G661" s="95"/>
      <c r="U661" s="7"/>
    </row>
    <row r="662" ht="15.75" customHeight="1">
      <c r="F662" s="95"/>
      <c r="G662" s="95"/>
      <c r="U662" s="7"/>
    </row>
    <row r="663" ht="15.75" customHeight="1">
      <c r="F663" s="95"/>
      <c r="G663" s="95"/>
      <c r="U663" s="7"/>
    </row>
    <row r="664" ht="15.75" customHeight="1">
      <c r="F664" s="95"/>
      <c r="G664" s="95"/>
      <c r="U664" s="7"/>
    </row>
    <row r="665" ht="15.75" customHeight="1">
      <c r="F665" s="95"/>
      <c r="G665" s="95"/>
      <c r="U665" s="7"/>
    </row>
    <row r="666" ht="15.75" customHeight="1">
      <c r="F666" s="95"/>
      <c r="G666" s="95"/>
      <c r="U666" s="7"/>
    </row>
    <row r="667" ht="15.75" customHeight="1">
      <c r="F667" s="95"/>
      <c r="G667" s="95"/>
      <c r="U667" s="7"/>
    </row>
    <row r="668" ht="15.75" customHeight="1">
      <c r="F668" s="95"/>
      <c r="G668" s="95"/>
      <c r="U668" s="7"/>
    </row>
    <row r="669" ht="15.75" customHeight="1">
      <c r="F669" s="95"/>
      <c r="G669" s="95"/>
      <c r="U669" s="7"/>
    </row>
    <row r="670" ht="15.75" customHeight="1">
      <c r="F670" s="95"/>
      <c r="G670" s="95"/>
      <c r="U670" s="7"/>
    </row>
    <row r="671" ht="15.75" customHeight="1">
      <c r="F671" s="95"/>
      <c r="G671" s="95"/>
      <c r="U671" s="7"/>
    </row>
    <row r="672" ht="15.75" customHeight="1">
      <c r="F672" s="95"/>
      <c r="G672" s="95"/>
      <c r="U672" s="7"/>
    </row>
    <row r="673" ht="15.75" customHeight="1">
      <c r="F673" s="95"/>
      <c r="G673" s="95"/>
      <c r="U673" s="7"/>
    </row>
    <row r="674" ht="15.75" customHeight="1">
      <c r="F674" s="95"/>
      <c r="G674" s="95"/>
      <c r="U674" s="7"/>
    </row>
    <row r="675" ht="15.75" customHeight="1">
      <c r="F675" s="95"/>
      <c r="G675" s="95"/>
      <c r="U675" s="7"/>
    </row>
    <row r="676" ht="15.75" customHeight="1">
      <c r="F676" s="95"/>
      <c r="G676" s="95"/>
      <c r="U676" s="7"/>
    </row>
    <row r="677" ht="15.75" customHeight="1">
      <c r="F677" s="95"/>
      <c r="G677" s="95"/>
      <c r="U677" s="7"/>
    </row>
    <row r="678" ht="15.75" customHeight="1">
      <c r="F678" s="95"/>
      <c r="G678" s="95"/>
      <c r="U678" s="7"/>
    </row>
    <row r="679" ht="15.75" customHeight="1">
      <c r="F679" s="95"/>
      <c r="G679" s="95"/>
      <c r="U679" s="7"/>
    </row>
    <row r="680" ht="15.75" customHeight="1">
      <c r="F680" s="95"/>
      <c r="G680" s="95"/>
      <c r="U680" s="7"/>
    </row>
    <row r="681" ht="15.75" customHeight="1">
      <c r="F681" s="95"/>
      <c r="G681" s="95"/>
      <c r="U681" s="7"/>
    </row>
    <row r="682" ht="15.75" customHeight="1">
      <c r="F682" s="95"/>
      <c r="G682" s="95"/>
      <c r="U682" s="7"/>
    </row>
    <row r="683" ht="15.75" customHeight="1">
      <c r="F683" s="95"/>
      <c r="G683" s="95"/>
      <c r="U683" s="7"/>
    </row>
    <row r="684" ht="15.75" customHeight="1">
      <c r="F684" s="95"/>
      <c r="G684" s="95"/>
      <c r="U684" s="7"/>
    </row>
    <row r="685" ht="15.75" customHeight="1">
      <c r="F685" s="95"/>
      <c r="G685" s="95"/>
      <c r="U685" s="7"/>
    </row>
    <row r="686" ht="15.75" customHeight="1">
      <c r="F686" s="95"/>
      <c r="G686" s="95"/>
      <c r="U686" s="7"/>
    </row>
    <row r="687" ht="15.75" customHeight="1">
      <c r="F687" s="95"/>
      <c r="G687" s="95"/>
      <c r="U687" s="7"/>
    </row>
    <row r="688" ht="15.75" customHeight="1">
      <c r="F688" s="95"/>
      <c r="G688" s="95"/>
      <c r="U688" s="7"/>
    </row>
    <row r="689" ht="15.75" customHeight="1">
      <c r="F689" s="95"/>
      <c r="G689" s="95"/>
      <c r="U689" s="7"/>
    </row>
    <row r="690" ht="15.75" customHeight="1">
      <c r="F690" s="95"/>
      <c r="G690" s="95"/>
      <c r="U690" s="7"/>
    </row>
    <row r="691" ht="15.75" customHeight="1">
      <c r="F691" s="95"/>
      <c r="G691" s="95"/>
      <c r="U691" s="7"/>
    </row>
    <row r="692" ht="15.75" customHeight="1">
      <c r="F692" s="95"/>
      <c r="G692" s="95"/>
      <c r="U692" s="7"/>
    </row>
    <row r="693" ht="15.75" customHeight="1">
      <c r="F693" s="95"/>
      <c r="G693" s="95"/>
      <c r="U693" s="7"/>
    </row>
    <row r="694" ht="15.75" customHeight="1">
      <c r="F694" s="95"/>
      <c r="G694" s="95"/>
      <c r="U694" s="7"/>
    </row>
    <row r="695" ht="15.75" customHeight="1">
      <c r="F695" s="95"/>
      <c r="G695" s="95"/>
      <c r="U695" s="7"/>
    </row>
    <row r="696" ht="15.75" customHeight="1">
      <c r="F696" s="95"/>
      <c r="G696" s="95"/>
      <c r="U696" s="7"/>
    </row>
    <row r="697" ht="15.75" customHeight="1">
      <c r="F697" s="95"/>
      <c r="G697" s="95"/>
      <c r="U697" s="7"/>
    </row>
    <row r="698" ht="15.75" customHeight="1">
      <c r="F698" s="95"/>
      <c r="G698" s="95"/>
      <c r="U698" s="7"/>
    </row>
    <row r="699" ht="15.75" customHeight="1">
      <c r="F699" s="95"/>
      <c r="G699" s="95"/>
      <c r="U699" s="7"/>
    </row>
    <row r="700" ht="15.75" customHeight="1">
      <c r="F700" s="95"/>
      <c r="G700" s="95"/>
      <c r="U700" s="7"/>
    </row>
    <row r="701" ht="15.75" customHeight="1">
      <c r="F701" s="95"/>
      <c r="G701" s="95"/>
      <c r="U701" s="7"/>
    </row>
    <row r="702" ht="15.75" customHeight="1">
      <c r="F702" s="95"/>
      <c r="G702" s="95"/>
      <c r="U702" s="7"/>
    </row>
    <row r="703" ht="15.75" customHeight="1">
      <c r="F703" s="95"/>
      <c r="G703" s="95"/>
      <c r="U703" s="7"/>
    </row>
    <row r="704" ht="15.75" customHeight="1">
      <c r="F704" s="95"/>
      <c r="G704" s="95"/>
      <c r="U704" s="7"/>
    </row>
    <row r="705" ht="15.75" customHeight="1">
      <c r="F705" s="95"/>
      <c r="G705" s="95"/>
      <c r="U705" s="7"/>
    </row>
    <row r="706" ht="15.75" customHeight="1">
      <c r="F706" s="95"/>
      <c r="G706" s="95"/>
      <c r="U706" s="7"/>
    </row>
    <row r="707" ht="15.75" customHeight="1">
      <c r="F707" s="95"/>
      <c r="G707" s="95"/>
      <c r="U707" s="7"/>
    </row>
    <row r="708" ht="15.75" customHeight="1">
      <c r="F708" s="95"/>
      <c r="G708" s="95"/>
      <c r="U708" s="7"/>
    </row>
    <row r="709" ht="15.75" customHeight="1">
      <c r="F709" s="95"/>
      <c r="G709" s="95"/>
      <c r="U709" s="7"/>
    </row>
    <row r="710" ht="15.75" customHeight="1">
      <c r="F710" s="95"/>
      <c r="G710" s="95"/>
      <c r="U710" s="7"/>
    </row>
    <row r="711" ht="15.75" customHeight="1">
      <c r="F711" s="95"/>
      <c r="G711" s="95"/>
      <c r="U711" s="7"/>
    </row>
    <row r="712" ht="15.75" customHeight="1">
      <c r="F712" s="95"/>
      <c r="G712" s="95"/>
      <c r="U712" s="7"/>
    </row>
    <row r="713" ht="15.75" customHeight="1">
      <c r="F713" s="95"/>
      <c r="G713" s="95"/>
      <c r="U713" s="7"/>
    </row>
    <row r="714" ht="15.75" customHeight="1">
      <c r="F714" s="95"/>
      <c r="G714" s="95"/>
      <c r="U714" s="7"/>
    </row>
    <row r="715" ht="15.75" customHeight="1">
      <c r="F715" s="95"/>
      <c r="G715" s="95"/>
      <c r="U715" s="7"/>
    </row>
    <row r="716" ht="15.75" customHeight="1">
      <c r="F716" s="95"/>
      <c r="G716" s="95"/>
      <c r="U716" s="7"/>
    </row>
    <row r="717" ht="15.75" customHeight="1">
      <c r="F717" s="95"/>
      <c r="G717" s="95"/>
      <c r="U717" s="7"/>
    </row>
    <row r="718" ht="15.75" customHeight="1">
      <c r="F718" s="95"/>
      <c r="G718" s="95"/>
      <c r="U718" s="7"/>
    </row>
    <row r="719" ht="15.75" customHeight="1">
      <c r="F719" s="95"/>
      <c r="G719" s="95"/>
      <c r="U719" s="7"/>
    </row>
    <row r="720" ht="15.75" customHeight="1">
      <c r="F720" s="95"/>
      <c r="G720" s="95"/>
      <c r="U720" s="7"/>
    </row>
    <row r="721" ht="15.75" customHeight="1">
      <c r="F721" s="95"/>
      <c r="G721" s="95"/>
      <c r="U721" s="7"/>
    </row>
    <row r="722" ht="15.75" customHeight="1">
      <c r="F722" s="95"/>
      <c r="G722" s="95"/>
      <c r="U722" s="7"/>
    </row>
    <row r="723" ht="15.75" customHeight="1">
      <c r="F723" s="95"/>
      <c r="G723" s="95"/>
      <c r="U723" s="7"/>
    </row>
    <row r="724" ht="15.75" customHeight="1">
      <c r="F724" s="95"/>
      <c r="G724" s="95"/>
      <c r="U724" s="7"/>
    </row>
    <row r="725" ht="15.75" customHeight="1">
      <c r="F725" s="95"/>
      <c r="G725" s="95"/>
      <c r="U725" s="7"/>
    </row>
    <row r="726" ht="15.75" customHeight="1">
      <c r="F726" s="95"/>
      <c r="G726" s="95"/>
      <c r="U726" s="7"/>
    </row>
    <row r="727" ht="15.75" customHeight="1">
      <c r="F727" s="95"/>
      <c r="G727" s="95"/>
      <c r="U727" s="7"/>
    </row>
    <row r="728" ht="15.75" customHeight="1">
      <c r="F728" s="95"/>
      <c r="G728" s="95"/>
      <c r="U728" s="7"/>
    </row>
    <row r="729" ht="15.75" customHeight="1">
      <c r="F729" s="95"/>
      <c r="G729" s="95"/>
      <c r="U729" s="7"/>
    </row>
    <row r="730" ht="15.75" customHeight="1">
      <c r="F730" s="95"/>
      <c r="G730" s="95"/>
      <c r="U730" s="7"/>
    </row>
    <row r="731" ht="15.75" customHeight="1">
      <c r="F731" s="95"/>
      <c r="G731" s="95"/>
      <c r="U731" s="7"/>
    </row>
    <row r="732" ht="15.75" customHeight="1">
      <c r="F732" s="95"/>
      <c r="G732" s="95"/>
      <c r="U732" s="7"/>
    </row>
    <row r="733" ht="15.75" customHeight="1">
      <c r="F733" s="95"/>
      <c r="G733" s="95"/>
      <c r="U733" s="7"/>
    </row>
    <row r="734" ht="15.75" customHeight="1">
      <c r="F734" s="95"/>
      <c r="G734" s="95"/>
      <c r="U734" s="7"/>
    </row>
    <row r="735" ht="15.75" customHeight="1">
      <c r="F735" s="95"/>
      <c r="G735" s="95"/>
      <c r="U735" s="7"/>
    </row>
    <row r="736" ht="15.75" customHeight="1">
      <c r="F736" s="95"/>
      <c r="G736" s="95"/>
      <c r="U736" s="7"/>
    </row>
    <row r="737" ht="15.75" customHeight="1">
      <c r="F737" s="95"/>
      <c r="G737" s="95"/>
      <c r="U737" s="7"/>
    </row>
    <row r="738" ht="15.75" customHeight="1">
      <c r="F738" s="95"/>
      <c r="G738" s="95"/>
      <c r="U738" s="7"/>
    </row>
    <row r="739" ht="15.75" customHeight="1">
      <c r="F739" s="95"/>
      <c r="G739" s="95"/>
      <c r="U739" s="7"/>
    </row>
    <row r="740" ht="15.75" customHeight="1">
      <c r="F740" s="95"/>
      <c r="G740" s="95"/>
      <c r="U740" s="7"/>
    </row>
    <row r="741" ht="15.75" customHeight="1">
      <c r="F741" s="95"/>
      <c r="G741" s="95"/>
      <c r="U741" s="7"/>
    </row>
    <row r="742" ht="15.75" customHeight="1">
      <c r="F742" s="95"/>
      <c r="G742" s="95"/>
      <c r="U742" s="7"/>
    </row>
    <row r="743" ht="15.75" customHeight="1">
      <c r="F743" s="95"/>
      <c r="G743" s="95"/>
      <c r="U743" s="7"/>
    </row>
    <row r="744" ht="15.75" customHeight="1">
      <c r="F744" s="95"/>
      <c r="G744" s="95"/>
      <c r="U744" s="7"/>
    </row>
    <row r="745" ht="15.75" customHeight="1">
      <c r="F745" s="95"/>
      <c r="G745" s="95"/>
      <c r="U745" s="7"/>
    </row>
    <row r="746" ht="15.75" customHeight="1">
      <c r="F746" s="95"/>
      <c r="G746" s="95"/>
      <c r="U746" s="7"/>
    </row>
    <row r="747" ht="15.75" customHeight="1">
      <c r="F747" s="95"/>
      <c r="G747" s="95"/>
      <c r="U747" s="7"/>
    </row>
    <row r="748" ht="15.75" customHeight="1">
      <c r="F748" s="95"/>
      <c r="G748" s="95"/>
      <c r="U748" s="7"/>
    </row>
    <row r="749" ht="15.75" customHeight="1">
      <c r="F749" s="95"/>
      <c r="G749" s="95"/>
      <c r="U749" s="7"/>
    </row>
    <row r="750" ht="15.75" customHeight="1">
      <c r="F750" s="95"/>
      <c r="G750" s="95"/>
      <c r="U750" s="7"/>
    </row>
    <row r="751" ht="15.75" customHeight="1">
      <c r="F751" s="95"/>
      <c r="G751" s="95"/>
      <c r="U751" s="7"/>
    </row>
    <row r="752" ht="15.75" customHeight="1">
      <c r="F752" s="95"/>
      <c r="G752" s="95"/>
      <c r="U752" s="7"/>
    </row>
    <row r="753" ht="15.75" customHeight="1">
      <c r="F753" s="95"/>
      <c r="G753" s="95"/>
      <c r="U753" s="7"/>
    </row>
    <row r="754" ht="15.75" customHeight="1">
      <c r="F754" s="95"/>
      <c r="G754" s="95"/>
      <c r="U754" s="7"/>
    </row>
    <row r="755" ht="15.75" customHeight="1">
      <c r="F755" s="95"/>
      <c r="G755" s="95"/>
      <c r="U755" s="7"/>
    </row>
    <row r="756" ht="15.75" customHeight="1">
      <c r="F756" s="95"/>
      <c r="G756" s="95"/>
      <c r="U756" s="7"/>
    </row>
    <row r="757" ht="15.75" customHeight="1">
      <c r="F757" s="95"/>
      <c r="G757" s="95"/>
      <c r="U757" s="7"/>
    </row>
    <row r="758" ht="15.75" customHeight="1">
      <c r="F758" s="95"/>
      <c r="G758" s="95"/>
      <c r="U758" s="7"/>
    </row>
    <row r="759" ht="15.75" customHeight="1">
      <c r="F759" s="95"/>
      <c r="G759" s="95"/>
      <c r="U759" s="7"/>
    </row>
    <row r="760" ht="15.75" customHeight="1">
      <c r="F760" s="95"/>
      <c r="G760" s="95"/>
      <c r="U760" s="7"/>
    </row>
    <row r="761" ht="15.75" customHeight="1">
      <c r="F761" s="95"/>
      <c r="G761" s="95"/>
      <c r="U761" s="7"/>
    </row>
    <row r="762" ht="15.75" customHeight="1">
      <c r="F762" s="95"/>
      <c r="G762" s="95"/>
      <c r="U762" s="7"/>
    </row>
    <row r="763" ht="15.75" customHeight="1">
      <c r="F763" s="95"/>
      <c r="G763" s="95"/>
      <c r="U763" s="7"/>
    </row>
    <row r="764" ht="15.75" customHeight="1">
      <c r="F764" s="95"/>
      <c r="G764" s="95"/>
      <c r="U764" s="7"/>
    </row>
    <row r="765" ht="15.75" customHeight="1">
      <c r="F765" s="95"/>
      <c r="G765" s="95"/>
      <c r="U765" s="7"/>
    </row>
    <row r="766" ht="15.75" customHeight="1">
      <c r="F766" s="95"/>
      <c r="G766" s="95"/>
      <c r="U766" s="7"/>
    </row>
    <row r="767" ht="15.75" customHeight="1">
      <c r="F767" s="95"/>
      <c r="G767" s="95"/>
      <c r="U767" s="7"/>
    </row>
    <row r="768" ht="15.75" customHeight="1">
      <c r="F768" s="95"/>
      <c r="G768" s="95"/>
      <c r="U768" s="7"/>
    </row>
    <row r="769" ht="15.75" customHeight="1">
      <c r="F769" s="95"/>
      <c r="G769" s="95"/>
      <c r="U769" s="7"/>
    </row>
    <row r="770" ht="15.75" customHeight="1">
      <c r="F770" s="95"/>
      <c r="G770" s="95"/>
      <c r="U770" s="7"/>
    </row>
    <row r="771" ht="15.75" customHeight="1">
      <c r="F771" s="95"/>
      <c r="G771" s="95"/>
      <c r="U771" s="7"/>
    </row>
    <row r="772" ht="15.75" customHeight="1">
      <c r="F772" s="95"/>
      <c r="G772" s="95"/>
      <c r="U772" s="7"/>
    </row>
    <row r="773" ht="15.75" customHeight="1">
      <c r="F773" s="95"/>
      <c r="G773" s="95"/>
      <c r="U773" s="7"/>
    </row>
    <row r="774" ht="15.75" customHeight="1">
      <c r="F774" s="95"/>
      <c r="G774" s="95"/>
      <c r="U774" s="7"/>
    </row>
    <row r="775" ht="15.75" customHeight="1">
      <c r="F775" s="95"/>
      <c r="G775" s="95"/>
      <c r="U775" s="7"/>
    </row>
    <row r="776" ht="15.75" customHeight="1">
      <c r="F776" s="95"/>
      <c r="G776" s="95"/>
      <c r="U776" s="7"/>
    </row>
    <row r="777" ht="15.75" customHeight="1">
      <c r="F777" s="95"/>
      <c r="G777" s="95"/>
      <c r="U777" s="7"/>
    </row>
    <row r="778" ht="15.75" customHeight="1">
      <c r="F778" s="95"/>
      <c r="G778" s="95"/>
      <c r="U778" s="7"/>
    </row>
    <row r="779" ht="15.75" customHeight="1">
      <c r="F779" s="95"/>
      <c r="G779" s="95"/>
      <c r="U779" s="7"/>
    </row>
    <row r="780" ht="15.75" customHeight="1">
      <c r="F780" s="95"/>
      <c r="G780" s="95"/>
      <c r="U780" s="7"/>
    </row>
    <row r="781" ht="15.75" customHeight="1">
      <c r="F781" s="95"/>
      <c r="G781" s="95"/>
      <c r="U781" s="7"/>
    </row>
    <row r="782" ht="15.75" customHeight="1">
      <c r="F782" s="95"/>
      <c r="G782" s="95"/>
      <c r="U782" s="7"/>
    </row>
    <row r="783" ht="15.75" customHeight="1">
      <c r="F783" s="95"/>
      <c r="G783" s="95"/>
      <c r="U783" s="7"/>
    </row>
    <row r="784" ht="15.75" customHeight="1">
      <c r="F784" s="95"/>
      <c r="G784" s="95"/>
      <c r="U784" s="7"/>
    </row>
    <row r="785" ht="15.75" customHeight="1">
      <c r="F785" s="95"/>
      <c r="G785" s="95"/>
      <c r="U785" s="7"/>
    </row>
    <row r="786" ht="15.75" customHeight="1">
      <c r="F786" s="95"/>
      <c r="G786" s="95"/>
      <c r="U786" s="7"/>
    </row>
    <row r="787" ht="15.75" customHeight="1">
      <c r="F787" s="95"/>
      <c r="G787" s="95"/>
      <c r="U787" s="7"/>
    </row>
    <row r="788" ht="15.75" customHeight="1">
      <c r="F788" s="95"/>
      <c r="G788" s="95"/>
      <c r="U788" s="7"/>
    </row>
    <row r="789" ht="15.75" customHeight="1">
      <c r="F789" s="95"/>
      <c r="G789" s="95"/>
      <c r="U789" s="7"/>
    </row>
    <row r="790" ht="15.75" customHeight="1">
      <c r="F790" s="95"/>
      <c r="G790" s="95"/>
      <c r="U790" s="7"/>
    </row>
    <row r="791" ht="15.75" customHeight="1">
      <c r="F791" s="95"/>
      <c r="G791" s="95"/>
      <c r="U791" s="7"/>
    </row>
    <row r="792" ht="15.75" customHeight="1">
      <c r="F792" s="95"/>
      <c r="G792" s="95"/>
      <c r="U792" s="7"/>
    </row>
    <row r="793" ht="15.75" customHeight="1">
      <c r="F793" s="95"/>
      <c r="G793" s="95"/>
      <c r="U793" s="7"/>
    </row>
    <row r="794" ht="15.75" customHeight="1">
      <c r="F794" s="95"/>
      <c r="G794" s="95"/>
      <c r="U794" s="7"/>
    </row>
    <row r="795" ht="15.75" customHeight="1">
      <c r="F795" s="95"/>
      <c r="G795" s="95"/>
      <c r="U795" s="7"/>
    </row>
    <row r="796" ht="15.75" customHeight="1">
      <c r="F796" s="95"/>
      <c r="G796" s="95"/>
      <c r="U796" s="7"/>
    </row>
    <row r="797" ht="15.75" customHeight="1">
      <c r="F797" s="95"/>
      <c r="G797" s="95"/>
      <c r="U797" s="7"/>
    </row>
    <row r="798" ht="15.75" customHeight="1">
      <c r="F798" s="95"/>
      <c r="G798" s="95"/>
      <c r="U798" s="7"/>
    </row>
    <row r="799" ht="15.75" customHeight="1">
      <c r="F799" s="95"/>
      <c r="G799" s="95"/>
      <c r="U799" s="7"/>
    </row>
    <row r="800" ht="15.75" customHeight="1">
      <c r="F800" s="95"/>
      <c r="G800" s="95"/>
      <c r="U800" s="7"/>
    </row>
    <row r="801" ht="15.75" customHeight="1">
      <c r="F801" s="95"/>
      <c r="G801" s="95"/>
      <c r="U801" s="7"/>
    </row>
    <row r="802" ht="15.75" customHeight="1">
      <c r="F802" s="95"/>
      <c r="G802" s="95"/>
      <c r="U802" s="7"/>
    </row>
    <row r="803" ht="15.75" customHeight="1">
      <c r="F803" s="95"/>
      <c r="G803" s="95"/>
      <c r="U803" s="7"/>
    </row>
    <row r="804" ht="15.75" customHeight="1">
      <c r="F804" s="95"/>
      <c r="G804" s="95"/>
      <c r="U804" s="7"/>
    </row>
    <row r="805" ht="15.75" customHeight="1">
      <c r="F805" s="95"/>
      <c r="G805" s="95"/>
      <c r="U805" s="7"/>
    </row>
    <row r="806" ht="15.75" customHeight="1">
      <c r="F806" s="95"/>
      <c r="G806" s="95"/>
      <c r="U806" s="7"/>
    </row>
    <row r="807" ht="15.75" customHeight="1">
      <c r="F807" s="95"/>
      <c r="G807" s="95"/>
      <c r="U807" s="7"/>
    </row>
    <row r="808" ht="15.75" customHeight="1">
      <c r="F808" s="95"/>
      <c r="G808" s="95"/>
      <c r="U808" s="7"/>
    </row>
    <row r="809" ht="15.75" customHeight="1">
      <c r="F809" s="95"/>
      <c r="G809" s="95"/>
      <c r="U809" s="7"/>
    </row>
    <row r="810" ht="15.75" customHeight="1">
      <c r="F810" s="95"/>
      <c r="G810" s="95"/>
      <c r="U810" s="7"/>
    </row>
    <row r="811" ht="15.75" customHeight="1">
      <c r="F811" s="95"/>
      <c r="G811" s="95"/>
      <c r="U811" s="7"/>
    </row>
    <row r="812" ht="15.75" customHeight="1">
      <c r="F812" s="95"/>
      <c r="G812" s="95"/>
      <c r="U812" s="7"/>
    </row>
    <row r="813" ht="15.75" customHeight="1">
      <c r="F813" s="95"/>
      <c r="G813" s="95"/>
      <c r="U813" s="7"/>
    </row>
    <row r="814" ht="15.75" customHeight="1">
      <c r="F814" s="95"/>
      <c r="G814" s="95"/>
      <c r="U814" s="7"/>
    </row>
    <row r="815" ht="15.75" customHeight="1">
      <c r="F815" s="95"/>
      <c r="G815" s="95"/>
      <c r="U815" s="7"/>
    </row>
    <row r="816" ht="15.75" customHeight="1">
      <c r="F816" s="95"/>
      <c r="G816" s="95"/>
      <c r="U816" s="7"/>
    </row>
    <row r="817" ht="15.75" customHeight="1">
      <c r="F817" s="95"/>
      <c r="G817" s="95"/>
      <c r="U817" s="7"/>
    </row>
    <row r="818" ht="15.75" customHeight="1">
      <c r="F818" s="95"/>
      <c r="G818" s="95"/>
      <c r="U818" s="7"/>
    </row>
    <row r="819" ht="15.75" customHeight="1">
      <c r="F819" s="95"/>
      <c r="G819" s="95"/>
      <c r="U819" s="7"/>
    </row>
    <row r="820" ht="15.75" customHeight="1">
      <c r="F820" s="95"/>
      <c r="G820" s="95"/>
      <c r="U820" s="7"/>
    </row>
    <row r="821" ht="15.75" customHeight="1">
      <c r="F821" s="95"/>
      <c r="G821" s="95"/>
      <c r="U821" s="7"/>
    </row>
    <row r="822" ht="15.75" customHeight="1">
      <c r="F822" s="95"/>
      <c r="G822" s="95"/>
      <c r="U822" s="7"/>
    </row>
    <row r="823" ht="15.75" customHeight="1">
      <c r="F823" s="95"/>
      <c r="G823" s="95"/>
      <c r="U823" s="7"/>
    </row>
    <row r="824" ht="15.75" customHeight="1">
      <c r="F824" s="95"/>
      <c r="G824" s="95"/>
      <c r="U824" s="7"/>
    </row>
    <row r="825" ht="15.75" customHeight="1">
      <c r="F825" s="95"/>
      <c r="G825" s="95"/>
      <c r="U825" s="7"/>
    </row>
    <row r="826" ht="15.75" customHeight="1">
      <c r="F826" s="95"/>
      <c r="G826" s="95"/>
      <c r="U826" s="7"/>
    </row>
    <row r="827" ht="15.75" customHeight="1">
      <c r="F827" s="95"/>
      <c r="G827" s="95"/>
      <c r="U827" s="7"/>
    </row>
    <row r="828" ht="15.75" customHeight="1">
      <c r="F828" s="95"/>
      <c r="G828" s="95"/>
      <c r="U828" s="7"/>
    </row>
    <row r="829" ht="15.75" customHeight="1">
      <c r="F829" s="95"/>
      <c r="G829" s="95"/>
      <c r="U829" s="7"/>
    </row>
    <row r="830" ht="15.75" customHeight="1">
      <c r="F830" s="95"/>
      <c r="G830" s="95"/>
      <c r="U830" s="7"/>
    </row>
    <row r="831" ht="15.75" customHeight="1">
      <c r="F831" s="95"/>
      <c r="G831" s="95"/>
      <c r="U831" s="7"/>
    </row>
    <row r="832" ht="15.75" customHeight="1">
      <c r="F832" s="95"/>
      <c r="G832" s="95"/>
      <c r="U832" s="7"/>
    </row>
    <row r="833" ht="15.75" customHeight="1">
      <c r="F833" s="95"/>
      <c r="G833" s="95"/>
      <c r="U833" s="7"/>
    </row>
    <row r="834" ht="15.75" customHeight="1">
      <c r="F834" s="95"/>
      <c r="G834" s="95"/>
      <c r="U834" s="7"/>
    </row>
    <row r="835" ht="15.75" customHeight="1">
      <c r="F835" s="95"/>
      <c r="G835" s="95"/>
      <c r="U835" s="7"/>
    </row>
    <row r="836" ht="15.75" customHeight="1">
      <c r="F836" s="95"/>
      <c r="G836" s="95"/>
      <c r="U836" s="7"/>
    </row>
    <row r="837" ht="15.75" customHeight="1">
      <c r="F837" s="95"/>
      <c r="G837" s="95"/>
      <c r="U837" s="7"/>
    </row>
    <row r="838" ht="15.75" customHeight="1">
      <c r="F838" s="95"/>
      <c r="G838" s="95"/>
      <c r="U838" s="7"/>
    </row>
    <row r="839" ht="15.75" customHeight="1">
      <c r="F839" s="95"/>
      <c r="G839" s="95"/>
      <c r="U839" s="7"/>
    </row>
    <row r="840" ht="15.75" customHeight="1">
      <c r="F840" s="95"/>
      <c r="G840" s="95"/>
      <c r="U840" s="7"/>
    </row>
    <row r="841" ht="15.75" customHeight="1">
      <c r="F841" s="95"/>
      <c r="G841" s="95"/>
      <c r="U841" s="7"/>
    </row>
    <row r="842" ht="15.75" customHeight="1">
      <c r="F842" s="95"/>
      <c r="G842" s="95"/>
      <c r="U842" s="7"/>
    </row>
    <row r="843" ht="15.75" customHeight="1">
      <c r="F843" s="95"/>
      <c r="G843" s="95"/>
      <c r="U843" s="7"/>
    </row>
    <row r="844" ht="15.75" customHeight="1">
      <c r="F844" s="95"/>
      <c r="G844" s="95"/>
      <c r="U844" s="7"/>
    </row>
    <row r="845" ht="15.75" customHeight="1">
      <c r="F845" s="95"/>
      <c r="G845" s="95"/>
      <c r="U845" s="7"/>
    </row>
    <row r="846" ht="15.75" customHeight="1">
      <c r="F846" s="95"/>
      <c r="G846" s="95"/>
      <c r="U846" s="7"/>
    </row>
    <row r="847" ht="15.75" customHeight="1">
      <c r="F847" s="95"/>
      <c r="G847" s="95"/>
      <c r="U847" s="7"/>
    </row>
    <row r="848" ht="15.75" customHeight="1">
      <c r="F848" s="95"/>
      <c r="G848" s="95"/>
      <c r="U848" s="7"/>
    </row>
    <row r="849" ht="15.75" customHeight="1">
      <c r="F849" s="95"/>
      <c r="G849" s="95"/>
      <c r="U849" s="7"/>
    </row>
    <row r="850" ht="15.75" customHeight="1">
      <c r="F850" s="95"/>
      <c r="G850" s="95"/>
      <c r="U850" s="7"/>
    </row>
    <row r="851" ht="15.75" customHeight="1">
      <c r="F851" s="95"/>
      <c r="G851" s="95"/>
      <c r="U851" s="7"/>
    </row>
    <row r="852" ht="15.75" customHeight="1">
      <c r="F852" s="95"/>
      <c r="G852" s="95"/>
      <c r="U852" s="7"/>
    </row>
    <row r="853" ht="15.75" customHeight="1">
      <c r="F853" s="95"/>
      <c r="G853" s="95"/>
      <c r="U853" s="7"/>
    </row>
    <row r="854" ht="15.75" customHeight="1">
      <c r="F854" s="95"/>
      <c r="G854" s="95"/>
      <c r="U854" s="7"/>
    </row>
    <row r="855" ht="15.75" customHeight="1">
      <c r="F855" s="95"/>
      <c r="G855" s="95"/>
      <c r="U855" s="7"/>
    </row>
    <row r="856" ht="15.75" customHeight="1">
      <c r="F856" s="95"/>
      <c r="G856" s="95"/>
      <c r="U856" s="7"/>
    </row>
    <row r="857" ht="15.75" customHeight="1">
      <c r="F857" s="95"/>
      <c r="G857" s="95"/>
      <c r="U857" s="7"/>
    </row>
    <row r="858" ht="15.75" customHeight="1">
      <c r="F858" s="95"/>
      <c r="G858" s="95"/>
      <c r="U858" s="7"/>
    </row>
    <row r="859" ht="15.75" customHeight="1">
      <c r="F859" s="95"/>
      <c r="G859" s="95"/>
      <c r="U859" s="7"/>
    </row>
    <row r="860" ht="15.75" customHeight="1">
      <c r="F860" s="95"/>
      <c r="G860" s="95"/>
      <c r="U860" s="7"/>
    </row>
    <row r="861" ht="15.75" customHeight="1">
      <c r="F861" s="95"/>
      <c r="G861" s="95"/>
      <c r="U861" s="7"/>
    </row>
    <row r="862" ht="15.75" customHeight="1">
      <c r="F862" s="95"/>
      <c r="G862" s="95"/>
      <c r="U862" s="7"/>
    </row>
    <row r="863" ht="15.75" customHeight="1">
      <c r="F863" s="95"/>
      <c r="G863" s="95"/>
      <c r="U863" s="7"/>
    </row>
    <row r="864" ht="15.75" customHeight="1">
      <c r="F864" s="95"/>
      <c r="G864" s="95"/>
      <c r="U864" s="7"/>
    </row>
    <row r="865" ht="15.75" customHeight="1">
      <c r="F865" s="95"/>
      <c r="G865" s="95"/>
      <c r="U865" s="7"/>
    </row>
    <row r="866" ht="15.75" customHeight="1">
      <c r="F866" s="95"/>
      <c r="G866" s="95"/>
      <c r="U866" s="7"/>
    </row>
    <row r="867" ht="15.75" customHeight="1">
      <c r="F867" s="95"/>
      <c r="G867" s="95"/>
      <c r="U867" s="7"/>
    </row>
    <row r="868" ht="15.75" customHeight="1">
      <c r="F868" s="95"/>
      <c r="G868" s="95"/>
      <c r="U868" s="7"/>
    </row>
    <row r="869" ht="15.75" customHeight="1">
      <c r="F869" s="95"/>
      <c r="G869" s="95"/>
      <c r="U869" s="7"/>
    </row>
    <row r="870" ht="15.75" customHeight="1">
      <c r="F870" s="95"/>
      <c r="G870" s="95"/>
      <c r="U870" s="7"/>
    </row>
    <row r="871" ht="15.75" customHeight="1">
      <c r="F871" s="95"/>
      <c r="G871" s="95"/>
      <c r="U871" s="7"/>
    </row>
    <row r="872" ht="15.75" customHeight="1">
      <c r="F872" s="95"/>
      <c r="G872" s="95"/>
      <c r="U872" s="7"/>
    </row>
    <row r="873" ht="15.75" customHeight="1">
      <c r="F873" s="95"/>
      <c r="G873" s="95"/>
      <c r="U873" s="7"/>
    </row>
    <row r="874" ht="15.75" customHeight="1">
      <c r="F874" s="95"/>
      <c r="G874" s="95"/>
      <c r="U874" s="7"/>
    </row>
    <row r="875" ht="15.75" customHeight="1">
      <c r="F875" s="95"/>
      <c r="G875" s="95"/>
      <c r="U875" s="7"/>
    </row>
    <row r="876" ht="15.75" customHeight="1">
      <c r="F876" s="95"/>
      <c r="G876" s="95"/>
      <c r="U876" s="7"/>
    </row>
    <row r="877" ht="15.75" customHeight="1">
      <c r="F877" s="95"/>
      <c r="G877" s="95"/>
      <c r="U877" s="7"/>
    </row>
    <row r="878" ht="15.75" customHeight="1">
      <c r="F878" s="95"/>
      <c r="G878" s="95"/>
      <c r="U878" s="7"/>
    </row>
    <row r="879" ht="15.75" customHeight="1">
      <c r="F879" s="95"/>
      <c r="G879" s="95"/>
      <c r="U879" s="7"/>
    </row>
    <row r="880" ht="15.75" customHeight="1">
      <c r="F880" s="95"/>
      <c r="G880" s="95"/>
      <c r="U880" s="7"/>
    </row>
    <row r="881" ht="15.75" customHeight="1">
      <c r="F881" s="95"/>
      <c r="G881" s="95"/>
      <c r="U881" s="7"/>
    </row>
    <row r="882" ht="15.75" customHeight="1">
      <c r="F882" s="95"/>
      <c r="G882" s="95"/>
      <c r="U882" s="7"/>
    </row>
    <row r="883" ht="15.75" customHeight="1">
      <c r="F883" s="95"/>
      <c r="G883" s="95"/>
      <c r="U883" s="7"/>
    </row>
    <row r="884" ht="15.75" customHeight="1">
      <c r="F884" s="95"/>
      <c r="G884" s="95"/>
      <c r="U884" s="7"/>
    </row>
    <row r="885" ht="15.75" customHeight="1">
      <c r="F885" s="95"/>
      <c r="G885" s="95"/>
      <c r="U885" s="7"/>
    </row>
    <row r="886" ht="15.75" customHeight="1">
      <c r="F886" s="95"/>
      <c r="G886" s="95"/>
      <c r="U886" s="7"/>
    </row>
    <row r="887" ht="15.75" customHeight="1">
      <c r="F887" s="95"/>
      <c r="G887" s="95"/>
      <c r="U887" s="7"/>
    </row>
    <row r="888" ht="15.75" customHeight="1">
      <c r="F888" s="95"/>
      <c r="G888" s="95"/>
      <c r="U888" s="7"/>
    </row>
    <row r="889" ht="15.75" customHeight="1">
      <c r="F889" s="95"/>
      <c r="G889" s="95"/>
      <c r="U889" s="7"/>
    </row>
    <row r="890" ht="15.75" customHeight="1">
      <c r="F890" s="95"/>
      <c r="G890" s="95"/>
      <c r="U890" s="7"/>
    </row>
    <row r="891" ht="15.75" customHeight="1">
      <c r="F891" s="95"/>
      <c r="G891" s="95"/>
      <c r="U891" s="7"/>
    </row>
    <row r="892" ht="15.75" customHeight="1">
      <c r="F892" s="95"/>
      <c r="G892" s="95"/>
      <c r="U892" s="7"/>
    </row>
    <row r="893" ht="15.75" customHeight="1">
      <c r="F893" s="95"/>
      <c r="G893" s="95"/>
      <c r="U893" s="7"/>
    </row>
    <row r="894" ht="15.75" customHeight="1">
      <c r="F894" s="95"/>
      <c r="G894" s="95"/>
      <c r="U894" s="7"/>
    </row>
    <row r="895" ht="15.75" customHeight="1">
      <c r="F895" s="95"/>
      <c r="G895" s="95"/>
      <c r="U895" s="7"/>
    </row>
    <row r="896" ht="15.75" customHeight="1">
      <c r="F896" s="95"/>
      <c r="G896" s="95"/>
      <c r="U896" s="7"/>
    </row>
    <row r="897" ht="15.75" customHeight="1">
      <c r="F897" s="95"/>
      <c r="G897" s="95"/>
      <c r="U897" s="7"/>
    </row>
    <row r="898" ht="15.75" customHeight="1">
      <c r="F898" s="95"/>
      <c r="G898" s="95"/>
      <c r="U898" s="7"/>
    </row>
    <row r="899" ht="15.75" customHeight="1">
      <c r="F899" s="95"/>
      <c r="G899" s="95"/>
      <c r="U899" s="7"/>
    </row>
    <row r="900" ht="15.75" customHeight="1">
      <c r="F900" s="95"/>
      <c r="G900" s="95"/>
      <c r="U900" s="7"/>
    </row>
    <row r="901" ht="15.75" customHeight="1">
      <c r="F901" s="95"/>
      <c r="G901" s="95"/>
      <c r="U901" s="7"/>
    </row>
    <row r="902" ht="15.75" customHeight="1">
      <c r="F902" s="95"/>
      <c r="G902" s="95"/>
      <c r="U902" s="7"/>
    </row>
    <row r="903" ht="15.75" customHeight="1">
      <c r="F903" s="95"/>
      <c r="G903" s="95"/>
      <c r="U903" s="7"/>
    </row>
    <row r="904" ht="15.75" customHeight="1">
      <c r="F904" s="95"/>
      <c r="G904" s="95"/>
      <c r="U904" s="7"/>
    </row>
    <row r="905" ht="15.75" customHeight="1">
      <c r="F905" s="95"/>
      <c r="G905" s="95"/>
      <c r="U905" s="7"/>
    </row>
    <row r="906" ht="15.75" customHeight="1">
      <c r="F906" s="95"/>
      <c r="G906" s="95"/>
      <c r="U906" s="7"/>
    </row>
    <row r="907" ht="15.75" customHeight="1">
      <c r="F907" s="95"/>
      <c r="G907" s="95"/>
      <c r="U907" s="7"/>
    </row>
    <row r="908" ht="15.75" customHeight="1">
      <c r="F908" s="95"/>
      <c r="G908" s="95"/>
      <c r="U908" s="7"/>
    </row>
    <row r="909" ht="15.75" customHeight="1">
      <c r="F909" s="95"/>
      <c r="G909" s="95"/>
      <c r="U909" s="7"/>
    </row>
    <row r="910" ht="15.75" customHeight="1">
      <c r="F910" s="95"/>
      <c r="G910" s="95"/>
      <c r="U910" s="7"/>
    </row>
    <row r="911" ht="15.75" customHeight="1">
      <c r="F911" s="95"/>
      <c r="G911" s="95"/>
      <c r="U911" s="7"/>
    </row>
    <row r="912" ht="15.75" customHeight="1">
      <c r="F912" s="95"/>
      <c r="G912" s="95"/>
      <c r="U912" s="7"/>
    </row>
    <row r="913" ht="15.75" customHeight="1">
      <c r="F913" s="95"/>
      <c r="G913" s="95"/>
      <c r="U913" s="7"/>
    </row>
    <row r="914" ht="15.75" customHeight="1">
      <c r="F914" s="95"/>
      <c r="G914" s="95"/>
      <c r="U914" s="7"/>
    </row>
    <row r="915" ht="15.75" customHeight="1">
      <c r="F915" s="95"/>
      <c r="G915" s="95"/>
      <c r="U915" s="7"/>
    </row>
    <row r="916" ht="15.75" customHeight="1">
      <c r="F916" s="95"/>
      <c r="G916" s="95"/>
      <c r="U916" s="7"/>
    </row>
    <row r="917" ht="15.75" customHeight="1">
      <c r="F917" s="95"/>
      <c r="G917" s="95"/>
      <c r="U917" s="7"/>
    </row>
    <row r="918" ht="15.75" customHeight="1">
      <c r="F918" s="95"/>
      <c r="G918" s="95"/>
      <c r="U918" s="7"/>
    </row>
    <row r="919" ht="15.75" customHeight="1">
      <c r="F919" s="95"/>
      <c r="G919" s="95"/>
      <c r="U919" s="7"/>
    </row>
    <row r="920" ht="15.75" customHeight="1">
      <c r="F920" s="95"/>
      <c r="G920" s="95"/>
      <c r="U920" s="7"/>
    </row>
    <row r="921" ht="15.75" customHeight="1">
      <c r="F921" s="95"/>
      <c r="G921" s="95"/>
      <c r="U921" s="7"/>
    </row>
    <row r="922" ht="15.75" customHeight="1">
      <c r="F922" s="95"/>
      <c r="G922" s="95"/>
      <c r="U922" s="7"/>
    </row>
    <row r="923" ht="15.75" customHeight="1">
      <c r="F923" s="95"/>
      <c r="G923" s="95"/>
      <c r="U923" s="7"/>
    </row>
    <row r="924" ht="15.75" customHeight="1">
      <c r="F924" s="95"/>
      <c r="G924" s="95"/>
      <c r="U924" s="7"/>
    </row>
    <row r="925" ht="15.75" customHeight="1">
      <c r="F925" s="95"/>
      <c r="G925" s="95"/>
      <c r="U925" s="7"/>
    </row>
    <row r="926" ht="15.75" customHeight="1">
      <c r="F926" s="95"/>
      <c r="G926" s="95"/>
      <c r="U926" s="7"/>
    </row>
    <row r="927" ht="15.75" customHeight="1">
      <c r="F927" s="95"/>
      <c r="G927" s="95"/>
      <c r="U927" s="7"/>
    </row>
    <row r="928" ht="15.75" customHeight="1">
      <c r="F928" s="95"/>
      <c r="G928" s="95"/>
      <c r="U928" s="7"/>
    </row>
    <row r="929" ht="15.75" customHeight="1">
      <c r="F929" s="95"/>
      <c r="G929" s="95"/>
      <c r="U929" s="7"/>
    </row>
    <row r="930" ht="15.75" customHeight="1">
      <c r="F930" s="95"/>
      <c r="G930" s="95"/>
      <c r="U930" s="7"/>
    </row>
    <row r="931" ht="15.75" customHeight="1">
      <c r="F931" s="95"/>
      <c r="G931" s="95"/>
      <c r="U931" s="7"/>
    </row>
    <row r="932" ht="15.75" customHeight="1">
      <c r="F932" s="95"/>
      <c r="G932" s="95"/>
      <c r="U932" s="7"/>
    </row>
    <row r="933" ht="15.75" customHeight="1">
      <c r="F933" s="95"/>
      <c r="G933" s="95"/>
      <c r="U933" s="7"/>
    </row>
    <row r="934" ht="15.75" customHeight="1">
      <c r="F934" s="95"/>
      <c r="G934" s="95"/>
      <c r="U934" s="7"/>
    </row>
    <row r="935" ht="15.75" customHeight="1">
      <c r="F935" s="95"/>
      <c r="G935" s="95"/>
      <c r="U935" s="7"/>
    </row>
    <row r="936" ht="15.75" customHeight="1">
      <c r="F936" s="95"/>
      <c r="G936" s="95"/>
      <c r="U936" s="7"/>
    </row>
    <row r="937" ht="15.75" customHeight="1">
      <c r="F937" s="95"/>
      <c r="G937" s="95"/>
      <c r="U937" s="7"/>
    </row>
    <row r="938" ht="15.75" customHeight="1">
      <c r="F938" s="95"/>
      <c r="G938" s="95"/>
      <c r="U938" s="7"/>
    </row>
    <row r="939" ht="15.75" customHeight="1">
      <c r="F939" s="95"/>
      <c r="G939" s="95"/>
      <c r="U939" s="7"/>
    </row>
    <row r="940" ht="15.75" customHeight="1">
      <c r="F940" s="95"/>
      <c r="G940" s="95"/>
      <c r="U940" s="7"/>
    </row>
    <row r="941" ht="15.75" customHeight="1">
      <c r="F941" s="95"/>
      <c r="G941" s="95"/>
      <c r="U941" s="7"/>
    </row>
    <row r="942" ht="15.75" customHeight="1">
      <c r="F942" s="95"/>
      <c r="G942" s="95"/>
      <c r="U942" s="7"/>
    </row>
    <row r="943" ht="15.75" customHeight="1">
      <c r="F943" s="95"/>
      <c r="G943" s="95"/>
      <c r="U943" s="7"/>
    </row>
    <row r="944" ht="15.75" customHeight="1">
      <c r="F944" s="95"/>
      <c r="G944" s="95"/>
      <c r="U944" s="7"/>
    </row>
    <row r="945" ht="15.75" customHeight="1">
      <c r="F945" s="95"/>
      <c r="G945" s="95"/>
      <c r="U945" s="7"/>
    </row>
    <row r="946" ht="15.75" customHeight="1">
      <c r="F946" s="95"/>
      <c r="G946" s="95"/>
      <c r="U946" s="7"/>
    </row>
    <row r="947" ht="15.75" customHeight="1">
      <c r="F947" s="95"/>
      <c r="G947" s="95"/>
      <c r="U947" s="7"/>
    </row>
    <row r="948" ht="15.75" customHeight="1">
      <c r="F948" s="95"/>
      <c r="G948" s="95"/>
      <c r="U948" s="7"/>
    </row>
    <row r="949" ht="15.75" customHeight="1">
      <c r="F949" s="95"/>
      <c r="G949" s="95"/>
      <c r="U949" s="7"/>
    </row>
    <row r="950" ht="15.75" customHeight="1">
      <c r="F950" s="95"/>
      <c r="G950" s="95"/>
      <c r="U950" s="7"/>
    </row>
    <row r="951" ht="15.75" customHeight="1">
      <c r="F951" s="95"/>
      <c r="G951" s="95"/>
      <c r="U951" s="7"/>
    </row>
    <row r="952" ht="15.75" customHeight="1">
      <c r="F952" s="95"/>
      <c r="G952" s="95"/>
      <c r="U952" s="7"/>
    </row>
    <row r="953" ht="15.75" customHeight="1">
      <c r="F953" s="95"/>
      <c r="G953" s="95"/>
      <c r="U953" s="7"/>
    </row>
    <row r="954" ht="15.75" customHeight="1">
      <c r="F954" s="95"/>
      <c r="G954" s="95"/>
      <c r="U954" s="7"/>
    </row>
    <row r="955" ht="15.75" customHeight="1">
      <c r="F955" s="95"/>
      <c r="G955" s="95"/>
      <c r="U955" s="7"/>
    </row>
    <row r="956" ht="15.75" customHeight="1">
      <c r="F956" s="95"/>
      <c r="G956" s="95"/>
      <c r="U956" s="7"/>
    </row>
    <row r="957" ht="15.75" customHeight="1">
      <c r="F957" s="95"/>
      <c r="G957" s="95"/>
      <c r="U957" s="7"/>
    </row>
    <row r="958" ht="15.75" customHeight="1">
      <c r="F958" s="95"/>
      <c r="G958" s="95"/>
      <c r="U958" s="7"/>
    </row>
    <row r="959" ht="15.75" customHeight="1">
      <c r="F959" s="95"/>
      <c r="G959" s="95"/>
      <c r="U959" s="7"/>
    </row>
    <row r="960" ht="15.75" customHeight="1">
      <c r="F960" s="95"/>
      <c r="G960" s="95"/>
      <c r="U960" s="7"/>
    </row>
    <row r="961" ht="15.75" customHeight="1">
      <c r="F961" s="95"/>
      <c r="G961" s="95"/>
      <c r="U961" s="7"/>
    </row>
    <row r="962" ht="15.75" customHeight="1">
      <c r="F962" s="95"/>
      <c r="G962" s="95"/>
      <c r="U962" s="7"/>
    </row>
    <row r="963" ht="15.75" customHeight="1">
      <c r="F963" s="95"/>
      <c r="G963" s="95"/>
      <c r="U963" s="7"/>
    </row>
    <row r="964" ht="15.75" customHeight="1">
      <c r="F964" s="95"/>
      <c r="G964" s="95"/>
      <c r="U964" s="7"/>
    </row>
    <row r="965" ht="15.75" customHeight="1">
      <c r="F965" s="95"/>
      <c r="G965" s="95"/>
      <c r="U965" s="7"/>
    </row>
    <row r="966" ht="15.75" customHeight="1">
      <c r="F966" s="95"/>
      <c r="G966" s="95"/>
      <c r="U966" s="7"/>
    </row>
    <row r="967" ht="15.75" customHeight="1">
      <c r="F967" s="95"/>
      <c r="G967" s="95"/>
      <c r="U967" s="7"/>
    </row>
    <row r="968" ht="15.75" customHeight="1">
      <c r="F968" s="95"/>
      <c r="G968" s="95"/>
      <c r="U968" s="7"/>
    </row>
    <row r="969" ht="15.75" customHeight="1">
      <c r="F969" s="95"/>
      <c r="G969" s="95"/>
      <c r="U969" s="7"/>
    </row>
    <row r="970" ht="15.75" customHeight="1">
      <c r="F970" s="95"/>
      <c r="G970" s="95"/>
      <c r="U970" s="7"/>
    </row>
    <row r="971" ht="15.75" customHeight="1">
      <c r="F971" s="95"/>
      <c r="G971" s="95"/>
      <c r="U971" s="7"/>
    </row>
    <row r="972" ht="15.75" customHeight="1">
      <c r="F972" s="95"/>
      <c r="G972" s="95"/>
      <c r="U972" s="7"/>
    </row>
    <row r="973" ht="15.75" customHeight="1">
      <c r="F973" s="95"/>
      <c r="G973" s="95"/>
      <c r="U973" s="7"/>
    </row>
    <row r="974" ht="15.75" customHeight="1">
      <c r="F974" s="95"/>
      <c r="G974" s="95"/>
      <c r="U974" s="7"/>
    </row>
    <row r="975" ht="15.75" customHeight="1">
      <c r="F975" s="95"/>
      <c r="G975" s="95"/>
      <c r="U975" s="7"/>
    </row>
    <row r="976" ht="15.75" customHeight="1">
      <c r="F976" s="95"/>
      <c r="G976" s="95"/>
      <c r="U976" s="7"/>
    </row>
    <row r="977" ht="15.75" customHeight="1">
      <c r="F977" s="95"/>
      <c r="G977" s="95"/>
      <c r="U977" s="7"/>
    </row>
    <row r="978" ht="15.75" customHeight="1">
      <c r="F978" s="95"/>
      <c r="G978" s="95"/>
      <c r="U978" s="7"/>
    </row>
    <row r="979" ht="15.75" customHeight="1">
      <c r="F979" s="95"/>
      <c r="G979" s="95"/>
      <c r="U979" s="7"/>
    </row>
    <row r="980" ht="15.75" customHeight="1">
      <c r="F980" s="95"/>
      <c r="G980" s="95"/>
      <c r="U980" s="7"/>
    </row>
    <row r="981" ht="15.75" customHeight="1">
      <c r="F981" s="95"/>
      <c r="G981" s="95"/>
      <c r="U981" s="7"/>
    </row>
    <row r="982" ht="15.75" customHeight="1">
      <c r="F982" s="95"/>
      <c r="G982" s="95"/>
      <c r="U982" s="7"/>
    </row>
    <row r="983" ht="15.75" customHeight="1">
      <c r="F983" s="95"/>
      <c r="G983" s="95"/>
      <c r="U983" s="7"/>
    </row>
    <row r="984" ht="15.75" customHeight="1">
      <c r="F984" s="95"/>
      <c r="G984" s="95"/>
      <c r="U984" s="7"/>
    </row>
    <row r="985" ht="15.75" customHeight="1">
      <c r="F985" s="95"/>
      <c r="G985" s="95"/>
      <c r="U985" s="7"/>
    </row>
    <row r="986" ht="15.75" customHeight="1">
      <c r="F986" s="95"/>
      <c r="G986" s="95"/>
      <c r="U986" s="7"/>
    </row>
    <row r="987" ht="15.75" customHeight="1">
      <c r="F987" s="95"/>
      <c r="G987" s="95"/>
      <c r="U987" s="7"/>
    </row>
    <row r="988" ht="15.75" customHeight="1">
      <c r="F988" s="95"/>
      <c r="G988" s="95"/>
      <c r="U988" s="7"/>
    </row>
    <row r="989" ht="15.75" customHeight="1">
      <c r="F989" s="95"/>
      <c r="G989" s="95"/>
      <c r="U989" s="7"/>
    </row>
    <row r="990" ht="15.75" customHeight="1">
      <c r="F990" s="95"/>
      <c r="G990" s="95"/>
      <c r="U990" s="7"/>
    </row>
    <row r="991" ht="15.75" customHeight="1">
      <c r="F991" s="95"/>
      <c r="G991" s="95"/>
      <c r="U991" s="7"/>
    </row>
    <row r="992" ht="15.75" customHeight="1">
      <c r="F992" s="95"/>
      <c r="G992" s="95"/>
      <c r="U992" s="7"/>
    </row>
    <row r="993" ht="15.75" customHeight="1">
      <c r="F993" s="95"/>
      <c r="G993" s="95"/>
      <c r="U993" s="7"/>
    </row>
    <row r="994" ht="15.75" customHeight="1">
      <c r="F994" s="95"/>
      <c r="G994" s="95"/>
      <c r="U994" s="7"/>
    </row>
    <row r="995" ht="15.75" customHeight="1">
      <c r="F995" s="95"/>
      <c r="G995" s="95"/>
      <c r="U995" s="7"/>
    </row>
    <row r="996" ht="15.75" customHeight="1">
      <c r="F996" s="95"/>
      <c r="G996" s="95"/>
      <c r="U996" s="7"/>
    </row>
    <row r="997" ht="15.75" customHeight="1">
      <c r="F997" s="95"/>
      <c r="G997" s="95"/>
      <c r="U997" s="7"/>
    </row>
    <row r="998" ht="15.75" customHeight="1">
      <c r="F998" s="95"/>
      <c r="G998" s="95"/>
      <c r="U998" s="7"/>
    </row>
    <row r="999" ht="15.75" customHeight="1">
      <c r="F999" s="95"/>
      <c r="G999" s="95"/>
      <c r="U999" s="7"/>
    </row>
    <row r="1000" ht="15.75" customHeight="1">
      <c r="F1000" s="95"/>
      <c r="G1000" s="95"/>
      <c r="U1000" s="7"/>
    </row>
  </sheetData>
  <mergeCells count="34">
    <mergeCell ref="A1:D1"/>
    <mergeCell ref="F1:H1"/>
    <mergeCell ref="A3:A32"/>
    <mergeCell ref="C4:C5"/>
    <mergeCell ref="C12:C13"/>
    <mergeCell ref="C14:C15"/>
    <mergeCell ref="C20:C21"/>
    <mergeCell ref="D39:D43"/>
    <mergeCell ref="C40:C43"/>
    <mergeCell ref="C44:C45"/>
    <mergeCell ref="D44:D45"/>
    <mergeCell ref="C47:C49"/>
    <mergeCell ref="D47:D49"/>
    <mergeCell ref="H57:S57"/>
    <mergeCell ref="B12:B19"/>
    <mergeCell ref="B20:B21"/>
    <mergeCell ref="E39:E43"/>
    <mergeCell ref="G39:G43"/>
    <mergeCell ref="U39:U42"/>
    <mergeCell ref="V39:V42"/>
    <mergeCell ref="W39:W42"/>
    <mergeCell ref="B56:B67"/>
    <mergeCell ref="B68:B74"/>
    <mergeCell ref="B75:B77"/>
    <mergeCell ref="B78:B80"/>
    <mergeCell ref="A83:A86"/>
    <mergeCell ref="B83:B86"/>
    <mergeCell ref="B3:B11"/>
    <mergeCell ref="B22:B32"/>
    <mergeCell ref="A33:A55"/>
    <mergeCell ref="B33:B38"/>
    <mergeCell ref="B39:B51"/>
    <mergeCell ref="B52:B55"/>
    <mergeCell ref="A56:A82"/>
  </mergeCells>
  <conditionalFormatting sqref="T31:U31">
    <cfRule type="colorScale" priority="1">
      <colorScale>
        <cfvo type="formula" val="0"/>
        <cfvo type="formula" val="2"/>
        <color rgb="FFFF0000"/>
        <color rgb="FF00B050"/>
      </colorScale>
    </cfRule>
  </conditionalFormatting>
  <conditionalFormatting sqref="M34:V34">
    <cfRule type="colorScale" priority="2">
      <colorScale>
        <cfvo type="formula" val="2"/>
        <cfvo type="formula" val="3"/>
        <color rgb="FFFF0000"/>
        <color rgb="FF00B050"/>
      </colorScale>
    </cfRule>
  </conditionalFormatting>
  <conditionalFormatting sqref="M35:U35">
    <cfRule type="colorScale" priority="3">
      <colorScale>
        <cfvo type="formula" val="33"/>
        <cfvo type="formula" val="34"/>
        <color rgb="FFFF0000"/>
        <color rgb="FF00B050"/>
      </colorScale>
    </cfRule>
  </conditionalFormatting>
  <conditionalFormatting sqref="M36:U36">
    <cfRule type="colorScale" priority="4">
      <colorScale>
        <cfvo type="formula" val="74"/>
        <cfvo type="formula" val="75"/>
        <color rgb="FFFF0000"/>
        <color rgb="FF00B050"/>
      </colorScale>
    </cfRule>
  </conditionalFormatting>
  <conditionalFormatting sqref="R37">
    <cfRule type="colorScale" priority="5">
      <colorScale>
        <cfvo type="formula" val="0"/>
        <cfvo type="formula" val="1"/>
        <color rgb="FFFF0000"/>
        <color rgb="FF00B050"/>
      </colorScale>
    </cfRule>
  </conditionalFormatting>
  <conditionalFormatting sqref="R38">
    <cfRule type="colorScale" priority="6">
      <colorScale>
        <cfvo type="formula" val="0"/>
        <cfvo type="formula" val="1"/>
        <color rgb="FFFF0000"/>
        <color rgb="FF00B050"/>
      </colorScale>
    </cfRule>
  </conditionalFormatting>
  <conditionalFormatting sqref="M43:U43 M44:S44 U44">
    <cfRule type="colorScale" priority="7">
      <colorScale>
        <cfvo type="formula" val="15"/>
        <cfvo type="formula" val="16"/>
        <color rgb="FFFF0000"/>
        <color rgb="FF00B050"/>
      </colorScale>
    </cfRule>
  </conditionalFormatting>
  <conditionalFormatting sqref="M45:S45 T44:T45 U45">
    <cfRule type="colorScale" priority="8">
      <colorScale>
        <cfvo type="formula" val="219"/>
        <cfvo type="formula" val="220"/>
        <color rgb="FFFF0000"/>
        <color rgb="FF00B050"/>
      </colorScale>
    </cfRule>
  </conditionalFormatting>
  <conditionalFormatting sqref="M46:U46 M47:S49 U47:U49">
    <cfRule type="colorScale" priority="9">
      <colorScale>
        <cfvo type="formula" val="109"/>
        <cfvo type="formula" val="110"/>
        <color rgb="FFFF0000"/>
        <color rgb="FF00B050"/>
      </colorScale>
    </cfRule>
  </conditionalFormatting>
  <conditionalFormatting sqref="T47:T49">
    <cfRule type="colorScale" priority="10">
      <colorScale>
        <cfvo type="formula" val="1"/>
        <cfvo type="formula" val="2"/>
        <color rgb="FFFF0000"/>
        <color rgb="FF00B050"/>
      </colorScale>
    </cfRule>
  </conditionalFormatting>
  <conditionalFormatting sqref="M50:U50">
    <cfRule type="colorScale" priority="11">
      <colorScale>
        <cfvo type="formula" val="0"/>
        <cfvo type="formula" val="1"/>
        <color rgb="FFFF0000"/>
        <color rgb="FF00B050"/>
      </colorScale>
    </cfRule>
  </conditionalFormatting>
  <conditionalFormatting sqref="M51:U51">
    <cfRule type="colorScale" priority="12">
      <colorScale>
        <cfvo type="formula" val="85"/>
        <cfvo type="formula" val="86"/>
        <color rgb="FFFF0000"/>
        <color rgb="FF00B050"/>
      </colorScale>
    </cfRule>
  </conditionalFormatting>
  <conditionalFormatting sqref="M52:U52">
    <cfRule type="colorScale" priority="13">
      <colorScale>
        <cfvo type="formula" val="129"/>
        <cfvo type="formula" val="130"/>
        <color rgb="FFFF0000"/>
        <color rgb="FFFFEF9C"/>
      </colorScale>
    </cfRule>
  </conditionalFormatting>
  <conditionalFormatting sqref="M53:U53">
    <cfRule type="colorScale" priority="14">
      <colorScale>
        <cfvo type="formula" val="24"/>
        <cfvo type="formula" val="25"/>
        <color rgb="FFFF0000"/>
        <color rgb="FF00B050"/>
      </colorScale>
    </cfRule>
  </conditionalFormatting>
  <conditionalFormatting sqref="M54:U54">
    <cfRule type="colorScale" priority="15">
      <colorScale>
        <cfvo type="formula" val="154"/>
        <cfvo type="formula" val="155"/>
        <color rgb="FFFF0000"/>
        <color rgb="FF00B050"/>
      </colorScale>
    </cfRule>
  </conditionalFormatting>
  <conditionalFormatting sqref="M55:U55">
    <cfRule type="colorScale" priority="16">
      <colorScale>
        <cfvo type="formula" val="39"/>
        <cfvo type="formula" val="40"/>
        <color rgb="FFFF0000"/>
        <color rgb="FF00B050"/>
      </colorScale>
    </cfRule>
  </conditionalFormatting>
  <conditionalFormatting sqref="H56:U56 H57 H59:U62 I58:U58 T57:U57">
    <cfRule type="colorScale" priority="17">
      <colorScale>
        <cfvo type="formula" val="0"/>
        <cfvo type="formula" val="1"/>
        <color rgb="FFFF0000"/>
        <color rgb="FF00B050"/>
      </colorScale>
    </cfRule>
  </conditionalFormatting>
  <conditionalFormatting sqref="H63:U66">
    <cfRule type="colorScale" priority="18">
      <colorScale>
        <cfvo type="formula" val="1"/>
        <cfvo type="formula" val="2"/>
        <color rgb="FFFF0000"/>
        <color rgb="FF00B050"/>
      </colorScale>
    </cfRule>
  </conditionalFormatting>
  <conditionalFormatting sqref="H67:U67">
    <cfRule type="colorScale" priority="19">
      <colorScale>
        <cfvo type="formula" val="23"/>
        <cfvo type="formula" val="24"/>
        <color rgb="FFFF0000"/>
        <color rgb="FF00B050"/>
      </colorScale>
    </cfRule>
  </conditionalFormatting>
  <conditionalFormatting sqref="H68:U68">
    <cfRule type="colorScale" priority="20">
      <colorScale>
        <cfvo type="formula" val="0"/>
        <cfvo type="formula" val="1"/>
        <color rgb="FFFF0000"/>
        <color rgb="FF00B050"/>
      </colorScale>
    </cfRule>
  </conditionalFormatting>
  <conditionalFormatting sqref="H69:U69">
    <cfRule type="colorScale" priority="21">
      <colorScale>
        <cfvo type="formula" val="1"/>
        <cfvo type="formula" val="2"/>
        <color rgb="FFFF0000"/>
        <color rgb="FF00B050"/>
      </colorScale>
    </cfRule>
  </conditionalFormatting>
  <conditionalFormatting sqref="H70:U70">
    <cfRule type="colorScale" priority="22">
      <colorScale>
        <cfvo type="formula" val="8"/>
        <cfvo type="formula" val="9"/>
        <color rgb="FFFF0000"/>
        <color rgb="FF00B050"/>
      </colorScale>
    </cfRule>
  </conditionalFormatting>
  <conditionalFormatting sqref="H71">
    <cfRule type="colorScale" priority="23">
      <colorScale>
        <cfvo type="formula" val="0"/>
        <cfvo type="formula" val="1"/>
        <color rgb="FFFF0000"/>
        <color rgb="FF00B050"/>
      </colorScale>
    </cfRule>
  </conditionalFormatting>
  <conditionalFormatting sqref="H72:U72">
    <cfRule type="colorScale" priority="24">
      <colorScale>
        <cfvo type="formula" val="99"/>
        <cfvo type="formula" val="100"/>
        <color rgb="FFFF0000"/>
        <color rgb="FF00B050"/>
      </colorScale>
    </cfRule>
  </conditionalFormatting>
  <conditionalFormatting sqref="H73:U73">
    <cfRule type="colorScale" priority="25">
      <colorScale>
        <cfvo type="formula" val="8.74"/>
        <cfvo type="formula" val="8.75"/>
        <color rgb="FFFF0000"/>
        <color rgb="FF00B050"/>
      </colorScale>
    </cfRule>
  </conditionalFormatting>
  <conditionalFormatting sqref="H74:U74">
    <cfRule type="colorScale" priority="26">
      <colorScale>
        <cfvo type="formula" val="4"/>
        <cfvo type="formula" val="5"/>
        <color rgb="FFFF0000"/>
        <color rgb="FF00B050"/>
      </colorScale>
    </cfRule>
  </conditionalFormatting>
  <conditionalFormatting sqref="H75:U75">
    <cfRule type="colorScale" priority="27">
      <colorScale>
        <cfvo type="formula" val="2"/>
        <cfvo type="formula" val="3"/>
        <color rgb="FFFF0000"/>
        <color rgb="FF00B050"/>
      </colorScale>
    </cfRule>
  </conditionalFormatting>
  <conditionalFormatting sqref="H76:U76">
    <cfRule type="colorScale" priority="28">
      <colorScale>
        <cfvo type="formula" val="1"/>
        <cfvo type="formula" val="2"/>
        <color rgb="FFFF0000"/>
        <color rgb="FF00B050"/>
      </colorScale>
    </cfRule>
  </conditionalFormatting>
  <conditionalFormatting sqref="H81:U81">
    <cfRule type="colorScale" priority="29">
      <colorScale>
        <cfvo type="formula" val="24"/>
        <cfvo type="formula" val="25"/>
        <color rgb="FFFF0000"/>
        <color rgb="FF00B050"/>
      </colorScale>
    </cfRule>
  </conditionalFormatting>
  <conditionalFormatting sqref="H82:U84">
    <cfRule type="colorScale" priority="30">
      <colorScale>
        <cfvo type="formula" val="0"/>
        <cfvo type="formula" val="1"/>
        <color rgb="FFFF0000"/>
        <color rgb="FF00B050"/>
      </colorScale>
    </cfRule>
  </conditionalFormatting>
  <conditionalFormatting sqref="H4:S4">
    <cfRule type="colorScale" priority="31">
      <colorScale>
        <cfvo type="formula" val="65"/>
        <cfvo type="formula" val="66"/>
        <color rgb="FFFF0000"/>
        <color rgb="FF00B050"/>
      </colorScale>
    </cfRule>
  </conditionalFormatting>
  <conditionalFormatting sqref="H4:S4">
    <cfRule type="colorScale" priority="32">
      <colorScale>
        <cfvo type="formula" val="59"/>
        <cfvo type="formula" val="60"/>
        <color rgb="FFFF0000"/>
        <color rgb="FF00B050"/>
      </colorScale>
    </cfRule>
  </conditionalFormatting>
  <conditionalFormatting sqref="H5:S5">
    <cfRule type="colorScale" priority="33">
      <colorScale>
        <cfvo type="formula" val="43"/>
        <cfvo type="formula" val="44"/>
        <color rgb="FFFF0000"/>
        <color rgb="FF00B050"/>
      </colorScale>
    </cfRule>
  </conditionalFormatting>
  <conditionalFormatting sqref="H7:S7">
    <cfRule type="colorScale" priority="34">
      <colorScale>
        <cfvo type="formula" val="4"/>
        <cfvo type="formula" val="5"/>
        <color rgb="FF00B050"/>
        <color rgb="FFFF0000"/>
      </colorScale>
    </cfRule>
  </conditionalFormatting>
  <conditionalFormatting sqref="H8:S8">
    <cfRule type="colorScale" priority="35">
      <colorScale>
        <cfvo type="formula" val="0"/>
        <cfvo type="formula" val="1"/>
        <color rgb="FFFF0000"/>
        <color rgb="FF00B050"/>
      </colorScale>
    </cfRule>
  </conditionalFormatting>
  <conditionalFormatting sqref="H12:S13">
    <cfRule type="colorScale" priority="36">
      <colorScale>
        <cfvo type="formula" val="23"/>
        <cfvo type="formula" val="24"/>
        <color rgb="FFFF0000"/>
        <color rgb="FF00B050"/>
      </colorScale>
    </cfRule>
  </conditionalFormatting>
  <conditionalFormatting sqref="H14:S14">
    <cfRule type="colorScale" priority="37">
      <colorScale>
        <cfvo type="formula" val="8"/>
        <cfvo type="formula" val="9"/>
        <color rgb="FFFF0000"/>
        <color rgb="FF00B050"/>
      </colorScale>
    </cfRule>
  </conditionalFormatting>
  <conditionalFormatting sqref="H15:S15">
    <cfRule type="colorScale" priority="38">
      <colorScale>
        <cfvo type="formula" val="34"/>
        <cfvo type="formula" val="35"/>
        <color rgb="FFFF0000"/>
        <color rgb="FF00B050"/>
      </colorScale>
    </cfRule>
  </conditionalFormatting>
  <conditionalFormatting sqref="H16:S16">
    <cfRule type="colorScale" priority="39">
      <colorScale>
        <cfvo type="formula" val="23"/>
        <cfvo type="formula" val="25"/>
        <color rgb="FFFF0000"/>
        <color rgb="FF00B050"/>
      </colorScale>
    </cfRule>
  </conditionalFormatting>
  <conditionalFormatting sqref="H17:S17">
    <cfRule type="colorScale" priority="40">
      <colorScale>
        <cfvo type="formula" val="88"/>
        <cfvo type="formula" val="89"/>
        <color rgb="FFFF0000"/>
        <color rgb="FF00B050"/>
      </colorScale>
    </cfRule>
  </conditionalFormatting>
  <conditionalFormatting sqref="H18:S18">
    <cfRule type="colorScale" priority="41">
      <colorScale>
        <cfvo type="formula" val="1"/>
        <cfvo type="formula" val="2"/>
        <color rgb="FFFF0000"/>
        <color rgb="FF00B050"/>
      </colorScale>
    </cfRule>
  </conditionalFormatting>
  <conditionalFormatting sqref="H19:S19">
    <cfRule type="colorScale" priority="42">
      <colorScale>
        <cfvo type="formula" val="88"/>
        <cfvo type="formula" val="89"/>
        <color rgb="FFFF0000"/>
        <color rgb="FF00B050"/>
      </colorScale>
    </cfRule>
  </conditionalFormatting>
  <conditionalFormatting sqref="H20:S21">
    <cfRule type="colorScale" priority="43">
      <colorScale>
        <cfvo type="formula" val="99"/>
        <cfvo type="formula" val="100"/>
        <color rgb="FFFF0000"/>
        <color rgb="FF00B050"/>
      </colorScale>
    </cfRule>
  </conditionalFormatting>
  <conditionalFormatting sqref="H22:S22">
    <cfRule type="colorScale" priority="44">
      <colorScale>
        <cfvo type="formula" val="166"/>
        <cfvo type="formula" val="167"/>
        <color rgb="FFFF0000"/>
        <color rgb="FF00B050"/>
      </colorScale>
    </cfRule>
  </conditionalFormatting>
  <conditionalFormatting sqref="H23:S24">
    <cfRule type="colorScale" priority="45">
      <colorScale>
        <cfvo type="formula" val="209"/>
        <cfvo type="formula" val="210"/>
        <color rgb="FFFF0000"/>
        <color rgb="FF00B050"/>
      </colorScale>
    </cfRule>
  </conditionalFormatting>
  <conditionalFormatting sqref="H26:S26">
    <cfRule type="colorScale" priority="46">
      <colorScale>
        <cfvo type="formula" val="9"/>
        <cfvo type="formula" val="9"/>
        <color rgb="FFFF0000"/>
        <color rgb="FF00B050"/>
      </colorScale>
    </cfRule>
  </conditionalFormatting>
  <conditionalFormatting sqref="T26:U26">
    <cfRule type="colorScale" priority="47">
      <colorScale>
        <cfvo type="formula" val="8"/>
        <cfvo type="formula" val="9"/>
        <color rgb="FFFF0000"/>
        <color rgb="FF00B050"/>
      </colorScale>
    </cfRule>
  </conditionalFormatting>
  <conditionalFormatting sqref="H28:S32">
    <cfRule type="colorScale" priority="48">
      <colorScale>
        <cfvo type="formula" val="0"/>
        <cfvo type="formula" val="1"/>
        <color rgb="FFFF0000"/>
        <color rgb="FF00B050"/>
      </colorScale>
    </cfRule>
  </conditionalFormatting>
  <conditionalFormatting sqref="T33:U33">
    <cfRule type="colorScale" priority="49">
      <colorScale>
        <cfvo type="formula" val="89"/>
        <cfvo type="formula" val="90"/>
        <color rgb="FFFF0000"/>
        <color rgb="FF00B050"/>
      </colorScale>
    </cfRule>
  </conditionalFormatting>
  <conditionalFormatting sqref="T32:U32">
    <cfRule type="colorScale" priority="50">
      <colorScale>
        <cfvo type="formula" val="3"/>
        <cfvo type="formula" val="4"/>
        <color rgb="FFFF0000"/>
        <color rgb="FF00B050"/>
      </colorScale>
    </cfRule>
  </conditionalFormatting>
  <conditionalFormatting sqref="T30:U30">
    <cfRule type="colorScale" priority="51">
      <colorScale>
        <cfvo type="formula" val="5"/>
        <cfvo type="formula" val="6"/>
        <color rgb="FFFF0000"/>
        <color rgb="FF00B050"/>
      </colorScale>
    </cfRule>
  </conditionalFormatting>
  <conditionalFormatting sqref="T4">
    <cfRule type="colorScale" priority="52">
      <colorScale>
        <cfvo type="formula" val="791"/>
        <cfvo type="formula" val="792"/>
        <color rgb="FFFF0000"/>
        <color rgb="FF00B050"/>
      </colorScale>
    </cfRule>
  </conditionalFormatting>
  <conditionalFormatting sqref="T5">
    <cfRule type="colorScale" priority="53">
      <colorScale>
        <cfvo type="formula" val="743"/>
        <cfvo type="formula" val="744"/>
        <color rgb="FFFF0000"/>
        <color rgb="FF00B050"/>
      </colorScale>
    </cfRule>
  </conditionalFormatting>
  <conditionalFormatting sqref="H34:L34">
    <cfRule type="colorScale" priority="54">
      <colorScale>
        <cfvo type="formula" val="2"/>
        <cfvo type="formula" val="3"/>
        <color rgb="FFFF0000"/>
        <color rgb="FF00B050"/>
      </colorScale>
    </cfRule>
  </conditionalFormatting>
  <conditionalFormatting sqref="H35:L35">
    <cfRule type="colorScale" priority="55">
      <colorScale>
        <cfvo type="formula" val="33"/>
        <cfvo type="formula" val="34"/>
        <color rgb="FFFF0000"/>
        <color rgb="FF00B050"/>
      </colorScale>
    </cfRule>
  </conditionalFormatting>
  <conditionalFormatting sqref="H36:L36">
    <cfRule type="colorScale" priority="56">
      <colorScale>
        <cfvo type="formula" val="74"/>
        <cfvo type="formula" val="75"/>
        <color rgb="FFFF0000"/>
        <color rgb="FF00B050"/>
      </colorScale>
    </cfRule>
  </conditionalFormatting>
  <conditionalFormatting sqref="H39:S42 H43:L43 I44:L44">
    <cfRule type="colorScale" priority="57">
      <colorScale>
        <cfvo type="formula" val="15"/>
        <cfvo type="formula" val="16"/>
        <color rgb="FFFF0000"/>
        <color rgb="FF00B050"/>
      </colorScale>
    </cfRule>
  </conditionalFormatting>
  <conditionalFormatting sqref="H44 H45:L45">
    <cfRule type="colorScale" priority="58">
      <colorScale>
        <cfvo type="formula" val="219"/>
        <cfvo type="formula" val="220"/>
        <color rgb="FFFF0000"/>
        <color rgb="FF00B050"/>
      </colorScale>
    </cfRule>
  </conditionalFormatting>
  <conditionalFormatting sqref="H46:L49">
    <cfRule type="colorScale" priority="59">
      <colorScale>
        <cfvo type="formula" val="109"/>
        <cfvo type="formula" val="110"/>
        <color rgb="FFFF0000"/>
        <color rgb="FF00B050"/>
      </colorScale>
    </cfRule>
  </conditionalFormatting>
  <conditionalFormatting sqref="H50:L50">
    <cfRule type="colorScale" priority="60">
      <colorScale>
        <cfvo type="formula" val="0"/>
        <cfvo type="formula" val="1"/>
        <color rgb="FFFF0000"/>
        <color rgb="FF00B050"/>
      </colorScale>
    </cfRule>
  </conditionalFormatting>
  <conditionalFormatting sqref="H51:L51">
    <cfRule type="colorScale" priority="61">
      <colorScale>
        <cfvo type="formula" val="85"/>
        <cfvo type="formula" val="86"/>
        <color rgb="FFFF0000"/>
        <color rgb="FF00B050"/>
      </colorScale>
    </cfRule>
  </conditionalFormatting>
  <conditionalFormatting sqref="H52:L52">
    <cfRule type="colorScale" priority="62">
      <colorScale>
        <cfvo type="formula" val="129"/>
        <cfvo type="formula" val="130"/>
        <color rgb="FFFF0000"/>
        <color rgb="FFFFEF9C"/>
      </colorScale>
    </cfRule>
  </conditionalFormatting>
  <conditionalFormatting sqref="H53:L53">
    <cfRule type="colorScale" priority="63">
      <colorScale>
        <cfvo type="formula" val="24"/>
        <cfvo type="formula" val="25"/>
        <color rgb="FFFF0000"/>
        <color rgb="FF00B050"/>
      </colorScale>
    </cfRule>
  </conditionalFormatting>
  <conditionalFormatting sqref="H54:L54">
    <cfRule type="colorScale" priority="64">
      <colorScale>
        <cfvo type="formula" val="154"/>
        <cfvo type="formula" val="155"/>
        <color rgb="FFFF0000"/>
        <color rgb="FF00B050"/>
      </colorScale>
    </cfRule>
  </conditionalFormatting>
  <conditionalFormatting sqref="H55:L55">
    <cfRule type="colorScale" priority="65">
      <colorScale>
        <cfvo type="formula" val="39"/>
        <cfvo type="formula" val="40"/>
        <color rgb="FFFF0000"/>
        <color rgb="FF00B050"/>
      </colorScale>
    </cfRule>
  </conditionalFormatting>
  <conditionalFormatting sqref="T3">
    <cfRule type="colorScale" priority="66">
      <colorScale>
        <cfvo type="formula" val="1249"/>
        <cfvo type="formula" val="1250"/>
        <color rgb="FFFF0000"/>
        <color rgb="FF00B050"/>
      </colorScale>
    </cfRule>
  </conditionalFormatting>
  <conditionalFormatting sqref="H5:N5">
    <cfRule type="colorScale" priority="67">
      <colorScale>
        <cfvo type="formula" val="61"/>
        <cfvo type="formula" val="62"/>
        <color rgb="FFFF0000"/>
        <color rgb="FF00B050"/>
      </colorScale>
    </cfRule>
  </conditionalFormatting>
  <conditionalFormatting sqref="I5">
    <cfRule type="colorScale" priority="68">
      <colorScale>
        <cfvo type="formula" val="44"/>
        <cfvo type="formula" val="50"/>
        <color rgb="FFFF0000"/>
        <color rgb="FF00B050"/>
      </colorScale>
    </cfRule>
  </conditionalFormatting>
  <conditionalFormatting sqref="J5">
    <cfRule type="colorScale" priority="69">
      <colorScale>
        <cfvo type="formula" val="49"/>
        <cfvo type="formula" val="50"/>
        <color rgb="FFFF0000"/>
        <color rgb="FF00B050"/>
      </colorScale>
    </cfRule>
  </conditionalFormatting>
  <conditionalFormatting sqref="K5">
    <cfRule type="colorScale" priority="70">
      <colorScale>
        <cfvo type="formula" val="49"/>
        <cfvo type="formula" val="50"/>
        <color rgb="FFFF0000"/>
        <color rgb="FF00B050"/>
      </colorScale>
    </cfRule>
  </conditionalFormatting>
  <conditionalFormatting sqref="L5">
    <cfRule type="colorScale" priority="71">
      <colorScale>
        <cfvo type="formula" val="49"/>
        <cfvo type="formula" val="50"/>
        <color rgb="FFFF0000"/>
        <color rgb="FF00B050"/>
      </colorScale>
    </cfRule>
  </conditionalFormatting>
  <conditionalFormatting sqref="M5:S5 N6">
    <cfRule type="colorScale" priority="72">
      <colorScale>
        <cfvo type="formula" val="61"/>
        <cfvo type="formula" val="62"/>
        <color rgb="FFFF0000"/>
        <color rgb="FF00B050"/>
      </colorScale>
    </cfRule>
  </conditionalFormatting>
  <conditionalFormatting sqref="U3">
    <cfRule type="colorScale" priority="73">
      <colorScale>
        <cfvo type="formula" val="0"/>
        <cfvo type="formula" val="1"/>
        <color rgb="FF00B050"/>
        <color rgb="FFFF0000"/>
      </colorScale>
    </cfRule>
  </conditionalFormatting>
  <conditionalFormatting sqref="H6:S6">
    <cfRule type="colorScale" priority="74">
      <colorScale>
        <cfvo type="formula" val="75"/>
        <cfvo type="formula" val="80"/>
        <color rgb="FFFF0000"/>
        <color rgb="FF00B050"/>
      </colorScale>
    </cfRule>
  </conditionalFormatting>
  <conditionalFormatting sqref="T8">
    <cfRule type="colorScale" priority="75">
      <colorScale>
        <cfvo type="formula" val="90"/>
        <cfvo type="formula" val="95"/>
        <color rgb="FFFF0000"/>
        <color rgb="FF00B050"/>
      </colorScale>
    </cfRule>
  </conditionalFormatting>
  <conditionalFormatting sqref="H25:S25">
    <cfRule type="colorScale" priority="76">
      <colorScale>
        <cfvo type="formula" val="19"/>
        <cfvo type="formula" val="20"/>
        <color rgb="FFFF0000"/>
        <color rgb="FF00B050"/>
      </colorScale>
    </cfRule>
  </conditionalFormatting>
  <conditionalFormatting sqref="I5:S5">
    <cfRule type="colorScale" priority="77">
      <colorScale>
        <cfvo type="formula" val="61"/>
        <cfvo type="formula" val="62"/>
        <color rgb="FFFF0000"/>
        <color rgb="FF00B050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2020-02-11T14:46:53Z</dcterms:created>
  <dc:creator>Emma</dc:creator>
</cp:coreProperties>
</file>