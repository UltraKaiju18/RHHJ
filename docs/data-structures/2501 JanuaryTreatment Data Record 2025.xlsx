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13_ncr:1_{980198A6-85CE-4843-ACBD-9A9245324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G68L+7SdWmIwmINdLmdIGI2KY9unqQ70KmEDdldN28="/>
    </ext>
  </extLst>
</workbook>
</file>

<file path=xl/calcChain.xml><?xml version="1.0" encoding="utf-8"?>
<calcChain xmlns="http://schemas.openxmlformats.org/spreadsheetml/2006/main">
  <c r="J91" i="3" l="1"/>
  <c r="J73" i="3"/>
  <c r="J55" i="3"/>
  <c r="J36" i="3"/>
  <c r="J17" i="3"/>
  <c r="E17" i="3"/>
  <c r="D17" i="3"/>
  <c r="R66" i="2"/>
  <c r="D49" i="2"/>
  <c r="D48" i="2"/>
  <c r="D47" i="2"/>
  <c r="D46" i="2"/>
  <c r="D45" i="2"/>
  <c r="N39" i="2"/>
  <c r="L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M33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F2" i="2"/>
  <c r="F39" i="2" s="1"/>
  <c r="E2" i="2"/>
  <c r="D2" i="2"/>
  <c r="C2" i="2"/>
  <c r="B2" i="2"/>
  <c r="H39" i="2" l="1"/>
  <c r="R18" i="2" s="1"/>
  <c r="I39" i="2"/>
  <c r="G39" i="2"/>
  <c r="J39" i="2"/>
  <c r="C39" i="2"/>
  <c r="R8" i="2" s="1"/>
  <c r="B39" i="2"/>
  <c r="R15" i="2" s="1"/>
  <c r="K39" i="2"/>
  <c r="D39" i="2"/>
  <c r="R9" i="2" s="1"/>
  <c r="M39" i="2"/>
  <c r="E39" i="2"/>
  <c r="R17" i="2" l="1"/>
  <c r="R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2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Discharge for palliation
======</t>
        </r>
      </text>
    </comment>
    <comment ref="AF5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For palliation
======</t>
        </r>
      </text>
    </comment>
    <comment ref="AF6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Pt getting well
======</t>
        </r>
      </text>
    </comment>
    <comment ref="AF7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Pt getting well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27" authorId="0" shapeId="0" xr:uid="{71619641-07B7-4234-99A3-960771EFA501}">
      <text>
        <r>
          <rPr>
            <sz val="11"/>
            <color theme="1"/>
            <rFont val="Calibri"/>
            <family val="2"/>
            <scheme val="minor"/>
          </rPr>
          <t>Discharge for palliation
======</t>
        </r>
      </text>
    </comment>
    <comment ref="AF50" authorId="0" shapeId="0" xr:uid="{92850AD5-33E0-4DCD-A078-7E1A858856CB}">
      <text>
        <r>
          <rPr>
            <sz val="11"/>
            <color theme="1"/>
            <rFont val="Calibri"/>
            <family val="2"/>
            <scheme val="minor"/>
          </rPr>
          <t>For palliation
======</t>
        </r>
      </text>
    </comment>
    <comment ref="AF61" authorId="0" shapeId="0" xr:uid="{40FD0908-9EDA-4D02-8D7E-43E548F5E61A}">
      <text>
        <r>
          <rPr>
            <sz val="11"/>
            <color theme="1"/>
            <rFont val="Calibri"/>
            <family val="2"/>
            <scheme val="minor"/>
          </rPr>
          <t>Pt getting well
======</t>
        </r>
      </text>
    </comment>
    <comment ref="AF76" authorId="0" shapeId="0" xr:uid="{8693F1A2-5B5E-4BFC-A5D0-1D89A82B9321}">
      <text>
        <r>
          <rPr>
            <sz val="11"/>
            <color theme="1"/>
            <rFont val="Calibri"/>
            <family val="2"/>
            <scheme val="minor"/>
          </rPr>
          <t>Pt getting well
======</t>
        </r>
      </text>
    </comment>
  </commentList>
</comments>
</file>

<file path=xl/sharedStrings.xml><?xml version="1.0" encoding="utf-8"?>
<sst xmlns="http://schemas.openxmlformats.org/spreadsheetml/2006/main" count="1358" uniqueCount="361">
  <si>
    <t>Date of referal</t>
  </si>
  <si>
    <t>Route</t>
  </si>
  <si>
    <t>IP.NO</t>
  </si>
  <si>
    <t>Name</t>
  </si>
  <si>
    <t>Age</t>
  </si>
  <si>
    <t>Children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</si>
  <si>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</si>
  <si>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</si>
  <si>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</si>
  <si>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</si>
  <si>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</si>
  <si>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</si>
  <si>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</si>
  <si>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</si>
  <si>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</si>
  <si>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</si>
  <si>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</si>
  <si>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</si>
  <si>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</si>
  <si>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</si>
  <si>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</si>
  <si>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</si>
  <si>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</si>
  <si>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</si>
  <si>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</si>
  <si>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</si>
  <si>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</si>
  <si>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</si>
  <si>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</si>
  <si>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</si>
  <si>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</si>
  <si>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</si>
  <si>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</si>
  <si>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15/10/2024</t>
  </si>
  <si>
    <t>Kiyunga</t>
  </si>
  <si>
    <t>410/24</t>
  </si>
  <si>
    <t>Nzala Joyce</t>
  </si>
  <si>
    <t>F</t>
  </si>
  <si>
    <t>CaCx</t>
  </si>
  <si>
    <t>Ca</t>
  </si>
  <si>
    <t>15/01/2024</t>
  </si>
  <si>
    <t>Kaliro</t>
  </si>
  <si>
    <t>506/23</t>
  </si>
  <si>
    <t>Mirembe Mariam</t>
  </si>
  <si>
    <t>Ca Breast</t>
  </si>
  <si>
    <t>21/10/2024</t>
  </si>
  <si>
    <t>Nawanyago</t>
  </si>
  <si>
    <t>740/24</t>
  </si>
  <si>
    <t>Kasubo Monica</t>
  </si>
  <si>
    <t>CaCx+HIV/AIDS</t>
  </si>
  <si>
    <t>Ca/HIV</t>
  </si>
  <si>
    <t>Bugiri</t>
  </si>
  <si>
    <t>411/24</t>
  </si>
  <si>
    <t>Nabwire Juliet</t>
  </si>
  <si>
    <t>24/01/2021</t>
  </si>
  <si>
    <t>Busedde</t>
  </si>
  <si>
    <t>0185/21</t>
  </si>
  <si>
    <t>Kasadha Awali</t>
  </si>
  <si>
    <t>M</t>
  </si>
  <si>
    <t>Endemic KS</t>
  </si>
  <si>
    <t>14/3/2024</t>
  </si>
  <si>
    <t>Ivukula</t>
  </si>
  <si>
    <t>103/23</t>
  </si>
  <si>
    <t>Ndifuna Gerald</t>
  </si>
  <si>
    <t>Retinoblastoma</t>
  </si>
  <si>
    <t>Buyende</t>
  </si>
  <si>
    <t>757/24</t>
  </si>
  <si>
    <t>Maluliku Ntebe</t>
  </si>
  <si>
    <t>Neuroblastoma</t>
  </si>
  <si>
    <t>24/5/2021</t>
  </si>
  <si>
    <t>Busembatia</t>
  </si>
  <si>
    <t>21/20</t>
  </si>
  <si>
    <t>Nandago Hadijah</t>
  </si>
  <si>
    <t>16/9/2024</t>
  </si>
  <si>
    <t>Kidera</t>
  </si>
  <si>
    <t>724/24</t>
  </si>
  <si>
    <t>Muwanguzi Timothy</t>
  </si>
  <si>
    <t>Rhabdomyosarcoma</t>
  </si>
  <si>
    <t>16/12/2024</t>
  </si>
  <si>
    <t>502/24</t>
  </si>
  <si>
    <t>Musa Paul</t>
  </si>
  <si>
    <t>Nephroblastoma</t>
  </si>
  <si>
    <t>25/8/2023</t>
  </si>
  <si>
    <t>313/23</t>
  </si>
  <si>
    <t>Ganyiriba Gorreti</t>
  </si>
  <si>
    <t>410/23</t>
  </si>
  <si>
    <t>Byabona Mirabu</t>
  </si>
  <si>
    <t>Kayunga</t>
  </si>
  <si>
    <t>041/24</t>
  </si>
  <si>
    <t>Nantale Rebecca</t>
  </si>
  <si>
    <t>20/1/2025</t>
  </si>
  <si>
    <t>Bugaya</t>
  </si>
  <si>
    <t>753/24</t>
  </si>
  <si>
    <t>Namabilo Nayiga Aidha</t>
  </si>
  <si>
    <t>27/11/2023</t>
  </si>
  <si>
    <t>0643/23</t>
  </si>
  <si>
    <t>Atuhaire Lilian</t>
  </si>
  <si>
    <t>Kagulu</t>
  </si>
  <si>
    <t>0525/23</t>
  </si>
  <si>
    <t>Lubale Tom</t>
  </si>
  <si>
    <t>Melanoma</t>
  </si>
  <si>
    <t>Hospice</t>
  </si>
  <si>
    <t>093/23</t>
  </si>
  <si>
    <t>Alitra Alexandria</t>
  </si>
  <si>
    <t>Ca Thyroid</t>
  </si>
  <si>
    <t>Lumino</t>
  </si>
  <si>
    <t>275/23</t>
  </si>
  <si>
    <t>Nerima Margrete</t>
  </si>
  <si>
    <t>18/8/2020</t>
  </si>
  <si>
    <t>118/20</t>
  </si>
  <si>
    <t>Muyanga Florence</t>
  </si>
  <si>
    <t>21/11/2022</t>
  </si>
  <si>
    <t>Namayingo</t>
  </si>
  <si>
    <t>476/21</t>
  </si>
  <si>
    <t>Kyakuwaire Teopista</t>
  </si>
  <si>
    <t>22/11/2023</t>
  </si>
  <si>
    <t>Muterere</t>
  </si>
  <si>
    <t>468/23</t>
  </si>
  <si>
    <t>Namirimwe Shaluwa</t>
  </si>
  <si>
    <t>17/1/2025</t>
  </si>
  <si>
    <t>Nyenga</t>
  </si>
  <si>
    <t>496/24</t>
  </si>
  <si>
    <t>Akudo Hellen</t>
  </si>
  <si>
    <t>19/9/2024</t>
  </si>
  <si>
    <t>Kiyindi</t>
  </si>
  <si>
    <t>255/24</t>
  </si>
  <si>
    <t>Kikomeko Ayub</t>
  </si>
  <si>
    <t>Ca Oesophagus</t>
  </si>
  <si>
    <t>19/8/2024</t>
  </si>
  <si>
    <t>Mbulamuti</t>
  </si>
  <si>
    <t>650/24</t>
  </si>
  <si>
    <t>Ataliba Shalom</t>
  </si>
  <si>
    <t>Mayuge</t>
  </si>
  <si>
    <t>441/24</t>
  </si>
  <si>
    <t>Kyewalyanga Betty</t>
  </si>
  <si>
    <t>Lung Adenocarcinoma</t>
  </si>
  <si>
    <t>20/11/2024</t>
  </si>
  <si>
    <t>Buwenge</t>
  </si>
  <si>
    <t>462/24</t>
  </si>
  <si>
    <t>Achen Riana</t>
  </si>
  <si>
    <t>13/6/2024</t>
  </si>
  <si>
    <t>191/24</t>
  </si>
  <si>
    <t>Naigembe Juliet</t>
  </si>
  <si>
    <t>324/23</t>
  </si>
  <si>
    <t>Mutesi Hellen</t>
  </si>
  <si>
    <t>Ca Nose</t>
  </si>
  <si>
    <t>16/8/2024</t>
  </si>
  <si>
    <t>Budondo</t>
  </si>
  <si>
    <t>322/23</t>
  </si>
  <si>
    <t>Kintu Aggrey</t>
  </si>
  <si>
    <t>Ca Prostate</t>
  </si>
  <si>
    <t>228/23</t>
  </si>
  <si>
    <t>Erumbi Kasifa</t>
  </si>
  <si>
    <t>Fibrosarcoma</t>
  </si>
  <si>
    <t>25/10/2024</t>
  </si>
  <si>
    <t>408/24</t>
  </si>
  <si>
    <t>Nabudde Aisha</t>
  </si>
  <si>
    <t>29/4/2024</t>
  </si>
  <si>
    <t>Bugembe</t>
  </si>
  <si>
    <t>113/24</t>
  </si>
  <si>
    <t>Namugaaju Bernadette</t>
  </si>
  <si>
    <t>Lymphoma</t>
  </si>
  <si>
    <t>451/23</t>
  </si>
  <si>
    <t>Nankabirwa Rosemary</t>
  </si>
  <si>
    <t>Ca Rectum</t>
  </si>
  <si>
    <t>Iganga</t>
  </si>
  <si>
    <t>398/24</t>
  </si>
  <si>
    <t>Namulinda Florence</t>
  </si>
  <si>
    <t>13/8/2024</t>
  </si>
  <si>
    <t>714/24</t>
  </si>
  <si>
    <t>Musana Joseph</t>
  </si>
  <si>
    <t>21/6/2023</t>
  </si>
  <si>
    <t>260/23</t>
  </si>
  <si>
    <t>Takoze John</t>
  </si>
  <si>
    <t>23/1/2024</t>
  </si>
  <si>
    <t>Kamuli</t>
  </si>
  <si>
    <t>613/24</t>
  </si>
  <si>
    <t>Mukyala Hellen</t>
  </si>
  <si>
    <t>29/9/2022</t>
  </si>
  <si>
    <t>0391/21</t>
  </si>
  <si>
    <t>Isabirye Sulaiman</t>
  </si>
  <si>
    <t>Namasagali</t>
  </si>
  <si>
    <t>746/24</t>
  </si>
  <si>
    <t>Nampuli Monica</t>
  </si>
  <si>
    <t>24/1/2023</t>
  </si>
  <si>
    <t>27/23</t>
  </si>
  <si>
    <t>Kayemba Florence</t>
  </si>
  <si>
    <t>397/21</t>
  </si>
  <si>
    <t>Gwotawe Joxia</t>
  </si>
  <si>
    <t>24/10/2023</t>
  </si>
  <si>
    <t>314/23</t>
  </si>
  <si>
    <t>Ntono Hailati Elizabeth</t>
  </si>
  <si>
    <t>Ca Breast+HIV/AIDS</t>
  </si>
  <si>
    <t>Bugulumbia</t>
  </si>
  <si>
    <t>337/23</t>
  </si>
  <si>
    <t>Namukaya Jesca</t>
  </si>
  <si>
    <t>0362/22</t>
  </si>
  <si>
    <t>Magobi Yahaya</t>
  </si>
  <si>
    <t>331/24</t>
  </si>
  <si>
    <t>Abita Justine</t>
  </si>
  <si>
    <t>363/24</t>
  </si>
  <si>
    <t>Bingi Agnes</t>
  </si>
  <si>
    <t>15/2/2024</t>
  </si>
  <si>
    <t>Namungalwe</t>
  </si>
  <si>
    <t>347/23</t>
  </si>
  <si>
    <t>Isabirye Farouk</t>
  </si>
  <si>
    <t>Ca Colorectal</t>
  </si>
  <si>
    <t>24/1/2025</t>
  </si>
  <si>
    <t>238/24</t>
  </si>
  <si>
    <t>Bogere Shaminah</t>
  </si>
  <si>
    <t>19/4/2024</t>
  </si>
  <si>
    <t>001/14</t>
  </si>
  <si>
    <t>Bakita Monica</t>
  </si>
  <si>
    <t>22/1/2025</t>
  </si>
  <si>
    <t>Bugerere</t>
  </si>
  <si>
    <t>344/24</t>
  </si>
  <si>
    <t>Nakiyinji Sowaiba</t>
  </si>
  <si>
    <t>Leukemia</t>
  </si>
  <si>
    <t>30/1/2025</t>
  </si>
  <si>
    <t>622/25</t>
  </si>
  <si>
    <t>Odongo John</t>
  </si>
  <si>
    <t>Ca Colon</t>
  </si>
  <si>
    <t>24/10/2022</t>
  </si>
  <si>
    <t>Banda</t>
  </si>
  <si>
    <t>0614/22</t>
  </si>
  <si>
    <t>Barasa James</t>
  </si>
  <si>
    <t>Osteosarcoma</t>
  </si>
  <si>
    <t>26/2/2019</t>
  </si>
  <si>
    <t>009/19</t>
  </si>
  <si>
    <t>Nakagalo Nulu</t>
  </si>
  <si>
    <t>SCC</t>
  </si>
  <si>
    <t>018/25</t>
  </si>
  <si>
    <t>Namudira Alaisa</t>
  </si>
  <si>
    <t>Malignant Neoplasm</t>
  </si>
  <si>
    <t>29/1/2025</t>
  </si>
  <si>
    <t>266/23</t>
  </si>
  <si>
    <t>Guligo Swaibu</t>
  </si>
  <si>
    <t>Intrabdominal Tumour</t>
  </si>
  <si>
    <t>26/2/2021</t>
  </si>
  <si>
    <t>373/20</t>
  </si>
  <si>
    <t>Kyakuwaire Sanyu</t>
  </si>
  <si>
    <t>23/1/2025</t>
  </si>
  <si>
    <t>095/24</t>
  </si>
  <si>
    <t>Nakiboneka Mary</t>
  </si>
  <si>
    <t>239/24</t>
  </si>
  <si>
    <t>Kabire Christine</t>
  </si>
  <si>
    <t>649/24</t>
  </si>
  <si>
    <t>Alyogera Rebecca</t>
  </si>
  <si>
    <t>0448/21</t>
  </si>
  <si>
    <t>Kaisuka Matiya Kafuko</t>
  </si>
  <si>
    <t>24/8/2020</t>
  </si>
  <si>
    <t>321/20</t>
  </si>
  <si>
    <t>Wamuluta Mary</t>
  </si>
  <si>
    <t>14/2/2022</t>
  </si>
  <si>
    <t>0457/21</t>
  </si>
  <si>
    <t>Alachai Philip</t>
  </si>
  <si>
    <t>438/24</t>
  </si>
  <si>
    <t>Takali Edisa</t>
  </si>
  <si>
    <t>29/7/2024</t>
  </si>
  <si>
    <t>311/23</t>
  </si>
  <si>
    <t>Namunkumbi Harriet</t>
  </si>
  <si>
    <t>013/25</t>
  </si>
  <si>
    <t>Kazibwe Issa</t>
  </si>
  <si>
    <t>Urethral Carcinoma</t>
  </si>
  <si>
    <t>630/24</t>
  </si>
  <si>
    <t>Mwanaki Jude</t>
  </si>
  <si>
    <t>Ameloblastoma</t>
  </si>
  <si>
    <t>Other</t>
  </si>
  <si>
    <t>29/11/2024</t>
  </si>
  <si>
    <t>749/24</t>
  </si>
  <si>
    <t>Gabula Siragi</t>
  </si>
  <si>
    <t>004/25</t>
  </si>
  <si>
    <t>Namata Betty</t>
  </si>
  <si>
    <t>006/25</t>
  </si>
  <si>
    <t>Namudu Monica</t>
  </si>
  <si>
    <t>459/24</t>
  </si>
  <si>
    <t>Namuluuta Suzan</t>
  </si>
  <si>
    <t>Bukungu</t>
  </si>
  <si>
    <t>Kisakye Mariam</t>
  </si>
  <si>
    <t>Ad</t>
  </si>
  <si>
    <t>27/11/2024</t>
  </si>
  <si>
    <t>405/24</t>
  </si>
  <si>
    <t>Bukenya Gerald</t>
  </si>
  <si>
    <t>KS+HIV/AIDS</t>
  </si>
  <si>
    <t>115/24</t>
  </si>
  <si>
    <t>Nakagiri Angel</t>
  </si>
  <si>
    <t>141/23</t>
  </si>
  <si>
    <t>Mukasa Musa</t>
  </si>
  <si>
    <t>Ca Mandible</t>
  </si>
  <si>
    <t>318/24</t>
  </si>
  <si>
    <t>Edhiruma Fahad</t>
  </si>
  <si>
    <t>Ca Soft Tissue</t>
  </si>
  <si>
    <t>27/1/2025</t>
  </si>
  <si>
    <t>034/25</t>
  </si>
  <si>
    <t>Kasubo Farida</t>
  </si>
  <si>
    <t>Paratoid Tumour</t>
  </si>
  <si>
    <t>286/24</t>
  </si>
  <si>
    <t>Nairuba Lydia</t>
  </si>
  <si>
    <t>22/5/2023</t>
  </si>
  <si>
    <t>064/23</t>
  </si>
  <si>
    <t>Pony Rose</t>
  </si>
  <si>
    <t>20/11/2021</t>
  </si>
  <si>
    <t>388/20</t>
  </si>
  <si>
    <t>Namaganda Regina</t>
  </si>
  <si>
    <t>Veracus Carcinoma</t>
  </si>
  <si>
    <t>0578/23</t>
  </si>
  <si>
    <t>Ndole Irene</t>
  </si>
  <si>
    <t>Maxillary Tumour</t>
  </si>
  <si>
    <t>28/1/2025</t>
  </si>
  <si>
    <t>480/24</t>
  </si>
  <si>
    <t>Naisiga Aidah</t>
  </si>
  <si>
    <t>Submandibular Tumour</t>
  </si>
  <si>
    <t>23/6/2022</t>
  </si>
  <si>
    <t>0241/22</t>
  </si>
  <si>
    <t>Oyella Pamella</t>
  </si>
  <si>
    <t>Total</t>
  </si>
  <si>
    <t>HIV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</si>
  <si>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</si>
  <si>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</si>
  <si>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</si>
  <si>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</si>
  <si>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</si>
  <si>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</si>
  <si>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</si>
  <si>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</si>
  <si>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</si>
  <si>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Bugulumbia/Lulyambuzi</t>
  </si>
  <si>
    <t>Female</t>
  </si>
  <si>
    <t>Buhema</t>
  </si>
  <si>
    <t>Diagnosis %</t>
  </si>
  <si>
    <t>Busia</t>
  </si>
  <si>
    <t>Hospice Jinja</t>
  </si>
  <si>
    <t>Iganga Ibulanka</t>
  </si>
  <si>
    <t>Kagumba</t>
  </si>
  <si>
    <t xml:space="preserve">Kiyindi </t>
  </si>
  <si>
    <t xml:space="preserve">Kiyunga </t>
  </si>
  <si>
    <t>Makuutu</t>
  </si>
  <si>
    <t>Diagnosis</t>
  </si>
  <si>
    <t>Nawampiti/Buyengo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</si>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</sst>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%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9"/>
      <color rgb="FF1F1F1F"/>
      <name val="Arial"/>
      <family val="2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164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" fillId="2" borderId="5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5" fontId="3" fillId="0" borderId="1" xfId="0" applyNumberFormat="1" applyFont="1" applyBorder="1"/>
    <xf numFmtId="165" fontId="3" fillId="0" borderId="0" xfId="0" applyNumberFormat="1" applyFont="1"/>
    <xf numFmtId="9" fontId="3" fillId="0" borderId="0" xfId="0" applyNumberFormat="1" applyFont="1"/>
    <xf numFmtId="0" fontId="3" fillId="2" borderId="1" xfId="0" applyFont="1" applyFill="1" applyBorder="1"/>
    <xf numFmtId="0" fontId="5" fillId="0" borderId="1" xfId="0" applyFont="1" applyBorder="1" applyAlignment="1">
      <alignment horizontal="right"/>
    </xf>
    <xf numFmtId="0" fontId="5" fillId="2" borderId="1" xfId="0" applyFont="1" applyFill="1" applyBorder="1"/>
    <xf numFmtId="0" fontId="5" fillId="0" borderId="1" xfId="0" applyFont="1" applyBorder="1"/>
    <xf numFmtId="0" fontId="8" fillId="3" borderId="5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7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6" fillId="0" borderId="1" xfId="0" applyFont="1" applyBorder="1"/>
    <xf numFmtId="0" fontId="1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3" fillId="0" borderId="0" xfId="0" applyFont="1"/>
    <xf numFmtId="0" fontId="14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6"/>
  <sheetViews>
    <sheetView tabSelected="1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G84" sqref="A1:AG84"/>
    </sheetView>
  </sheetViews>
  <sheetFormatPr defaultColWidth="14.42578125" defaultRowHeight="15" customHeight="1" x14ac:dyDescent="0.25"/>
  <cols>
    <col min="1" max="1" width="16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9.42578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3" width="8.71093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6" t="s">
        <v>34</v>
      </c>
      <c r="C2" s="7" t="s">
        <v>35</v>
      </c>
      <c r="D2" s="6" t="s">
        <v>36</v>
      </c>
      <c r="E2" s="6">
        <v>34</v>
      </c>
      <c r="F2" s="6"/>
      <c r="G2" s="6" t="s">
        <v>37</v>
      </c>
      <c r="H2" s="6" t="s">
        <v>38</v>
      </c>
      <c r="I2" s="6" t="s">
        <v>39</v>
      </c>
      <c r="L2" s="6">
        <v>1</v>
      </c>
      <c r="P2" s="6">
        <v>1</v>
      </c>
      <c r="Y2" s="6"/>
      <c r="AA2" s="6">
        <v>1</v>
      </c>
      <c r="AC2" s="6"/>
    </row>
    <row r="3" spans="1:33" ht="15.75" customHeight="1" x14ac:dyDescent="0.25">
      <c r="A3" s="5" t="s">
        <v>40</v>
      </c>
      <c r="B3" s="6" t="s">
        <v>41</v>
      </c>
      <c r="C3" s="8" t="s">
        <v>42</v>
      </c>
      <c r="D3" s="6" t="s">
        <v>43</v>
      </c>
      <c r="E3" s="6">
        <v>39</v>
      </c>
      <c r="G3" s="6" t="s">
        <v>37</v>
      </c>
      <c r="H3" s="6" t="s">
        <v>44</v>
      </c>
      <c r="I3" s="6" t="s">
        <v>39</v>
      </c>
      <c r="L3" s="6">
        <v>1</v>
      </c>
      <c r="P3" s="6">
        <v>1</v>
      </c>
      <c r="V3" s="6"/>
      <c r="AC3" s="7">
        <v>1</v>
      </c>
    </row>
    <row r="4" spans="1:33" ht="15.75" customHeight="1" x14ac:dyDescent="0.25">
      <c r="A4" s="5" t="s">
        <v>45</v>
      </c>
      <c r="B4" s="6" t="s">
        <v>46</v>
      </c>
      <c r="C4" s="9" t="s">
        <v>47</v>
      </c>
      <c r="D4" s="6" t="s">
        <v>48</v>
      </c>
      <c r="E4" s="6">
        <v>50</v>
      </c>
      <c r="G4" s="6" t="s">
        <v>37</v>
      </c>
      <c r="H4" s="6" t="s">
        <v>49</v>
      </c>
      <c r="I4" s="6" t="s">
        <v>50</v>
      </c>
      <c r="L4" s="7">
        <v>1</v>
      </c>
      <c r="M4" s="6"/>
      <c r="P4" s="6">
        <v>1</v>
      </c>
      <c r="T4" s="7">
        <v>1</v>
      </c>
      <c r="V4" s="6"/>
      <c r="Y4" s="7">
        <v>1</v>
      </c>
    </row>
    <row r="5" spans="1:33" ht="15.75" customHeight="1" x14ac:dyDescent="0.25">
      <c r="A5" s="10">
        <v>45717</v>
      </c>
      <c r="B5" s="6" t="s">
        <v>51</v>
      </c>
      <c r="C5" s="11" t="s">
        <v>52</v>
      </c>
      <c r="D5" s="6" t="s">
        <v>53</v>
      </c>
      <c r="E5" s="6">
        <v>50</v>
      </c>
      <c r="G5" s="6" t="s">
        <v>37</v>
      </c>
      <c r="H5" s="6" t="s">
        <v>38</v>
      </c>
      <c r="I5" s="6" t="s">
        <v>39</v>
      </c>
      <c r="L5" s="6">
        <v>1</v>
      </c>
      <c r="N5" s="7">
        <v>1</v>
      </c>
      <c r="P5" s="6"/>
      <c r="T5" s="7">
        <v>1</v>
      </c>
      <c r="W5" s="6"/>
    </row>
    <row r="6" spans="1:33" ht="15.75" customHeight="1" x14ac:dyDescent="0.25">
      <c r="A6" s="5" t="s">
        <v>54</v>
      </c>
      <c r="B6" s="6" t="s">
        <v>55</v>
      </c>
      <c r="C6" s="11" t="s">
        <v>56</v>
      </c>
      <c r="D6" s="6" t="s">
        <v>57</v>
      </c>
      <c r="E6" s="6">
        <v>65</v>
      </c>
      <c r="G6" s="6" t="s">
        <v>58</v>
      </c>
      <c r="H6" s="6" t="s">
        <v>59</v>
      </c>
      <c r="I6" s="6" t="s">
        <v>39</v>
      </c>
      <c r="L6" s="6"/>
      <c r="M6" s="7">
        <v>1</v>
      </c>
      <c r="P6" s="6">
        <v>1</v>
      </c>
      <c r="V6" s="6"/>
      <c r="W6" s="6"/>
      <c r="Y6" s="7">
        <v>1</v>
      </c>
      <c r="AC6" s="7">
        <v>1</v>
      </c>
    </row>
    <row r="7" spans="1:33" ht="15.75" customHeight="1" x14ac:dyDescent="0.25">
      <c r="A7" s="5" t="s">
        <v>60</v>
      </c>
      <c r="B7" s="6" t="s">
        <v>61</v>
      </c>
      <c r="C7" s="8" t="s">
        <v>62</v>
      </c>
      <c r="D7" s="6" t="s">
        <v>63</v>
      </c>
      <c r="E7" s="6">
        <v>3</v>
      </c>
      <c r="F7" s="7">
        <v>1</v>
      </c>
      <c r="G7" s="6" t="s">
        <v>58</v>
      </c>
      <c r="H7" s="6" t="s">
        <v>64</v>
      </c>
      <c r="I7" s="6" t="s">
        <v>39</v>
      </c>
      <c r="L7" s="6"/>
      <c r="M7" s="7">
        <v>1</v>
      </c>
      <c r="P7" s="6">
        <v>1</v>
      </c>
      <c r="AA7" s="6"/>
      <c r="AC7" s="6">
        <v>1</v>
      </c>
    </row>
    <row r="8" spans="1:33" ht="15.75" customHeight="1" x14ac:dyDescent="0.25">
      <c r="A8" s="10">
        <v>45717</v>
      </c>
      <c r="B8" s="6" t="s">
        <v>65</v>
      </c>
      <c r="C8" s="12" t="s">
        <v>66</v>
      </c>
      <c r="D8" s="6" t="s">
        <v>67</v>
      </c>
      <c r="E8" s="6">
        <v>4</v>
      </c>
      <c r="F8" s="7">
        <v>1</v>
      </c>
      <c r="G8" s="6" t="s">
        <v>58</v>
      </c>
      <c r="H8" s="6" t="s">
        <v>68</v>
      </c>
      <c r="I8" s="6" t="s">
        <v>39</v>
      </c>
      <c r="L8" s="6">
        <v>1</v>
      </c>
      <c r="N8" s="6">
        <v>1</v>
      </c>
      <c r="U8" s="7">
        <v>1</v>
      </c>
      <c r="X8" s="6"/>
      <c r="Y8" s="7">
        <v>1</v>
      </c>
    </row>
    <row r="9" spans="1:33" ht="15.75" customHeight="1" x14ac:dyDescent="0.25">
      <c r="A9" s="5" t="s">
        <v>69</v>
      </c>
      <c r="B9" s="6" t="s">
        <v>70</v>
      </c>
      <c r="C9" s="11" t="s">
        <v>71</v>
      </c>
      <c r="D9" s="6" t="s">
        <v>72</v>
      </c>
      <c r="E9" s="6">
        <v>45</v>
      </c>
      <c r="G9" s="6" t="s">
        <v>37</v>
      </c>
      <c r="H9" s="6" t="s">
        <v>44</v>
      </c>
      <c r="I9" s="6" t="s">
        <v>39</v>
      </c>
      <c r="L9" s="6">
        <v>1</v>
      </c>
      <c r="P9" s="6">
        <v>1</v>
      </c>
      <c r="V9" s="6"/>
      <c r="W9" s="6"/>
      <c r="Y9" s="7">
        <v>1</v>
      </c>
      <c r="AC9" s="7">
        <v>1</v>
      </c>
    </row>
    <row r="10" spans="1:33" ht="15.75" customHeight="1" x14ac:dyDescent="0.25">
      <c r="A10" s="5" t="s">
        <v>73</v>
      </c>
      <c r="B10" s="6" t="s">
        <v>74</v>
      </c>
      <c r="C10" s="9" t="s">
        <v>75</v>
      </c>
      <c r="D10" s="6" t="s">
        <v>76</v>
      </c>
      <c r="E10" s="6">
        <v>17</v>
      </c>
      <c r="F10" s="6">
        <v>1</v>
      </c>
      <c r="G10" s="6" t="s">
        <v>58</v>
      </c>
      <c r="H10" s="6" t="s">
        <v>77</v>
      </c>
      <c r="I10" s="6" t="s">
        <v>39</v>
      </c>
      <c r="L10" s="6"/>
      <c r="M10" s="7">
        <v>1</v>
      </c>
      <c r="P10" s="6">
        <v>1</v>
      </c>
      <c r="U10" s="6"/>
      <c r="V10" s="7">
        <v>1</v>
      </c>
      <c r="Y10" s="6"/>
      <c r="AA10" s="7">
        <v>1</v>
      </c>
      <c r="AC10" s="7">
        <v>1</v>
      </c>
    </row>
    <row r="11" spans="1:33" ht="15.75" customHeight="1" x14ac:dyDescent="0.25">
      <c r="A11" s="5" t="s">
        <v>78</v>
      </c>
      <c r="B11" s="6" t="s">
        <v>41</v>
      </c>
      <c r="C11" s="8" t="s">
        <v>79</v>
      </c>
      <c r="D11" s="6" t="s">
        <v>80</v>
      </c>
      <c r="E11" s="6">
        <v>2.5</v>
      </c>
      <c r="F11" s="7">
        <v>1</v>
      </c>
      <c r="G11" s="6" t="s">
        <v>58</v>
      </c>
      <c r="H11" s="6" t="s">
        <v>81</v>
      </c>
      <c r="I11" s="6" t="s">
        <v>39</v>
      </c>
      <c r="L11" s="6">
        <v>1</v>
      </c>
      <c r="P11" s="6">
        <v>1</v>
      </c>
      <c r="R11" s="7">
        <v>1</v>
      </c>
      <c r="V11" s="6">
        <v>1</v>
      </c>
      <c r="Y11" s="7">
        <v>1</v>
      </c>
      <c r="AC11" s="7">
        <v>1</v>
      </c>
    </row>
    <row r="12" spans="1:33" ht="15.75" customHeight="1" x14ac:dyDescent="0.25">
      <c r="A12" s="5" t="s">
        <v>82</v>
      </c>
      <c r="B12" s="6" t="s">
        <v>70</v>
      </c>
      <c r="C12" s="8" t="s">
        <v>83</v>
      </c>
      <c r="D12" s="6" t="s">
        <v>84</v>
      </c>
      <c r="E12" s="6">
        <v>36</v>
      </c>
      <c r="G12" s="6" t="s">
        <v>37</v>
      </c>
      <c r="H12" s="6" t="s">
        <v>44</v>
      </c>
      <c r="I12" s="6" t="s">
        <v>39</v>
      </c>
      <c r="K12" s="7">
        <v>1</v>
      </c>
      <c r="L12" s="6"/>
      <c r="P12" s="6">
        <v>1</v>
      </c>
      <c r="T12" s="6"/>
      <c r="AC12" s="7">
        <v>1</v>
      </c>
    </row>
    <row r="13" spans="1:33" ht="15.75" customHeight="1" x14ac:dyDescent="0.25">
      <c r="A13" s="10">
        <v>45992</v>
      </c>
      <c r="B13" s="6" t="s">
        <v>34</v>
      </c>
      <c r="C13" s="8" t="s">
        <v>85</v>
      </c>
      <c r="D13" s="6" t="s">
        <v>86</v>
      </c>
      <c r="E13" s="6">
        <v>60</v>
      </c>
      <c r="G13" s="6" t="s">
        <v>37</v>
      </c>
      <c r="H13" s="6" t="s">
        <v>38</v>
      </c>
      <c r="I13" s="6" t="s">
        <v>39</v>
      </c>
      <c r="L13" s="6">
        <v>1</v>
      </c>
      <c r="N13" s="7">
        <v>1</v>
      </c>
      <c r="P13" s="6"/>
      <c r="T13" s="6">
        <v>1</v>
      </c>
    </row>
    <row r="14" spans="1:33" ht="15.75" customHeight="1" x14ac:dyDescent="0.25">
      <c r="A14" s="10">
        <v>45445</v>
      </c>
      <c r="B14" s="6" t="s">
        <v>87</v>
      </c>
      <c r="C14" s="8" t="s">
        <v>88</v>
      </c>
      <c r="D14" s="6" t="s">
        <v>89</v>
      </c>
      <c r="E14" s="6">
        <v>37</v>
      </c>
      <c r="G14" s="6" t="s">
        <v>37</v>
      </c>
      <c r="H14" s="6" t="s">
        <v>44</v>
      </c>
      <c r="I14" s="6" t="s">
        <v>39</v>
      </c>
      <c r="K14" s="7">
        <v>1</v>
      </c>
      <c r="L14" s="6"/>
      <c r="P14" s="6">
        <v>1</v>
      </c>
      <c r="R14" s="7">
        <v>1</v>
      </c>
      <c r="U14" s="7">
        <v>1</v>
      </c>
      <c r="V14" s="7">
        <v>1</v>
      </c>
      <c r="Y14" s="7">
        <v>1</v>
      </c>
      <c r="AC14" s="6"/>
    </row>
    <row r="15" spans="1:33" ht="15.75" customHeight="1" x14ac:dyDescent="0.25">
      <c r="A15" s="5" t="s">
        <v>90</v>
      </c>
      <c r="B15" s="6" t="s">
        <v>91</v>
      </c>
      <c r="C15" s="8" t="s">
        <v>92</v>
      </c>
      <c r="D15" s="6" t="s">
        <v>93</v>
      </c>
      <c r="E15" s="6">
        <v>50</v>
      </c>
      <c r="G15" s="6" t="s">
        <v>37</v>
      </c>
      <c r="H15" s="6" t="s">
        <v>38</v>
      </c>
      <c r="I15" s="6" t="s">
        <v>39</v>
      </c>
      <c r="L15" s="7">
        <v>1</v>
      </c>
      <c r="M15" s="6"/>
      <c r="N15" s="7">
        <v>1</v>
      </c>
      <c r="P15" s="6"/>
      <c r="R15" s="6">
        <v>1</v>
      </c>
      <c r="T15" s="7">
        <v>1</v>
      </c>
      <c r="V15" s="6">
        <v>1</v>
      </c>
      <c r="W15" s="6">
        <v>1</v>
      </c>
      <c r="Y15" s="6"/>
      <c r="AC15" s="6"/>
    </row>
    <row r="16" spans="1:33" ht="15.75" customHeight="1" x14ac:dyDescent="0.25">
      <c r="A16" s="5" t="s">
        <v>94</v>
      </c>
      <c r="B16" s="6" t="s">
        <v>46</v>
      </c>
      <c r="C16" s="8" t="s">
        <v>95</v>
      </c>
      <c r="D16" s="6" t="s">
        <v>96</v>
      </c>
      <c r="E16" s="6">
        <v>35</v>
      </c>
      <c r="G16" s="6" t="s">
        <v>37</v>
      </c>
      <c r="H16" s="6" t="s">
        <v>44</v>
      </c>
      <c r="I16" s="6" t="s">
        <v>39</v>
      </c>
      <c r="L16" s="6">
        <v>1</v>
      </c>
      <c r="P16" s="6">
        <v>1</v>
      </c>
      <c r="V16" s="7">
        <v>1</v>
      </c>
      <c r="Y16" s="7">
        <v>1</v>
      </c>
      <c r="AC16" s="6"/>
    </row>
    <row r="17" spans="1:32" ht="15.75" customHeight="1" x14ac:dyDescent="0.25">
      <c r="A17" s="10">
        <v>45058</v>
      </c>
      <c r="B17" s="6" t="s">
        <v>97</v>
      </c>
      <c r="C17" s="8" t="s">
        <v>98</v>
      </c>
      <c r="D17" s="6" t="s">
        <v>99</v>
      </c>
      <c r="E17" s="6">
        <v>40</v>
      </c>
      <c r="G17" s="6" t="s">
        <v>58</v>
      </c>
      <c r="H17" s="6" t="s">
        <v>100</v>
      </c>
      <c r="I17" s="6" t="s">
        <v>39</v>
      </c>
      <c r="L17" s="6">
        <v>1</v>
      </c>
      <c r="P17" s="6">
        <v>1</v>
      </c>
      <c r="Y17" s="6"/>
      <c r="AA17" s="7">
        <v>1</v>
      </c>
      <c r="AC17" s="6"/>
    </row>
    <row r="18" spans="1:32" ht="15.75" customHeight="1" x14ac:dyDescent="0.25">
      <c r="A18" s="10">
        <v>45172</v>
      </c>
      <c r="B18" s="6" t="s">
        <v>101</v>
      </c>
      <c r="C18" s="7" t="s">
        <v>102</v>
      </c>
      <c r="D18" s="6" t="s">
        <v>103</v>
      </c>
      <c r="E18" s="6">
        <v>47</v>
      </c>
      <c r="G18" s="6" t="s">
        <v>58</v>
      </c>
      <c r="H18" s="6" t="s">
        <v>104</v>
      </c>
      <c r="I18" s="6" t="s">
        <v>39</v>
      </c>
      <c r="L18" s="6">
        <v>1</v>
      </c>
      <c r="N18" s="6"/>
      <c r="P18" s="7">
        <v>1</v>
      </c>
      <c r="V18" s="6">
        <v>1</v>
      </c>
      <c r="Y18" s="7">
        <v>1</v>
      </c>
    </row>
    <row r="19" spans="1:32" ht="15.75" customHeight="1" x14ac:dyDescent="0.25">
      <c r="A19" s="10">
        <v>45870</v>
      </c>
      <c r="B19" s="6" t="s">
        <v>105</v>
      </c>
      <c r="C19" s="8" t="s">
        <v>106</v>
      </c>
      <c r="D19" s="6" t="s">
        <v>107</v>
      </c>
      <c r="E19" s="6">
        <v>60</v>
      </c>
      <c r="G19" s="6" t="s">
        <v>58</v>
      </c>
      <c r="H19" s="6" t="s">
        <v>44</v>
      </c>
      <c r="I19" s="6" t="s">
        <v>39</v>
      </c>
      <c r="L19" s="7">
        <v>1</v>
      </c>
      <c r="M19" s="6"/>
      <c r="N19" s="7">
        <v>1</v>
      </c>
      <c r="P19" s="6"/>
      <c r="R19" s="7">
        <v>1</v>
      </c>
      <c r="V19" s="7">
        <v>1</v>
      </c>
      <c r="W19" s="7">
        <v>1</v>
      </c>
      <c r="AC19" s="6"/>
    </row>
    <row r="20" spans="1:32" ht="15.75" customHeight="1" x14ac:dyDescent="0.25">
      <c r="A20" s="5" t="s">
        <v>108</v>
      </c>
      <c r="B20" s="6" t="s">
        <v>101</v>
      </c>
      <c r="C20" s="11" t="s">
        <v>109</v>
      </c>
      <c r="D20" s="6" t="s">
        <v>110</v>
      </c>
      <c r="E20" s="6">
        <v>41</v>
      </c>
      <c r="G20" s="6" t="s">
        <v>37</v>
      </c>
      <c r="H20" s="6" t="s">
        <v>44</v>
      </c>
      <c r="I20" s="6" t="s">
        <v>39</v>
      </c>
      <c r="K20" s="6"/>
      <c r="M20" s="7">
        <v>1</v>
      </c>
      <c r="P20" s="6">
        <v>1</v>
      </c>
      <c r="V20" s="7">
        <v>1</v>
      </c>
      <c r="Y20" s="6">
        <v>1</v>
      </c>
      <c r="AC20" s="6"/>
    </row>
    <row r="21" spans="1:32" ht="15.75" customHeight="1" x14ac:dyDescent="0.25">
      <c r="A21" s="5" t="s">
        <v>111</v>
      </c>
      <c r="B21" s="6" t="s">
        <v>112</v>
      </c>
      <c r="C21" s="8" t="s">
        <v>113</v>
      </c>
      <c r="D21" s="6" t="s">
        <v>114</v>
      </c>
      <c r="E21" s="6">
        <v>41</v>
      </c>
      <c r="G21" s="6" t="s">
        <v>37</v>
      </c>
      <c r="H21" s="6" t="s">
        <v>44</v>
      </c>
      <c r="I21" s="6" t="s">
        <v>39</v>
      </c>
      <c r="L21" s="6"/>
      <c r="M21" s="7">
        <v>1</v>
      </c>
      <c r="P21" s="6">
        <v>1</v>
      </c>
      <c r="Y21" s="7">
        <v>1</v>
      </c>
      <c r="AC21" s="6">
        <v>1</v>
      </c>
    </row>
    <row r="22" spans="1:32" ht="15.75" customHeight="1" x14ac:dyDescent="0.25">
      <c r="A22" s="5" t="s">
        <v>115</v>
      </c>
      <c r="B22" s="6" t="s">
        <v>116</v>
      </c>
      <c r="C22" s="8" t="s">
        <v>117</v>
      </c>
      <c r="D22" s="6" t="s">
        <v>118</v>
      </c>
      <c r="E22" s="6">
        <v>27</v>
      </c>
      <c r="G22" s="6" t="s">
        <v>37</v>
      </c>
      <c r="H22" s="6" t="s">
        <v>44</v>
      </c>
      <c r="I22" s="6" t="s">
        <v>39</v>
      </c>
      <c r="L22" s="7">
        <v>1</v>
      </c>
      <c r="M22" s="6"/>
      <c r="P22" s="6">
        <v>1</v>
      </c>
      <c r="Y22" s="6">
        <v>1</v>
      </c>
      <c r="AA22" s="7">
        <v>1</v>
      </c>
      <c r="AC22" s="7">
        <v>1</v>
      </c>
    </row>
    <row r="23" spans="1:32" ht="15.75" customHeight="1" x14ac:dyDescent="0.25">
      <c r="A23" s="5" t="s">
        <v>119</v>
      </c>
      <c r="B23" s="6" t="s">
        <v>120</v>
      </c>
      <c r="C23" s="8" t="s">
        <v>121</v>
      </c>
      <c r="D23" s="6" t="s">
        <v>122</v>
      </c>
      <c r="E23" s="6">
        <v>34</v>
      </c>
      <c r="F23" s="6"/>
      <c r="G23" s="6" t="s">
        <v>37</v>
      </c>
      <c r="H23" s="6" t="s">
        <v>44</v>
      </c>
      <c r="I23" s="6" t="s">
        <v>39</v>
      </c>
      <c r="L23" s="7">
        <v>1</v>
      </c>
      <c r="M23" s="6"/>
      <c r="N23" s="7">
        <v>1</v>
      </c>
      <c r="P23" s="6"/>
      <c r="T23" s="7">
        <v>1</v>
      </c>
      <c r="Y23" s="7">
        <v>1</v>
      </c>
      <c r="AC23" s="6"/>
    </row>
    <row r="24" spans="1:32" ht="15.75" customHeight="1" x14ac:dyDescent="0.25">
      <c r="A24" s="5" t="s">
        <v>123</v>
      </c>
      <c r="B24" s="6" t="s">
        <v>124</v>
      </c>
      <c r="C24" s="11" t="s">
        <v>125</v>
      </c>
      <c r="D24" s="6" t="s">
        <v>126</v>
      </c>
      <c r="E24" s="6">
        <v>67</v>
      </c>
      <c r="F24" s="6"/>
      <c r="G24" s="6" t="s">
        <v>58</v>
      </c>
      <c r="H24" s="6" t="s">
        <v>127</v>
      </c>
      <c r="I24" s="6" t="s">
        <v>39</v>
      </c>
      <c r="K24" s="7">
        <v>1</v>
      </c>
      <c r="L24" s="6"/>
      <c r="N24" s="6"/>
      <c r="P24" s="7">
        <v>1</v>
      </c>
      <c r="R24" s="7">
        <v>1</v>
      </c>
      <c r="Y24" s="7">
        <v>1</v>
      </c>
      <c r="AC24" s="6"/>
      <c r="AD24" s="7">
        <v>1</v>
      </c>
    </row>
    <row r="25" spans="1:32" ht="15.75" customHeight="1" x14ac:dyDescent="0.25">
      <c r="A25" s="5" t="s">
        <v>128</v>
      </c>
      <c r="B25" s="6" t="s">
        <v>129</v>
      </c>
      <c r="C25" s="8" t="s">
        <v>130</v>
      </c>
      <c r="D25" s="6" t="s">
        <v>131</v>
      </c>
      <c r="E25" s="6">
        <v>3</v>
      </c>
      <c r="F25" s="7">
        <v>1</v>
      </c>
      <c r="G25" s="6" t="s">
        <v>37</v>
      </c>
      <c r="H25" s="6" t="s">
        <v>64</v>
      </c>
      <c r="I25" s="6" t="s">
        <v>39</v>
      </c>
      <c r="L25" s="6">
        <v>1</v>
      </c>
      <c r="P25" s="6">
        <v>1</v>
      </c>
      <c r="Y25" s="6">
        <v>1</v>
      </c>
      <c r="AA25" s="7">
        <v>1</v>
      </c>
      <c r="AC25" s="7">
        <v>1</v>
      </c>
    </row>
    <row r="26" spans="1:32" ht="15.75" customHeight="1" x14ac:dyDescent="0.25">
      <c r="A26" s="10">
        <v>45870</v>
      </c>
      <c r="B26" s="6" t="s">
        <v>132</v>
      </c>
      <c r="C26" s="8" t="s">
        <v>133</v>
      </c>
      <c r="D26" s="6" t="s">
        <v>134</v>
      </c>
      <c r="E26" s="6">
        <v>67</v>
      </c>
      <c r="G26" s="6" t="s">
        <v>37</v>
      </c>
      <c r="H26" s="6" t="s">
        <v>135</v>
      </c>
      <c r="I26" s="6" t="s">
        <v>39</v>
      </c>
      <c r="L26" s="6">
        <v>1</v>
      </c>
      <c r="N26" s="7">
        <v>1</v>
      </c>
      <c r="P26" s="6"/>
      <c r="Y26" s="6"/>
      <c r="AC26" s="7">
        <v>1</v>
      </c>
    </row>
    <row r="27" spans="1:32" ht="15.75" customHeight="1" x14ac:dyDescent="0.25">
      <c r="A27" s="5" t="s">
        <v>136</v>
      </c>
      <c r="B27" s="6" t="s">
        <v>137</v>
      </c>
      <c r="C27" s="8" t="s">
        <v>138</v>
      </c>
      <c r="D27" s="6" t="s">
        <v>139</v>
      </c>
      <c r="E27" s="6">
        <v>5</v>
      </c>
      <c r="F27" s="6">
        <v>1</v>
      </c>
      <c r="G27" s="6" t="s">
        <v>37</v>
      </c>
      <c r="H27" s="6" t="s">
        <v>68</v>
      </c>
      <c r="I27" s="6" t="s">
        <v>39</v>
      </c>
      <c r="K27" s="6">
        <v>1</v>
      </c>
      <c r="P27" s="6">
        <v>1</v>
      </c>
      <c r="Y27" s="6">
        <v>1</v>
      </c>
      <c r="AD27" s="7">
        <v>1</v>
      </c>
      <c r="AF27" s="7">
        <v>1</v>
      </c>
    </row>
    <row r="28" spans="1:32" ht="15.75" customHeight="1" x14ac:dyDescent="0.25">
      <c r="A28" s="5" t="s">
        <v>140</v>
      </c>
      <c r="B28" s="6" t="s">
        <v>70</v>
      </c>
      <c r="C28" s="8" t="s">
        <v>141</v>
      </c>
      <c r="D28" s="6" t="s">
        <v>142</v>
      </c>
      <c r="E28" s="6">
        <v>38</v>
      </c>
      <c r="G28" s="6" t="s">
        <v>37</v>
      </c>
      <c r="H28" s="6" t="s">
        <v>38</v>
      </c>
      <c r="I28" s="6" t="s">
        <v>39</v>
      </c>
      <c r="L28" s="6">
        <v>1</v>
      </c>
      <c r="P28" s="6">
        <v>1</v>
      </c>
      <c r="Y28" s="6">
        <v>1</v>
      </c>
    </row>
    <row r="29" spans="1:32" ht="15.75" customHeight="1" x14ac:dyDescent="0.25">
      <c r="A29" s="10">
        <v>45177</v>
      </c>
      <c r="B29" s="6" t="s">
        <v>74</v>
      </c>
      <c r="C29" s="8" t="s">
        <v>143</v>
      </c>
      <c r="D29" s="6" t="s">
        <v>144</v>
      </c>
      <c r="E29" s="6">
        <v>52</v>
      </c>
      <c r="G29" s="6" t="s">
        <v>37</v>
      </c>
      <c r="H29" s="6" t="s">
        <v>145</v>
      </c>
      <c r="I29" s="6" t="s">
        <v>39</v>
      </c>
      <c r="K29" s="6"/>
      <c r="L29" s="7">
        <v>1</v>
      </c>
      <c r="P29" s="6">
        <v>1</v>
      </c>
      <c r="Y29" s="6">
        <v>1</v>
      </c>
      <c r="AD29" s="6"/>
    </row>
    <row r="30" spans="1:32" ht="15.75" customHeight="1" x14ac:dyDescent="0.25">
      <c r="A30" s="5" t="s">
        <v>146</v>
      </c>
      <c r="B30" s="6" t="s">
        <v>147</v>
      </c>
      <c r="C30" s="8" t="s">
        <v>148</v>
      </c>
      <c r="D30" s="6" t="s">
        <v>149</v>
      </c>
      <c r="E30" s="6">
        <v>64</v>
      </c>
      <c r="G30" s="6" t="s">
        <v>58</v>
      </c>
      <c r="H30" s="6" t="s">
        <v>150</v>
      </c>
      <c r="I30" s="6" t="s">
        <v>39</v>
      </c>
      <c r="L30" s="6">
        <v>1</v>
      </c>
      <c r="P30" s="6">
        <v>1</v>
      </c>
      <c r="Y30" s="6">
        <v>1</v>
      </c>
    </row>
    <row r="31" spans="1:32" ht="15.75" customHeight="1" x14ac:dyDescent="0.25">
      <c r="A31" s="10">
        <v>45115</v>
      </c>
      <c r="B31" s="6" t="s">
        <v>112</v>
      </c>
      <c r="C31" s="7" t="s">
        <v>151</v>
      </c>
      <c r="D31" s="6" t="s">
        <v>152</v>
      </c>
      <c r="E31" s="6">
        <v>32</v>
      </c>
      <c r="G31" s="6" t="s">
        <v>37</v>
      </c>
      <c r="H31" s="6" t="s">
        <v>153</v>
      </c>
      <c r="I31" s="6" t="s">
        <v>39</v>
      </c>
      <c r="L31" s="6">
        <v>1</v>
      </c>
      <c r="P31" s="6">
        <v>1</v>
      </c>
      <c r="Y31" s="6">
        <v>1</v>
      </c>
    </row>
    <row r="32" spans="1:32" ht="15.75" customHeight="1" x14ac:dyDescent="0.25">
      <c r="A32" s="5" t="s">
        <v>154</v>
      </c>
      <c r="B32" s="6" t="s">
        <v>147</v>
      </c>
      <c r="C32" s="8" t="s">
        <v>155</v>
      </c>
      <c r="D32" s="6" t="s">
        <v>156</v>
      </c>
      <c r="E32" s="6">
        <v>26</v>
      </c>
      <c r="G32" s="6" t="s">
        <v>37</v>
      </c>
      <c r="H32" s="6" t="s">
        <v>44</v>
      </c>
      <c r="I32" s="6" t="s">
        <v>39</v>
      </c>
      <c r="L32" s="6">
        <v>1</v>
      </c>
      <c r="P32" s="6">
        <v>1</v>
      </c>
      <c r="Y32" s="6">
        <v>1</v>
      </c>
    </row>
    <row r="33" spans="1:29" ht="15.75" customHeight="1" x14ac:dyDescent="0.25">
      <c r="A33" s="5" t="s">
        <v>157</v>
      </c>
      <c r="B33" s="6" t="s">
        <v>158</v>
      </c>
      <c r="C33" s="8" t="s">
        <v>159</v>
      </c>
      <c r="D33" s="6" t="s">
        <v>160</v>
      </c>
      <c r="E33" s="6">
        <v>56</v>
      </c>
      <c r="G33" s="6" t="s">
        <v>37</v>
      </c>
      <c r="H33" s="6" t="s">
        <v>161</v>
      </c>
      <c r="I33" s="6" t="s">
        <v>39</v>
      </c>
      <c r="L33" s="6"/>
      <c r="M33" s="7">
        <v>1</v>
      </c>
      <c r="P33" s="6">
        <v>1</v>
      </c>
      <c r="Y33" s="6">
        <v>1</v>
      </c>
    </row>
    <row r="34" spans="1:29" ht="15.75" customHeight="1" x14ac:dyDescent="0.25">
      <c r="A34" s="10">
        <v>45574</v>
      </c>
      <c r="B34" s="6" t="s">
        <v>147</v>
      </c>
      <c r="C34" s="8" t="s">
        <v>162</v>
      </c>
      <c r="D34" s="6" t="s">
        <v>163</v>
      </c>
      <c r="E34" s="6">
        <v>50</v>
      </c>
      <c r="G34" s="6" t="s">
        <v>37</v>
      </c>
      <c r="H34" s="6" t="s">
        <v>164</v>
      </c>
      <c r="I34" s="6" t="s">
        <v>39</v>
      </c>
      <c r="L34" s="6">
        <v>1</v>
      </c>
      <c r="P34" s="6">
        <v>1</v>
      </c>
      <c r="Y34" s="6">
        <v>1</v>
      </c>
    </row>
    <row r="35" spans="1:29" ht="15.75" customHeight="1" x14ac:dyDescent="0.25">
      <c r="A35" s="10">
        <v>45748</v>
      </c>
      <c r="B35" s="6" t="s">
        <v>165</v>
      </c>
      <c r="C35" s="8" t="s">
        <v>166</v>
      </c>
      <c r="D35" s="6" t="s">
        <v>167</v>
      </c>
      <c r="E35" s="6">
        <v>55</v>
      </c>
      <c r="G35" s="6" t="s">
        <v>37</v>
      </c>
      <c r="H35" s="6" t="s">
        <v>127</v>
      </c>
      <c r="I35" s="6" t="s">
        <v>39</v>
      </c>
      <c r="L35" s="6">
        <v>1</v>
      </c>
      <c r="N35" s="7">
        <v>1</v>
      </c>
      <c r="P35" s="6"/>
      <c r="Y35" s="6">
        <v>1</v>
      </c>
    </row>
    <row r="36" spans="1:29" ht="15.75" customHeight="1" x14ac:dyDescent="0.25">
      <c r="A36" s="5" t="s">
        <v>168</v>
      </c>
      <c r="B36" s="6" t="s">
        <v>65</v>
      </c>
      <c r="C36" s="9" t="s">
        <v>169</v>
      </c>
      <c r="D36" s="6" t="s">
        <v>170</v>
      </c>
      <c r="E36" s="6">
        <v>60</v>
      </c>
      <c r="G36" s="6" t="s">
        <v>58</v>
      </c>
      <c r="H36" s="6" t="s">
        <v>59</v>
      </c>
      <c r="I36" s="6" t="s">
        <v>39</v>
      </c>
      <c r="L36" s="6">
        <v>1</v>
      </c>
      <c r="P36" s="6">
        <v>1</v>
      </c>
      <c r="Y36" s="6">
        <v>1</v>
      </c>
    </row>
    <row r="37" spans="1:29" ht="15.75" customHeight="1" x14ac:dyDescent="0.25">
      <c r="A37" s="5" t="s">
        <v>171</v>
      </c>
      <c r="B37" s="6" t="s">
        <v>137</v>
      </c>
      <c r="C37" s="8" t="s">
        <v>172</v>
      </c>
      <c r="D37" s="6" t="s">
        <v>173</v>
      </c>
      <c r="E37" s="6">
        <v>57</v>
      </c>
      <c r="G37" s="6" t="s">
        <v>58</v>
      </c>
      <c r="H37" s="6" t="s">
        <v>150</v>
      </c>
      <c r="I37" s="6" t="s">
        <v>39</v>
      </c>
      <c r="L37" s="6">
        <v>1</v>
      </c>
      <c r="P37" s="6">
        <v>1</v>
      </c>
      <c r="Y37" s="6">
        <v>1</v>
      </c>
    </row>
    <row r="38" spans="1:29" ht="15.75" customHeight="1" x14ac:dyDescent="0.25">
      <c r="A38" s="5" t="s">
        <v>174</v>
      </c>
      <c r="B38" s="6" t="s">
        <v>175</v>
      </c>
      <c r="C38" s="8" t="s">
        <v>176</v>
      </c>
      <c r="D38" s="6" t="s">
        <v>177</v>
      </c>
      <c r="E38" s="6">
        <v>20</v>
      </c>
      <c r="G38" s="6" t="s">
        <v>37</v>
      </c>
      <c r="H38" s="13" t="s">
        <v>59</v>
      </c>
      <c r="I38" s="6" t="s">
        <v>39</v>
      </c>
      <c r="L38" s="6">
        <v>1</v>
      </c>
      <c r="P38" s="6">
        <v>1</v>
      </c>
      <c r="Y38" s="6">
        <v>1</v>
      </c>
    </row>
    <row r="39" spans="1:29" ht="15.75" customHeight="1" x14ac:dyDescent="0.25">
      <c r="A39" s="5" t="s">
        <v>178</v>
      </c>
      <c r="B39" s="6" t="s">
        <v>175</v>
      </c>
      <c r="C39" s="11" t="s">
        <v>179</v>
      </c>
      <c r="D39" s="6" t="s">
        <v>180</v>
      </c>
      <c r="E39" s="6">
        <v>74</v>
      </c>
      <c r="G39" s="6" t="s">
        <v>58</v>
      </c>
      <c r="H39" s="6" t="s">
        <v>150</v>
      </c>
      <c r="I39" s="6" t="s">
        <v>39</v>
      </c>
      <c r="L39" s="6">
        <v>1</v>
      </c>
      <c r="P39" s="6">
        <v>1</v>
      </c>
      <c r="Y39" s="6">
        <v>1</v>
      </c>
    </row>
    <row r="40" spans="1:29" ht="15.75" customHeight="1" x14ac:dyDescent="0.25">
      <c r="A40" s="10">
        <v>45870</v>
      </c>
      <c r="B40" s="6" t="s">
        <v>181</v>
      </c>
      <c r="C40" s="8" t="s">
        <v>182</v>
      </c>
      <c r="D40" s="6" t="s">
        <v>183</v>
      </c>
      <c r="E40" s="6">
        <v>31</v>
      </c>
      <c r="G40" s="6" t="s">
        <v>37</v>
      </c>
      <c r="H40" s="14" t="s">
        <v>44</v>
      </c>
      <c r="I40" s="6" t="s">
        <v>39</v>
      </c>
      <c r="L40" s="6">
        <v>1</v>
      </c>
      <c r="N40" s="7">
        <v>1</v>
      </c>
      <c r="P40" s="6"/>
      <c r="Y40" s="6">
        <v>1</v>
      </c>
    </row>
    <row r="41" spans="1:29" ht="15.75" customHeight="1" x14ac:dyDescent="0.25">
      <c r="A41" s="5" t="s">
        <v>184</v>
      </c>
      <c r="B41" s="6" t="s">
        <v>120</v>
      </c>
      <c r="C41" s="7" t="s">
        <v>185</v>
      </c>
      <c r="D41" s="6" t="s">
        <v>186</v>
      </c>
      <c r="E41" s="6">
        <v>38</v>
      </c>
      <c r="G41" s="6" t="s">
        <v>37</v>
      </c>
      <c r="H41" s="6" t="s">
        <v>38</v>
      </c>
      <c r="I41" s="6" t="s">
        <v>39</v>
      </c>
      <c r="L41" s="6">
        <v>1</v>
      </c>
      <c r="P41" s="6">
        <v>1</v>
      </c>
      <c r="Y41" s="6">
        <v>1</v>
      </c>
    </row>
    <row r="42" spans="1:29" ht="15.75" customHeight="1" x14ac:dyDescent="0.25">
      <c r="A42" s="10">
        <v>45363</v>
      </c>
      <c r="B42" s="6" t="s">
        <v>46</v>
      </c>
      <c r="C42" s="8" t="s">
        <v>187</v>
      </c>
      <c r="D42" s="6" t="s">
        <v>188</v>
      </c>
      <c r="E42" s="6">
        <v>19</v>
      </c>
      <c r="G42" s="6" t="s">
        <v>37</v>
      </c>
      <c r="H42" s="14" t="s">
        <v>145</v>
      </c>
      <c r="I42" s="6" t="s">
        <v>39</v>
      </c>
      <c r="L42" s="6">
        <v>1</v>
      </c>
      <c r="P42" s="6">
        <v>1</v>
      </c>
      <c r="Y42" s="6">
        <v>1</v>
      </c>
    </row>
    <row r="43" spans="1:29" ht="15.75" customHeight="1" x14ac:dyDescent="0.25">
      <c r="A43" s="5" t="s">
        <v>189</v>
      </c>
      <c r="B43" s="6" t="s">
        <v>34</v>
      </c>
      <c r="C43" s="8" t="s">
        <v>190</v>
      </c>
      <c r="D43" s="6" t="s">
        <v>191</v>
      </c>
      <c r="E43" s="6">
        <v>41</v>
      </c>
      <c r="G43" s="6" t="s">
        <v>37</v>
      </c>
      <c r="H43" s="14" t="s">
        <v>192</v>
      </c>
      <c r="I43" s="6" t="s">
        <v>50</v>
      </c>
      <c r="L43" s="6">
        <v>1</v>
      </c>
      <c r="P43" s="6">
        <v>1</v>
      </c>
      <c r="Y43" s="6">
        <v>1</v>
      </c>
    </row>
    <row r="44" spans="1:29" ht="15.75" customHeight="1" x14ac:dyDescent="0.25">
      <c r="A44" s="10">
        <v>45901</v>
      </c>
      <c r="B44" s="6" t="s">
        <v>193</v>
      </c>
      <c r="C44" s="8" t="s">
        <v>194</v>
      </c>
      <c r="D44" s="6" t="s">
        <v>195</v>
      </c>
      <c r="E44" s="6">
        <v>44</v>
      </c>
      <c r="F44" s="6"/>
      <c r="G44" s="6" t="s">
        <v>37</v>
      </c>
      <c r="H44" s="6" t="s">
        <v>38</v>
      </c>
      <c r="I44" s="6" t="s">
        <v>39</v>
      </c>
      <c r="K44" s="6"/>
      <c r="L44" s="7">
        <v>1</v>
      </c>
      <c r="N44" s="6">
        <v>1</v>
      </c>
      <c r="T44" s="7">
        <v>1</v>
      </c>
      <c r="AC44" s="6"/>
    </row>
    <row r="45" spans="1:29" ht="15.75" customHeight="1" x14ac:dyDescent="0.25">
      <c r="A45" s="10">
        <v>44717</v>
      </c>
      <c r="B45" s="6" t="s">
        <v>165</v>
      </c>
      <c r="C45" s="8" t="s">
        <v>196</v>
      </c>
      <c r="D45" s="6" t="s">
        <v>197</v>
      </c>
      <c r="E45" s="6">
        <v>23</v>
      </c>
      <c r="F45" s="6"/>
      <c r="G45" s="6" t="s">
        <v>58</v>
      </c>
      <c r="H45" s="6" t="s">
        <v>59</v>
      </c>
      <c r="I45" s="6" t="s">
        <v>39</v>
      </c>
      <c r="K45" s="6">
        <v>1</v>
      </c>
      <c r="N45" s="6"/>
      <c r="P45" s="7">
        <v>1</v>
      </c>
      <c r="AA45" s="7">
        <v>1</v>
      </c>
      <c r="AC45" s="6"/>
    </row>
    <row r="46" spans="1:29" ht="15.75" customHeight="1" x14ac:dyDescent="0.25">
      <c r="A46" s="5" t="s">
        <v>45</v>
      </c>
      <c r="B46" s="6" t="s">
        <v>193</v>
      </c>
      <c r="C46" s="8" t="s">
        <v>198</v>
      </c>
      <c r="D46" s="6" t="s">
        <v>199</v>
      </c>
      <c r="E46" s="6">
        <v>35</v>
      </c>
      <c r="F46" s="6"/>
      <c r="G46" s="6" t="s">
        <v>37</v>
      </c>
      <c r="H46" s="6" t="s">
        <v>44</v>
      </c>
      <c r="I46" s="6" t="s">
        <v>39</v>
      </c>
      <c r="K46" s="6"/>
      <c r="L46" s="7">
        <v>1</v>
      </c>
      <c r="N46" s="6"/>
      <c r="P46" s="7">
        <v>1</v>
      </c>
      <c r="R46" s="7">
        <v>1</v>
      </c>
      <c r="V46" s="7">
        <v>1</v>
      </c>
      <c r="AC46" s="6"/>
    </row>
    <row r="47" spans="1:29" ht="15.75" customHeight="1" x14ac:dyDescent="0.25">
      <c r="A47" s="10">
        <v>45575</v>
      </c>
      <c r="B47" s="7" t="s">
        <v>65</v>
      </c>
      <c r="C47" s="11" t="s">
        <v>200</v>
      </c>
      <c r="D47" s="7" t="s">
        <v>201</v>
      </c>
      <c r="E47" s="7">
        <v>41</v>
      </c>
      <c r="G47" s="7" t="s">
        <v>37</v>
      </c>
      <c r="H47" s="6" t="s">
        <v>38</v>
      </c>
      <c r="I47" s="7" t="s">
        <v>39</v>
      </c>
      <c r="L47" s="7">
        <v>1</v>
      </c>
      <c r="P47" s="7">
        <v>1</v>
      </c>
      <c r="R47" s="7">
        <v>1</v>
      </c>
    </row>
    <row r="48" spans="1:29" ht="15.75" customHeight="1" x14ac:dyDescent="0.25">
      <c r="A48" s="5" t="s">
        <v>202</v>
      </c>
      <c r="B48" s="7" t="s">
        <v>203</v>
      </c>
      <c r="C48" s="8" t="s">
        <v>204</v>
      </c>
      <c r="D48" s="7" t="s">
        <v>205</v>
      </c>
      <c r="E48" s="7">
        <v>54</v>
      </c>
      <c r="G48" s="7" t="s">
        <v>58</v>
      </c>
      <c r="H48" s="7" t="s">
        <v>206</v>
      </c>
      <c r="I48" s="7" t="s">
        <v>39</v>
      </c>
      <c r="L48" s="7">
        <v>1</v>
      </c>
      <c r="P48" s="7">
        <v>1</v>
      </c>
      <c r="V48" s="7">
        <v>1</v>
      </c>
    </row>
    <row r="49" spans="1:32" ht="15.75" customHeight="1" x14ac:dyDescent="0.25">
      <c r="A49" s="5" t="s">
        <v>207</v>
      </c>
      <c r="B49" s="7" t="s">
        <v>165</v>
      </c>
      <c r="C49" s="11" t="s">
        <v>208</v>
      </c>
      <c r="D49" s="7" t="s">
        <v>209</v>
      </c>
      <c r="E49" s="7">
        <v>48</v>
      </c>
      <c r="G49" s="7" t="s">
        <v>37</v>
      </c>
      <c r="H49" s="7" t="s">
        <v>44</v>
      </c>
      <c r="I49" s="7" t="s">
        <v>39</v>
      </c>
      <c r="L49" s="7">
        <v>1</v>
      </c>
      <c r="N49" s="7">
        <v>1</v>
      </c>
      <c r="X49" s="7">
        <v>1</v>
      </c>
      <c r="Y49" s="7">
        <v>1</v>
      </c>
    </row>
    <row r="50" spans="1:32" ht="15.75" customHeight="1" x14ac:dyDescent="0.25">
      <c r="A50" s="5" t="s">
        <v>140</v>
      </c>
      <c r="B50" s="7" t="s">
        <v>70</v>
      </c>
      <c r="C50" s="8" t="s">
        <v>141</v>
      </c>
      <c r="D50" s="7" t="s">
        <v>142</v>
      </c>
      <c r="E50" s="7">
        <v>38</v>
      </c>
      <c r="G50" s="7" t="s">
        <v>37</v>
      </c>
      <c r="H50" s="6" t="s">
        <v>38</v>
      </c>
      <c r="I50" s="7" t="s">
        <v>39</v>
      </c>
      <c r="K50" s="7">
        <v>1</v>
      </c>
      <c r="P50" s="7">
        <v>1</v>
      </c>
      <c r="Y50" s="7">
        <v>1</v>
      </c>
      <c r="AA50" s="7">
        <v>1</v>
      </c>
      <c r="AF50" s="7">
        <v>1</v>
      </c>
    </row>
    <row r="51" spans="1:32" ht="15.75" customHeight="1" x14ac:dyDescent="0.25">
      <c r="A51" s="5" t="s">
        <v>210</v>
      </c>
      <c r="B51" s="7" t="s">
        <v>97</v>
      </c>
      <c r="C51" s="8" t="s">
        <v>211</v>
      </c>
      <c r="D51" s="7" t="s">
        <v>212</v>
      </c>
      <c r="E51" s="7">
        <v>55</v>
      </c>
      <c r="G51" s="7" t="s">
        <v>37</v>
      </c>
      <c r="H51" s="7" t="s">
        <v>44</v>
      </c>
      <c r="I51" s="7" t="s">
        <v>39</v>
      </c>
      <c r="L51" s="7">
        <v>1</v>
      </c>
      <c r="P51" s="7">
        <v>1</v>
      </c>
      <c r="AC51" s="7">
        <v>1</v>
      </c>
    </row>
    <row r="52" spans="1:32" ht="15.75" customHeight="1" x14ac:dyDescent="0.25">
      <c r="A52" s="5" t="s">
        <v>213</v>
      </c>
      <c r="B52" s="7" t="s">
        <v>214</v>
      </c>
      <c r="C52" s="15" t="s">
        <v>215</v>
      </c>
      <c r="D52" s="7" t="s">
        <v>216</v>
      </c>
      <c r="E52" s="7">
        <v>30</v>
      </c>
      <c r="G52" s="7" t="s">
        <v>37</v>
      </c>
      <c r="H52" s="7" t="s">
        <v>217</v>
      </c>
      <c r="I52" s="7" t="s">
        <v>39</v>
      </c>
      <c r="L52" s="7">
        <v>1</v>
      </c>
      <c r="N52" s="7">
        <v>1</v>
      </c>
      <c r="U52" s="7">
        <v>1</v>
      </c>
      <c r="Y52" s="7">
        <v>1</v>
      </c>
      <c r="AB52" s="7">
        <v>1</v>
      </c>
      <c r="AC52" s="7">
        <v>1</v>
      </c>
    </row>
    <row r="53" spans="1:32" ht="15.75" customHeight="1" x14ac:dyDescent="0.25">
      <c r="A53" s="5" t="s">
        <v>218</v>
      </c>
      <c r="B53" s="7" t="s">
        <v>112</v>
      </c>
      <c r="C53" s="11" t="s">
        <v>219</v>
      </c>
      <c r="D53" s="7" t="s">
        <v>220</v>
      </c>
      <c r="E53" s="7">
        <v>68</v>
      </c>
      <c r="G53" s="7" t="s">
        <v>58</v>
      </c>
      <c r="H53" s="7" t="s">
        <v>221</v>
      </c>
      <c r="I53" s="7" t="s">
        <v>39</v>
      </c>
      <c r="L53" s="7">
        <v>1</v>
      </c>
      <c r="N53" s="7">
        <v>1</v>
      </c>
      <c r="AC53" s="7">
        <v>1</v>
      </c>
    </row>
    <row r="54" spans="1:32" ht="15.75" customHeight="1" x14ac:dyDescent="0.25">
      <c r="A54" s="5" t="s">
        <v>222</v>
      </c>
      <c r="B54" s="7" t="s">
        <v>223</v>
      </c>
      <c r="C54" s="8" t="s">
        <v>224</v>
      </c>
      <c r="D54" s="7" t="s">
        <v>225</v>
      </c>
      <c r="E54" s="7">
        <v>36</v>
      </c>
      <c r="G54" s="7" t="s">
        <v>58</v>
      </c>
      <c r="H54" s="7" t="s">
        <v>226</v>
      </c>
      <c r="I54" s="7" t="s">
        <v>39</v>
      </c>
      <c r="M54" s="7">
        <v>1</v>
      </c>
      <c r="P54" s="7">
        <v>1</v>
      </c>
      <c r="AC54" s="7">
        <v>1</v>
      </c>
    </row>
    <row r="55" spans="1:32" ht="15.75" customHeight="1" x14ac:dyDescent="0.25">
      <c r="A55" s="5" t="s">
        <v>227</v>
      </c>
      <c r="B55" s="7" t="s">
        <v>55</v>
      </c>
      <c r="C55" s="11" t="s">
        <v>228</v>
      </c>
      <c r="D55" s="7" t="s">
        <v>229</v>
      </c>
      <c r="E55" s="7">
        <v>50</v>
      </c>
      <c r="G55" s="7" t="s">
        <v>37</v>
      </c>
      <c r="H55" s="7" t="s">
        <v>230</v>
      </c>
      <c r="I55" s="7" t="s">
        <v>39</v>
      </c>
      <c r="K55" s="7">
        <v>1</v>
      </c>
      <c r="P55" s="7">
        <v>1</v>
      </c>
      <c r="V55" s="7">
        <v>1</v>
      </c>
      <c r="W55" s="7">
        <v>1</v>
      </c>
      <c r="Y55" s="7">
        <v>1</v>
      </c>
    </row>
    <row r="56" spans="1:32" ht="15.75" customHeight="1" x14ac:dyDescent="0.25">
      <c r="A56" s="10">
        <v>45870</v>
      </c>
      <c r="B56" s="7" t="s">
        <v>87</v>
      </c>
      <c r="C56" s="8" t="s">
        <v>231</v>
      </c>
      <c r="D56" s="7" t="s">
        <v>232</v>
      </c>
      <c r="E56" s="7">
        <v>26</v>
      </c>
      <c r="G56" s="7" t="s">
        <v>37</v>
      </c>
      <c r="H56" s="7" t="s">
        <v>233</v>
      </c>
      <c r="I56" s="7" t="s">
        <v>39</v>
      </c>
      <c r="L56" s="7">
        <v>1</v>
      </c>
      <c r="N56" s="7">
        <v>1</v>
      </c>
      <c r="V56" s="7">
        <v>1</v>
      </c>
      <c r="W56" s="7">
        <v>1</v>
      </c>
    </row>
    <row r="57" spans="1:32" ht="15.75" customHeight="1" x14ac:dyDescent="0.25">
      <c r="A57" s="5" t="s">
        <v>234</v>
      </c>
      <c r="B57" s="7" t="s">
        <v>61</v>
      </c>
      <c r="C57" s="7" t="s">
        <v>235</v>
      </c>
      <c r="D57" s="7" t="s">
        <v>236</v>
      </c>
      <c r="E57" s="7">
        <v>26</v>
      </c>
      <c r="G57" s="7" t="s">
        <v>58</v>
      </c>
      <c r="H57" s="7" t="s">
        <v>237</v>
      </c>
      <c r="I57" s="7" t="s">
        <v>39</v>
      </c>
      <c r="L57" s="7">
        <v>1</v>
      </c>
      <c r="N57" s="7">
        <v>1</v>
      </c>
      <c r="R57" s="7">
        <v>1</v>
      </c>
      <c r="AA57" s="7">
        <v>1</v>
      </c>
      <c r="AC57" s="7">
        <v>1</v>
      </c>
    </row>
    <row r="58" spans="1:32" ht="15.75" customHeight="1" x14ac:dyDescent="0.25">
      <c r="A58" s="5" t="s">
        <v>238</v>
      </c>
      <c r="B58" s="7" t="s">
        <v>70</v>
      </c>
      <c r="C58" s="15" t="s">
        <v>239</v>
      </c>
      <c r="D58" s="7" t="s">
        <v>240</v>
      </c>
      <c r="E58" s="7">
        <v>53</v>
      </c>
      <c r="G58" s="7" t="s">
        <v>37</v>
      </c>
      <c r="H58" s="6" t="s">
        <v>38</v>
      </c>
      <c r="I58" s="7" t="s">
        <v>39</v>
      </c>
      <c r="M58" s="7">
        <v>1</v>
      </c>
      <c r="P58" s="7">
        <v>1</v>
      </c>
      <c r="Y58" s="7">
        <v>1</v>
      </c>
    </row>
    <row r="59" spans="1:32" ht="15.75" customHeight="1" x14ac:dyDescent="0.25">
      <c r="A59" s="5" t="s">
        <v>241</v>
      </c>
      <c r="B59" s="7" t="s">
        <v>70</v>
      </c>
      <c r="C59" s="8" t="s">
        <v>242</v>
      </c>
      <c r="D59" s="7" t="s">
        <v>243</v>
      </c>
      <c r="E59" s="7">
        <v>40</v>
      </c>
      <c r="G59" s="7" t="s">
        <v>37</v>
      </c>
      <c r="H59" s="7" t="s">
        <v>145</v>
      </c>
      <c r="I59" s="7" t="s">
        <v>39</v>
      </c>
      <c r="L59" s="7">
        <v>1</v>
      </c>
      <c r="N59" s="7">
        <v>1</v>
      </c>
      <c r="Y59" s="7">
        <v>1</v>
      </c>
    </row>
    <row r="60" spans="1:32" ht="15.75" customHeight="1" x14ac:dyDescent="0.25">
      <c r="A60" s="10">
        <v>45544</v>
      </c>
      <c r="B60" s="7" t="s">
        <v>61</v>
      </c>
      <c r="C60" s="8" t="s">
        <v>244</v>
      </c>
      <c r="D60" s="7" t="s">
        <v>245</v>
      </c>
      <c r="E60" s="7">
        <v>55</v>
      </c>
      <c r="G60" s="7" t="s">
        <v>37</v>
      </c>
      <c r="H60" s="6" t="s">
        <v>49</v>
      </c>
      <c r="I60" s="7" t="s">
        <v>50</v>
      </c>
      <c r="L60" s="7">
        <v>1</v>
      </c>
      <c r="P60" s="7">
        <v>1</v>
      </c>
      <c r="Y60" s="7">
        <v>1</v>
      </c>
    </row>
    <row r="61" spans="1:32" ht="15.75" customHeight="1" x14ac:dyDescent="0.25">
      <c r="A61" s="5" t="s">
        <v>60</v>
      </c>
      <c r="B61" s="7" t="s">
        <v>34</v>
      </c>
      <c r="C61" s="8" t="s">
        <v>246</v>
      </c>
      <c r="D61" s="7" t="s">
        <v>247</v>
      </c>
      <c r="E61" s="7">
        <v>42</v>
      </c>
      <c r="G61" s="7" t="s">
        <v>37</v>
      </c>
      <c r="H61" s="6" t="s">
        <v>49</v>
      </c>
      <c r="I61" s="7" t="s">
        <v>50</v>
      </c>
      <c r="M61" s="7">
        <v>1</v>
      </c>
      <c r="P61" s="7">
        <v>1</v>
      </c>
      <c r="Y61" s="7">
        <v>1</v>
      </c>
      <c r="AF61" s="7">
        <v>1</v>
      </c>
    </row>
    <row r="62" spans="1:32" ht="15.75" customHeight="1" x14ac:dyDescent="0.25">
      <c r="A62" s="10">
        <v>44658</v>
      </c>
      <c r="B62" s="7" t="s">
        <v>46</v>
      </c>
      <c r="C62" s="8" t="s">
        <v>248</v>
      </c>
      <c r="D62" s="7" t="s">
        <v>249</v>
      </c>
      <c r="E62" s="7">
        <v>68</v>
      </c>
      <c r="G62" s="7" t="s">
        <v>58</v>
      </c>
      <c r="H62" s="7" t="s">
        <v>44</v>
      </c>
      <c r="I62" s="7" t="s">
        <v>39</v>
      </c>
      <c r="M62" s="7">
        <v>1</v>
      </c>
      <c r="P62" s="7">
        <v>1</v>
      </c>
      <c r="Y62" s="7">
        <v>1</v>
      </c>
    </row>
    <row r="63" spans="1:32" ht="15.75" customHeight="1" x14ac:dyDescent="0.25">
      <c r="A63" s="5" t="s">
        <v>250</v>
      </c>
      <c r="B63" s="7" t="s">
        <v>137</v>
      </c>
      <c r="C63" s="15" t="s">
        <v>251</v>
      </c>
      <c r="D63" s="7" t="s">
        <v>252</v>
      </c>
      <c r="E63" s="7">
        <v>50</v>
      </c>
      <c r="G63" s="7" t="s">
        <v>37</v>
      </c>
      <c r="H63" s="7" t="s">
        <v>44</v>
      </c>
      <c r="I63" s="7" t="s">
        <v>39</v>
      </c>
      <c r="M63" s="7">
        <v>1</v>
      </c>
      <c r="P63" s="7">
        <v>1</v>
      </c>
      <c r="Y63" s="7">
        <v>1</v>
      </c>
    </row>
    <row r="64" spans="1:32" ht="15.75" customHeight="1" x14ac:dyDescent="0.25">
      <c r="A64" s="5" t="s">
        <v>253</v>
      </c>
      <c r="B64" s="7" t="s">
        <v>158</v>
      </c>
      <c r="C64" s="8" t="s">
        <v>254</v>
      </c>
      <c r="D64" s="7" t="s">
        <v>255</v>
      </c>
      <c r="E64" s="7">
        <v>65</v>
      </c>
      <c r="G64" s="7" t="s">
        <v>58</v>
      </c>
      <c r="H64" s="6" t="s">
        <v>150</v>
      </c>
      <c r="I64" s="7" t="s">
        <v>39</v>
      </c>
      <c r="M64" s="7">
        <v>1</v>
      </c>
      <c r="P64" s="7">
        <v>1</v>
      </c>
      <c r="Y64" s="7">
        <v>1</v>
      </c>
    </row>
    <row r="65" spans="1:32" ht="15.75" customHeight="1" x14ac:dyDescent="0.25">
      <c r="A65" s="10">
        <v>45809</v>
      </c>
      <c r="B65" s="7" t="s">
        <v>116</v>
      </c>
      <c r="C65" s="11" t="s">
        <v>256</v>
      </c>
      <c r="D65" s="7" t="s">
        <v>257</v>
      </c>
      <c r="E65" s="7">
        <v>43</v>
      </c>
      <c r="G65" s="7" t="s">
        <v>37</v>
      </c>
      <c r="H65" s="6" t="s">
        <v>38</v>
      </c>
      <c r="I65" s="7" t="s">
        <v>39</v>
      </c>
      <c r="L65" s="7">
        <v>1</v>
      </c>
      <c r="N65" s="7">
        <v>1</v>
      </c>
      <c r="Y65" s="7">
        <v>1</v>
      </c>
    </row>
    <row r="66" spans="1:32" ht="15.75" customHeight="1" x14ac:dyDescent="0.25">
      <c r="A66" s="5" t="s">
        <v>258</v>
      </c>
      <c r="B66" s="7" t="s">
        <v>55</v>
      </c>
      <c r="C66" s="8" t="s">
        <v>259</v>
      </c>
      <c r="D66" s="7" t="s">
        <v>260</v>
      </c>
      <c r="E66" s="7">
        <v>45</v>
      </c>
      <c r="G66" s="7" t="s">
        <v>37</v>
      </c>
      <c r="H66" s="6" t="s">
        <v>38</v>
      </c>
      <c r="I66" s="7" t="s">
        <v>39</v>
      </c>
      <c r="L66" s="7">
        <v>1</v>
      </c>
      <c r="P66" s="7">
        <v>1</v>
      </c>
      <c r="Y66" s="7">
        <v>1</v>
      </c>
    </row>
    <row r="67" spans="1:32" ht="15.75" customHeight="1" x14ac:dyDescent="0.25">
      <c r="A67" s="5" t="s">
        <v>241</v>
      </c>
      <c r="B67" s="7" t="s">
        <v>55</v>
      </c>
      <c r="C67" s="11" t="s">
        <v>261</v>
      </c>
      <c r="D67" s="7" t="s">
        <v>262</v>
      </c>
      <c r="E67" s="7">
        <v>34</v>
      </c>
      <c r="G67" s="7" t="s">
        <v>58</v>
      </c>
      <c r="H67" s="7" t="s">
        <v>263</v>
      </c>
      <c r="I67" s="7" t="s">
        <v>39</v>
      </c>
      <c r="K67" s="7">
        <v>1</v>
      </c>
      <c r="N67" s="7">
        <v>1</v>
      </c>
      <c r="Q67" s="7">
        <v>1</v>
      </c>
      <c r="Y67" s="7">
        <v>1</v>
      </c>
      <c r="Z67" s="7">
        <v>1</v>
      </c>
    </row>
    <row r="68" spans="1:32" ht="15.75" customHeight="1" x14ac:dyDescent="0.25">
      <c r="A68" s="10">
        <v>45839</v>
      </c>
      <c r="B68" s="7" t="s">
        <v>65</v>
      </c>
      <c r="C68" s="15" t="s">
        <v>264</v>
      </c>
      <c r="D68" s="7" t="s">
        <v>265</v>
      </c>
      <c r="E68" s="7">
        <v>14</v>
      </c>
      <c r="F68" s="7">
        <v>1</v>
      </c>
      <c r="G68" s="7" t="s">
        <v>58</v>
      </c>
      <c r="H68" s="7" t="s">
        <v>266</v>
      </c>
      <c r="I68" s="7" t="s">
        <v>267</v>
      </c>
      <c r="L68" s="7">
        <v>1</v>
      </c>
      <c r="N68" s="7">
        <v>1</v>
      </c>
      <c r="Q68" s="7">
        <v>1</v>
      </c>
      <c r="U68" s="7">
        <v>1</v>
      </c>
      <c r="X68" s="7">
        <v>1</v>
      </c>
    </row>
    <row r="69" spans="1:32" ht="15.75" customHeight="1" x14ac:dyDescent="0.25">
      <c r="A69" s="5" t="s">
        <v>268</v>
      </c>
      <c r="B69" s="7" t="s">
        <v>65</v>
      </c>
      <c r="C69" s="8" t="s">
        <v>269</v>
      </c>
      <c r="D69" s="7" t="s">
        <v>270</v>
      </c>
      <c r="E69" s="7">
        <v>54</v>
      </c>
      <c r="G69" s="7" t="s">
        <v>58</v>
      </c>
      <c r="H69" s="6" t="s">
        <v>150</v>
      </c>
      <c r="I69" s="7" t="s">
        <v>39</v>
      </c>
      <c r="L69" s="7">
        <v>1</v>
      </c>
      <c r="O69" s="7">
        <v>1</v>
      </c>
      <c r="P69" s="7">
        <v>1</v>
      </c>
    </row>
    <row r="70" spans="1:32" ht="15.75" customHeight="1" x14ac:dyDescent="0.25">
      <c r="A70" s="10">
        <v>45870</v>
      </c>
      <c r="B70" s="7" t="s">
        <v>158</v>
      </c>
      <c r="C70" s="8" t="s">
        <v>271</v>
      </c>
      <c r="D70" s="7" t="s">
        <v>272</v>
      </c>
      <c r="E70" s="7">
        <v>55</v>
      </c>
      <c r="G70" s="7" t="s">
        <v>37</v>
      </c>
      <c r="H70" s="14" t="s">
        <v>192</v>
      </c>
      <c r="I70" s="7" t="s">
        <v>50</v>
      </c>
      <c r="L70" s="7">
        <v>1</v>
      </c>
      <c r="N70" s="7">
        <v>1</v>
      </c>
      <c r="O70" s="7">
        <v>1</v>
      </c>
      <c r="U70" s="7">
        <v>1</v>
      </c>
      <c r="AB70" s="7">
        <v>1</v>
      </c>
    </row>
    <row r="71" spans="1:32" ht="15.75" customHeight="1" x14ac:dyDescent="0.25">
      <c r="A71" s="10">
        <v>45901</v>
      </c>
      <c r="B71" s="7" t="s">
        <v>91</v>
      </c>
      <c r="C71" s="15" t="s">
        <v>273</v>
      </c>
      <c r="D71" s="7" t="s">
        <v>274</v>
      </c>
      <c r="E71" s="7">
        <v>54</v>
      </c>
      <c r="G71" s="7" t="s">
        <v>37</v>
      </c>
      <c r="H71" s="14" t="s">
        <v>44</v>
      </c>
      <c r="I71" s="7" t="s">
        <v>39</v>
      </c>
      <c r="K71" s="7">
        <v>1</v>
      </c>
      <c r="N71" s="7">
        <v>1</v>
      </c>
      <c r="U71" s="7">
        <v>1</v>
      </c>
      <c r="V71" s="7">
        <v>1</v>
      </c>
      <c r="W71" s="7">
        <v>1</v>
      </c>
    </row>
    <row r="72" spans="1:32" ht="15.75" customHeight="1" x14ac:dyDescent="0.25">
      <c r="A72" s="10">
        <v>45870</v>
      </c>
      <c r="B72" s="7" t="s">
        <v>46</v>
      </c>
      <c r="C72" s="7" t="s">
        <v>275</v>
      </c>
      <c r="D72" s="7" t="s">
        <v>276</v>
      </c>
      <c r="E72" s="7">
        <v>35</v>
      </c>
      <c r="G72" s="7" t="s">
        <v>37</v>
      </c>
      <c r="H72" s="6" t="s">
        <v>38</v>
      </c>
      <c r="I72" s="7" t="s">
        <v>39</v>
      </c>
      <c r="L72" s="7">
        <v>1</v>
      </c>
      <c r="N72" s="7">
        <v>1</v>
      </c>
      <c r="Q72" s="7">
        <v>1</v>
      </c>
      <c r="R72" s="7">
        <v>1</v>
      </c>
      <c r="Y72" s="7">
        <v>1</v>
      </c>
      <c r="AC72" s="7">
        <v>1</v>
      </c>
    </row>
    <row r="73" spans="1:32" ht="15.75" customHeight="1" x14ac:dyDescent="0.25">
      <c r="A73" s="10">
        <v>45870</v>
      </c>
      <c r="B73" s="7" t="s">
        <v>277</v>
      </c>
      <c r="D73" s="7" t="s">
        <v>278</v>
      </c>
      <c r="E73" s="7" t="s">
        <v>279</v>
      </c>
      <c r="G73" s="7" t="s">
        <v>37</v>
      </c>
      <c r="H73" s="7" t="s">
        <v>44</v>
      </c>
      <c r="I73" s="7" t="s">
        <v>39</v>
      </c>
      <c r="L73" s="7">
        <v>1</v>
      </c>
      <c r="N73" s="7">
        <v>1</v>
      </c>
      <c r="O73" s="7">
        <v>1</v>
      </c>
      <c r="X73" s="7">
        <v>1</v>
      </c>
      <c r="Y73" s="7">
        <v>1</v>
      </c>
      <c r="Z73" s="7">
        <v>1</v>
      </c>
      <c r="AB73" s="7">
        <v>1</v>
      </c>
    </row>
    <row r="74" spans="1:32" ht="15.75" customHeight="1" x14ac:dyDescent="0.25">
      <c r="A74" s="5" t="s">
        <v>280</v>
      </c>
      <c r="B74" s="7" t="s">
        <v>165</v>
      </c>
      <c r="C74" s="8" t="s">
        <v>281</v>
      </c>
      <c r="D74" s="7" t="s">
        <v>282</v>
      </c>
      <c r="E74" s="7">
        <v>33</v>
      </c>
      <c r="G74" s="7" t="s">
        <v>58</v>
      </c>
      <c r="H74" s="7" t="s">
        <v>283</v>
      </c>
      <c r="I74" s="7" t="s">
        <v>50</v>
      </c>
      <c r="L74" s="7">
        <v>1</v>
      </c>
      <c r="P74" s="7">
        <v>1</v>
      </c>
      <c r="AC74" s="7">
        <v>1</v>
      </c>
    </row>
    <row r="75" spans="1:32" ht="15.75" customHeight="1" x14ac:dyDescent="0.25">
      <c r="A75" s="10">
        <v>45332</v>
      </c>
      <c r="B75" s="7" t="s">
        <v>124</v>
      </c>
      <c r="C75" s="8" t="s">
        <v>284</v>
      </c>
      <c r="D75" s="7" t="s">
        <v>285</v>
      </c>
      <c r="E75" s="7">
        <v>18</v>
      </c>
      <c r="G75" s="7" t="s">
        <v>37</v>
      </c>
      <c r="H75" s="7" t="s">
        <v>283</v>
      </c>
      <c r="I75" s="7" t="s">
        <v>50</v>
      </c>
      <c r="M75" s="7">
        <v>1</v>
      </c>
      <c r="P75" s="7">
        <v>1</v>
      </c>
      <c r="AC75" s="7">
        <v>1</v>
      </c>
    </row>
    <row r="76" spans="1:32" ht="15.75" customHeight="1" x14ac:dyDescent="0.25">
      <c r="A76" s="10">
        <v>45235</v>
      </c>
      <c r="B76" s="7" t="s">
        <v>87</v>
      </c>
      <c r="C76" s="8" t="s">
        <v>286</v>
      </c>
      <c r="D76" s="7" t="s">
        <v>287</v>
      </c>
      <c r="E76" s="7">
        <v>11</v>
      </c>
      <c r="F76" s="7">
        <v>1</v>
      </c>
      <c r="G76" s="7" t="s">
        <v>58</v>
      </c>
      <c r="H76" s="7" t="s">
        <v>288</v>
      </c>
      <c r="I76" s="7" t="s">
        <v>39</v>
      </c>
      <c r="M76" s="7">
        <v>1</v>
      </c>
      <c r="O76" s="7">
        <v>1</v>
      </c>
      <c r="P76" s="7">
        <v>1</v>
      </c>
      <c r="AF76" s="7">
        <v>1</v>
      </c>
    </row>
    <row r="77" spans="1:32" ht="15.75" customHeight="1" x14ac:dyDescent="0.25">
      <c r="A77" s="5" t="s">
        <v>33</v>
      </c>
      <c r="B77" s="7" t="s">
        <v>203</v>
      </c>
      <c r="C77" s="11" t="s">
        <v>289</v>
      </c>
      <c r="D77" s="7" t="s">
        <v>290</v>
      </c>
      <c r="E77" s="7">
        <v>23</v>
      </c>
      <c r="G77" s="7" t="s">
        <v>58</v>
      </c>
      <c r="H77" s="7" t="s">
        <v>291</v>
      </c>
      <c r="I77" s="7" t="s">
        <v>39</v>
      </c>
      <c r="L77" s="7">
        <v>1</v>
      </c>
      <c r="P77" s="7">
        <v>1</v>
      </c>
      <c r="AC77" s="7">
        <v>1</v>
      </c>
    </row>
    <row r="78" spans="1:32" ht="15.75" customHeight="1" x14ac:dyDescent="0.25">
      <c r="A78" s="5" t="s">
        <v>292</v>
      </c>
      <c r="B78" s="7" t="s">
        <v>70</v>
      </c>
      <c r="C78" s="11" t="s">
        <v>293</v>
      </c>
      <c r="D78" s="7" t="s">
        <v>294</v>
      </c>
      <c r="E78" s="7">
        <v>43</v>
      </c>
      <c r="G78" s="7" t="s">
        <v>37</v>
      </c>
      <c r="H78" s="7" t="s">
        <v>295</v>
      </c>
      <c r="I78" s="7" t="s">
        <v>267</v>
      </c>
      <c r="L78" s="7">
        <v>1</v>
      </c>
      <c r="N78" s="7">
        <v>1</v>
      </c>
      <c r="AC78" s="7">
        <v>1</v>
      </c>
    </row>
    <row r="79" spans="1:32" ht="15.75" customHeight="1" x14ac:dyDescent="0.25">
      <c r="A79" s="5" t="s">
        <v>292</v>
      </c>
      <c r="B79" s="7" t="s">
        <v>41</v>
      </c>
      <c r="C79" s="8" t="s">
        <v>296</v>
      </c>
      <c r="D79" s="7" t="s">
        <v>297</v>
      </c>
      <c r="E79" s="7">
        <v>37</v>
      </c>
      <c r="G79" s="7" t="s">
        <v>37</v>
      </c>
      <c r="H79" s="7" t="s">
        <v>44</v>
      </c>
      <c r="I79" s="7" t="s">
        <v>39</v>
      </c>
      <c r="L79" s="7">
        <v>1</v>
      </c>
      <c r="N79" s="7">
        <v>1</v>
      </c>
      <c r="AC79" s="7">
        <v>1</v>
      </c>
    </row>
    <row r="80" spans="1:32" ht="15.75" customHeight="1" x14ac:dyDescent="0.25">
      <c r="A80" s="5" t="s">
        <v>298</v>
      </c>
      <c r="B80" s="7" t="s">
        <v>87</v>
      </c>
      <c r="C80" s="8" t="s">
        <v>299</v>
      </c>
      <c r="D80" s="7" t="s">
        <v>300</v>
      </c>
      <c r="E80" s="7">
        <v>60</v>
      </c>
      <c r="G80" s="7" t="s">
        <v>37</v>
      </c>
      <c r="H80" s="7" t="s">
        <v>44</v>
      </c>
      <c r="I80" s="7" t="s">
        <v>39</v>
      </c>
      <c r="L80" s="7">
        <v>1</v>
      </c>
      <c r="P80" s="7">
        <v>1</v>
      </c>
      <c r="AC80" s="7">
        <v>1</v>
      </c>
    </row>
    <row r="81" spans="1:30" ht="15.75" customHeight="1" x14ac:dyDescent="0.25">
      <c r="A81" s="5" t="s">
        <v>301</v>
      </c>
      <c r="B81" s="7" t="s">
        <v>147</v>
      </c>
      <c r="C81" s="15" t="s">
        <v>302</v>
      </c>
      <c r="D81" s="7" t="s">
        <v>303</v>
      </c>
      <c r="E81" s="7">
        <v>27</v>
      </c>
      <c r="G81" s="7" t="s">
        <v>37</v>
      </c>
      <c r="H81" s="7" t="s">
        <v>304</v>
      </c>
      <c r="I81" s="7" t="s">
        <v>39</v>
      </c>
      <c r="M81" s="7">
        <v>1</v>
      </c>
      <c r="P81" s="7">
        <v>1</v>
      </c>
      <c r="V81" s="7">
        <v>1</v>
      </c>
    </row>
    <row r="82" spans="1:30" ht="15.75" customHeight="1" x14ac:dyDescent="0.25">
      <c r="A82" s="10">
        <v>45269</v>
      </c>
      <c r="B82" s="7" t="s">
        <v>277</v>
      </c>
      <c r="C82" s="8" t="s">
        <v>305</v>
      </c>
      <c r="D82" s="7" t="s">
        <v>306</v>
      </c>
      <c r="E82" s="7">
        <v>64</v>
      </c>
      <c r="G82" s="7" t="s">
        <v>37</v>
      </c>
      <c r="H82" s="7" t="s">
        <v>307</v>
      </c>
      <c r="I82" s="7" t="s">
        <v>267</v>
      </c>
      <c r="L82" s="7">
        <v>1</v>
      </c>
      <c r="P82" s="7">
        <v>1</v>
      </c>
      <c r="AC82" s="7">
        <v>1</v>
      </c>
    </row>
    <row r="83" spans="1:30" ht="15.75" customHeight="1" x14ac:dyDescent="0.25">
      <c r="A83" s="5" t="s">
        <v>308</v>
      </c>
      <c r="B83" s="7" t="s">
        <v>158</v>
      </c>
      <c r="C83" s="8" t="s">
        <v>309</v>
      </c>
      <c r="D83" s="7" t="s">
        <v>310</v>
      </c>
      <c r="E83" s="7">
        <v>41</v>
      </c>
      <c r="G83" s="7" t="s">
        <v>37</v>
      </c>
      <c r="H83" s="7" t="s">
        <v>311</v>
      </c>
      <c r="I83" s="7" t="s">
        <v>267</v>
      </c>
      <c r="L83" s="7">
        <v>1</v>
      </c>
      <c r="N83" s="7">
        <v>1</v>
      </c>
      <c r="AC83" s="7">
        <v>1</v>
      </c>
    </row>
    <row r="84" spans="1:30" ht="15.75" customHeight="1" x14ac:dyDescent="0.25">
      <c r="A84" s="5" t="s">
        <v>312</v>
      </c>
      <c r="B84" s="7" t="s">
        <v>87</v>
      </c>
      <c r="C84" s="8" t="s">
        <v>313</v>
      </c>
      <c r="D84" s="7" t="s">
        <v>314</v>
      </c>
      <c r="E84" s="7">
        <v>39</v>
      </c>
      <c r="G84" s="7" t="s">
        <v>37</v>
      </c>
      <c r="H84" s="7" t="s">
        <v>44</v>
      </c>
      <c r="I84" s="7" t="s">
        <v>39</v>
      </c>
      <c r="K84" s="7">
        <v>1</v>
      </c>
      <c r="P84" s="7">
        <v>1</v>
      </c>
      <c r="Y84" s="7">
        <v>1</v>
      </c>
      <c r="AD84" s="7">
        <v>1</v>
      </c>
    </row>
    <row r="85" spans="1:30" ht="15.75" customHeight="1" x14ac:dyDescent="0.25">
      <c r="A85" s="5"/>
    </row>
    <row r="86" spans="1:30" ht="15.75" customHeight="1" x14ac:dyDescent="0.25">
      <c r="A86" s="5"/>
    </row>
    <row r="87" spans="1:30" ht="15.75" customHeight="1" x14ac:dyDescent="0.25">
      <c r="A87" s="5"/>
    </row>
    <row r="88" spans="1:30" ht="15.75" customHeight="1" x14ac:dyDescent="0.25">
      <c r="A88" s="5"/>
    </row>
    <row r="89" spans="1:30" ht="15.75" customHeight="1" x14ac:dyDescent="0.25">
      <c r="A89" s="5"/>
    </row>
    <row r="90" spans="1:30" ht="15.75" customHeight="1" x14ac:dyDescent="0.25">
      <c r="A90" s="5"/>
    </row>
    <row r="91" spans="1:30" ht="15.75" customHeight="1" x14ac:dyDescent="0.25">
      <c r="A91" s="5"/>
    </row>
    <row r="92" spans="1:30" ht="15.75" customHeight="1" x14ac:dyDescent="0.25">
      <c r="A92" s="5"/>
    </row>
    <row r="93" spans="1:30" ht="15.75" customHeight="1" x14ac:dyDescent="0.25">
      <c r="A93" s="5"/>
    </row>
    <row r="94" spans="1:30" ht="15.75" customHeight="1" x14ac:dyDescent="0.25">
      <c r="A94" s="5"/>
    </row>
    <row r="95" spans="1:30" ht="15.75" customHeight="1" x14ac:dyDescent="0.25">
      <c r="A95" s="5"/>
    </row>
    <row r="96" spans="1:30" ht="15.75" customHeight="1" x14ac:dyDescent="0.25">
      <c r="A96" s="5"/>
    </row>
    <row r="97" spans="1:1" ht="15.75" customHeight="1" x14ac:dyDescent="0.25">
      <c r="A97" s="5"/>
    </row>
    <row r="98" spans="1:1" ht="15.75" customHeight="1" x14ac:dyDescent="0.25">
      <c r="A98" s="5"/>
    </row>
    <row r="99" spans="1:1" ht="15.75" customHeight="1" x14ac:dyDescent="0.25">
      <c r="A99" s="5"/>
    </row>
    <row r="100" spans="1:1" ht="15.75" customHeight="1" x14ac:dyDescent="0.25">
      <c r="A100" s="5"/>
    </row>
    <row r="101" spans="1:1" ht="15.75" customHeight="1" x14ac:dyDescent="0.25">
      <c r="A101" s="5"/>
    </row>
    <row r="102" spans="1:1" ht="15.75" customHeight="1" x14ac:dyDescent="0.25">
      <c r="A102" s="5"/>
    </row>
    <row r="103" spans="1:1" ht="15.75" customHeight="1" x14ac:dyDescent="0.25">
      <c r="A103" s="5"/>
    </row>
    <row r="104" spans="1:1" ht="15.75" customHeight="1" x14ac:dyDescent="0.25">
      <c r="A104" s="5"/>
    </row>
    <row r="105" spans="1:1" ht="15.75" customHeight="1" x14ac:dyDescent="0.25">
      <c r="A105" s="5"/>
    </row>
    <row r="106" spans="1:1" ht="15.75" customHeight="1" x14ac:dyDescent="0.25">
      <c r="A106" s="5"/>
    </row>
    <row r="107" spans="1:1" ht="15.75" customHeight="1" x14ac:dyDescent="0.25">
      <c r="A107" s="5"/>
    </row>
    <row r="108" spans="1:1" ht="15.75" customHeight="1" x14ac:dyDescent="0.25">
      <c r="A108" s="5"/>
    </row>
    <row r="109" spans="1:1" ht="15.75" customHeight="1" x14ac:dyDescent="0.25">
      <c r="A109" s="5"/>
    </row>
    <row r="110" spans="1:1" ht="15.75" customHeight="1" x14ac:dyDescent="0.25">
      <c r="A110" s="5"/>
    </row>
    <row r="111" spans="1:1" ht="15.75" customHeight="1" x14ac:dyDescent="0.25">
      <c r="A111" s="5"/>
    </row>
    <row r="112" spans="1:1" ht="15.75" customHeight="1" x14ac:dyDescent="0.25">
      <c r="A112" s="5"/>
    </row>
    <row r="113" spans="1:1" ht="15.75" customHeight="1" x14ac:dyDescent="0.25">
      <c r="A113" s="5"/>
    </row>
    <row r="114" spans="1:1" ht="15.75" customHeight="1" x14ac:dyDescent="0.25">
      <c r="A114" s="5"/>
    </row>
    <row r="115" spans="1:1" ht="15.75" customHeight="1" x14ac:dyDescent="0.25">
      <c r="A115" s="5"/>
    </row>
    <row r="116" spans="1:1" ht="15.75" customHeight="1" x14ac:dyDescent="0.25">
      <c r="A116" s="5"/>
    </row>
    <row r="117" spans="1:1" ht="15.75" customHeight="1" x14ac:dyDescent="0.25">
      <c r="A117" s="5"/>
    </row>
    <row r="118" spans="1:1" ht="15.75" customHeight="1" x14ac:dyDescent="0.25">
      <c r="A118" s="5"/>
    </row>
    <row r="119" spans="1:1" ht="15.75" customHeight="1" x14ac:dyDescent="0.25">
      <c r="A119" s="5"/>
    </row>
    <row r="120" spans="1:1" ht="15.75" customHeight="1" x14ac:dyDescent="0.25">
      <c r="A120" s="5"/>
    </row>
    <row r="121" spans="1:1" ht="15.75" customHeight="1" x14ac:dyDescent="0.25">
      <c r="A121" s="5"/>
    </row>
    <row r="122" spans="1:1" ht="15.75" customHeight="1" x14ac:dyDescent="0.25">
      <c r="A122" s="5"/>
    </row>
    <row r="123" spans="1:1" ht="15.75" customHeight="1" x14ac:dyDescent="0.25">
      <c r="A123" s="5"/>
    </row>
    <row r="124" spans="1:1" ht="15.75" customHeight="1" x14ac:dyDescent="0.25">
      <c r="A124" s="5"/>
    </row>
    <row r="125" spans="1:1" ht="15.75" customHeight="1" x14ac:dyDescent="0.25">
      <c r="A125" s="5"/>
    </row>
    <row r="126" spans="1:1" ht="15.75" customHeight="1" x14ac:dyDescent="0.25">
      <c r="A126" s="5"/>
    </row>
    <row r="127" spans="1:1" ht="15.75" customHeight="1" x14ac:dyDescent="0.25">
      <c r="A127" s="5"/>
    </row>
    <row r="128" spans="1:1" ht="15.75" customHeight="1" x14ac:dyDescent="0.25">
      <c r="A128" s="5"/>
    </row>
    <row r="129" spans="1:1" ht="15.75" customHeight="1" x14ac:dyDescent="0.25">
      <c r="A129" s="5"/>
    </row>
    <row r="130" spans="1:1" ht="15.75" customHeight="1" x14ac:dyDescent="0.25">
      <c r="A130" s="5"/>
    </row>
    <row r="131" spans="1:1" ht="15.75" customHeight="1" x14ac:dyDescent="0.25">
      <c r="A131" s="5"/>
    </row>
    <row r="132" spans="1:1" ht="15.75" customHeight="1" x14ac:dyDescent="0.25">
      <c r="A132" s="5"/>
    </row>
    <row r="133" spans="1:1" ht="15.75" customHeight="1" x14ac:dyDescent="0.25">
      <c r="A133" s="5"/>
    </row>
    <row r="134" spans="1:1" ht="15.75" customHeight="1" x14ac:dyDescent="0.25">
      <c r="A134" s="5"/>
    </row>
    <row r="135" spans="1:1" ht="15.75" customHeight="1" x14ac:dyDescent="0.25">
      <c r="A135" s="5"/>
    </row>
    <row r="136" spans="1:1" ht="15.75" customHeight="1" x14ac:dyDescent="0.25">
      <c r="A136" s="5"/>
    </row>
    <row r="137" spans="1:1" ht="15.75" customHeight="1" x14ac:dyDescent="0.25">
      <c r="A137" s="5"/>
    </row>
    <row r="138" spans="1:1" ht="15.75" customHeight="1" x14ac:dyDescent="0.25">
      <c r="A138" s="5"/>
    </row>
    <row r="139" spans="1:1" ht="15.75" customHeight="1" x14ac:dyDescent="0.25">
      <c r="A139" s="5"/>
    </row>
    <row r="140" spans="1:1" ht="15.75" customHeight="1" x14ac:dyDescent="0.25">
      <c r="A140" s="5"/>
    </row>
    <row r="141" spans="1:1" ht="15.75" customHeight="1" x14ac:dyDescent="0.25">
      <c r="A141" s="5"/>
    </row>
    <row r="142" spans="1:1" ht="15.75" customHeight="1" x14ac:dyDescent="0.25">
      <c r="A142" s="5"/>
    </row>
    <row r="143" spans="1:1" ht="15.75" customHeight="1" x14ac:dyDescent="0.25">
      <c r="A143" s="5"/>
    </row>
    <row r="144" spans="1:1" ht="15.75" customHeight="1" x14ac:dyDescent="0.25">
      <c r="A144" s="5"/>
    </row>
    <row r="145" spans="1:1" ht="15.75" customHeight="1" x14ac:dyDescent="0.25">
      <c r="A145" s="5"/>
    </row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25">
      <c r="A179" s="5"/>
    </row>
    <row r="180" spans="1:1" ht="15.75" customHeight="1" x14ac:dyDescent="0.25">
      <c r="A180" s="5"/>
    </row>
    <row r="181" spans="1:1" ht="15.75" customHeight="1" x14ac:dyDescent="0.25">
      <c r="A181" s="5"/>
    </row>
    <row r="182" spans="1:1" ht="15.75" customHeight="1" x14ac:dyDescent="0.25">
      <c r="A182" s="5"/>
    </row>
    <row r="183" spans="1:1" ht="15.75" customHeight="1" x14ac:dyDescent="0.25">
      <c r="A183" s="5"/>
    </row>
    <row r="184" spans="1:1" ht="15.75" customHeight="1" x14ac:dyDescent="0.25">
      <c r="A184" s="5"/>
    </row>
    <row r="185" spans="1:1" ht="15.75" customHeight="1" x14ac:dyDescent="0.25">
      <c r="A185" s="5"/>
    </row>
    <row r="186" spans="1:1" ht="15.75" customHeight="1" x14ac:dyDescent="0.25">
      <c r="A186" s="5"/>
    </row>
    <row r="187" spans="1:1" ht="15.75" customHeight="1" x14ac:dyDescent="0.25">
      <c r="A187" s="5"/>
    </row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>
      <c r="A221" s="5"/>
    </row>
    <row r="222" spans="1:1" ht="15.75" customHeight="1" x14ac:dyDescent="0.25">
      <c r="A222" s="5"/>
    </row>
    <row r="223" spans="1:1" ht="15.75" customHeight="1" x14ac:dyDescent="0.25">
      <c r="A223" s="5"/>
    </row>
    <row r="224" spans="1:1" ht="15.75" customHeight="1" x14ac:dyDescent="0.25">
      <c r="A224" s="5"/>
    </row>
    <row r="225" spans="1:1" ht="15.75" customHeight="1" x14ac:dyDescent="0.25">
      <c r="A225" s="5"/>
    </row>
    <row r="226" spans="1:1" ht="15.75" customHeight="1" x14ac:dyDescent="0.25">
      <c r="A226" s="5"/>
    </row>
    <row r="227" spans="1:1" ht="15.75" customHeight="1" x14ac:dyDescent="0.25"/>
    <row r="228" spans="1:1" ht="15.75" customHeight="1" x14ac:dyDescent="0.25"/>
    <row r="229" spans="1:1" ht="15.75" customHeight="1" x14ac:dyDescent="0.25"/>
    <row r="230" spans="1:1" ht="15.75" customHeight="1" x14ac:dyDescent="0.25"/>
    <row r="231" spans="1:1" ht="15.75" customHeight="1" x14ac:dyDescent="0.25"/>
    <row r="232" spans="1:1" ht="15.75" customHeight="1" x14ac:dyDescent="0.25"/>
    <row r="233" spans="1:1" ht="15.75" customHeight="1" x14ac:dyDescent="0.25"/>
    <row r="234" spans="1:1" ht="15.75" customHeight="1" x14ac:dyDescent="0.25"/>
    <row r="235" spans="1:1" ht="15.75" customHeight="1" x14ac:dyDescent="0.25"/>
    <row r="236" spans="1:1" ht="15.75" customHeight="1" x14ac:dyDescent="0.25"/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autoFilter ref="A1:AG84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EFDA-39AC-45AA-AD09-F94C790CC3A4}">
  <dimension ref="A1:AG84"/>
  <sheetViews>
    <sheetView workbookViewId="0">
      <selection sqref="A1:AG84"/>
    </sheetView>
  </sheetViews>
  <sheetFormatPr defaultRowHeight="15" x14ac:dyDescent="0.25"/>
  <cols>
    <col min="1" max="1" width="18.855468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6" t="s">
        <v>34</v>
      </c>
      <c r="C2" s="7" t="s">
        <v>35</v>
      </c>
      <c r="D2" s="6" t="s">
        <v>36</v>
      </c>
      <c r="E2" s="6">
        <v>34</v>
      </c>
      <c r="F2" s="6"/>
      <c r="G2" s="6" t="s">
        <v>37</v>
      </c>
      <c r="H2" s="6" t="s">
        <v>38</v>
      </c>
      <c r="I2" s="6" t="s">
        <v>39</v>
      </c>
      <c r="L2" s="6">
        <v>1</v>
      </c>
      <c r="P2" s="6">
        <v>1</v>
      </c>
      <c r="Y2" s="6"/>
      <c r="AA2" s="6">
        <v>1</v>
      </c>
      <c r="AC2" s="6"/>
    </row>
    <row r="3" spans="1:33" x14ac:dyDescent="0.25">
      <c r="A3" s="5" t="s">
        <v>40</v>
      </c>
      <c r="B3" s="6" t="s">
        <v>41</v>
      </c>
      <c r="C3" s="8" t="s">
        <v>42</v>
      </c>
      <c r="D3" s="6" t="s">
        <v>43</v>
      </c>
      <c r="E3" s="6">
        <v>39</v>
      </c>
      <c r="G3" s="6" t="s">
        <v>37</v>
      </c>
      <c r="H3" s="6" t="s">
        <v>44</v>
      </c>
      <c r="I3" s="6" t="s">
        <v>39</v>
      </c>
      <c r="L3" s="6">
        <v>1</v>
      </c>
      <c r="P3" s="6">
        <v>1</v>
      </c>
      <c r="V3" s="6"/>
      <c r="AC3" s="7">
        <v>1</v>
      </c>
    </row>
    <row r="4" spans="1:33" ht="15.75" x14ac:dyDescent="0.25">
      <c r="A4" s="5" t="s">
        <v>45</v>
      </c>
      <c r="B4" s="6" t="s">
        <v>46</v>
      </c>
      <c r="C4" s="9" t="s">
        <v>47</v>
      </c>
      <c r="D4" s="6" t="s">
        <v>48</v>
      </c>
      <c r="E4" s="6">
        <v>50</v>
      </c>
      <c r="G4" s="6" t="s">
        <v>37</v>
      </c>
      <c r="H4" s="6" t="s">
        <v>49</v>
      </c>
      <c r="I4" s="6" t="s">
        <v>50</v>
      </c>
      <c r="L4" s="7">
        <v>1</v>
      </c>
      <c r="M4" s="6"/>
      <c r="P4" s="6">
        <v>1</v>
      </c>
      <c r="T4" s="7">
        <v>1</v>
      </c>
      <c r="V4" s="6"/>
      <c r="Y4" s="7">
        <v>1</v>
      </c>
    </row>
    <row r="5" spans="1:33" ht="15.75" x14ac:dyDescent="0.25">
      <c r="A5" s="10">
        <v>45717</v>
      </c>
      <c r="B5" s="6" t="s">
        <v>51</v>
      </c>
      <c r="C5" s="11" t="s">
        <v>52</v>
      </c>
      <c r="D5" s="6" t="s">
        <v>53</v>
      </c>
      <c r="E5" s="6">
        <v>50</v>
      </c>
      <c r="G5" s="6" t="s">
        <v>37</v>
      </c>
      <c r="H5" s="6" t="s">
        <v>38</v>
      </c>
      <c r="I5" s="6" t="s">
        <v>39</v>
      </c>
      <c r="L5" s="6">
        <v>1</v>
      </c>
      <c r="N5" s="7">
        <v>1</v>
      </c>
      <c r="P5" s="6"/>
      <c r="T5" s="7">
        <v>1</v>
      </c>
      <c r="W5" s="6"/>
    </row>
    <row r="6" spans="1:33" ht="15.75" x14ac:dyDescent="0.25">
      <c r="A6" s="5" t="s">
        <v>54</v>
      </c>
      <c r="B6" s="6" t="s">
        <v>55</v>
      </c>
      <c r="C6" s="11" t="s">
        <v>56</v>
      </c>
      <c r="D6" s="6" t="s">
        <v>57</v>
      </c>
      <c r="E6" s="6">
        <v>65</v>
      </c>
      <c r="G6" s="6" t="s">
        <v>58</v>
      </c>
      <c r="H6" s="6" t="s">
        <v>59</v>
      </c>
      <c r="I6" s="6" t="s">
        <v>39</v>
      </c>
      <c r="L6" s="6"/>
      <c r="M6" s="7">
        <v>1</v>
      </c>
      <c r="P6" s="6">
        <v>1</v>
      </c>
      <c r="V6" s="6"/>
      <c r="W6" s="6"/>
      <c r="Y6" s="7">
        <v>1</v>
      </c>
      <c r="AC6" s="7">
        <v>1</v>
      </c>
    </row>
    <row r="7" spans="1:33" x14ac:dyDescent="0.25">
      <c r="A7" s="5" t="s">
        <v>60</v>
      </c>
      <c r="B7" s="6" t="s">
        <v>61</v>
      </c>
      <c r="C7" s="8" t="s">
        <v>62</v>
      </c>
      <c r="D7" s="6" t="s">
        <v>63</v>
      </c>
      <c r="E7" s="6">
        <v>3</v>
      </c>
      <c r="F7" s="7">
        <v>1</v>
      </c>
      <c r="G7" s="6" t="s">
        <v>58</v>
      </c>
      <c r="H7" s="6" t="s">
        <v>64</v>
      </c>
      <c r="I7" s="6" t="s">
        <v>39</v>
      </c>
      <c r="L7" s="6"/>
      <c r="M7" s="7">
        <v>1</v>
      </c>
      <c r="P7" s="6">
        <v>1</v>
      </c>
      <c r="AA7" s="6"/>
      <c r="AC7" s="6">
        <v>1</v>
      </c>
    </row>
    <row r="8" spans="1:33" x14ac:dyDescent="0.25">
      <c r="A8" s="10">
        <v>45717</v>
      </c>
      <c r="B8" s="6" t="s">
        <v>65</v>
      </c>
      <c r="C8" s="12" t="s">
        <v>66</v>
      </c>
      <c r="D8" s="6" t="s">
        <v>67</v>
      </c>
      <c r="E8" s="6">
        <v>4</v>
      </c>
      <c r="F8" s="7">
        <v>1</v>
      </c>
      <c r="G8" s="6" t="s">
        <v>58</v>
      </c>
      <c r="H8" s="6" t="s">
        <v>68</v>
      </c>
      <c r="I8" s="6" t="s">
        <v>39</v>
      </c>
      <c r="L8" s="6">
        <v>1</v>
      </c>
      <c r="N8" s="6">
        <v>1</v>
      </c>
      <c r="U8" s="7">
        <v>1</v>
      </c>
      <c r="X8" s="6"/>
      <c r="Y8" s="7">
        <v>1</v>
      </c>
    </row>
    <row r="9" spans="1:33" ht="15.75" x14ac:dyDescent="0.25">
      <c r="A9" s="5" t="s">
        <v>69</v>
      </c>
      <c r="B9" s="6" t="s">
        <v>70</v>
      </c>
      <c r="C9" s="11" t="s">
        <v>71</v>
      </c>
      <c r="D9" s="6" t="s">
        <v>72</v>
      </c>
      <c r="E9" s="6">
        <v>45</v>
      </c>
      <c r="G9" s="6" t="s">
        <v>37</v>
      </c>
      <c r="H9" s="6" t="s">
        <v>44</v>
      </c>
      <c r="I9" s="6" t="s">
        <v>39</v>
      </c>
      <c r="L9" s="6">
        <v>1</v>
      </c>
      <c r="P9" s="6">
        <v>1</v>
      </c>
      <c r="V9" s="6"/>
      <c r="W9" s="6"/>
      <c r="Y9" s="7">
        <v>1</v>
      </c>
      <c r="AC9" s="7">
        <v>1</v>
      </c>
    </row>
    <row r="10" spans="1:33" ht="15.75" x14ac:dyDescent="0.25">
      <c r="A10" s="5" t="s">
        <v>73</v>
      </c>
      <c r="B10" s="6" t="s">
        <v>74</v>
      </c>
      <c r="C10" s="9" t="s">
        <v>75</v>
      </c>
      <c r="D10" s="6" t="s">
        <v>76</v>
      </c>
      <c r="E10" s="6">
        <v>17</v>
      </c>
      <c r="F10" s="6">
        <v>1</v>
      </c>
      <c r="G10" s="6" t="s">
        <v>58</v>
      </c>
      <c r="H10" s="6" t="s">
        <v>77</v>
      </c>
      <c r="I10" s="6" t="s">
        <v>39</v>
      </c>
      <c r="L10" s="6"/>
      <c r="M10" s="7">
        <v>1</v>
      </c>
      <c r="P10" s="6">
        <v>1</v>
      </c>
      <c r="U10" s="6"/>
      <c r="V10" s="7">
        <v>1</v>
      </c>
      <c r="Y10" s="6"/>
      <c r="AA10" s="7">
        <v>1</v>
      </c>
      <c r="AC10" s="7">
        <v>1</v>
      </c>
    </row>
    <row r="11" spans="1:33" x14ac:dyDescent="0.25">
      <c r="A11" s="5" t="s">
        <v>78</v>
      </c>
      <c r="B11" s="6" t="s">
        <v>41</v>
      </c>
      <c r="C11" s="8" t="s">
        <v>79</v>
      </c>
      <c r="D11" s="6" t="s">
        <v>80</v>
      </c>
      <c r="E11" s="6">
        <v>2.5</v>
      </c>
      <c r="F11" s="7">
        <v>1</v>
      </c>
      <c r="G11" s="6" t="s">
        <v>58</v>
      </c>
      <c r="H11" s="6" t="s">
        <v>81</v>
      </c>
      <c r="I11" s="6" t="s">
        <v>39</v>
      </c>
      <c r="L11" s="6">
        <v>1</v>
      </c>
      <c r="P11" s="6">
        <v>1</v>
      </c>
      <c r="R11" s="7">
        <v>1</v>
      </c>
      <c r="V11" s="6">
        <v>1</v>
      </c>
      <c r="Y11" s="7">
        <v>1</v>
      </c>
      <c r="AC11" s="7">
        <v>1</v>
      </c>
    </row>
    <row r="12" spans="1:33" x14ac:dyDescent="0.25">
      <c r="A12" s="5" t="s">
        <v>82</v>
      </c>
      <c r="B12" s="6" t="s">
        <v>70</v>
      </c>
      <c r="C12" s="8" t="s">
        <v>83</v>
      </c>
      <c r="D12" s="6" t="s">
        <v>84</v>
      </c>
      <c r="E12" s="6">
        <v>36</v>
      </c>
      <c r="G12" s="6" t="s">
        <v>37</v>
      </c>
      <c r="H12" s="6" t="s">
        <v>44</v>
      </c>
      <c r="I12" s="6" t="s">
        <v>39</v>
      </c>
      <c r="K12" s="7">
        <v>1</v>
      </c>
      <c r="L12" s="6"/>
      <c r="P12" s="6">
        <v>1</v>
      </c>
      <c r="T12" s="6"/>
      <c r="AC12" s="7">
        <v>1</v>
      </c>
    </row>
    <row r="13" spans="1:33" x14ac:dyDescent="0.25">
      <c r="A13" s="10">
        <v>45992</v>
      </c>
      <c r="B13" s="6" t="s">
        <v>34</v>
      </c>
      <c r="C13" s="8" t="s">
        <v>85</v>
      </c>
      <c r="D13" s="6" t="s">
        <v>86</v>
      </c>
      <c r="E13" s="6">
        <v>60</v>
      </c>
      <c r="G13" s="6" t="s">
        <v>37</v>
      </c>
      <c r="H13" s="6" t="s">
        <v>38</v>
      </c>
      <c r="I13" s="6" t="s">
        <v>39</v>
      </c>
      <c r="L13" s="6">
        <v>1</v>
      </c>
      <c r="N13" s="7">
        <v>1</v>
      </c>
      <c r="P13" s="6"/>
      <c r="T13" s="6">
        <v>1</v>
      </c>
    </row>
    <row r="14" spans="1:33" x14ac:dyDescent="0.25">
      <c r="A14" s="10">
        <v>45445</v>
      </c>
      <c r="B14" s="6" t="s">
        <v>87</v>
      </c>
      <c r="C14" s="8" t="s">
        <v>88</v>
      </c>
      <c r="D14" s="6" t="s">
        <v>89</v>
      </c>
      <c r="E14" s="6">
        <v>37</v>
      </c>
      <c r="G14" s="6" t="s">
        <v>37</v>
      </c>
      <c r="H14" s="6" t="s">
        <v>44</v>
      </c>
      <c r="I14" s="6" t="s">
        <v>39</v>
      </c>
      <c r="K14" s="7">
        <v>1</v>
      </c>
      <c r="L14" s="6"/>
      <c r="P14" s="6">
        <v>1</v>
      </c>
      <c r="R14" s="7">
        <v>1</v>
      </c>
      <c r="U14" s="7">
        <v>1</v>
      </c>
      <c r="V14" s="7">
        <v>1</v>
      </c>
      <c r="Y14" s="7">
        <v>1</v>
      </c>
      <c r="AC14" s="6"/>
    </row>
    <row r="15" spans="1:33" x14ac:dyDescent="0.25">
      <c r="A15" s="5" t="s">
        <v>90</v>
      </c>
      <c r="B15" s="6" t="s">
        <v>91</v>
      </c>
      <c r="C15" s="8" t="s">
        <v>92</v>
      </c>
      <c r="D15" s="6" t="s">
        <v>93</v>
      </c>
      <c r="E15" s="6">
        <v>50</v>
      </c>
      <c r="G15" s="6" t="s">
        <v>37</v>
      </c>
      <c r="H15" s="6" t="s">
        <v>38</v>
      </c>
      <c r="I15" s="6" t="s">
        <v>39</v>
      </c>
      <c r="L15" s="7">
        <v>1</v>
      </c>
      <c r="M15" s="6"/>
      <c r="N15" s="7">
        <v>1</v>
      </c>
      <c r="P15" s="6"/>
      <c r="R15" s="6">
        <v>1</v>
      </c>
      <c r="T15" s="7">
        <v>1</v>
      </c>
      <c r="V15" s="6">
        <v>1</v>
      </c>
      <c r="W15" s="6">
        <v>1</v>
      </c>
      <c r="Y15" s="6"/>
      <c r="AC15" s="6"/>
    </row>
    <row r="16" spans="1:33" x14ac:dyDescent="0.25">
      <c r="A16" s="5" t="s">
        <v>94</v>
      </c>
      <c r="B16" s="6" t="s">
        <v>46</v>
      </c>
      <c r="C16" s="8" t="s">
        <v>95</v>
      </c>
      <c r="D16" s="6" t="s">
        <v>96</v>
      </c>
      <c r="E16" s="6">
        <v>35</v>
      </c>
      <c r="G16" s="6" t="s">
        <v>37</v>
      </c>
      <c r="H16" s="6" t="s">
        <v>44</v>
      </c>
      <c r="I16" s="6" t="s">
        <v>39</v>
      </c>
      <c r="L16" s="6">
        <v>1</v>
      </c>
      <c r="P16" s="6">
        <v>1</v>
      </c>
      <c r="V16" s="7">
        <v>1</v>
      </c>
      <c r="Y16" s="7">
        <v>1</v>
      </c>
      <c r="AC16" s="6"/>
    </row>
    <row r="17" spans="1:32" x14ac:dyDescent="0.25">
      <c r="A17" s="10">
        <v>45058</v>
      </c>
      <c r="B17" s="6" t="s">
        <v>97</v>
      </c>
      <c r="C17" s="8" t="s">
        <v>98</v>
      </c>
      <c r="D17" s="6" t="s">
        <v>99</v>
      </c>
      <c r="E17" s="6">
        <v>40</v>
      </c>
      <c r="G17" s="6" t="s">
        <v>58</v>
      </c>
      <c r="H17" s="6" t="s">
        <v>100</v>
      </c>
      <c r="I17" s="6" t="s">
        <v>39</v>
      </c>
      <c r="L17" s="6">
        <v>1</v>
      </c>
      <c r="P17" s="6">
        <v>1</v>
      </c>
      <c r="Y17" s="6"/>
      <c r="AA17" s="7">
        <v>1</v>
      </c>
      <c r="AC17" s="6"/>
    </row>
    <row r="18" spans="1:32" x14ac:dyDescent="0.25">
      <c r="A18" s="10">
        <v>45172</v>
      </c>
      <c r="B18" s="6" t="s">
        <v>101</v>
      </c>
      <c r="C18" s="7" t="s">
        <v>102</v>
      </c>
      <c r="D18" s="6" t="s">
        <v>103</v>
      </c>
      <c r="E18" s="6">
        <v>47</v>
      </c>
      <c r="G18" s="6" t="s">
        <v>58</v>
      </c>
      <c r="H18" s="6" t="s">
        <v>104</v>
      </c>
      <c r="I18" s="6" t="s">
        <v>39</v>
      </c>
      <c r="L18" s="6">
        <v>1</v>
      </c>
      <c r="N18" s="6"/>
      <c r="P18" s="7">
        <v>1</v>
      </c>
      <c r="V18" s="6">
        <v>1</v>
      </c>
      <c r="Y18" s="7">
        <v>1</v>
      </c>
    </row>
    <row r="19" spans="1:32" x14ac:dyDescent="0.25">
      <c r="A19" s="10">
        <v>45870</v>
      </c>
      <c r="B19" s="6" t="s">
        <v>105</v>
      </c>
      <c r="C19" s="8" t="s">
        <v>106</v>
      </c>
      <c r="D19" s="6" t="s">
        <v>107</v>
      </c>
      <c r="E19" s="6">
        <v>60</v>
      </c>
      <c r="G19" s="6" t="s">
        <v>58</v>
      </c>
      <c r="H19" s="6" t="s">
        <v>44</v>
      </c>
      <c r="I19" s="6" t="s">
        <v>39</v>
      </c>
      <c r="L19" s="7">
        <v>1</v>
      </c>
      <c r="M19" s="6"/>
      <c r="N19" s="7">
        <v>1</v>
      </c>
      <c r="P19" s="6"/>
      <c r="R19" s="7">
        <v>1</v>
      </c>
      <c r="V19" s="7">
        <v>1</v>
      </c>
      <c r="W19" s="7">
        <v>1</v>
      </c>
      <c r="AC19" s="6"/>
    </row>
    <row r="20" spans="1:32" ht="15.75" x14ac:dyDescent="0.25">
      <c r="A20" s="5" t="s">
        <v>108</v>
      </c>
      <c r="B20" s="6" t="s">
        <v>101</v>
      </c>
      <c r="C20" s="11" t="s">
        <v>109</v>
      </c>
      <c r="D20" s="6" t="s">
        <v>110</v>
      </c>
      <c r="E20" s="6">
        <v>41</v>
      </c>
      <c r="G20" s="6" t="s">
        <v>37</v>
      </c>
      <c r="H20" s="6" t="s">
        <v>44</v>
      </c>
      <c r="I20" s="6" t="s">
        <v>39</v>
      </c>
      <c r="K20" s="6"/>
      <c r="M20" s="7">
        <v>1</v>
      </c>
      <c r="P20" s="6">
        <v>1</v>
      </c>
      <c r="V20" s="7">
        <v>1</v>
      </c>
      <c r="Y20" s="6">
        <v>1</v>
      </c>
      <c r="AC20" s="6"/>
    </row>
    <row r="21" spans="1:32" x14ac:dyDescent="0.25">
      <c r="A21" s="5" t="s">
        <v>111</v>
      </c>
      <c r="B21" s="6" t="s">
        <v>112</v>
      </c>
      <c r="C21" s="8" t="s">
        <v>113</v>
      </c>
      <c r="D21" s="6" t="s">
        <v>114</v>
      </c>
      <c r="E21" s="6">
        <v>41</v>
      </c>
      <c r="G21" s="6" t="s">
        <v>37</v>
      </c>
      <c r="H21" s="6" t="s">
        <v>44</v>
      </c>
      <c r="I21" s="6" t="s">
        <v>39</v>
      </c>
      <c r="L21" s="6"/>
      <c r="M21" s="7">
        <v>1</v>
      </c>
      <c r="P21" s="6">
        <v>1</v>
      </c>
      <c r="Y21" s="7">
        <v>1</v>
      </c>
      <c r="AC21" s="6">
        <v>1</v>
      </c>
    </row>
    <row r="22" spans="1:32" x14ac:dyDescent="0.25">
      <c r="A22" s="5" t="s">
        <v>115</v>
      </c>
      <c r="B22" s="6" t="s">
        <v>116</v>
      </c>
      <c r="C22" s="8" t="s">
        <v>117</v>
      </c>
      <c r="D22" s="6" t="s">
        <v>118</v>
      </c>
      <c r="E22" s="6">
        <v>27</v>
      </c>
      <c r="G22" s="6" t="s">
        <v>37</v>
      </c>
      <c r="H22" s="6" t="s">
        <v>44</v>
      </c>
      <c r="I22" s="6" t="s">
        <v>39</v>
      </c>
      <c r="L22" s="7">
        <v>1</v>
      </c>
      <c r="M22" s="6"/>
      <c r="P22" s="6">
        <v>1</v>
      </c>
      <c r="Y22" s="6">
        <v>1</v>
      </c>
      <c r="AA22" s="7">
        <v>1</v>
      </c>
      <c r="AC22" s="7">
        <v>1</v>
      </c>
    </row>
    <row r="23" spans="1:32" x14ac:dyDescent="0.25">
      <c r="A23" s="5" t="s">
        <v>119</v>
      </c>
      <c r="B23" s="6" t="s">
        <v>120</v>
      </c>
      <c r="C23" s="8" t="s">
        <v>121</v>
      </c>
      <c r="D23" s="6" t="s">
        <v>122</v>
      </c>
      <c r="E23" s="6">
        <v>34</v>
      </c>
      <c r="F23" s="6"/>
      <c r="G23" s="6" t="s">
        <v>37</v>
      </c>
      <c r="H23" s="6" t="s">
        <v>44</v>
      </c>
      <c r="I23" s="6" t="s">
        <v>39</v>
      </c>
      <c r="L23" s="7">
        <v>1</v>
      </c>
      <c r="M23" s="6"/>
      <c r="N23" s="7">
        <v>1</v>
      </c>
      <c r="P23" s="6"/>
      <c r="T23" s="7">
        <v>1</v>
      </c>
      <c r="Y23" s="7">
        <v>1</v>
      </c>
      <c r="AC23" s="6"/>
    </row>
    <row r="24" spans="1:32" ht="15.75" x14ac:dyDescent="0.25">
      <c r="A24" s="5" t="s">
        <v>123</v>
      </c>
      <c r="B24" s="6" t="s">
        <v>124</v>
      </c>
      <c r="C24" s="11" t="s">
        <v>125</v>
      </c>
      <c r="D24" s="6" t="s">
        <v>126</v>
      </c>
      <c r="E24" s="6">
        <v>67</v>
      </c>
      <c r="F24" s="6"/>
      <c r="G24" s="6" t="s">
        <v>58</v>
      </c>
      <c r="H24" s="6" t="s">
        <v>127</v>
      </c>
      <c r="I24" s="6" t="s">
        <v>39</v>
      </c>
      <c r="K24" s="7">
        <v>1</v>
      </c>
      <c r="L24" s="6"/>
      <c r="N24" s="6"/>
      <c r="P24" s="7">
        <v>1</v>
      </c>
      <c r="R24" s="7">
        <v>1</v>
      </c>
      <c r="Y24" s="7">
        <v>1</v>
      </c>
      <c r="AC24" s="6"/>
      <c r="AD24" s="7">
        <v>1</v>
      </c>
    </row>
    <row r="25" spans="1:32" x14ac:dyDescent="0.25">
      <c r="A25" s="5" t="s">
        <v>128</v>
      </c>
      <c r="B25" s="6" t="s">
        <v>129</v>
      </c>
      <c r="C25" s="8" t="s">
        <v>130</v>
      </c>
      <c r="D25" s="6" t="s">
        <v>131</v>
      </c>
      <c r="E25" s="6">
        <v>3</v>
      </c>
      <c r="F25" s="7">
        <v>1</v>
      </c>
      <c r="G25" s="6" t="s">
        <v>37</v>
      </c>
      <c r="H25" s="6" t="s">
        <v>64</v>
      </c>
      <c r="I25" s="6" t="s">
        <v>39</v>
      </c>
      <c r="L25" s="6">
        <v>1</v>
      </c>
      <c r="P25" s="6">
        <v>1</v>
      </c>
      <c r="Y25" s="6">
        <v>1</v>
      </c>
      <c r="AA25" s="7">
        <v>1</v>
      </c>
      <c r="AC25" s="7">
        <v>1</v>
      </c>
    </row>
    <row r="26" spans="1:32" x14ac:dyDescent="0.25">
      <c r="A26" s="10">
        <v>45870</v>
      </c>
      <c r="B26" s="6" t="s">
        <v>132</v>
      </c>
      <c r="C26" s="8" t="s">
        <v>133</v>
      </c>
      <c r="D26" s="6" t="s">
        <v>134</v>
      </c>
      <c r="E26" s="6">
        <v>67</v>
      </c>
      <c r="G26" s="6" t="s">
        <v>37</v>
      </c>
      <c r="H26" s="6" t="s">
        <v>135</v>
      </c>
      <c r="I26" s="6" t="s">
        <v>39</v>
      </c>
      <c r="L26" s="6">
        <v>1</v>
      </c>
      <c r="N26" s="7">
        <v>1</v>
      </c>
      <c r="P26" s="6"/>
      <c r="Y26" s="6"/>
      <c r="AC26" s="7">
        <v>1</v>
      </c>
    </row>
    <row r="27" spans="1:32" x14ac:dyDescent="0.25">
      <c r="A27" s="5" t="s">
        <v>136</v>
      </c>
      <c r="B27" s="6" t="s">
        <v>137</v>
      </c>
      <c r="C27" s="8" t="s">
        <v>138</v>
      </c>
      <c r="D27" s="6" t="s">
        <v>139</v>
      </c>
      <c r="E27" s="6">
        <v>5</v>
      </c>
      <c r="F27" s="6">
        <v>1</v>
      </c>
      <c r="G27" s="6" t="s">
        <v>37</v>
      </c>
      <c r="H27" s="6" t="s">
        <v>68</v>
      </c>
      <c r="I27" s="6" t="s">
        <v>39</v>
      </c>
      <c r="K27" s="6">
        <v>1</v>
      </c>
      <c r="P27" s="6">
        <v>1</v>
      </c>
      <c r="Y27" s="6">
        <v>1</v>
      </c>
      <c r="AD27" s="7">
        <v>1</v>
      </c>
      <c r="AF27" s="7">
        <v>1</v>
      </c>
    </row>
    <row r="28" spans="1:32" x14ac:dyDescent="0.25">
      <c r="A28" s="5" t="s">
        <v>140</v>
      </c>
      <c r="B28" s="6" t="s">
        <v>70</v>
      </c>
      <c r="C28" s="8" t="s">
        <v>141</v>
      </c>
      <c r="D28" s="6" t="s">
        <v>142</v>
      </c>
      <c r="E28" s="6">
        <v>38</v>
      </c>
      <c r="G28" s="6" t="s">
        <v>37</v>
      </c>
      <c r="H28" s="6" t="s">
        <v>38</v>
      </c>
      <c r="I28" s="6" t="s">
        <v>39</v>
      </c>
      <c r="L28" s="6">
        <v>1</v>
      </c>
      <c r="P28" s="6">
        <v>1</v>
      </c>
      <c r="Y28" s="6">
        <v>1</v>
      </c>
    </row>
    <row r="29" spans="1:32" x14ac:dyDescent="0.25">
      <c r="A29" s="10">
        <v>45177</v>
      </c>
      <c r="B29" s="6" t="s">
        <v>74</v>
      </c>
      <c r="C29" s="8" t="s">
        <v>143</v>
      </c>
      <c r="D29" s="6" t="s">
        <v>144</v>
      </c>
      <c r="E29" s="6">
        <v>52</v>
      </c>
      <c r="G29" s="6" t="s">
        <v>37</v>
      </c>
      <c r="H29" s="6" t="s">
        <v>145</v>
      </c>
      <c r="I29" s="6" t="s">
        <v>39</v>
      </c>
      <c r="K29" s="6"/>
      <c r="L29" s="7">
        <v>1</v>
      </c>
      <c r="P29" s="6">
        <v>1</v>
      </c>
      <c r="Y29" s="6">
        <v>1</v>
      </c>
      <c r="AD29" s="6"/>
    </row>
    <row r="30" spans="1:32" x14ac:dyDescent="0.25">
      <c r="A30" s="5" t="s">
        <v>146</v>
      </c>
      <c r="B30" s="6" t="s">
        <v>147</v>
      </c>
      <c r="C30" s="8" t="s">
        <v>148</v>
      </c>
      <c r="D30" s="6" t="s">
        <v>149</v>
      </c>
      <c r="E30" s="6">
        <v>64</v>
      </c>
      <c r="G30" s="6" t="s">
        <v>58</v>
      </c>
      <c r="H30" s="6" t="s">
        <v>150</v>
      </c>
      <c r="I30" s="6" t="s">
        <v>39</v>
      </c>
      <c r="L30" s="6">
        <v>1</v>
      </c>
      <c r="P30" s="6">
        <v>1</v>
      </c>
      <c r="Y30" s="6">
        <v>1</v>
      </c>
    </row>
    <row r="31" spans="1:32" x14ac:dyDescent="0.25">
      <c r="A31" s="10">
        <v>45115</v>
      </c>
      <c r="B31" s="6" t="s">
        <v>112</v>
      </c>
      <c r="C31" s="7" t="s">
        <v>151</v>
      </c>
      <c r="D31" s="6" t="s">
        <v>152</v>
      </c>
      <c r="E31" s="6">
        <v>32</v>
      </c>
      <c r="G31" s="6" t="s">
        <v>37</v>
      </c>
      <c r="H31" s="6" t="s">
        <v>153</v>
      </c>
      <c r="I31" s="6" t="s">
        <v>39</v>
      </c>
      <c r="L31" s="6">
        <v>1</v>
      </c>
      <c r="P31" s="6">
        <v>1</v>
      </c>
      <c r="Y31" s="6">
        <v>1</v>
      </c>
    </row>
    <row r="32" spans="1:32" x14ac:dyDescent="0.25">
      <c r="A32" s="5" t="s">
        <v>154</v>
      </c>
      <c r="B32" s="6" t="s">
        <v>147</v>
      </c>
      <c r="C32" s="8" t="s">
        <v>155</v>
      </c>
      <c r="D32" s="6" t="s">
        <v>156</v>
      </c>
      <c r="E32" s="6">
        <v>26</v>
      </c>
      <c r="G32" s="6" t="s">
        <v>37</v>
      </c>
      <c r="H32" s="6" t="s">
        <v>44</v>
      </c>
      <c r="I32" s="6" t="s">
        <v>39</v>
      </c>
      <c r="L32" s="6">
        <v>1</v>
      </c>
      <c r="P32" s="6">
        <v>1</v>
      </c>
      <c r="Y32" s="6">
        <v>1</v>
      </c>
    </row>
    <row r="33" spans="1:29" x14ac:dyDescent="0.25">
      <c r="A33" s="5" t="s">
        <v>157</v>
      </c>
      <c r="B33" s="6" t="s">
        <v>158</v>
      </c>
      <c r="C33" s="8" t="s">
        <v>159</v>
      </c>
      <c r="D33" s="6" t="s">
        <v>160</v>
      </c>
      <c r="E33" s="6">
        <v>56</v>
      </c>
      <c r="G33" s="6" t="s">
        <v>37</v>
      </c>
      <c r="H33" s="6" t="s">
        <v>161</v>
      </c>
      <c r="I33" s="6" t="s">
        <v>39</v>
      </c>
      <c r="L33" s="6"/>
      <c r="M33" s="7">
        <v>1</v>
      </c>
      <c r="P33" s="6">
        <v>1</v>
      </c>
      <c r="Y33" s="6">
        <v>1</v>
      </c>
    </row>
    <row r="34" spans="1:29" x14ac:dyDescent="0.25">
      <c r="A34" s="10">
        <v>45574</v>
      </c>
      <c r="B34" s="6" t="s">
        <v>147</v>
      </c>
      <c r="C34" s="8" t="s">
        <v>162</v>
      </c>
      <c r="D34" s="6" t="s">
        <v>163</v>
      </c>
      <c r="E34" s="6">
        <v>50</v>
      </c>
      <c r="G34" s="6" t="s">
        <v>37</v>
      </c>
      <c r="H34" s="6" t="s">
        <v>164</v>
      </c>
      <c r="I34" s="6" t="s">
        <v>39</v>
      </c>
      <c r="L34" s="6">
        <v>1</v>
      </c>
      <c r="P34" s="6">
        <v>1</v>
      </c>
      <c r="Y34" s="6">
        <v>1</v>
      </c>
    </row>
    <row r="35" spans="1:29" x14ac:dyDescent="0.25">
      <c r="A35" s="10">
        <v>45748</v>
      </c>
      <c r="B35" s="6" t="s">
        <v>165</v>
      </c>
      <c r="C35" s="8" t="s">
        <v>166</v>
      </c>
      <c r="D35" s="6" t="s">
        <v>167</v>
      </c>
      <c r="E35" s="6">
        <v>55</v>
      </c>
      <c r="G35" s="6" t="s">
        <v>37</v>
      </c>
      <c r="H35" s="6" t="s">
        <v>127</v>
      </c>
      <c r="I35" s="6" t="s">
        <v>39</v>
      </c>
      <c r="L35" s="6">
        <v>1</v>
      </c>
      <c r="N35" s="7">
        <v>1</v>
      </c>
      <c r="P35" s="6"/>
      <c r="Y35" s="6">
        <v>1</v>
      </c>
    </row>
    <row r="36" spans="1:29" ht="15.75" x14ac:dyDescent="0.25">
      <c r="A36" s="5" t="s">
        <v>168</v>
      </c>
      <c r="B36" s="6" t="s">
        <v>65</v>
      </c>
      <c r="C36" s="9" t="s">
        <v>169</v>
      </c>
      <c r="D36" s="6" t="s">
        <v>170</v>
      </c>
      <c r="E36" s="6">
        <v>60</v>
      </c>
      <c r="G36" s="6" t="s">
        <v>58</v>
      </c>
      <c r="H36" s="6" t="s">
        <v>59</v>
      </c>
      <c r="I36" s="6" t="s">
        <v>39</v>
      </c>
      <c r="L36" s="6">
        <v>1</v>
      </c>
      <c r="P36" s="6">
        <v>1</v>
      </c>
      <c r="Y36" s="6">
        <v>1</v>
      </c>
    </row>
    <row r="37" spans="1:29" x14ac:dyDescent="0.25">
      <c r="A37" s="5" t="s">
        <v>171</v>
      </c>
      <c r="B37" s="6" t="s">
        <v>137</v>
      </c>
      <c r="C37" s="8" t="s">
        <v>172</v>
      </c>
      <c r="D37" s="6" t="s">
        <v>173</v>
      </c>
      <c r="E37" s="6">
        <v>57</v>
      </c>
      <c r="G37" s="6" t="s">
        <v>58</v>
      </c>
      <c r="H37" s="6" t="s">
        <v>150</v>
      </c>
      <c r="I37" s="6" t="s">
        <v>39</v>
      </c>
      <c r="L37" s="6">
        <v>1</v>
      </c>
      <c r="P37" s="6">
        <v>1</v>
      </c>
      <c r="Y37" s="6">
        <v>1</v>
      </c>
    </row>
    <row r="38" spans="1:29" x14ac:dyDescent="0.25">
      <c r="A38" s="5" t="s">
        <v>174</v>
      </c>
      <c r="B38" s="6" t="s">
        <v>175</v>
      </c>
      <c r="C38" s="8" t="s">
        <v>176</v>
      </c>
      <c r="D38" s="6" t="s">
        <v>177</v>
      </c>
      <c r="E38" s="6">
        <v>20</v>
      </c>
      <c r="G38" s="6" t="s">
        <v>37</v>
      </c>
      <c r="H38" s="13" t="s">
        <v>59</v>
      </c>
      <c r="I38" s="6" t="s">
        <v>39</v>
      </c>
      <c r="L38" s="6">
        <v>1</v>
      </c>
      <c r="P38" s="6">
        <v>1</v>
      </c>
      <c r="Y38" s="6">
        <v>1</v>
      </c>
    </row>
    <row r="39" spans="1:29" ht="15.75" x14ac:dyDescent="0.25">
      <c r="A39" s="5" t="s">
        <v>178</v>
      </c>
      <c r="B39" s="6" t="s">
        <v>175</v>
      </c>
      <c r="C39" s="11" t="s">
        <v>179</v>
      </c>
      <c r="D39" s="6" t="s">
        <v>180</v>
      </c>
      <c r="E39" s="6">
        <v>74</v>
      </c>
      <c r="G39" s="6" t="s">
        <v>58</v>
      </c>
      <c r="H39" s="6" t="s">
        <v>150</v>
      </c>
      <c r="I39" s="6" t="s">
        <v>39</v>
      </c>
      <c r="L39" s="6">
        <v>1</v>
      </c>
      <c r="P39" s="6">
        <v>1</v>
      </c>
      <c r="Y39" s="6">
        <v>1</v>
      </c>
    </row>
    <row r="40" spans="1:29" x14ac:dyDescent="0.25">
      <c r="A40" s="10">
        <v>45870</v>
      </c>
      <c r="B40" s="6" t="s">
        <v>181</v>
      </c>
      <c r="C40" s="8" t="s">
        <v>182</v>
      </c>
      <c r="D40" s="6" t="s">
        <v>183</v>
      </c>
      <c r="E40" s="6">
        <v>31</v>
      </c>
      <c r="G40" s="6" t="s">
        <v>37</v>
      </c>
      <c r="H40" s="14" t="s">
        <v>44</v>
      </c>
      <c r="I40" s="6" t="s">
        <v>39</v>
      </c>
      <c r="L40" s="6">
        <v>1</v>
      </c>
      <c r="N40" s="7">
        <v>1</v>
      </c>
      <c r="P40" s="6"/>
      <c r="Y40" s="6">
        <v>1</v>
      </c>
    </row>
    <row r="41" spans="1:29" x14ac:dyDescent="0.25">
      <c r="A41" s="5" t="s">
        <v>184</v>
      </c>
      <c r="B41" s="6" t="s">
        <v>120</v>
      </c>
      <c r="C41" s="7" t="s">
        <v>185</v>
      </c>
      <c r="D41" s="6" t="s">
        <v>186</v>
      </c>
      <c r="E41" s="6">
        <v>38</v>
      </c>
      <c r="G41" s="6" t="s">
        <v>37</v>
      </c>
      <c r="H41" s="6" t="s">
        <v>38</v>
      </c>
      <c r="I41" s="6" t="s">
        <v>39</v>
      </c>
      <c r="L41" s="6">
        <v>1</v>
      </c>
      <c r="P41" s="6">
        <v>1</v>
      </c>
      <c r="Y41" s="6">
        <v>1</v>
      </c>
    </row>
    <row r="42" spans="1:29" x14ac:dyDescent="0.25">
      <c r="A42" s="10">
        <v>45363</v>
      </c>
      <c r="B42" s="6" t="s">
        <v>46</v>
      </c>
      <c r="C42" s="8" t="s">
        <v>187</v>
      </c>
      <c r="D42" s="6" t="s">
        <v>188</v>
      </c>
      <c r="E42" s="6">
        <v>19</v>
      </c>
      <c r="G42" s="6" t="s">
        <v>37</v>
      </c>
      <c r="H42" s="14" t="s">
        <v>145</v>
      </c>
      <c r="I42" s="6" t="s">
        <v>39</v>
      </c>
      <c r="L42" s="6">
        <v>1</v>
      </c>
      <c r="P42" s="6">
        <v>1</v>
      </c>
      <c r="Y42" s="6">
        <v>1</v>
      </c>
    </row>
    <row r="43" spans="1:29" x14ac:dyDescent="0.25">
      <c r="A43" s="5" t="s">
        <v>189</v>
      </c>
      <c r="B43" s="6" t="s">
        <v>34</v>
      </c>
      <c r="C43" s="8" t="s">
        <v>190</v>
      </c>
      <c r="D43" s="6" t="s">
        <v>191</v>
      </c>
      <c r="E43" s="6">
        <v>41</v>
      </c>
      <c r="G43" s="6" t="s">
        <v>37</v>
      </c>
      <c r="H43" s="14" t="s">
        <v>192</v>
      </c>
      <c r="I43" s="6" t="s">
        <v>50</v>
      </c>
      <c r="L43" s="6">
        <v>1</v>
      </c>
      <c r="P43" s="6">
        <v>1</v>
      </c>
      <c r="Y43" s="6">
        <v>1</v>
      </c>
    </row>
    <row r="44" spans="1:29" x14ac:dyDescent="0.25">
      <c r="A44" s="10">
        <v>45901</v>
      </c>
      <c r="B44" s="6" t="s">
        <v>193</v>
      </c>
      <c r="C44" s="8" t="s">
        <v>194</v>
      </c>
      <c r="D44" s="6" t="s">
        <v>195</v>
      </c>
      <c r="E44" s="6">
        <v>44</v>
      </c>
      <c r="F44" s="6"/>
      <c r="G44" s="6" t="s">
        <v>37</v>
      </c>
      <c r="H44" s="6" t="s">
        <v>38</v>
      </c>
      <c r="I44" s="6" t="s">
        <v>39</v>
      </c>
      <c r="K44" s="6"/>
      <c r="L44" s="7">
        <v>1</v>
      </c>
      <c r="N44" s="6">
        <v>1</v>
      </c>
      <c r="T44" s="7">
        <v>1</v>
      </c>
      <c r="AC44" s="6"/>
    </row>
    <row r="45" spans="1:29" x14ac:dyDescent="0.25">
      <c r="A45" s="10">
        <v>44717</v>
      </c>
      <c r="B45" s="6" t="s">
        <v>165</v>
      </c>
      <c r="C45" s="8" t="s">
        <v>196</v>
      </c>
      <c r="D45" s="6" t="s">
        <v>197</v>
      </c>
      <c r="E45" s="6">
        <v>23</v>
      </c>
      <c r="F45" s="6"/>
      <c r="G45" s="6" t="s">
        <v>58</v>
      </c>
      <c r="H45" s="6" t="s">
        <v>59</v>
      </c>
      <c r="I45" s="6" t="s">
        <v>39</v>
      </c>
      <c r="K45" s="6">
        <v>1</v>
      </c>
      <c r="N45" s="6"/>
      <c r="P45" s="7">
        <v>1</v>
      </c>
      <c r="AA45" s="7">
        <v>1</v>
      </c>
      <c r="AC45" s="6"/>
    </row>
    <row r="46" spans="1:29" x14ac:dyDescent="0.25">
      <c r="A46" s="5" t="s">
        <v>45</v>
      </c>
      <c r="B46" s="6" t="s">
        <v>193</v>
      </c>
      <c r="C46" s="8" t="s">
        <v>198</v>
      </c>
      <c r="D46" s="6" t="s">
        <v>199</v>
      </c>
      <c r="E46" s="6">
        <v>35</v>
      </c>
      <c r="F46" s="6"/>
      <c r="G46" s="6" t="s">
        <v>37</v>
      </c>
      <c r="H46" s="6" t="s">
        <v>44</v>
      </c>
      <c r="I46" s="6" t="s">
        <v>39</v>
      </c>
      <c r="K46" s="6"/>
      <c r="L46" s="7">
        <v>1</v>
      </c>
      <c r="N46" s="6"/>
      <c r="P46" s="7">
        <v>1</v>
      </c>
      <c r="R46" s="7">
        <v>1</v>
      </c>
      <c r="V46" s="7">
        <v>1</v>
      </c>
      <c r="AC46" s="6"/>
    </row>
    <row r="47" spans="1:29" ht="15.75" x14ac:dyDescent="0.25">
      <c r="A47" s="10">
        <v>45575</v>
      </c>
      <c r="B47" s="7" t="s">
        <v>65</v>
      </c>
      <c r="C47" s="11" t="s">
        <v>200</v>
      </c>
      <c r="D47" s="7" t="s">
        <v>201</v>
      </c>
      <c r="E47" s="7">
        <v>41</v>
      </c>
      <c r="G47" s="7" t="s">
        <v>37</v>
      </c>
      <c r="H47" s="6" t="s">
        <v>38</v>
      </c>
      <c r="I47" s="7" t="s">
        <v>39</v>
      </c>
      <c r="L47" s="7">
        <v>1</v>
      </c>
      <c r="P47" s="7">
        <v>1</v>
      </c>
      <c r="R47" s="7">
        <v>1</v>
      </c>
    </row>
    <row r="48" spans="1:29" x14ac:dyDescent="0.25">
      <c r="A48" s="5" t="s">
        <v>202</v>
      </c>
      <c r="B48" s="7" t="s">
        <v>203</v>
      </c>
      <c r="C48" s="8" t="s">
        <v>204</v>
      </c>
      <c r="D48" s="7" t="s">
        <v>205</v>
      </c>
      <c r="E48" s="7">
        <v>54</v>
      </c>
      <c r="G48" s="7" t="s">
        <v>58</v>
      </c>
      <c r="H48" s="7" t="s">
        <v>206</v>
      </c>
      <c r="I48" s="7" t="s">
        <v>39</v>
      </c>
      <c r="L48" s="7">
        <v>1</v>
      </c>
      <c r="P48" s="7">
        <v>1</v>
      </c>
      <c r="V48" s="7">
        <v>1</v>
      </c>
    </row>
    <row r="49" spans="1:32" ht="15.75" x14ac:dyDescent="0.25">
      <c r="A49" s="5" t="s">
        <v>207</v>
      </c>
      <c r="B49" s="7" t="s">
        <v>165</v>
      </c>
      <c r="C49" s="11" t="s">
        <v>208</v>
      </c>
      <c r="D49" s="7" t="s">
        <v>209</v>
      </c>
      <c r="E49" s="7">
        <v>48</v>
      </c>
      <c r="G49" s="7" t="s">
        <v>37</v>
      </c>
      <c r="H49" s="7" t="s">
        <v>44</v>
      </c>
      <c r="I49" s="7" t="s">
        <v>39</v>
      </c>
      <c r="L49" s="7">
        <v>1</v>
      </c>
      <c r="N49" s="7">
        <v>1</v>
      </c>
      <c r="X49" s="7">
        <v>1</v>
      </c>
      <c r="Y49" s="7">
        <v>1</v>
      </c>
    </row>
    <row r="50" spans="1:32" x14ac:dyDescent="0.25">
      <c r="A50" s="5" t="s">
        <v>140</v>
      </c>
      <c r="B50" s="7" t="s">
        <v>70</v>
      </c>
      <c r="C50" s="8" t="s">
        <v>141</v>
      </c>
      <c r="D50" s="7" t="s">
        <v>142</v>
      </c>
      <c r="E50" s="7">
        <v>38</v>
      </c>
      <c r="G50" s="7" t="s">
        <v>37</v>
      </c>
      <c r="H50" s="6" t="s">
        <v>38</v>
      </c>
      <c r="I50" s="7" t="s">
        <v>39</v>
      </c>
      <c r="K50" s="7">
        <v>1</v>
      </c>
      <c r="P50" s="7">
        <v>1</v>
      </c>
      <c r="Y50" s="7">
        <v>1</v>
      </c>
      <c r="AA50" s="7">
        <v>1</v>
      </c>
      <c r="AF50" s="7">
        <v>1</v>
      </c>
    </row>
    <row r="51" spans="1:32" x14ac:dyDescent="0.25">
      <c r="A51" s="5" t="s">
        <v>210</v>
      </c>
      <c r="B51" s="7" t="s">
        <v>97</v>
      </c>
      <c r="C51" s="8" t="s">
        <v>211</v>
      </c>
      <c r="D51" s="7" t="s">
        <v>212</v>
      </c>
      <c r="E51" s="7">
        <v>55</v>
      </c>
      <c r="G51" s="7" t="s">
        <v>37</v>
      </c>
      <c r="H51" s="7" t="s">
        <v>44</v>
      </c>
      <c r="I51" s="7" t="s">
        <v>39</v>
      </c>
      <c r="L51" s="7">
        <v>1</v>
      </c>
      <c r="P51" s="7">
        <v>1</v>
      </c>
      <c r="AC51" s="7">
        <v>1</v>
      </c>
    </row>
    <row r="52" spans="1:32" x14ac:dyDescent="0.25">
      <c r="A52" s="5" t="s">
        <v>213</v>
      </c>
      <c r="B52" s="7" t="s">
        <v>214</v>
      </c>
      <c r="C52" s="15" t="s">
        <v>215</v>
      </c>
      <c r="D52" s="7" t="s">
        <v>216</v>
      </c>
      <c r="E52" s="7">
        <v>30</v>
      </c>
      <c r="G52" s="7" t="s">
        <v>37</v>
      </c>
      <c r="H52" s="7" t="s">
        <v>217</v>
      </c>
      <c r="I52" s="7" t="s">
        <v>39</v>
      </c>
      <c r="L52" s="7">
        <v>1</v>
      </c>
      <c r="N52" s="7">
        <v>1</v>
      </c>
      <c r="U52" s="7">
        <v>1</v>
      </c>
      <c r="Y52" s="7">
        <v>1</v>
      </c>
      <c r="AB52" s="7">
        <v>1</v>
      </c>
      <c r="AC52" s="7">
        <v>1</v>
      </c>
    </row>
    <row r="53" spans="1:32" ht="15.75" x14ac:dyDescent="0.25">
      <c r="A53" s="5" t="s">
        <v>218</v>
      </c>
      <c r="B53" s="7" t="s">
        <v>112</v>
      </c>
      <c r="C53" s="11" t="s">
        <v>219</v>
      </c>
      <c r="D53" s="7" t="s">
        <v>220</v>
      </c>
      <c r="E53" s="7">
        <v>68</v>
      </c>
      <c r="G53" s="7" t="s">
        <v>58</v>
      </c>
      <c r="H53" s="7" t="s">
        <v>221</v>
      </c>
      <c r="I53" s="7" t="s">
        <v>39</v>
      </c>
      <c r="L53" s="7">
        <v>1</v>
      </c>
      <c r="N53" s="7">
        <v>1</v>
      </c>
      <c r="AC53" s="7">
        <v>1</v>
      </c>
    </row>
    <row r="54" spans="1:32" x14ac:dyDescent="0.25">
      <c r="A54" s="5" t="s">
        <v>222</v>
      </c>
      <c r="B54" s="7" t="s">
        <v>223</v>
      </c>
      <c r="C54" s="8" t="s">
        <v>224</v>
      </c>
      <c r="D54" s="7" t="s">
        <v>225</v>
      </c>
      <c r="E54" s="7">
        <v>36</v>
      </c>
      <c r="G54" s="7" t="s">
        <v>58</v>
      </c>
      <c r="H54" s="7" t="s">
        <v>226</v>
      </c>
      <c r="I54" s="7" t="s">
        <v>39</v>
      </c>
      <c r="M54" s="7">
        <v>1</v>
      </c>
      <c r="P54" s="7">
        <v>1</v>
      </c>
      <c r="AC54" s="7">
        <v>1</v>
      </c>
    </row>
    <row r="55" spans="1:32" ht="15.75" x14ac:dyDescent="0.25">
      <c r="A55" s="5" t="s">
        <v>227</v>
      </c>
      <c r="B55" s="7" t="s">
        <v>55</v>
      </c>
      <c r="C55" s="11" t="s">
        <v>228</v>
      </c>
      <c r="D55" s="7" t="s">
        <v>229</v>
      </c>
      <c r="E55" s="7">
        <v>50</v>
      </c>
      <c r="G55" s="7" t="s">
        <v>37</v>
      </c>
      <c r="H55" s="7" t="s">
        <v>230</v>
      </c>
      <c r="I55" s="7" t="s">
        <v>39</v>
      </c>
      <c r="K55" s="7">
        <v>1</v>
      </c>
      <c r="P55" s="7">
        <v>1</v>
      </c>
      <c r="V55" s="7">
        <v>1</v>
      </c>
      <c r="W55" s="7">
        <v>1</v>
      </c>
      <c r="Y55" s="7">
        <v>1</v>
      </c>
    </row>
    <row r="56" spans="1:32" x14ac:dyDescent="0.25">
      <c r="A56" s="10">
        <v>45870</v>
      </c>
      <c r="B56" s="7" t="s">
        <v>87</v>
      </c>
      <c r="C56" s="8" t="s">
        <v>231</v>
      </c>
      <c r="D56" s="7" t="s">
        <v>232</v>
      </c>
      <c r="E56" s="7">
        <v>26</v>
      </c>
      <c r="G56" s="7" t="s">
        <v>37</v>
      </c>
      <c r="H56" s="7" t="s">
        <v>233</v>
      </c>
      <c r="I56" s="7" t="s">
        <v>39</v>
      </c>
      <c r="L56" s="7">
        <v>1</v>
      </c>
      <c r="N56" s="7">
        <v>1</v>
      </c>
      <c r="V56" s="7">
        <v>1</v>
      </c>
      <c r="W56" s="7">
        <v>1</v>
      </c>
    </row>
    <row r="57" spans="1:32" x14ac:dyDescent="0.25">
      <c r="A57" s="5" t="s">
        <v>234</v>
      </c>
      <c r="B57" s="7" t="s">
        <v>61</v>
      </c>
      <c r="C57" s="7" t="s">
        <v>235</v>
      </c>
      <c r="D57" s="7" t="s">
        <v>236</v>
      </c>
      <c r="E57" s="7">
        <v>26</v>
      </c>
      <c r="G57" s="7" t="s">
        <v>58</v>
      </c>
      <c r="H57" s="7" t="s">
        <v>237</v>
      </c>
      <c r="I57" s="7" t="s">
        <v>39</v>
      </c>
      <c r="L57" s="7">
        <v>1</v>
      </c>
      <c r="N57" s="7">
        <v>1</v>
      </c>
      <c r="R57" s="7">
        <v>1</v>
      </c>
      <c r="AA57" s="7">
        <v>1</v>
      </c>
      <c r="AC57" s="7">
        <v>1</v>
      </c>
    </row>
    <row r="58" spans="1:32" x14ac:dyDescent="0.25">
      <c r="A58" s="5" t="s">
        <v>238</v>
      </c>
      <c r="B58" s="7" t="s">
        <v>70</v>
      </c>
      <c r="C58" s="15" t="s">
        <v>239</v>
      </c>
      <c r="D58" s="7" t="s">
        <v>240</v>
      </c>
      <c r="E58" s="7">
        <v>53</v>
      </c>
      <c r="G58" s="7" t="s">
        <v>37</v>
      </c>
      <c r="H58" s="6" t="s">
        <v>38</v>
      </c>
      <c r="I58" s="7" t="s">
        <v>39</v>
      </c>
      <c r="M58" s="7">
        <v>1</v>
      </c>
      <c r="P58" s="7">
        <v>1</v>
      </c>
      <c r="Y58" s="7">
        <v>1</v>
      </c>
    </row>
    <row r="59" spans="1:32" x14ac:dyDescent="0.25">
      <c r="A59" s="5" t="s">
        <v>241</v>
      </c>
      <c r="B59" s="7" t="s">
        <v>70</v>
      </c>
      <c r="C59" s="8" t="s">
        <v>242</v>
      </c>
      <c r="D59" s="7" t="s">
        <v>243</v>
      </c>
      <c r="E59" s="7">
        <v>40</v>
      </c>
      <c r="G59" s="7" t="s">
        <v>37</v>
      </c>
      <c r="H59" s="7" t="s">
        <v>145</v>
      </c>
      <c r="I59" s="7" t="s">
        <v>39</v>
      </c>
      <c r="L59" s="7">
        <v>1</v>
      </c>
      <c r="N59" s="7">
        <v>1</v>
      </c>
      <c r="Y59" s="7">
        <v>1</v>
      </c>
    </row>
    <row r="60" spans="1:32" x14ac:dyDescent="0.25">
      <c r="A60" s="10">
        <v>45544</v>
      </c>
      <c r="B60" s="7" t="s">
        <v>61</v>
      </c>
      <c r="C60" s="8" t="s">
        <v>244</v>
      </c>
      <c r="D60" s="7" t="s">
        <v>245</v>
      </c>
      <c r="E60" s="7">
        <v>55</v>
      </c>
      <c r="G60" s="7" t="s">
        <v>37</v>
      </c>
      <c r="H60" s="6" t="s">
        <v>49</v>
      </c>
      <c r="I60" s="7" t="s">
        <v>50</v>
      </c>
      <c r="L60" s="7">
        <v>1</v>
      </c>
      <c r="P60" s="7">
        <v>1</v>
      </c>
      <c r="Y60" s="7">
        <v>1</v>
      </c>
    </row>
    <row r="61" spans="1:32" x14ac:dyDescent="0.25">
      <c r="A61" s="5" t="s">
        <v>60</v>
      </c>
      <c r="B61" s="7" t="s">
        <v>34</v>
      </c>
      <c r="C61" s="8" t="s">
        <v>246</v>
      </c>
      <c r="D61" s="7" t="s">
        <v>247</v>
      </c>
      <c r="E61" s="7">
        <v>42</v>
      </c>
      <c r="G61" s="7" t="s">
        <v>37</v>
      </c>
      <c r="H61" s="6" t="s">
        <v>49</v>
      </c>
      <c r="I61" s="7" t="s">
        <v>50</v>
      </c>
      <c r="M61" s="7">
        <v>1</v>
      </c>
      <c r="P61" s="7">
        <v>1</v>
      </c>
      <c r="Y61" s="7">
        <v>1</v>
      </c>
      <c r="AF61" s="7">
        <v>1</v>
      </c>
    </row>
    <row r="62" spans="1:32" x14ac:dyDescent="0.25">
      <c r="A62" s="10">
        <v>44658</v>
      </c>
      <c r="B62" s="7" t="s">
        <v>46</v>
      </c>
      <c r="C62" s="8" t="s">
        <v>248</v>
      </c>
      <c r="D62" s="7" t="s">
        <v>249</v>
      </c>
      <c r="E62" s="7">
        <v>68</v>
      </c>
      <c r="G62" s="7" t="s">
        <v>58</v>
      </c>
      <c r="H62" s="7" t="s">
        <v>44</v>
      </c>
      <c r="I62" s="7" t="s">
        <v>39</v>
      </c>
      <c r="M62" s="7">
        <v>1</v>
      </c>
      <c r="P62" s="7">
        <v>1</v>
      </c>
      <c r="Y62" s="7">
        <v>1</v>
      </c>
    </row>
    <row r="63" spans="1:32" x14ac:dyDescent="0.25">
      <c r="A63" s="5" t="s">
        <v>250</v>
      </c>
      <c r="B63" s="7" t="s">
        <v>137</v>
      </c>
      <c r="C63" s="15" t="s">
        <v>251</v>
      </c>
      <c r="D63" s="7" t="s">
        <v>252</v>
      </c>
      <c r="E63" s="7">
        <v>50</v>
      </c>
      <c r="G63" s="7" t="s">
        <v>37</v>
      </c>
      <c r="H63" s="7" t="s">
        <v>44</v>
      </c>
      <c r="I63" s="7" t="s">
        <v>39</v>
      </c>
      <c r="M63" s="7">
        <v>1</v>
      </c>
      <c r="P63" s="7">
        <v>1</v>
      </c>
      <c r="Y63" s="7">
        <v>1</v>
      </c>
    </row>
    <row r="64" spans="1:32" x14ac:dyDescent="0.25">
      <c r="A64" s="5" t="s">
        <v>253</v>
      </c>
      <c r="B64" s="7" t="s">
        <v>158</v>
      </c>
      <c r="C64" s="8" t="s">
        <v>254</v>
      </c>
      <c r="D64" s="7" t="s">
        <v>255</v>
      </c>
      <c r="E64" s="7">
        <v>65</v>
      </c>
      <c r="G64" s="7" t="s">
        <v>58</v>
      </c>
      <c r="H64" s="6" t="s">
        <v>150</v>
      </c>
      <c r="I64" s="7" t="s">
        <v>39</v>
      </c>
      <c r="M64" s="7">
        <v>1</v>
      </c>
      <c r="P64" s="7">
        <v>1</v>
      </c>
      <c r="Y64" s="7">
        <v>1</v>
      </c>
    </row>
    <row r="65" spans="1:32" ht="15.75" x14ac:dyDescent="0.25">
      <c r="A65" s="10">
        <v>45809</v>
      </c>
      <c r="B65" s="7" t="s">
        <v>116</v>
      </c>
      <c r="C65" s="11" t="s">
        <v>256</v>
      </c>
      <c r="D65" s="7" t="s">
        <v>257</v>
      </c>
      <c r="E65" s="7">
        <v>43</v>
      </c>
      <c r="G65" s="7" t="s">
        <v>37</v>
      </c>
      <c r="H65" s="6" t="s">
        <v>38</v>
      </c>
      <c r="I65" s="7" t="s">
        <v>39</v>
      </c>
      <c r="L65" s="7">
        <v>1</v>
      </c>
      <c r="N65" s="7">
        <v>1</v>
      </c>
      <c r="Y65" s="7">
        <v>1</v>
      </c>
    </row>
    <row r="66" spans="1:32" x14ac:dyDescent="0.25">
      <c r="A66" s="5" t="s">
        <v>258</v>
      </c>
      <c r="B66" s="7" t="s">
        <v>55</v>
      </c>
      <c r="C66" s="8" t="s">
        <v>259</v>
      </c>
      <c r="D66" s="7" t="s">
        <v>260</v>
      </c>
      <c r="E66" s="7">
        <v>45</v>
      </c>
      <c r="G66" s="7" t="s">
        <v>37</v>
      </c>
      <c r="H66" s="6" t="s">
        <v>38</v>
      </c>
      <c r="I66" s="7" t="s">
        <v>39</v>
      </c>
      <c r="L66" s="7">
        <v>1</v>
      </c>
      <c r="P66" s="7">
        <v>1</v>
      </c>
      <c r="Y66" s="7">
        <v>1</v>
      </c>
    </row>
    <row r="67" spans="1:32" ht="15.75" x14ac:dyDescent="0.25">
      <c r="A67" s="5" t="s">
        <v>241</v>
      </c>
      <c r="B67" s="7" t="s">
        <v>55</v>
      </c>
      <c r="C67" s="11" t="s">
        <v>261</v>
      </c>
      <c r="D67" s="7" t="s">
        <v>262</v>
      </c>
      <c r="E67" s="7">
        <v>34</v>
      </c>
      <c r="G67" s="7" t="s">
        <v>58</v>
      </c>
      <c r="H67" s="7" t="s">
        <v>263</v>
      </c>
      <c r="I67" s="7" t="s">
        <v>39</v>
      </c>
      <c r="K67" s="7">
        <v>1</v>
      </c>
      <c r="N67" s="7">
        <v>1</v>
      </c>
      <c r="Q67" s="7">
        <v>1</v>
      </c>
      <c r="Y67" s="7">
        <v>1</v>
      </c>
      <c r="Z67" s="7">
        <v>1</v>
      </c>
    </row>
    <row r="68" spans="1:32" x14ac:dyDescent="0.25">
      <c r="A68" s="10">
        <v>45839</v>
      </c>
      <c r="B68" s="7" t="s">
        <v>65</v>
      </c>
      <c r="C68" s="15" t="s">
        <v>264</v>
      </c>
      <c r="D68" s="7" t="s">
        <v>265</v>
      </c>
      <c r="E68" s="7">
        <v>14</v>
      </c>
      <c r="F68" s="7">
        <v>1</v>
      </c>
      <c r="G68" s="7" t="s">
        <v>58</v>
      </c>
      <c r="H68" s="7" t="s">
        <v>266</v>
      </c>
      <c r="I68" s="7" t="s">
        <v>267</v>
      </c>
      <c r="L68" s="7">
        <v>1</v>
      </c>
      <c r="N68" s="7">
        <v>1</v>
      </c>
      <c r="Q68" s="7">
        <v>1</v>
      </c>
      <c r="U68" s="7">
        <v>1</v>
      </c>
      <c r="X68" s="7">
        <v>1</v>
      </c>
    </row>
    <row r="69" spans="1:32" x14ac:dyDescent="0.25">
      <c r="A69" s="5" t="s">
        <v>268</v>
      </c>
      <c r="B69" s="7" t="s">
        <v>65</v>
      </c>
      <c r="C69" s="8" t="s">
        <v>269</v>
      </c>
      <c r="D69" s="7" t="s">
        <v>270</v>
      </c>
      <c r="E69" s="7">
        <v>54</v>
      </c>
      <c r="G69" s="7" t="s">
        <v>58</v>
      </c>
      <c r="H69" s="6" t="s">
        <v>150</v>
      </c>
      <c r="I69" s="7" t="s">
        <v>39</v>
      </c>
      <c r="L69" s="7">
        <v>1</v>
      </c>
      <c r="O69" s="7">
        <v>1</v>
      </c>
      <c r="P69" s="7">
        <v>1</v>
      </c>
    </row>
    <row r="70" spans="1:32" x14ac:dyDescent="0.25">
      <c r="A70" s="10">
        <v>45870</v>
      </c>
      <c r="B70" s="7" t="s">
        <v>158</v>
      </c>
      <c r="C70" s="8" t="s">
        <v>271</v>
      </c>
      <c r="D70" s="7" t="s">
        <v>272</v>
      </c>
      <c r="E70" s="7">
        <v>55</v>
      </c>
      <c r="G70" s="7" t="s">
        <v>37</v>
      </c>
      <c r="H70" s="14" t="s">
        <v>192</v>
      </c>
      <c r="I70" s="7" t="s">
        <v>50</v>
      </c>
      <c r="L70" s="7">
        <v>1</v>
      </c>
      <c r="N70" s="7">
        <v>1</v>
      </c>
      <c r="O70" s="7">
        <v>1</v>
      </c>
      <c r="U70" s="7">
        <v>1</v>
      </c>
      <c r="AB70" s="7">
        <v>1</v>
      </c>
    </row>
    <row r="71" spans="1:32" x14ac:dyDescent="0.25">
      <c r="A71" s="10">
        <v>45901</v>
      </c>
      <c r="B71" s="7" t="s">
        <v>91</v>
      </c>
      <c r="C71" s="15" t="s">
        <v>273</v>
      </c>
      <c r="D71" s="7" t="s">
        <v>274</v>
      </c>
      <c r="E71" s="7">
        <v>54</v>
      </c>
      <c r="G71" s="7" t="s">
        <v>37</v>
      </c>
      <c r="H71" s="14" t="s">
        <v>44</v>
      </c>
      <c r="I71" s="7" t="s">
        <v>39</v>
      </c>
      <c r="K71" s="7">
        <v>1</v>
      </c>
      <c r="N71" s="7">
        <v>1</v>
      </c>
      <c r="U71" s="7">
        <v>1</v>
      </c>
      <c r="V71" s="7">
        <v>1</v>
      </c>
      <c r="W71" s="7">
        <v>1</v>
      </c>
    </row>
    <row r="72" spans="1:32" x14ac:dyDescent="0.25">
      <c r="A72" s="10">
        <v>45870</v>
      </c>
      <c r="B72" s="7" t="s">
        <v>46</v>
      </c>
      <c r="C72" s="7" t="s">
        <v>275</v>
      </c>
      <c r="D72" s="7" t="s">
        <v>276</v>
      </c>
      <c r="E72" s="7">
        <v>35</v>
      </c>
      <c r="G72" s="7" t="s">
        <v>37</v>
      </c>
      <c r="H72" s="6" t="s">
        <v>38</v>
      </c>
      <c r="I72" s="7" t="s">
        <v>39</v>
      </c>
      <c r="L72" s="7">
        <v>1</v>
      </c>
      <c r="N72" s="7">
        <v>1</v>
      </c>
      <c r="Q72" s="7">
        <v>1</v>
      </c>
      <c r="R72" s="7">
        <v>1</v>
      </c>
      <c r="Y72" s="7">
        <v>1</v>
      </c>
      <c r="AC72" s="7">
        <v>1</v>
      </c>
    </row>
    <row r="73" spans="1:32" x14ac:dyDescent="0.25">
      <c r="A73" s="10">
        <v>45870</v>
      </c>
      <c r="B73" s="7" t="s">
        <v>277</v>
      </c>
      <c r="D73" s="7" t="s">
        <v>278</v>
      </c>
      <c r="E73" s="7" t="s">
        <v>279</v>
      </c>
      <c r="G73" s="7" t="s">
        <v>37</v>
      </c>
      <c r="H73" s="7" t="s">
        <v>44</v>
      </c>
      <c r="I73" s="7" t="s">
        <v>39</v>
      </c>
      <c r="L73" s="7">
        <v>1</v>
      </c>
      <c r="N73" s="7">
        <v>1</v>
      </c>
      <c r="O73" s="7">
        <v>1</v>
      </c>
      <c r="X73" s="7">
        <v>1</v>
      </c>
      <c r="Y73" s="7">
        <v>1</v>
      </c>
      <c r="Z73" s="7">
        <v>1</v>
      </c>
      <c r="AB73" s="7">
        <v>1</v>
      </c>
    </row>
    <row r="74" spans="1:32" x14ac:dyDescent="0.25">
      <c r="A74" s="5" t="s">
        <v>280</v>
      </c>
      <c r="B74" s="7" t="s">
        <v>165</v>
      </c>
      <c r="C74" s="8" t="s">
        <v>281</v>
      </c>
      <c r="D74" s="7" t="s">
        <v>282</v>
      </c>
      <c r="E74" s="7">
        <v>33</v>
      </c>
      <c r="G74" s="7" t="s">
        <v>58</v>
      </c>
      <c r="H74" s="7" t="s">
        <v>283</v>
      </c>
      <c r="I74" s="7" t="s">
        <v>50</v>
      </c>
      <c r="L74" s="7">
        <v>1</v>
      </c>
      <c r="P74" s="7">
        <v>1</v>
      </c>
      <c r="AC74" s="7">
        <v>1</v>
      </c>
    </row>
    <row r="75" spans="1:32" x14ac:dyDescent="0.25">
      <c r="A75" s="10">
        <v>45332</v>
      </c>
      <c r="B75" s="7" t="s">
        <v>124</v>
      </c>
      <c r="C75" s="8" t="s">
        <v>284</v>
      </c>
      <c r="D75" s="7" t="s">
        <v>285</v>
      </c>
      <c r="E75" s="7">
        <v>18</v>
      </c>
      <c r="G75" s="7" t="s">
        <v>37</v>
      </c>
      <c r="H75" s="7" t="s">
        <v>283</v>
      </c>
      <c r="I75" s="7" t="s">
        <v>50</v>
      </c>
      <c r="M75" s="7">
        <v>1</v>
      </c>
      <c r="P75" s="7">
        <v>1</v>
      </c>
      <c r="AC75" s="7">
        <v>1</v>
      </c>
    </row>
    <row r="76" spans="1:32" x14ac:dyDescent="0.25">
      <c r="A76" s="10">
        <v>45235</v>
      </c>
      <c r="B76" s="7" t="s">
        <v>87</v>
      </c>
      <c r="C76" s="8" t="s">
        <v>286</v>
      </c>
      <c r="D76" s="7" t="s">
        <v>287</v>
      </c>
      <c r="E76" s="7">
        <v>11</v>
      </c>
      <c r="F76" s="7">
        <v>1</v>
      </c>
      <c r="G76" s="7" t="s">
        <v>58</v>
      </c>
      <c r="H76" s="7" t="s">
        <v>288</v>
      </c>
      <c r="I76" s="7" t="s">
        <v>39</v>
      </c>
      <c r="M76" s="7">
        <v>1</v>
      </c>
      <c r="O76" s="7">
        <v>1</v>
      </c>
      <c r="P76" s="7">
        <v>1</v>
      </c>
      <c r="AF76" s="7">
        <v>1</v>
      </c>
    </row>
    <row r="77" spans="1:32" ht="15.75" x14ac:dyDescent="0.25">
      <c r="A77" s="5" t="s">
        <v>33</v>
      </c>
      <c r="B77" s="7" t="s">
        <v>203</v>
      </c>
      <c r="C77" s="11" t="s">
        <v>289</v>
      </c>
      <c r="D77" s="7" t="s">
        <v>290</v>
      </c>
      <c r="E77" s="7">
        <v>23</v>
      </c>
      <c r="G77" s="7" t="s">
        <v>58</v>
      </c>
      <c r="H77" s="7" t="s">
        <v>291</v>
      </c>
      <c r="I77" s="7" t="s">
        <v>39</v>
      </c>
      <c r="L77" s="7">
        <v>1</v>
      </c>
      <c r="P77" s="7">
        <v>1</v>
      </c>
      <c r="AC77" s="7">
        <v>1</v>
      </c>
    </row>
    <row r="78" spans="1:32" ht="15.75" x14ac:dyDescent="0.25">
      <c r="A78" s="5" t="s">
        <v>292</v>
      </c>
      <c r="B78" s="7" t="s">
        <v>70</v>
      </c>
      <c r="C78" s="11" t="s">
        <v>293</v>
      </c>
      <c r="D78" s="7" t="s">
        <v>294</v>
      </c>
      <c r="E78" s="7">
        <v>43</v>
      </c>
      <c r="G78" s="7" t="s">
        <v>37</v>
      </c>
      <c r="H78" s="7" t="s">
        <v>295</v>
      </c>
      <c r="I78" s="7" t="s">
        <v>267</v>
      </c>
      <c r="L78" s="7">
        <v>1</v>
      </c>
      <c r="N78" s="7">
        <v>1</v>
      </c>
      <c r="AC78" s="7">
        <v>1</v>
      </c>
    </row>
    <row r="79" spans="1:32" x14ac:dyDescent="0.25">
      <c r="A79" s="5" t="s">
        <v>292</v>
      </c>
      <c r="B79" s="7" t="s">
        <v>41</v>
      </c>
      <c r="C79" s="8" t="s">
        <v>296</v>
      </c>
      <c r="D79" s="7" t="s">
        <v>297</v>
      </c>
      <c r="E79" s="7">
        <v>37</v>
      </c>
      <c r="G79" s="7" t="s">
        <v>37</v>
      </c>
      <c r="H79" s="7" t="s">
        <v>44</v>
      </c>
      <c r="I79" s="7" t="s">
        <v>39</v>
      </c>
      <c r="L79" s="7">
        <v>1</v>
      </c>
      <c r="N79" s="7">
        <v>1</v>
      </c>
      <c r="AC79" s="7">
        <v>1</v>
      </c>
    </row>
    <row r="80" spans="1:32" x14ac:dyDescent="0.25">
      <c r="A80" s="5" t="s">
        <v>298</v>
      </c>
      <c r="B80" s="7" t="s">
        <v>87</v>
      </c>
      <c r="C80" s="8" t="s">
        <v>299</v>
      </c>
      <c r="D80" s="7" t="s">
        <v>300</v>
      </c>
      <c r="E80" s="7">
        <v>60</v>
      </c>
      <c r="G80" s="7" t="s">
        <v>37</v>
      </c>
      <c r="H80" s="7" t="s">
        <v>44</v>
      </c>
      <c r="I80" s="7" t="s">
        <v>39</v>
      </c>
      <c r="L80" s="7">
        <v>1</v>
      </c>
      <c r="P80" s="7">
        <v>1</v>
      </c>
      <c r="AC80" s="7">
        <v>1</v>
      </c>
    </row>
    <row r="81" spans="1:30" x14ac:dyDescent="0.25">
      <c r="A81" s="5" t="s">
        <v>301</v>
      </c>
      <c r="B81" s="7" t="s">
        <v>147</v>
      </c>
      <c r="C81" s="15" t="s">
        <v>302</v>
      </c>
      <c r="D81" s="7" t="s">
        <v>303</v>
      </c>
      <c r="E81" s="7">
        <v>27</v>
      </c>
      <c r="G81" s="7" t="s">
        <v>37</v>
      </c>
      <c r="H81" s="7" t="s">
        <v>304</v>
      </c>
      <c r="I81" s="7" t="s">
        <v>39</v>
      </c>
      <c r="M81" s="7">
        <v>1</v>
      </c>
      <c r="P81" s="7">
        <v>1</v>
      </c>
      <c r="V81" s="7">
        <v>1</v>
      </c>
    </row>
    <row r="82" spans="1:30" x14ac:dyDescent="0.25">
      <c r="A82" s="10">
        <v>45269</v>
      </c>
      <c r="B82" s="7" t="s">
        <v>277</v>
      </c>
      <c r="C82" s="8" t="s">
        <v>305</v>
      </c>
      <c r="D82" s="7" t="s">
        <v>306</v>
      </c>
      <c r="E82" s="7">
        <v>64</v>
      </c>
      <c r="G82" s="7" t="s">
        <v>37</v>
      </c>
      <c r="H82" s="7" t="s">
        <v>307</v>
      </c>
      <c r="I82" s="7" t="s">
        <v>267</v>
      </c>
      <c r="L82" s="7">
        <v>1</v>
      </c>
      <c r="P82" s="7">
        <v>1</v>
      </c>
      <c r="AC82" s="7">
        <v>1</v>
      </c>
    </row>
    <row r="83" spans="1:30" x14ac:dyDescent="0.25">
      <c r="A83" s="5" t="s">
        <v>308</v>
      </c>
      <c r="B83" s="7" t="s">
        <v>158</v>
      </c>
      <c r="C83" s="8" t="s">
        <v>309</v>
      </c>
      <c r="D83" s="7" t="s">
        <v>310</v>
      </c>
      <c r="E83" s="7">
        <v>41</v>
      </c>
      <c r="G83" s="7" t="s">
        <v>37</v>
      </c>
      <c r="H83" s="7" t="s">
        <v>311</v>
      </c>
      <c r="I83" s="7" t="s">
        <v>267</v>
      </c>
      <c r="L83" s="7">
        <v>1</v>
      </c>
      <c r="N83" s="7">
        <v>1</v>
      </c>
      <c r="AC83" s="7">
        <v>1</v>
      </c>
    </row>
    <row r="84" spans="1:30" x14ac:dyDescent="0.25">
      <c r="A84" s="5" t="s">
        <v>312</v>
      </c>
      <c r="B84" s="7" t="s">
        <v>87</v>
      </c>
      <c r="C84" s="8" t="s">
        <v>313</v>
      </c>
      <c r="D84" s="7" t="s">
        <v>314</v>
      </c>
      <c r="E84" s="7">
        <v>39</v>
      </c>
      <c r="G84" s="7" t="s">
        <v>37</v>
      </c>
      <c r="H84" s="7" t="s">
        <v>44</v>
      </c>
      <c r="I84" s="7" t="s">
        <v>39</v>
      </c>
      <c r="K84" s="7">
        <v>1</v>
      </c>
      <c r="P84" s="7">
        <v>1</v>
      </c>
      <c r="Y84" s="7">
        <v>1</v>
      </c>
      <c r="AD84" s="7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31" customWidth="1"/>
    <col min="18" max="18" width="11.42578125" customWidth="1"/>
  </cols>
  <sheetData>
    <row r="1" spans="1:18" ht="15.75" x14ac:dyDescent="0.25">
      <c r="A1" s="16" t="s">
        <v>1</v>
      </c>
      <c r="B1" s="16" t="s">
        <v>315</v>
      </c>
      <c r="C1" s="16" t="s">
        <v>58</v>
      </c>
      <c r="D1" s="16" t="s">
        <v>37</v>
      </c>
      <c r="E1" s="16" t="s">
        <v>39</v>
      </c>
      <c r="F1" s="16" t="s">
        <v>50</v>
      </c>
      <c r="G1" s="16" t="s">
        <v>316</v>
      </c>
      <c r="H1" s="16" t="s">
        <v>317</v>
      </c>
      <c r="I1" s="16" t="s">
        <v>318</v>
      </c>
      <c r="J1" s="16" t="s">
        <v>15</v>
      </c>
      <c r="K1" s="16" t="s">
        <v>319</v>
      </c>
      <c r="L1" s="16" t="s">
        <v>320</v>
      </c>
      <c r="M1" s="16" t="s">
        <v>321</v>
      </c>
      <c r="N1" s="16" t="s">
        <v>322</v>
      </c>
      <c r="O1" s="16"/>
    </row>
    <row r="2" spans="1:18" ht="13.5" customHeight="1" x14ac:dyDescent="0.25">
      <c r="A2" s="17" t="s">
        <v>223</v>
      </c>
      <c r="B2" s="6">
        <f>COUNTIF('Treatment Record'!B:B,"Banda")</f>
        <v>1</v>
      </c>
      <c r="C2" s="6">
        <f>COUNTIFS('Treatment Record'!B:B,"Banda", 'Treatment Record'!G:G, "M")</f>
        <v>1</v>
      </c>
      <c r="D2" s="6">
        <f>COUNTIFS('Treatment Record'!B:B,"Banda", 'Treatment Record'!G:G, "F")</f>
        <v>0</v>
      </c>
      <c r="E2" s="6">
        <f>COUNTIFS('Treatment Record'!B:B,"Banda", 'Treatment Record'!I:I, "Ca")</f>
        <v>1</v>
      </c>
      <c r="F2" s="6">
        <f>COUNTIFS('Treatment Record'!B:B,"Banda", 'Treatment Record'!I:I, "Ca/HIV")</f>
        <v>0</v>
      </c>
      <c r="G2" s="6">
        <f>COUNTIFS('Treatment Record'!B:B,"Banda", 'Treatment Record'!I:I, "HIV")</f>
        <v>0</v>
      </c>
      <c r="H2" s="6">
        <f>COUNTIFS('Treatment Record'!B:B,"Banda", 'Treatment Record'!I:I, "Other")</f>
        <v>0</v>
      </c>
      <c r="I2" s="6">
        <f>SUMIFS('Treatment Record'!N:N, 'Treatment Record'!B:B, "Banda")</f>
        <v>0</v>
      </c>
      <c r="J2" s="6">
        <f>SUMIFS('Treatment Record'!P:P, 'Treatment Record'!B:B, "Banda")</f>
        <v>1</v>
      </c>
      <c r="K2" s="6">
        <f>SUMIFS('Treatment Record'!S:S, 'Treatment Record'!B:B, "Banda")</f>
        <v>0</v>
      </c>
      <c r="L2" s="6">
        <v>0</v>
      </c>
      <c r="M2" s="6">
        <f>SUMIFS('Treatment Record'!T:T, 'Treatment Record'!B:B, "Banda")</f>
        <v>0</v>
      </c>
      <c r="N2" s="6">
        <v>0</v>
      </c>
    </row>
    <row r="3" spans="1:18" ht="13.5" customHeight="1" x14ac:dyDescent="0.25">
      <c r="A3" s="17" t="s">
        <v>323</v>
      </c>
      <c r="B3" s="6">
        <f>COUNTIF('Treatment Record'!B:B,"Budiima")</f>
        <v>0</v>
      </c>
      <c r="C3" s="6">
        <f>COUNTIFS('Treatment Record'!B:B,"Budiima", 'Treatment Record'!G:G, "M")</f>
        <v>0</v>
      </c>
      <c r="D3" s="6">
        <f>COUNTIFS('Treatment Record'!B:B,"Budiima", 'Treatment Record'!G:G, "F")</f>
        <v>0</v>
      </c>
      <c r="E3" s="6">
        <f>COUNTIFS('Treatment Record'!B:B,"Budiima", 'Treatment Record'!I:I, "Ca")</f>
        <v>0</v>
      </c>
      <c r="F3" s="6">
        <f>COUNTIFS('Treatment Record'!B:B,"Budiima", 'Treatment Record'!I:I, "Ca/HIV")</f>
        <v>0</v>
      </c>
      <c r="G3" s="6">
        <f>COUNTIFS('Treatment Record'!B:B,"Budiima", 'Treatment Record'!I:I, "HIV")</f>
        <v>0</v>
      </c>
      <c r="H3" s="6">
        <f>COUNTIFS('Treatment Record'!B:B,"Budiima", 'Treatment Record'!I:I, "Other")</f>
        <v>0</v>
      </c>
      <c r="I3" s="6">
        <f>SUMIFS('Treatment Record'!N:N, 'Treatment Record'!B:B, "Budiima")</f>
        <v>0</v>
      </c>
      <c r="J3" s="6">
        <f>SUMIFS('Treatment Record'!P:P, 'Treatment Record'!B:B, "Budiima")</f>
        <v>0</v>
      </c>
      <c r="K3" s="6">
        <f>SUMIFS('Treatment Record'!S:S, 'Treatment Record'!B:B, "Budiima")</f>
        <v>0</v>
      </c>
      <c r="L3" s="6">
        <v>0</v>
      </c>
      <c r="M3" s="6">
        <f>SUMIFS('Treatment Record'!T:T, 'Treatment Record'!B:B, "Budiima")</f>
        <v>0</v>
      </c>
      <c r="N3" s="6">
        <v>0</v>
      </c>
    </row>
    <row r="4" spans="1:18" x14ac:dyDescent="0.25">
      <c r="A4" s="17" t="s">
        <v>147</v>
      </c>
      <c r="B4" s="6">
        <f>COUNTIF('Treatment Record'!B:B,"Budondo")</f>
        <v>4</v>
      </c>
      <c r="C4" s="6">
        <f>COUNTIFS('Treatment Record'!B:B,"Budondo", 'Treatment Record'!G:G, "M")</f>
        <v>1</v>
      </c>
      <c r="D4" s="6">
        <f>COUNTIFS('Treatment Record'!B:B,"Budondo", 'Treatment Record'!G:G, "F")</f>
        <v>3</v>
      </c>
      <c r="E4" s="6">
        <f>COUNTIFS('Treatment Record'!B:B,"Budondo", 'Treatment Record'!I:I, "Ca")</f>
        <v>4</v>
      </c>
      <c r="F4" s="6">
        <f>COUNTIFS('Treatment Record'!B:B,"Budondo", 'Treatment Record'!I:I, "Ca/HIV")</f>
        <v>0</v>
      </c>
      <c r="G4" s="6">
        <f>COUNTIFS('Treatment Record'!B:B,"Budondo", 'Treatment Record'!I:I, "HIV")</f>
        <v>0</v>
      </c>
      <c r="H4" s="6">
        <f>COUNTIFS('Treatment Record'!B:B,"Budondo", 'Treatment Record'!I:I, "Other")</f>
        <v>0</v>
      </c>
      <c r="I4" s="6">
        <f>SUMIFS('Treatment Record'!N:N, 'Treatment Record'!B:B, "Budondo")</f>
        <v>0</v>
      </c>
      <c r="J4" s="6">
        <f>SUMIFS('Treatment Record'!P:P, 'Treatment Record'!B:B, "Budondo")</f>
        <v>4</v>
      </c>
      <c r="K4" s="6">
        <f>SUMIFS('Treatment Record'!S:S, 'Treatment Record'!B:B, "Budondo")</f>
        <v>0</v>
      </c>
      <c r="L4" s="6">
        <v>0</v>
      </c>
      <c r="M4" s="6">
        <f>SUMIFS('Treatment Record'!T:T, 'Treatment Record'!B:B, "Budondo")</f>
        <v>0</v>
      </c>
      <c r="N4" s="6">
        <v>0</v>
      </c>
      <c r="Q4" s="50" t="s">
        <v>324</v>
      </c>
      <c r="R4" s="51"/>
    </row>
    <row r="5" spans="1:18" x14ac:dyDescent="0.25">
      <c r="A5" s="17" t="s">
        <v>91</v>
      </c>
      <c r="B5" s="6">
        <f>COUNTIF('Treatment Record'!B:B,"Bugaya")</f>
        <v>2</v>
      </c>
      <c r="C5" s="6">
        <f>COUNTIFS('Treatment Record'!B:B,"Bugaya", 'Treatment Record'!G:G, "M")</f>
        <v>0</v>
      </c>
      <c r="D5" s="6">
        <f>COUNTIFS('Treatment Record'!B:B,"Bugaya", 'Treatment Record'!G:G, "F")</f>
        <v>2</v>
      </c>
      <c r="E5" s="6">
        <f>COUNTIFS('Treatment Record'!B:B,"Bugaya", 'Treatment Record'!I:I, "Ca")</f>
        <v>2</v>
      </c>
      <c r="F5" s="6">
        <f>COUNTIFS('Treatment Record'!B:B,"Bugaya", 'Treatment Record'!I:I, "Ca/HIV")</f>
        <v>0</v>
      </c>
      <c r="G5" s="6">
        <f>COUNTIFS('Treatment Record'!B:B,"Bugaya", 'Treatment Record'!I:I, "HIV")</f>
        <v>0</v>
      </c>
      <c r="H5" s="6">
        <f>COUNTIFS('Treatment Record'!B:B,"Bugaya", 'Treatment Record'!I:I, "Other")</f>
        <v>0</v>
      </c>
      <c r="I5" s="6">
        <f>SUMIFS('Treatment Record'!N:N, 'Treatment Record'!B:B, "Bugaya")</f>
        <v>2</v>
      </c>
      <c r="J5" s="6">
        <f>SUMIFS('Treatment Record'!P:P, 'Treatment Record'!B:B, "Bugaya")</f>
        <v>0</v>
      </c>
      <c r="K5" s="6">
        <f>SUMIFS('Treatment Record'!S:S, 'Treatment Record'!B:B, "Bugaya")</f>
        <v>0</v>
      </c>
      <c r="L5" s="6">
        <v>0</v>
      </c>
      <c r="M5" s="6">
        <f>SUMIFS('Treatment Record'!T:T, 'Treatment Record'!B:B, "Bugaya")</f>
        <v>1</v>
      </c>
      <c r="N5" s="6">
        <v>0</v>
      </c>
      <c r="Q5" s="3"/>
      <c r="R5" s="3"/>
    </row>
    <row r="6" spans="1:18" x14ac:dyDescent="0.25">
      <c r="A6" s="17" t="s">
        <v>158</v>
      </c>
      <c r="B6" s="6">
        <f>COUNTIF('Treatment Record'!B:B,"Bugembe")</f>
        <v>4</v>
      </c>
      <c r="C6" s="6">
        <f>COUNTIFS('Treatment Record'!B:B,"Bugembe", 'Treatment Record'!G:G, "M")</f>
        <v>1</v>
      </c>
      <c r="D6" s="6">
        <f>COUNTIFS('Treatment Record'!B:B,"Bugembe", 'Treatment Record'!G:G, "F")</f>
        <v>3</v>
      </c>
      <c r="E6" s="6">
        <f>COUNTIFS('Treatment Record'!B:B,"Bugembe", 'Treatment Record'!I:I, "Ca")</f>
        <v>2</v>
      </c>
      <c r="F6" s="6">
        <f>COUNTIFS('Treatment Record'!B:B,"Bugembe", 'Treatment Record'!I:I, "Ca/HIV")</f>
        <v>1</v>
      </c>
      <c r="G6" s="6">
        <f>COUNTIFS('Treatment Record'!B:B,"Bugembe", 'Treatment Record'!I:I, "HIV")</f>
        <v>0</v>
      </c>
      <c r="H6" s="6">
        <f>COUNTIFS('Treatment Record'!B:B,"Bugembe", 'Treatment Record'!I:I, "Other")</f>
        <v>1</v>
      </c>
      <c r="I6" s="6">
        <f>SUMIFS('Treatment Record'!N:N, 'Treatment Record'!B:B, "Bugembe")</f>
        <v>2</v>
      </c>
      <c r="J6" s="6">
        <f>SUMIFS('Treatment Record'!P:P, 'Treatment Record'!B:B, "Bugembe")</f>
        <v>2</v>
      </c>
      <c r="K6" s="6">
        <f>SUMIFS('Treatment Record'!S:S, 'Treatment Record'!B:B, "Bugembe")</f>
        <v>0</v>
      </c>
      <c r="L6" s="6">
        <v>0</v>
      </c>
      <c r="M6" s="6">
        <f>SUMIFS('Treatment Record'!T:T, 'Treatment Record'!B:B, "Bugembe")</f>
        <v>0</v>
      </c>
      <c r="N6" s="6">
        <v>0</v>
      </c>
      <c r="Q6" s="3"/>
      <c r="R6" s="3"/>
    </row>
    <row r="7" spans="1:18" x14ac:dyDescent="0.25">
      <c r="A7" s="17" t="s">
        <v>214</v>
      </c>
      <c r="B7" s="6">
        <f>COUNTIF('Treatment Record'!B:B,"Bugerere")</f>
        <v>1</v>
      </c>
      <c r="C7" s="6">
        <f>COUNTIFS('Treatment Record'!B:B,"Bugerere", 'Treatment Record'!G:G, "M")</f>
        <v>0</v>
      </c>
      <c r="D7" s="6">
        <f>COUNTIFS('Treatment Record'!B:B,"Bugerere", 'Treatment Record'!G:G, "F")</f>
        <v>1</v>
      </c>
      <c r="E7" s="6">
        <f>COUNTIFS('Treatment Record'!B:B,"Bugerere", 'Treatment Record'!I:I, "Ca")</f>
        <v>1</v>
      </c>
      <c r="F7" s="6">
        <f>COUNTIFS('Treatment Record'!B:B,"Bugerere", 'Treatment Record'!I:I, "Ca/HIV")</f>
        <v>0</v>
      </c>
      <c r="G7" s="6">
        <f>COUNTIFS('Treatment Record'!B:B,"Bugerere", 'Treatment Record'!I:I, "HIV")</f>
        <v>0</v>
      </c>
      <c r="H7" s="6">
        <f>COUNTIFS('Treatment Record'!B:B,"Bugerere", 'Treatment Record'!I:I, "Other")</f>
        <v>0</v>
      </c>
      <c r="I7" s="6">
        <f>SUMIFS('Treatment Record'!N:N, 'Treatment Record'!B:B, "Bugerere")</f>
        <v>1</v>
      </c>
      <c r="J7" s="6">
        <f>SUMIFS('Treatment Record'!P:P, 'Treatment Record'!B:B, "Bugerere")</f>
        <v>0</v>
      </c>
      <c r="K7" s="6">
        <f>SUMIFS('Treatment Record'!S:S, 'Treatment Record'!B:B, "Bugerere")</f>
        <v>0</v>
      </c>
      <c r="L7" s="6">
        <v>0</v>
      </c>
      <c r="M7" s="6">
        <f>SUMIFS('Treatment Record'!T:T, 'Treatment Record'!B:B, "Bugerere")</f>
        <v>0</v>
      </c>
      <c r="N7" s="6">
        <v>0</v>
      </c>
      <c r="Q7" s="3"/>
      <c r="R7" s="3"/>
    </row>
    <row r="8" spans="1:18" ht="15.75" customHeight="1" x14ac:dyDescent="0.25">
      <c r="A8" s="17" t="s">
        <v>51</v>
      </c>
      <c r="B8" s="6">
        <f>COUNTIF('Treatment Record'!B:B,"Bugiri")</f>
        <v>1</v>
      </c>
      <c r="C8" s="6">
        <f>COUNTIFS('Treatment Record'!B:B,"Bugiri", 'Treatment Record'!G:G, "M")</f>
        <v>0</v>
      </c>
      <c r="D8" s="6">
        <f>COUNTIFS('Treatment Record'!B:B,"Bugiri", 'Treatment Record'!G:G, "F")</f>
        <v>1</v>
      </c>
      <c r="E8" s="6">
        <f>COUNTIFS('Treatment Record'!B:B,"Bugiri", 'Treatment Record'!I:I, "Ca")</f>
        <v>1</v>
      </c>
      <c r="F8" s="6">
        <f>COUNTIFS('Treatment Record'!B:B,"Bugiri", 'Treatment Record'!I:I, "Ca/HIV")</f>
        <v>0</v>
      </c>
      <c r="G8" s="6">
        <f>COUNTIFS('Treatment Record'!B:B,"Bugiri", 'Treatment Record'!I:I, "HIV")</f>
        <v>0</v>
      </c>
      <c r="H8" s="6">
        <f>COUNTIFS('Treatment Record'!B:B,"Bugiri", 'Treatment Record'!I:I, "Other")</f>
        <v>0</v>
      </c>
      <c r="I8" s="6">
        <f>SUMIFS('Treatment Record'!N:N, 'Treatment Record'!B:B, "Bugiri")</f>
        <v>1</v>
      </c>
      <c r="J8" s="6">
        <f>SUMIFS('Treatment Record'!P:P, 'Treatment Record'!B:B, "Bugiri")</f>
        <v>0</v>
      </c>
      <c r="K8" s="6">
        <f>SUMIFS('Treatment Record'!S:S, 'Treatment Record'!B:B, "Bugiri")</f>
        <v>0</v>
      </c>
      <c r="L8" s="6">
        <v>0</v>
      </c>
      <c r="M8" s="6">
        <f>SUMIFS('Treatment Record'!T:T, 'Treatment Record'!B:B, "Bugiri")</f>
        <v>1</v>
      </c>
      <c r="N8" s="6">
        <v>0</v>
      </c>
      <c r="Q8" s="18" t="s">
        <v>325</v>
      </c>
      <c r="R8" s="19">
        <f>C39/B39</f>
        <v>0.31325301204819278</v>
      </c>
    </row>
    <row r="9" spans="1:18" x14ac:dyDescent="0.25">
      <c r="A9" s="6" t="s">
        <v>326</v>
      </c>
      <c r="B9" s="6">
        <f>COUNTIF('Treatment Record'!B:B,"Bugulumbia")</f>
        <v>2</v>
      </c>
      <c r="C9" s="6">
        <f>COUNTIFS('Treatment Record'!B:B,"Bugulumbia", 'Treatment Record'!G:G, "M")</f>
        <v>0</v>
      </c>
      <c r="D9" s="6">
        <f>COUNTIFS('Treatment Record'!B:B,"Bugulumbia", 'Treatment Record'!G:G, "F")</f>
        <v>2</v>
      </c>
      <c r="E9" s="6">
        <f>COUNTIFS('Treatment Record'!B:B,"Bugulumbia", 'Treatment Record'!I:I, "Ca")</f>
        <v>2</v>
      </c>
      <c r="F9" s="6">
        <f>COUNTIFS('Treatment Record'!B:B,"Bugulumbia", 'Treatment Record'!I:I, "Ca/HIV")</f>
        <v>0</v>
      </c>
      <c r="G9" s="6">
        <f>COUNTIFS('Treatment Record'!B:B,"Bugulumbia", 'Treatment Record'!I:I, "HIV")</f>
        <v>0</v>
      </c>
      <c r="H9" s="6">
        <f>COUNTIFS('Treatment Record'!B:B,"Bugulumbia", 'Treatment Record'!I:I, "Other")</f>
        <v>0</v>
      </c>
      <c r="I9" s="6">
        <f>SUMIFS('Treatment Record'!N:N, 'Treatment Record'!B:B, "Bugulumbia")</f>
        <v>1</v>
      </c>
      <c r="J9" s="6">
        <f>SUMIFS('Treatment Record'!P:P, 'Treatment Record'!B:B, "Bugulumbia")</f>
        <v>1</v>
      </c>
      <c r="K9" s="6">
        <f>SUMIFS('Treatment Record'!S:S, 'Treatment Record'!B:B, "Bugulumbia")</f>
        <v>0</v>
      </c>
      <c r="L9" s="6">
        <v>0</v>
      </c>
      <c r="M9" s="6">
        <f>SUMIFS('Treatment Record'!T:T, 'Treatment Record'!B:B, "Bugulumbia")</f>
        <v>1</v>
      </c>
      <c r="N9" s="6">
        <v>0</v>
      </c>
      <c r="Q9" s="18" t="s">
        <v>327</v>
      </c>
      <c r="R9" s="19">
        <f>D39/B39</f>
        <v>0.68674698795180722</v>
      </c>
    </row>
    <row r="10" spans="1:18" x14ac:dyDescent="0.25">
      <c r="A10" s="6" t="s">
        <v>328</v>
      </c>
      <c r="B10" s="6">
        <f>COUNTIF('Treatment Record'!B:B,"Buhema")</f>
        <v>0</v>
      </c>
      <c r="C10" s="6">
        <f>COUNTIFS('Treatment Record'!B:B,"Buhema", 'Treatment Record'!G:G, "M")</f>
        <v>0</v>
      </c>
      <c r="D10" s="6">
        <f>COUNTIFS('Treatment Record'!B:B,"Buhema", 'Treatment Record'!G:G, "F")</f>
        <v>0</v>
      </c>
      <c r="E10" s="6">
        <f>COUNTIFS('Treatment Record'!B:B,"Buhema", 'Treatment Record'!I:I, "Ca")</f>
        <v>0</v>
      </c>
      <c r="F10" s="6">
        <f>COUNTIFS('Treatment Record'!B:B,"Buhema", 'Treatment Record'!I:I, "Ca/HIV")</f>
        <v>0</v>
      </c>
      <c r="G10" s="6">
        <f>COUNTIFS('Treatment Record'!B:B,"Buhema", 'Treatment Record'!I:I, "HIV")</f>
        <v>0</v>
      </c>
      <c r="H10" s="6">
        <f>COUNTIFS('Treatment Record'!B:B,"Buhema", 'Treatment Record'!I:I, "Other")</f>
        <v>0</v>
      </c>
      <c r="I10" s="6">
        <f>SUMIFS('Treatment Record'!N:N, 'Treatment Record'!B:B, "Buhema")</f>
        <v>0</v>
      </c>
      <c r="J10" s="6">
        <f>SUMIFS('Treatment Record'!P:P, 'Treatment Record'!B:B, "Buhema")</f>
        <v>0</v>
      </c>
      <c r="K10" s="6">
        <f>SUMIFS('Treatment Record'!S:S, 'Treatment Record'!B:B, "Buhema")</f>
        <v>0</v>
      </c>
      <c r="L10" s="6">
        <v>0</v>
      </c>
      <c r="M10" s="6">
        <f>SUMIFS('Treatment Record'!T:T, 'Treatment Record'!B:B, "Buhema")</f>
        <v>0</v>
      </c>
      <c r="N10" s="6">
        <v>0</v>
      </c>
      <c r="Q10" s="18"/>
      <c r="R10" s="19"/>
    </row>
    <row r="11" spans="1:18" x14ac:dyDescent="0.25">
      <c r="A11" s="6" t="s">
        <v>277</v>
      </c>
      <c r="B11" s="6">
        <f>COUNTIF('Treatment Record'!B:B,"Bukungu")</f>
        <v>2</v>
      </c>
      <c r="C11" s="6">
        <f>COUNTIFS('Treatment Record'!B:B,"Bukungu", 'Treatment Record'!G:G, "M")</f>
        <v>0</v>
      </c>
      <c r="D11" s="6">
        <f>COUNTIFS('Treatment Record'!B:B,"Bukungu", 'Treatment Record'!G:G, "F")</f>
        <v>2</v>
      </c>
      <c r="E11" s="6">
        <f>COUNTIFS('Treatment Record'!B:B,"Bukungu", 'Treatment Record'!I:I, "Ca")</f>
        <v>1</v>
      </c>
      <c r="F11" s="6">
        <f>COUNTIFS('Treatment Record'!B:B,"Bukungu", 'Treatment Record'!I:I, "Ca/HIV")</f>
        <v>0</v>
      </c>
      <c r="G11" s="6">
        <f>COUNTIFS('Treatment Record'!B:B,"Bukungu", 'Treatment Record'!I:I, "HIV")</f>
        <v>0</v>
      </c>
      <c r="H11" s="6">
        <f>COUNTIFS('Treatment Record'!B:B,"Bukungu", 'Treatment Record'!I:I, "Other")</f>
        <v>1</v>
      </c>
      <c r="I11" s="6">
        <f>SUMIFS('Treatment Record'!N:N, 'Treatment Record'!B:B, "Bukungu")</f>
        <v>1</v>
      </c>
      <c r="J11" s="6">
        <f>SUMIFS('Treatment Record'!P:P, 'Treatment Record'!B:B, "Bukungu")</f>
        <v>1</v>
      </c>
      <c r="K11" s="6">
        <f>SUMIFS('Treatment Record'!S:S, 'Treatment Record'!B:B, "Bukungu")</f>
        <v>0</v>
      </c>
      <c r="L11" s="6">
        <v>0</v>
      </c>
      <c r="M11" s="6">
        <f>SUMIFS('Treatment Record'!T:T, 'Treatment Record'!B:B, "Bukungu")</f>
        <v>0</v>
      </c>
      <c r="N11" s="6">
        <v>0</v>
      </c>
      <c r="Q11" s="18"/>
      <c r="R11" s="19"/>
    </row>
    <row r="12" spans="1:18" x14ac:dyDescent="0.25">
      <c r="A12" s="17" t="s">
        <v>55</v>
      </c>
      <c r="B12" s="6">
        <f>COUNTIF('Treatment Record'!B:B,"Busedde")</f>
        <v>4</v>
      </c>
      <c r="C12" s="6">
        <f>COUNTIFS('Treatment Record'!B:B,"Busedde", 'Treatment Record'!G:G, "M")</f>
        <v>2</v>
      </c>
      <c r="D12" s="6">
        <f>COUNTIFS('Treatment Record'!B:B,"Busedde", 'Treatment Record'!G:G, "F")</f>
        <v>2</v>
      </c>
      <c r="E12" s="6">
        <f>COUNTIFS('Treatment Record'!B:B,"Busedde", 'Treatment Record'!I:I, "Ca")</f>
        <v>4</v>
      </c>
      <c r="F12" s="6">
        <f>COUNTIFS('Treatment Record'!B:B,"Busedde", 'Treatment Record'!I:I, "Ca/HIV")</f>
        <v>0</v>
      </c>
      <c r="G12" s="6">
        <f>COUNTIFS('Treatment Record'!B:B,"Busedde", 'Treatment Record'!I:I, "HIV")</f>
        <v>0</v>
      </c>
      <c r="H12" s="6">
        <f>COUNTIFS('Treatment Record'!B:B,"Busedde", 'Treatment Record'!I:I, "Other")</f>
        <v>0</v>
      </c>
      <c r="I12" s="6">
        <f>SUMIFS('Treatment Record'!N:N, 'Treatment Record'!B:B, "Busedde")</f>
        <v>1</v>
      </c>
      <c r="J12" s="6">
        <f>SUMIFS('Treatment Record'!P:P, 'Treatment Record'!B:B, "Busedde")</f>
        <v>3</v>
      </c>
      <c r="K12" s="6">
        <f>SUMIFS('Treatment Record'!S:S, 'Treatment Record'!B:B, "Busedde")</f>
        <v>0</v>
      </c>
      <c r="L12" s="6">
        <v>0</v>
      </c>
      <c r="M12" s="6">
        <f>SUMIFS('Treatment Record'!T:T, 'Treatment Record'!B:B, "Busedde")</f>
        <v>0</v>
      </c>
      <c r="N12" s="6">
        <v>0</v>
      </c>
      <c r="Q12" s="18"/>
      <c r="R12" s="18"/>
    </row>
    <row r="13" spans="1:18" x14ac:dyDescent="0.25">
      <c r="A13" s="17" t="s">
        <v>70</v>
      </c>
      <c r="B13" s="6">
        <f>COUNTIF('Treatment Record'!B:B,"Busembatia")</f>
        <v>7</v>
      </c>
      <c r="C13" s="6">
        <f>COUNTIFS('Treatment Record'!B:B,"Busembatia", 'Treatment Record'!G:G, "M")</f>
        <v>0</v>
      </c>
      <c r="D13" s="6">
        <f>COUNTIFS('Treatment Record'!B:B,"Busembatia", 'Treatment Record'!G:G, "F")</f>
        <v>7</v>
      </c>
      <c r="E13" s="6">
        <f>COUNTIFS('Treatment Record'!B:B,"Busembatia", 'Treatment Record'!I:I, "Ca")</f>
        <v>6</v>
      </c>
      <c r="F13" s="6">
        <f>COUNTIFS('Treatment Record'!B:B,"Busembatia", 'Treatment Record'!I:I, "Ca/HIV")</f>
        <v>0</v>
      </c>
      <c r="G13" s="6">
        <f>COUNTIFS('Treatment Record'!B:B,"Busembatia", 'Treatment Record'!I:I, "HIV")</f>
        <v>0</v>
      </c>
      <c r="H13" s="6">
        <f>COUNTIFS('Treatment Record'!B:B,"Busembatia", 'Treatment Record'!I:I, "Other")</f>
        <v>1</v>
      </c>
      <c r="I13" s="6">
        <f>SUMIFS('Treatment Record'!N:N, 'Treatment Record'!B:B, "Busembatia")</f>
        <v>2</v>
      </c>
      <c r="J13" s="6">
        <f>SUMIFS('Treatment Record'!P:P, 'Treatment Record'!B:B, "Busembatia")</f>
        <v>5</v>
      </c>
      <c r="K13" s="6">
        <f>SUMIFS('Treatment Record'!S:S, 'Treatment Record'!B:B, "Busembatia")</f>
        <v>0</v>
      </c>
      <c r="L13" s="6">
        <v>0</v>
      </c>
      <c r="M13" s="6">
        <f>SUMIFS('Treatment Record'!T:T, 'Treatment Record'!B:B, "Busembatia")</f>
        <v>0</v>
      </c>
      <c r="N13" s="6">
        <v>0</v>
      </c>
      <c r="Q13" s="50" t="s">
        <v>329</v>
      </c>
      <c r="R13" s="51"/>
    </row>
    <row r="14" spans="1:18" x14ac:dyDescent="0.25">
      <c r="A14" s="17" t="s">
        <v>330</v>
      </c>
      <c r="B14" s="6">
        <f>COUNTIF('Treatment Record'!B:B,"Busia")</f>
        <v>0</v>
      </c>
      <c r="C14" s="6">
        <f>COUNTIFS('Treatment Record'!B:B,"Busia", 'Treatment Record'!G:G, "M")</f>
        <v>0</v>
      </c>
      <c r="D14" s="6">
        <f>COUNTIFS('Treatment Record'!B:B,"Busia", 'Treatment Record'!G:G, "F")</f>
        <v>0</v>
      </c>
      <c r="E14" s="6">
        <f>COUNTIFS('Treatment Record'!B:B,"Busia", 'Treatment Record'!I:I, "Ca")</f>
        <v>0</v>
      </c>
      <c r="F14" s="6">
        <f>COUNTIFS('Treatment Record'!B:B,"Busia", 'Treatment Record'!I:I, "Ca/HIV")</f>
        <v>0</v>
      </c>
      <c r="G14" s="6">
        <f>COUNTIFS('Treatment Record'!B:B,"Busia", 'Treatment Record'!I:I, "HIV")</f>
        <v>0</v>
      </c>
      <c r="H14" s="6">
        <f>COUNTIFS('Treatment Record'!B:B,"Busia", 'Treatment Record'!I:I, "Other")</f>
        <v>0</v>
      </c>
      <c r="I14" s="6">
        <f>SUMIFS('Treatment Record'!N:N, 'Treatment Record'!B:B, "Busia")</f>
        <v>0</v>
      </c>
      <c r="J14" s="6">
        <f>SUMIFS('Treatment Record'!P:P, 'Treatment Record'!B:B, "Busia")</f>
        <v>0</v>
      </c>
      <c r="K14" s="6">
        <f>SUMIFS('Treatment Record'!S:S, 'Treatment Record'!B:B, "Busia")</f>
        <v>0</v>
      </c>
      <c r="L14" s="6">
        <v>0</v>
      </c>
      <c r="M14" s="6">
        <f>SUMIFS('Treatment Record'!T:T, 'Treatment Record'!B:B, "Busia")</f>
        <v>0</v>
      </c>
      <c r="N14" s="6">
        <v>0</v>
      </c>
      <c r="Q14" s="18"/>
      <c r="R14" s="20"/>
    </row>
    <row r="15" spans="1:18" x14ac:dyDescent="0.25">
      <c r="A15" s="17" t="s">
        <v>137</v>
      </c>
      <c r="B15" s="6">
        <f>COUNTIF('Treatment Record'!B:B,"Buwenge")</f>
        <v>3</v>
      </c>
      <c r="C15" s="6">
        <f>COUNTIFS('Treatment Record'!B:B,"Buwenge", 'Treatment Record'!G:G, "M")</f>
        <v>1</v>
      </c>
      <c r="D15" s="6">
        <f>COUNTIFS('Treatment Record'!B:B,"Buwenge", 'Treatment Record'!G:G, "F")</f>
        <v>2</v>
      </c>
      <c r="E15" s="6">
        <f>COUNTIFS('Treatment Record'!B:B,"Buwenge", 'Treatment Record'!I:I, "Ca")</f>
        <v>3</v>
      </c>
      <c r="F15" s="6">
        <f>COUNTIFS('Treatment Record'!B:B,"Buwenge", 'Treatment Record'!I:I, "Ca/HIV")</f>
        <v>0</v>
      </c>
      <c r="G15" s="6">
        <f>COUNTIFS('Treatment Record'!B:B,"Buwenge", 'Treatment Record'!I:I, "HIV")</f>
        <v>0</v>
      </c>
      <c r="H15" s="6">
        <f>COUNTIFS('Treatment Record'!B:B,"Buwenge", 'Treatment Record'!I:I, "Other")</f>
        <v>0</v>
      </c>
      <c r="I15" s="6">
        <f>SUMIFS('Treatment Record'!N:N, 'Treatment Record'!B:B, "Buwenge")</f>
        <v>0</v>
      </c>
      <c r="J15" s="6">
        <f>SUMIFS('Treatment Record'!P:P, 'Treatment Record'!B:B, "Buwenge")</f>
        <v>3</v>
      </c>
      <c r="K15" s="6">
        <f>SUMIFS('Treatment Record'!S:S, 'Treatment Record'!B:B, "Buwenge")</f>
        <v>0</v>
      </c>
      <c r="L15" s="6">
        <v>0</v>
      </c>
      <c r="M15" s="6">
        <f>SUMIFS('Treatment Record'!T:T, 'Treatment Record'!B:B, "Buwenge")</f>
        <v>0</v>
      </c>
      <c r="N15" s="6">
        <v>0</v>
      </c>
      <c r="Q15" s="18" t="s">
        <v>39</v>
      </c>
      <c r="R15" s="20">
        <f>E39/B39</f>
        <v>0.86746987951807231</v>
      </c>
    </row>
    <row r="16" spans="1:18" x14ac:dyDescent="0.25">
      <c r="A16" s="17" t="s">
        <v>65</v>
      </c>
      <c r="B16" s="6">
        <f>COUNTIF('Treatment Record'!B:B,"Buyende")</f>
        <v>5</v>
      </c>
      <c r="C16" s="6">
        <f>COUNTIFS('Treatment Record'!B:B,"Buyende", 'Treatment Record'!G:G, "M")</f>
        <v>4</v>
      </c>
      <c r="D16" s="6">
        <f>COUNTIFS('Treatment Record'!B:B,"Buyende", 'Treatment Record'!G:G, "F")</f>
        <v>1</v>
      </c>
      <c r="E16" s="6">
        <f>COUNTIFS('Treatment Record'!B:B,"Buyende", 'Treatment Record'!I:I, "Ca")</f>
        <v>4</v>
      </c>
      <c r="F16" s="6">
        <f>COUNTIFS('Treatment Record'!B:B,"Buyende", 'Treatment Record'!I:I, "Ca/HIV")</f>
        <v>0</v>
      </c>
      <c r="G16" s="6">
        <f>COUNTIFS('Treatment Record'!B:B,"Buyende", 'Treatment Record'!I:I, "HIV")</f>
        <v>0</v>
      </c>
      <c r="H16" s="6">
        <f>COUNTIFS('Treatment Record'!B:B,"Buyende", 'Treatment Record'!I:I, "Other")</f>
        <v>1</v>
      </c>
      <c r="I16" s="6">
        <f>SUMIFS('Treatment Record'!N:N, 'Treatment Record'!B:B, "Buyende")</f>
        <v>2</v>
      </c>
      <c r="J16" s="6">
        <f>SUMIFS('Treatment Record'!P:P, 'Treatment Record'!B:B, "Buyende")</f>
        <v>3</v>
      </c>
      <c r="K16" s="6">
        <f>SUMIFS('Treatment Record'!S:S, 'Treatment Record'!B:B, "Buyende")</f>
        <v>0</v>
      </c>
      <c r="L16" s="6">
        <v>0</v>
      </c>
      <c r="M16" s="6">
        <f>SUMIFS('Treatment Record'!T:T, 'Treatment Record'!B:B, "Buyende")</f>
        <v>0</v>
      </c>
      <c r="N16" s="6">
        <v>0</v>
      </c>
      <c r="Q16" s="18" t="s">
        <v>50</v>
      </c>
      <c r="R16" s="20">
        <f>F39/B39</f>
        <v>8.4337349397590355E-2</v>
      </c>
    </row>
    <row r="17" spans="1:18" x14ac:dyDescent="0.25">
      <c r="A17" s="17" t="s">
        <v>331</v>
      </c>
      <c r="B17" s="6">
        <f>COUNTIF('Treatment Record'!B:B,"Hospice")</f>
        <v>2</v>
      </c>
      <c r="C17" s="6">
        <f>COUNTIFS('Treatment Record'!B:B,"Hospice", 'Treatment Record'!G:G, "M")</f>
        <v>1</v>
      </c>
      <c r="D17" s="6">
        <f>COUNTIFS('Treatment Record'!B:B,"Hospice", 'Treatment Record'!G:G, "F")</f>
        <v>1</v>
      </c>
      <c r="E17" s="6">
        <f>COUNTIFS('Treatment Record'!B:B,"Hospice", 'Treatment Record'!I:I, "Ca")</f>
        <v>2</v>
      </c>
      <c r="F17" s="6">
        <f>COUNTIFS('Treatment Record'!B:B,"Hospice", 'Treatment Record'!I:I, "Ca/HIV")</f>
        <v>0</v>
      </c>
      <c r="G17" s="6">
        <f>COUNTIFS('Treatment Record'!B:B,"Hospice", 'Treatment Record'!I:I, "HIV")</f>
        <v>0</v>
      </c>
      <c r="H17" s="6">
        <f>COUNTIFS('Treatment Record'!B:B,"Hospice", 'Treatment Record'!I:I, "Other")</f>
        <v>0</v>
      </c>
      <c r="I17" s="6">
        <f>SUMIFS('Treatment Record'!N:N, 'Treatment Record'!B:B, "Hospice")</f>
        <v>0</v>
      </c>
      <c r="J17" s="6">
        <f>SUMIFS('Treatment Record'!P:P, 'Treatment Record'!B:B, "Hospice")</f>
        <v>2</v>
      </c>
      <c r="K17" s="6">
        <f>SUMIFS('Treatment Record'!S:S, 'Treatment Record'!B:B, "Hospice")</f>
        <v>0</v>
      </c>
      <c r="L17" s="6">
        <v>0</v>
      </c>
      <c r="M17" s="6">
        <f>SUMIFS('Treatment Record'!T:T, 'Treatment Record'!B:B, "Hospice")</f>
        <v>0</v>
      </c>
      <c r="N17" s="6">
        <v>0</v>
      </c>
      <c r="Q17" s="18" t="s">
        <v>316</v>
      </c>
      <c r="R17" s="20">
        <f>G39/B39</f>
        <v>0</v>
      </c>
    </row>
    <row r="18" spans="1:18" x14ac:dyDescent="0.25">
      <c r="A18" s="17" t="s">
        <v>332</v>
      </c>
      <c r="B18" s="6">
        <f>COUNTIF('Treatment Record'!B:B,"Iganga")</f>
        <v>4</v>
      </c>
      <c r="C18" s="6">
        <f>COUNTIFS('Treatment Record'!B:B,"Iganga", 'Treatment Record'!G:G, "M")</f>
        <v>2</v>
      </c>
      <c r="D18" s="6">
        <f>COUNTIFS('Treatment Record'!B:B,"Iganga", 'Treatment Record'!G:G, "F")</f>
        <v>2</v>
      </c>
      <c r="E18" s="6">
        <f>COUNTIFS('Treatment Record'!B:B,"Iganga", 'Treatment Record'!I:I, "Ca")</f>
        <v>3</v>
      </c>
      <c r="F18" s="6">
        <f>COUNTIFS('Treatment Record'!B:B,"Iganga", 'Treatment Record'!I:I, "Ca/HIV")</f>
        <v>1</v>
      </c>
      <c r="G18" s="6">
        <f>COUNTIFS('Treatment Record'!B:B,"Iganga", 'Treatment Record'!I:I, "HIV")</f>
        <v>0</v>
      </c>
      <c r="H18" s="6">
        <f>COUNTIFS('Treatment Record'!B:B,"Iganga", 'Treatment Record'!I:I, "Other")</f>
        <v>0</v>
      </c>
      <c r="I18" s="6">
        <f>SUMIFS('Treatment Record'!N:N, 'Treatment Record'!B:B, "Iganga")</f>
        <v>2</v>
      </c>
      <c r="J18" s="6">
        <f>SUMIFS('Treatment Record'!P:P, 'Treatment Record'!B:B, "Iganga")</f>
        <v>2</v>
      </c>
      <c r="K18" s="6">
        <f>SUMIFS('Treatment Record'!S:S, 'Treatment Record'!B:B, "Iganga")</f>
        <v>0</v>
      </c>
      <c r="L18" s="6">
        <v>0</v>
      </c>
      <c r="M18" s="6">
        <f>SUMIFS('Treatment Record'!T:T, 'Treatment Record'!B:B, "Iganga")</f>
        <v>0</v>
      </c>
      <c r="N18" s="6">
        <v>0</v>
      </c>
      <c r="Q18" s="18" t="s">
        <v>317</v>
      </c>
      <c r="R18" s="20">
        <f>H39/B39</f>
        <v>4.8192771084337352E-2</v>
      </c>
    </row>
    <row r="19" spans="1:18" x14ac:dyDescent="0.25">
      <c r="A19" s="17" t="s">
        <v>61</v>
      </c>
      <c r="B19" s="6">
        <f>COUNTIF('Treatment Record'!B:B,"Ivukula")</f>
        <v>3</v>
      </c>
      <c r="C19" s="6">
        <f>COUNTIFS('Treatment Record'!B:B,"Ivukula", 'Treatment Record'!G:G, "M")</f>
        <v>2</v>
      </c>
      <c r="D19" s="6">
        <f>COUNTIFS('Treatment Record'!B:B,"Ivukula", 'Treatment Record'!G:G, "F")</f>
        <v>1</v>
      </c>
      <c r="E19" s="6">
        <f>COUNTIFS('Treatment Record'!B:B,"Ivukula", 'Treatment Record'!I:I, "Ca")</f>
        <v>2</v>
      </c>
      <c r="F19" s="6">
        <f>COUNTIFS('Treatment Record'!B:B,"Ivukula", 'Treatment Record'!I:I, "Ca/HIV")</f>
        <v>1</v>
      </c>
      <c r="G19" s="6">
        <f>COUNTIFS('Treatment Record'!B:B,"Ivukula", 'Treatment Record'!I:I, "HIV")</f>
        <v>0</v>
      </c>
      <c r="H19" s="6">
        <f>COUNTIFS('Treatment Record'!B:B,"Ivukula", 'Treatment Record'!I:I, "Other")</f>
        <v>0</v>
      </c>
      <c r="I19" s="6">
        <f>SUMIFS('Treatment Record'!N:N, 'Treatment Record'!B:B, "Ivukula")</f>
        <v>1</v>
      </c>
      <c r="J19" s="6">
        <f>SUMIFS('Treatment Record'!P:P, 'Treatment Record'!B:B, "Ivukula")</f>
        <v>2</v>
      </c>
      <c r="K19" s="6">
        <f>SUMIFS('Treatment Record'!S:S, 'Treatment Record'!B:B, "Ivukula")</f>
        <v>0</v>
      </c>
      <c r="L19" s="6">
        <v>0</v>
      </c>
      <c r="M19" s="6">
        <f>SUMIFS('Treatment Record'!T:T, 'Treatment Record'!B:B, "Ivukula")</f>
        <v>0</v>
      </c>
      <c r="N19" s="6">
        <v>0</v>
      </c>
      <c r="R19" s="21"/>
    </row>
    <row r="20" spans="1:18" x14ac:dyDescent="0.25">
      <c r="A20" s="17" t="s">
        <v>97</v>
      </c>
      <c r="B20" s="6">
        <f>COUNTIF('Treatment Record'!B:B,"Kagulu")</f>
        <v>2</v>
      </c>
      <c r="C20" s="6">
        <f>COUNTIFS('Treatment Record'!B:B,"Kagulu", 'Treatment Record'!G:G, "M")</f>
        <v>1</v>
      </c>
      <c r="D20" s="6">
        <f>COUNTIFS('Treatment Record'!B:B,"Kagulu", 'Treatment Record'!G:G, "F")</f>
        <v>1</v>
      </c>
      <c r="E20" s="6">
        <f>COUNTIFS('Treatment Record'!B:B,"Kagulu", 'Treatment Record'!I:I, "Ca")</f>
        <v>2</v>
      </c>
      <c r="F20" s="6">
        <f>COUNTIFS('Treatment Record'!B:B,"Kagulu", 'Treatment Record'!I:I, "Ca/HIV")</f>
        <v>0</v>
      </c>
      <c r="G20" s="6">
        <f>COUNTIFS('Treatment Record'!B:B,"Kagulu", 'Treatment Record'!I:I, "HIV")</f>
        <v>0</v>
      </c>
      <c r="H20" s="6">
        <f>COUNTIFS('Treatment Record'!B:B,"Kagulu", 'Treatment Record'!I:I, "Other")</f>
        <v>0</v>
      </c>
      <c r="I20" s="6">
        <f>SUMIFS('Treatment Record'!N:N, 'Treatment Record'!B:B, "Kagulu")</f>
        <v>0</v>
      </c>
      <c r="J20" s="6">
        <f>SUMIFS('Treatment Record'!P:P, 'Treatment Record'!B:B, "Kagulu")</f>
        <v>2</v>
      </c>
      <c r="K20" s="6">
        <f>SUMIFS('Treatment Record'!S:S, 'Treatment Record'!B:B, "Kagulu")</f>
        <v>0</v>
      </c>
      <c r="L20" s="6">
        <v>0</v>
      </c>
      <c r="M20" s="6">
        <f>SUMIFS('Treatment Record'!T:T, 'Treatment Record'!B:B, "Kagulu")</f>
        <v>0</v>
      </c>
      <c r="N20" s="6">
        <v>0</v>
      </c>
      <c r="R20" s="22"/>
    </row>
    <row r="21" spans="1:18" x14ac:dyDescent="0.25">
      <c r="A21" s="17" t="s">
        <v>333</v>
      </c>
      <c r="B21" s="6">
        <f>COUNTIF('Treatment Record'!B:B,"Kagumba")</f>
        <v>0</v>
      </c>
      <c r="C21" s="6">
        <f>COUNTIFS('Treatment Record'!B:B,"Kagumba", 'Treatment Record'!G:G, "M")</f>
        <v>0</v>
      </c>
      <c r="D21" s="6">
        <f>COUNTIFS('Treatment Record'!B:B,"Kagumba", 'Treatment Record'!G:G, "F")</f>
        <v>0</v>
      </c>
      <c r="E21" s="6">
        <f>COUNTIFS('Treatment Record'!B:B,"Kagumba", 'Treatment Record'!I:I, "Ca")</f>
        <v>0</v>
      </c>
      <c r="F21" s="6">
        <f>COUNTIFS('Treatment Record'!B:B,"Kagumba", 'Treatment Record'!I:I, "Ca/HIV")</f>
        <v>0</v>
      </c>
      <c r="G21" s="6">
        <f>COUNTIFS('Treatment Record'!B:B,"Kagumba", 'Treatment Record'!I:I, "HIV")</f>
        <v>0</v>
      </c>
      <c r="H21" s="6">
        <f>COUNTIFS('Treatment Record'!B:B,"Kagumba", 'Treatment Record'!I:I, "Other")</f>
        <v>0</v>
      </c>
      <c r="I21" s="6">
        <f>SUMIFS('Treatment Record'!N:N, 'Treatment Record'!B:B, "Kagumba")</f>
        <v>0</v>
      </c>
      <c r="J21" s="6">
        <f>SUMIFS('Treatment Record'!P:P, 'Treatment Record'!B:B, "Kagumba")</f>
        <v>0</v>
      </c>
      <c r="K21" s="6">
        <f>SUMIFS('Treatment Record'!S:S, 'Treatment Record'!B:B, "Kagumba")</f>
        <v>0</v>
      </c>
      <c r="L21" s="6">
        <v>0</v>
      </c>
      <c r="M21" s="6">
        <f>SUMIFS('Treatment Record'!T:T, 'Treatment Record'!B:B, "Kagumba")</f>
        <v>0</v>
      </c>
      <c r="N21" s="6">
        <v>0</v>
      </c>
      <c r="R21" s="22"/>
    </row>
    <row r="22" spans="1:18" x14ac:dyDescent="0.25">
      <c r="A22" s="17" t="s">
        <v>41</v>
      </c>
      <c r="B22" s="6">
        <f>COUNTIF('Treatment Record'!B:B,"Kaliro")</f>
        <v>3</v>
      </c>
      <c r="C22" s="6">
        <f>COUNTIFS('Treatment Record'!B:B,"Kaliro", 'Treatment Record'!G:G, "M")</f>
        <v>1</v>
      </c>
      <c r="D22" s="6">
        <f>COUNTIFS('Treatment Record'!B:B,"Kaliro", 'Treatment Record'!G:G, "F")</f>
        <v>2</v>
      </c>
      <c r="E22" s="6">
        <f>COUNTIFS('Treatment Record'!B:B,"Kaliro", 'Treatment Record'!I:I, "Ca")</f>
        <v>3</v>
      </c>
      <c r="F22" s="6">
        <f>COUNTIFS('Treatment Record'!B:B,"Kaliro", 'Treatment Record'!I:I, "Ca/HIV")</f>
        <v>0</v>
      </c>
      <c r="G22" s="6">
        <f>COUNTIFS('Treatment Record'!B:B,"Kaliro", 'Treatment Record'!I:I, "HIV")</f>
        <v>0</v>
      </c>
      <c r="H22" s="6">
        <f>COUNTIFS('Treatment Record'!B:B,"Kaliro", 'Treatment Record'!I:I, "Other")</f>
        <v>0</v>
      </c>
      <c r="I22" s="6">
        <f>SUMIFS('Treatment Record'!N:N, 'Treatment Record'!B:B, "Kaliro")</f>
        <v>1</v>
      </c>
      <c r="J22" s="6">
        <f>SUMIFS('Treatment Record'!P:P, 'Treatment Record'!B:B, "Kaliro")</f>
        <v>2</v>
      </c>
      <c r="K22" s="6">
        <f>SUMIFS('Treatment Record'!S:S, 'Treatment Record'!B:B, "Kaliro")</f>
        <v>0</v>
      </c>
      <c r="L22" s="6">
        <v>0</v>
      </c>
      <c r="M22" s="6">
        <f>SUMIFS('Treatment Record'!T:T, 'Treatment Record'!B:B, "Kaliro")</f>
        <v>0</v>
      </c>
      <c r="N22" s="6">
        <v>0</v>
      </c>
    </row>
    <row r="23" spans="1:18" x14ac:dyDescent="0.25">
      <c r="A23" s="17" t="s">
        <v>175</v>
      </c>
      <c r="B23" s="6">
        <f>COUNTIF('Treatment Record'!B:B,"Kamuli")</f>
        <v>2</v>
      </c>
      <c r="C23" s="6">
        <f>COUNTIFS('Treatment Record'!B:B,"Kamuli", 'Treatment Record'!G:G, "M")</f>
        <v>1</v>
      </c>
      <c r="D23" s="6">
        <f>COUNTIFS('Treatment Record'!B:B,"Kamuli", 'Treatment Record'!G:G, "F")</f>
        <v>1</v>
      </c>
      <c r="E23" s="6">
        <f>COUNTIFS('Treatment Record'!B:B,"Kamuli", 'Treatment Record'!I:I, "Ca")</f>
        <v>2</v>
      </c>
      <c r="F23" s="6">
        <f>COUNTIFS('Treatment Record'!B:B,"Kamuli", 'Treatment Record'!I:I, "Ca/HIV")</f>
        <v>0</v>
      </c>
      <c r="G23" s="6">
        <f>COUNTIFS('Treatment Record'!B:B,"Kamuli", 'Treatment Record'!I:I, "HIV")</f>
        <v>0</v>
      </c>
      <c r="H23" s="6">
        <f>COUNTIFS('Treatment Record'!B:B,"Kamuli", 'Treatment Record'!I:I, "Other")</f>
        <v>0</v>
      </c>
      <c r="I23" s="6">
        <f>SUMIFS('Treatment Record'!N:N, 'Treatment Record'!B:B, "Kamuli")</f>
        <v>0</v>
      </c>
      <c r="J23" s="6">
        <f>SUMIFS('Treatment Record'!P:P, 'Treatment Record'!B:B, "Kamuli")</f>
        <v>2</v>
      </c>
      <c r="K23" s="6">
        <f>SUMIFS('Treatment Record'!S:S, 'Treatment Record'!B:B, "Kamuli")</f>
        <v>0</v>
      </c>
      <c r="L23" s="6">
        <v>0</v>
      </c>
      <c r="M23" s="6">
        <f>SUMIFS('Treatment Record'!T:T, 'Treatment Record'!B:B, "Kamuli")</f>
        <v>0</v>
      </c>
      <c r="N23" s="6">
        <v>0</v>
      </c>
    </row>
    <row r="24" spans="1:18" ht="15.75" customHeight="1" x14ac:dyDescent="0.25">
      <c r="A24" s="17" t="s">
        <v>87</v>
      </c>
      <c r="B24" s="6">
        <f>COUNTIF('Treatment Record'!B:B,"Kayunga")</f>
        <v>5</v>
      </c>
      <c r="C24" s="6">
        <f>COUNTIFS('Treatment Record'!B:B,"Kayunga", 'Treatment Record'!G:G, "M")</f>
        <v>1</v>
      </c>
      <c r="D24" s="6">
        <f>COUNTIFS('Treatment Record'!B:B,"Kayunga", 'Treatment Record'!G:G, "F")</f>
        <v>4</v>
      </c>
      <c r="E24" s="6">
        <f>COUNTIFS('Treatment Record'!B:B,"Kayunga", 'Treatment Record'!I:I, "Ca")</f>
        <v>5</v>
      </c>
      <c r="F24" s="6">
        <f>COUNTIFS('Treatment Record'!B:B,"Kayunga", 'Treatment Record'!I:I, "Ca/HIV")</f>
        <v>0</v>
      </c>
      <c r="G24" s="6">
        <f>COUNTIFS('Treatment Record'!B:B,"Kayunga", 'Treatment Record'!I:I, "HIV")</f>
        <v>0</v>
      </c>
      <c r="H24" s="6">
        <f>COUNTIFS('Treatment Record'!B:B,"Kayunga", 'Treatment Record'!I:I, "Other")</f>
        <v>0</v>
      </c>
      <c r="I24" s="6">
        <f>SUMIFS('Treatment Record'!N:N, 'Treatment Record'!B:B, "Kayunga")</f>
        <v>1</v>
      </c>
      <c r="J24" s="6">
        <f>SUMIFS('Treatment Record'!P:P, 'Treatment Record'!B:B, "Kayunga")</f>
        <v>4</v>
      </c>
      <c r="K24" s="6">
        <f>SUMIFS('Treatment Record'!S:S, 'Treatment Record'!B:B, "Kayunga")</f>
        <v>0</v>
      </c>
      <c r="L24" s="6">
        <v>0</v>
      </c>
      <c r="M24" s="6">
        <f>SUMIFS('Treatment Record'!T:T, 'Treatment Record'!B:B, "Kayunga")</f>
        <v>0</v>
      </c>
      <c r="N24" s="6">
        <v>0</v>
      </c>
    </row>
    <row r="25" spans="1:18" ht="15.75" customHeight="1" x14ac:dyDescent="0.25">
      <c r="A25" s="17" t="s">
        <v>74</v>
      </c>
      <c r="B25" s="6">
        <f>COUNTIF('Treatment Record'!B:B,"Kidera")</f>
        <v>2</v>
      </c>
      <c r="C25" s="6">
        <f>COUNTIFS('Treatment Record'!B:B,"Kidera", 'Treatment Record'!G:G, "M")</f>
        <v>1</v>
      </c>
      <c r="D25" s="6">
        <f>COUNTIFS('Treatment Record'!B:B,"Kidera", 'Treatment Record'!G:G, "F")</f>
        <v>1</v>
      </c>
      <c r="E25" s="6">
        <f>COUNTIFS('Treatment Record'!B:B,"Kidera", 'Treatment Record'!I:I, "Ca")</f>
        <v>2</v>
      </c>
      <c r="F25" s="6">
        <f>COUNTIFS('Treatment Record'!B:B,"Kidera", 'Treatment Record'!I:I, "Ca/HIV")</f>
        <v>0</v>
      </c>
      <c r="G25" s="6">
        <f>COUNTIFS('Treatment Record'!B:B,"Kidera", 'Treatment Record'!I:I, "HIV")</f>
        <v>0</v>
      </c>
      <c r="H25" s="6">
        <f>COUNTIFS('Treatment Record'!B:B,"Kidera", 'Treatment Record'!I:I, "Other")</f>
        <v>0</v>
      </c>
      <c r="I25" s="6">
        <f>SUMIFS('Treatment Record'!N:N, 'Treatment Record'!B:B, "Kidera")</f>
        <v>0</v>
      </c>
      <c r="J25" s="6">
        <f>SUMIFS('Treatment Record'!P:P, 'Treatment Record'!B:B, "Kidera")</f>
        <v>2</v>
      </c>
      <c r="K25" s="6">
        <f>SUMIFS('Treatment Record'!S:S, 'Treatment Record'!B:B, "Kidera")</f>
        <v>0</v>
      </c>
      <c r="L25" s="6">
        <v>0</v>
      </c>
      <c r="M25" s="6">
        <f>SUMIFS('Treatment Record'!T:T, 'Treatment Record'!B:B, "Kidera")</f>
        <v>0</v>
      </c>
      <c r="N25" s="6">
        <v>0</v>
      </c>
    </row>
    <row r="26" spans="1:18" ht="15.75" customHeight="1" x14ac:dyDescent="0.25">
      <c r="A26" s="17" t="s">
        <v>334</v>
      </c>
      <c r="B26" s="6">
        <f>COUNTIF('Treatment Record'!B:B,"Kiyindi")</f>
        <v>2</v>
      </c>
      <c r="C26" s="6">
        <f>COUNTIFS('Treatment Record'!B:B,"Kiyindi", 'Treatment Record'!G:G, "M")</f>
        <v>1</v>
      </c>
      <c r="D26" s="6">
        <f>COUNTIFS('Treatment Record'!B:B,"Kiyindi", 'Treatment Record'!G:G, "F")</f>
        <v>1</v>
      </c>
      <c r="E26" s="6">
        <f>COUNTIFS('Treatment Record'!B:B,"Kiyindi", 'Treatment Record'!I:I, "Ca")</f>
        <v>1</v>
      </c>
      <c r="F26" s="6">
        <f>COUNTIFS('Treatment Record'!B:B,"Kiyindi", 'Treatment Record'!I:I, "Ca/HIV")</f>
        <v>1</v>
      </c>
      <c r="G26" s="6">
        <f>COUNTIFS('Treatment Record'!B:B,"Kiyindi", 'Treatment Record'!I:I, "HIV")</f>
        <v>0</v>
      </c>
      <c r="H26" s="6">
        <f>COUNTIFS('Treatment Record'!B:B,"Kiyindi", 'Treatment Record'!I:I, "Other")</f>
        <v>0</v>
      </c>
      <c r="I26" s="6">
        <f>SUMIFS('Treatment Record'!N:N, 'Treatment Record'!B:B, "Kiyindi")</f>
        <v>0</v>
      </c>
      <c r="J26" s="6">
        <f>SUMIFS('Treatment Record'!P:P, 'Treatment Record'!B:B, "Kiyindi")</f>
        <v>2</v>
      </c>
      <c r="K26" s="6">
        <f>SUMIFS('Treatment Record'!S:S, 'Treatment Record'!B:B, "Kiyindi")</f>
        <v>0</v>
      </c>
      <c r="L26" s="6">
        <v>0</v>
      </c>
      <c r="M26" s="6">
        <f>SUMIFS('Treatment Record'!T:T, 'Treatment Record'!B:B, "Kiyindi")</f>
        <v>0</v>
      </c>
      <c r="N26" s="6">
        <v>0</v>
      </c>
    </row>
    <row r="27" spans="1:18" ht="15.75" customHeight="1" x14ac:dyDescent="0.25">
      <c r="A27" s="17" t="s">
        <v>335</v>
      </c>
      <c r="B27" s="6">
        <f>COUNTIF('Treatment Record'!B:B,"Kiyunga")</f>
        <v>4</v>
      </c>
      <c r="C27" s="6">
        <f>COUNTIFS('Treatment Record'!B:B,"Kiyunga", 'Treatment Record'!G:G, "M")</f>
        <v>0</v>
      </c>
      <c r="D27" s="6">
        <f>COUNTIFS('Treatment Record'!B:B,"Kiyunga", 'Treatment Record'!G:G, "F")</f>
        <v>4</v>
      </c>
      <c r="E27" s="6">
        <f>COUNTIFS('Treatment Record'!B:B,"Kiyunga", 'Treatment Record'!I:I, "Ca")</f>
        <v>2</v>
      </c>
      <c r="F27" s="6">
        <f>COUNTIFS('Treatment Record'!B:B,"Kiyunga", 'Treatment Record'!I:I, "Ca/HIV")</f>
        <v>2</v>
      </c>
      <c r="G27" s="6">
        <f>COUNTIFS('Treatment Record'!B:B,"Kiyunga", 'Treatment Record'!I:I, "HIV")</f>
        <v>0</v>
      </c>
      <c r="H27" s="6">
        <f>COUNTIFS('Treatment Record'!B:B,"Kiyunga", 'Treatment Record'!I:I, "Other")</f>
        <v>0</v>
      </c>
      <c r="I27" s="6">
        <f>SUMIFS('Treatment Record'!N:N, 'Treatment Record'!B:B, "Kiyunga")</f>
        <v>1</v>
      </c>
      <c r="J27" s="6">
        <f>SUMIFS('Treatment Record'!P:P, 'Treatment Record'!B:B, "Kiyunga")</f>
        <v>3</v>
      </c>
      <c r="K27" s="6">
        <f>SUMIFS('Treatment Record'!S:S, 'Treatment Record'!B:B, "Kiyunga")</f>
        <v>0</v>
      </c>
      <c r="L27" s="6">
        <v>0</v>
      </c>
      <c r="M27" s="6">
        <f>SUMIFS('Treatment Record'!T:T, 'Treatment Record'!B:B, "Kiyunga")</f>
        <v>1</v>
      </c>
      <c r="N27" s="6">
        <v>0</v>
      </c>
    </row>
    <row r="28" spans="1:18" ht="15.75" customHeight="1" x14ac:dyDescent="0.25">
      <c r="A28" s="17" t="s">
        <v>105</v>
      </c>
      <c r="B28" s="6">
        <f>COUNTIF('Treatment Record'!B:B,"Lumino")</f>
        <v>1</v>
      </c>
      <c r="C28" s="6">
        <f>COUNTIFS('Treatment Record'!B:B,"Lumino", 'Treatment Record'!G:G, "M")</f>
        <v>1</v>
      </c>
      <c r="D28" s="6">
        <f>COUNTIFS('Treatment Record'!B:B,"Lumino", 'Treatment Record'!G:G, "F")</f>
        <v>0</v>
      </c>
      <c r="E28" s="6">
        <f>COUNTIFS('Treatment Record'!B:B,"Lumino", 'Treatment Record'!I:I, "Ca")</f>
        <v>1</v>
      </c>
      <c r="F28" s="6">
        <f>COUNTIFS('Treatment Record'!B:B,"Lumino", 'Treatment Record'!I:I, "Ca/HIV")</f>
        <v>0</v>
      </c>
      <c r="G28" s="6">
        <f>COUNTIFS('Treatment Record'!B:B,"Lumino", 'Treatment Record'!I:I, "HIV")</f>
        <v>0</v>
      </c>
      <c r="H28" s="6">
        <f>COUNTIFS('Treatment Record'!B:B,"Lumino", 'Treatment Record'!I:I, "Other")</f>
        <v>0</v>
      </c>
      <c r="I28" s="6">
        <f>SUMIFS('Treatment Record'!N:N, 'Treatment Record'!B:B, "Lumino")</f>
        <v>1</v>
      </c>
      <c r="J28" s="6">
        <f>SUMIFS('Treatment Record'!P:P, 'Treatment Record'!B:B, "Lumino")</f>
        <v>0</v>
      </c>
      <c r="K28" s="6">
        <f>SUMIFS('Treatment Record'!S:S, 'Treatment Record'!B:B, "Lumino")</f>
        <v>0</v>
      </c>
      <c r="L28" s="6">
        <v>0</v>
      </c>
      <c r="M28" s="6">
        <f>SUMIFS('Treatment Record'!T:T, 'Treatment Record'!B:B, "Lumino")</f>
        <v>0</v>
      </c>
      <c r="N28" s="6">
        <v>0</v>
      </c>
    </row>
    <row r="29" spans="1:18" ht="15.75" customHeight="1" x14ac:dyDescent="0.25">
      <c r="A29" s="17" t="s">
        <v>336</v>
      </c>
      <c r="B29" s="6">
        <f>COUNTIF('Treatment Record'!B:B,"Makuutu")</f>
        <v>0</v>
      </c>
      <c r="C29" s="6">
        <f>COUNTIFS('Treatment Record'!B:B,"Makuutu", 'Treatment Record'!G:G, "M")</f>
        <v>0</v>
      </c>
      <c r="D29" s="6">
        <f>COUNTIFS('Treatment Record'!B:B,"Makuutu", 'Treatment Record'!G:G, "F")</f>
        <v>0</v>
      </c>
      <c r="E29" s="6">
        <f>COUNTIFS('Treatment Record'!B:B,"Makuutu", 'Treatment Record'!I:I, "Ca")</f>
        <v>0</v>
      </c>
      <c r="F29" s="6">
        <f>COUNTIFS('Treatment Record'!B:B,"Makuutu", 'Treatment Record'!I:I, "Ca/HIV")</f>
        <v>0</v>
      </c>
      <c r="G29" s="6">
        <f>COUNTIFS('Treatment Record'!B:B,"Makuutu", 'Treatment Record'!I:I, "HIV")</f>
        <v>0</v>
      </c>
      <c r="H29" s="6">
        <f>COUNTIFS('Treatment Record'!B:B,"Makuutu", 'Treatment Record'!I:I, "Other")</f>
        <v>0</v>
      </c>
      <c r="I29" s="6">
        <f>SUMIFS('Treatment Record'!N:N, 'Treatment Record'!B:B, "Makuutu")</f>
        <v>0</v>
      </c>
      <c r="J29" s="6">
        <f>SUMIFS('Treatment Record'!P:P, 'Treatment Record'!B:B, "Makuutu")</f>
        <v>0</v>
      </c>
      <c r="K29" s="6">
        <f>SUMIFS('Treatment Record'!S:S, 'Treatment Record'!B:B, "Makuutu")</f>
        <v>0</v>
      </c>
      <c r="L29" s="6">
        <v>0</v>
      </c>
      <c r="M29" s="6">
        <f>SUMIFS('Treatment Record'!T:T, 'Treatment Record'!B:B, "Makuutu")</f>
        <v>0</v>
      </c>
      <c r="N29" s="6">
        <v>0</v>
      </c>
    </row>
    <row r="30" spans="1:18" ht="15.75" customHeight="1" x14ac:dyDescent="0.25">
      <c r="A30" s="17" t="s">
        <v>132</v>
      </c>
      <c r="B30" s="6">
        <f>COUNTIF('Treatment Record'!B:B,"Mayuge")</f>
        <v>1</v>
      </c>
      <c r="C30" s="6">
        <f>COUNTIFS('Treatment Record'!B:B,"Mayuge", 'Treatment Record'!G:G, "M")</f>
        <v>0</v>
      </c>
      <c r="D30" s="6">
        <f>COUNTIFS('Treatment Record'!B:B,"Mayuge", 'Treatment Record'!G:G, "F")</f>
        <v>1</v>
      </c>
      <c r="E30" s="6">
        <f>COUNTIFS('Treatment Record'!B:B,"Mayuge", 'Treatment Record'!I:I, "Ca")</f>
        <v>1</v>
      </c>
      <c r="F30" s="6">
        <f>COUNTIFS('Treatment Record'!B:B,"Mayuge", 'Treatment Record'!I:I, "Ca/HIV")</f>
        <v>0</v>
      </c>
      <c r="G30" s="6">
        <f>COUNTIFS('Treatment Record'!B:B,"Mayuge", 'Treatment Record'!I:I, "HIV")</f>
        <v>0</v>
      </c>
      <c r="H30" s="6">
        <f>COUNTIFS('Treatment Record'!B:B,"Mayuge", 'Treatment Record'!I:I, "Other")</f>
        <v>0</v>
      </c>
      <c r="I30" s="6">
        <f>SUMIFS('Treatment Record'!N:N, 'Treatment Record'!B:B, "Mayuge")</f>
        <v>1</v>
      </c>
      <c r="J30" s="6">
        <f>SUMIFS('Treatment Record'!P:P, 'Treatment Record'!B:B, "Mayuge")</f>
        <v>0</v>
      </c>
      <c r="K30" s="6">
        <f>SUMIFS('Treatment Record'!S:S, 'Treatment Record'!B:B, "Mayuge")</f>
        <v>0</v>
      </c>
      <c r="L30" s="6">
        <v>0</v>
      </c>
      <c r="M30" s="6">
        <f>SUMIFS('Treatment Record'!T:T, 'Treatment Record'!B:B, "Mayuge")</f>
        <v>0</v>
      </c>
      <c r="N30" s="6">
        <v>0</v>
      </c>
    </row>
    <row r="31" spans="1:18" ht="15.75" customHeight="1" x14ac:dyDescent="0.25">
      <c r="A31" s="17" t="s">
        <v>129</v>
      </c>
      <c r="B31" s="6">
        <f>COUNTIF('Treatment Record'!B:B,"Mbulamuti")</f>
        <v>1</v>
      </c>
      <c r="C31" s="6">
        <f>COUNTIFS('Treatment Record'!B:B,"Mbulamuti", 'Treatment Record'!G:G, "M")</f>
        <v>0</v>
      </c>
      <c r="D31" s="6">
        <f>COUNTIFS('Treatment Record'!B:B,"Mbulamuti", 'Treatment Record'!G:G, "F")</f>
        <v>1</v>
      </c>
      <c r="E31" s="6">
        <f>COUNTIFS('Treatment Record'!B:B,"Mbulamuti", 'Treatment Record'!I:I, "Ca")</f>
        <v>1</v>
      </c>
      <c r="F31" s="6">
        <f>COUNTIFS('Treatment Record'!B:B,"Mbulamuti", 'Treatment Record'!I:I, "Ca/HIV")</f>
        <v>0</v>
      </c>
      <c r="G31" s="6">
        <f>COUNTIFS('Treatment Record'!B:B,"Mubulamuti", 'Treatment Record'!I:I, "HIV")</f>
        <v>0</v>
      </c>
      <c r="H31" s="6">
        <f>COUNTIFS('Treatment Record'!B:B,"Mbulamuti", 'Treatment Record'!I:I, "Other")</f>
        <v>0</v>
      </c>
      <c r="I31" s="6">
        <f>SUMIFS('Treatment Record'!N:N, 'Treatment Record'!B:B, "Mbulamuti")</f>
        <v>0</v>
      </c>
      <c r="J31" s="6">
        <f>SUMIFS('Treatment Record'!P:P, 'Treatment Record'!B:B, "Mbulamuti")</f>
        <v>1</v>
      </c>
      <c r="K31" s="6">
        <f>SUMIFS('Treatment Record'!S:S, 'Treatment Record'!B:B, "Mbulamuti")</f>
        <v>0</v>
      </c>
      <c r="L31" s="6">
        <v>0</v>
      </c>
      <c r="M31" s="6">
        <v>0</v>
      </c>
      <c r="N31" s="6">
        <v>0</v>
      </c>
      <c r="Q31" s="50" t="s">
        <v>337</v>
      </c>
      <c r="R31" s="51"/>
    </row>
    <row r="32" spans="1:18" ht="15.75" customHeight="1" x14ac:dyDescent="0.25">
      <c r="A32" s="17" t="s">
        <v>116</v>
      </c>
      <c r="B32" s="6">
        <f>COUNTIF('Treatment Record'!B:B,"Muterere")</f>
        <v>2</v>
      </c>
      <c r="C32" s="6">
        <f>COUNTIFS('Treatment Record'!B:B,"Mutererei", 'Treatment Record'!G:G, "M")</f>
        <v>0</v>
      </c>
      <c r="D32" s="6">
        <f>COUNTIFS('Treatment Record'!B:B,"Muterere", 'Treatment Record'!G:G, "F")</f>
        <v>2</v>
      </c>
      <c r="E32" s="6">
        <f>COUNTIFS('Treatment Record'!B:B,"Muterere", 'Treatment Record'!I:I, "Ca")</f>
        <v>2</v>
      </c>
      <c r="F32" s="6">
        <f>COUNTIFS('Treatment Record'!B:B,"Muterere", 'Treatment Record'!I:I, "Ca/HIV")</f>
        <v>0</v>
      </c>
      <c r="G32" s="6">
        <f>COUNTIFS('Treatment Record'!B:B,"Muterere", 'Treatment Record'!I:I, "HIV")</f>
        <v>0</v>
      </c>
      <c r="H32" s="6">
        <f>COUNTIFS('Treatment Record'!B:B,"Muterere", 'Treatment Record'!I:I, "Other")</f>
        <v>0</v>
      </c>
      <c r="I32" s="6">
        <f>SUMIFS('Treatment Record'!N:N, 'Treatment Record'!B:B, "Muterere")</f>
        <v>1</v>
      </c>
      <c r="J32" s="6">
        <f>SUMIFS('Treatment Record'!P:P, 'Treatment Record'!B:B, "Muterere")</f>
        <v>1</v>
      </c>
      <c r="K32" s="6">
        <f>SUMIFS('Treatment Record'!S:S, 'Treatment Record'!B:B, "Muterere")</f>
        <v>0</v>
      </c>
      <c r="L32" s="6">
        <v>0</v>
      </c>
      <c r="M32" s="6">
        <v>0</v>
      </c>
      <c r="N32" s="6">
        <v>0</v>
      </c>
      <c r="Q32" s="23" t="s">
        <v>266</v>
      </c>
      <c r="R32" s="24">
        <v>1</v>
      </c>
    </row>
    <row r="33" spans="1:18" ht="15.75" customHeight="1" x14ac:dyDescent="0.25">
      <c r="A33" s="17" t="s">
        <v>112</v>
      </c>
      <c r="B33" s="6">
        <f>COUNTIF('Treatment Record'!B:B,"Namayingo")</f>
        <v>3</v>
      </c>
      <c r="C33" s="6">
        <f>COUNTIFS('Treatment Record'!B:B,"Namayingo", 'Treatment Record'!G:G, "M")</f>
        <v>1</v>
      </c>
      <c r="D33" s="6">
        <f>COUNTIFS('Treatment Record'!B:B,"Namayingo", 'Treatment Record'!G:G, "F")</f>
        <v>2</v>
      </c>
      <c r="E33" s="6">
        <f>COUNTIFS('Treatment Record'!B:B,"Namayingo", 'Treatment Record'!I:I, "Ca")</f>
        <v>3</v>
      </c>
      <c r="F33" s="6">
        <f>COUNTIFS('Treatment Record'!B:B,"Namayingo", 'Treatment Record'!I:I, "Ca/HIV")</f>
        <v>0</v>
      </c>
      <c r="G33" s="6">
        <f>COUNTIFS('Treatment Record'!B:B,"Namayingo", 'Treatment Record'!I:I, "HIV")</f>
        <v>0</v>
      </c>
      <c r="H33" s="6">
        <f>COUNTIFS('Treatment Record'!B:B,"Namayingo", 'Treatment Record'!I:I, "Other")</f>
        <v>0</v>
      </c>
      <c r="I33" s="6">
        <f>SUMIFS('Treatment Record'!N:N, 'Treatment Record'!B:B, "Namayingo")</f>
        <v>1</v>
      </c>
      <c r="J33" s="6">
        <f>SUMIFS('Treatment Record'!P:P, 'Treatment Record'!B:B, "Namayingo")</f>
        <v>2</v>
      </c>
      <c r="K33" s="6">
        <f>SUMIFS('Treatment Record'!S:S, 'Treatment Record'!B:B, "Namayingo")</f>
        <v>0</v>
      </c>
      <c r="L33" s="6">
        <v>0</v>
      </c>
      <c r="M33" s="6">
        <f>SUMIFS('Treatment Record'!T:T, 'Treatment Record'!B:B, "Namayingo")</f>
        <v>0</v>
      </c>
      <c r="N33" s="6">
        <v>0</v>
      </c>
      <c r="Q33" s="25" t="s">
        <v>44</v>
      </c>
      <c r="R33" s="26">
        <v>21</v>
      </c>
    </row>
    <row r="34" spans="1:18" ht="15.75" customHeight="1" x14ac:dyDescent="0.25">
      <c r="A34" s="27" t="s">
        <v>181</v>
      </c>
      <c r="B34" s="6">
        <f>COUNTIF('Treatment Record'!B:B,"Namasagali")</f>
        <v>1</v>
      </c>
      <c r="C34" s="6">
        <f>COUNTIFS('Treatment Record'!B:B,"Namasagali", 'Treatment Record'!G:G, "M")</f>
        <v>0</v>
      </c>
      <c r="D34" s="6">
        <f>COUNTIFS('Treatment Record'!B:B,"Namasagali", 'Treatment Record'!G:G, "F")</f>
        <v>1</v>
      </c>
      <c r="E34" s="6">
        <f>COUNTIFS('Treatment Record'!B:B,"Namasagali", 'Treatment Record'!I:I, "Ca")</f>
        <v>1</v>
      </c>
      <c r="F34" s="6">
        <f>COUNTIFS('Treatment Record'!B:B,"Namasagali", 'Treatment Record'!I:I, "Ca/HIV")</f>
        <v>0</v>
      </c>
      <c r="G34" s="6">
        <f>COUNTIFS('Treatment Record'!B:B,"Namasagali", 'Treatment Record'!I:I, "HIV")</f>
        <v>0</v>
      </c>
      <c r="H34" s="6">
        <f>COUNTIFS('Treatment Record'!B:B,"Namasagali", 'Treatment Record'!I:I, "Other")</f>
        <v>0</v>
      </c>
      <c r="I34" s="6">
        <f>SUMIFS('Treatment Record'!N:N, 'Treatment Record'!B:B, "Namasagali")</f>
        <v>1</v>
      </c>
      <c r="J34" s="6">
        <f>SUMIFS('Treatment Record'!P:P, 'Treatment Record'!B:B, "Namasagali")</f>
        <v>0</v>
      </c>
      <c r="K34" s="6">
        <f>SUMIFS('Treatment Record'!S:S, 'Treatment Record'!B:B, "Namasagali")</f>
        <v>0</v>
      </c>
      <c r="L34" s="6">
        <v>0</v>
      </c>
      <c r="M34" s="6">
        <f>SUMIFS('Treatment Record'!T:T, 'Treatment Record'!B:B, "Namasagali")</f>
        <v>0</v>
      </c>
      <c r="N34" s="6">
        <v>0</v>
      </c>
      <c r="Q34" s="28" t="s">
        <v>221</v>
      </c>
      <c r="R34" s="26">
        <v>1</v>
      </c>
    </row>
    <row r="35" spans="1:18" ht="15.75" customHeight="1" x14ac:dyDescent="0.25">
      <c r="A35" s="17" t="s">
        <v>203</v>
      </c>
      <c r="B35" s="6">
        <f>COUNTIF('Treatment Record'!B:B,"Namungalwe")</f>
        <v>2</v>
      </c>
      <c r="C35" s="6">
        <f>COUNTIFS('Treatment Record'!B:B,"Namungalwe", 'Treatment Record'!G:G, "M")</f>
        <v>2</v>
      </c>
      <c r="D35" s="6">
        <f>COUNTIFS('Treatment Record'!B:B,"Namungalwe", 'Treatment Record'!G:G, "F")</f>
        <v>0</v>
      </c>
      <c r="E35" s="6">
        <f>COUNTIFS('Treatment Record'!B:B,"Namungalwe", 'Treatment Record'!I:I, "Ca")</f>
        <v>2</v>
      </c>
      <c r="F35" s="6">
        <f>COUNTIFS('Treatment Record'!B:B,"Namungalwe", 'Treatment Record'!I:I, "Ca/HIV")</f>
        <v>0</v>
      </c>
      <c r="G35" s="6">
        <f>COUNTIFS('Treatment Record'!B:B,"Namungalwe", 'Treatment Record'!I:I, "HIV")</f>
        <v>0</v>
      </c>
      <c r="H35" s="6">
        <f>COUNTIFS('Treatment Record'!B:B,"Namungalwe", 'Treatment Record'!I:I, "Other")</f>
        <v>0</v>
      </c>
      <c r="I35" s="6">
        <f>SUMIFS('Treatment Record'!N:N, 'Treatment Record'!B:B, "Namungalwe")</f>
        <v>0</v>
      </c>
      <c r="J35" s="6">
        <f>SUMIFS('Treatment Record'!P:P, 'Treatment Record'!B:B, "Namungalwe")</f>
        <v>2</v>
      </c>
      <c r="K35" s="6">
        <f>SUMIFS('Treatment Record'!S:S, 'Treatment Record'!B:B, "Namungalwe")</f>
        <v>0</v>
      </c>
      <c r="L35" s="6">
        <v>0</v>
      </c>
      <c r="M35" s="6">
        <f>SUMIFS('Treatment Record'!T:T, 'Treatment Record'!B:B, "Namungalwe")</f>
        <v>0</v>
      </c>
      <c r="N35" s="6">
        <v>0</v>
      </c>
      <c r="Q35" s="29" t="s">
        <v>206</v>
      </c>
      <c r="R35" s="26">
        <v>1</v>
      </c>
    </row>
    <row r="36" spans="1:18" ht="14.25" customHeight="1" x14ac:dyDescent="0.25">
      <c r="A36" s="17" t="s">
        <v>338</v>
      </c>
      <c r="B36" s="6">
        <f>COUNTIF('Treatment Record'!B:B,"Nawampiti")</f>
        <v>0</v>
      </c>
      <c r="C36" s="6">
        <f>COUNTIFS('Treatment Record'!B:B,"Nawampiti", 'Treatment Record'!G:G, "M")</f>
        <v>0</v>
      </c>
      <c r="D36" s="6">
        <f>COUNTIFS('Treatment Record'!B:B,"Nawampiti", 'Treatment Record'!G:G, "F")</f>
        <v>0</v>
      </c>
      <c r="E36" s="6">
        <f>COUNTIFS('Treatment Record'!B:B,"Nawampiti", 'Treatment Record'!I:I, "Ca")</f>
        <v>0</v>
      </c>
      <c r="F36" s="6">
        <f>COUNTIFS('Treatment Record'!B:B,"Nawampiti", 'Treatment Record'!I:I, "Ca/HIV")</f>
        <v>0</v>
      </c>
      <c r="G36" s="6">
        <f>COUNTIFS('Treatment Record'!B:B,"Nawampiti", 'Treatment Record'!I:I, "HIV")</f>
        <v>0</v>
      </c>
      <c r="H36" s="6">
        <f>COUNTIFS('Treatment Record'!B:B,"Nawampiti", 'Treatment Record'!I:I, "Other")</f>
        <v>0</v>
      </c>
      <c r="I36" s="6">
        <f>SUMIFS('Treatment Record'!N:N, 'Treatment Record'!B:B, "Nawampiti")</f>
        <v>0</v>
      </c>
      <c r="J36" s="6">
        <f>SUMIFS('Treatment Record'!P:P, 'Treatment Record'!B:B, "Nawampiti")</f>
        <v>0</v>
      </c>
      <c r="K36" s="6">
        <f>SUMIFS('Treatment Record'!S:S, 'Treatment Record'!B:B, "Nawampiti")</f>
        <v>0</v>
      </c>
      <c r="L36" s="6">
        <v>0</v>
      </c>
      <c r="M36" s="6">
        <f>SUMIFS('Treatment Record'!T:T, 'Treatment Record'!B:B, "Nawampiti")</f>
        <v>0</v>
      </c>
      <c r="N36" s="6">
        <v>0</v>
      </c>
      <c r="Q36" s="29" t="s">
        <v>38</v>
      </c>
      <c r="R36" s="26">
        <v>13</v>
      </c>
    </row>
    <row r="37" spans="1:18" ht="15.75" customHeight="1" x14ac:dyDescent="0.25">
      <c r="A37" s="17" t="s">
        <v>46</v>
      </c>
      <c r="B37" s="6">
        <f>COUNTIF('Treatment Record'!B:B,"Nawanyago")</f>
        <v>5</v>
      </c>
      <c r="C37" s="6">
        <f>COUNTIFS('Treatment Record'!B:B,"Nawanyago", 'Treatment Record'!G:G, "M")</f>
        <v>1</v>
      </c>
      <c r="D37" s="6">
        <f>COUNTIFS('Treatment Record'!B:B,"Nawanyago", 'Treatment Record'!G:G, "F")</f>
        <v>4</v>
      </c>
      <c r="E37" s="6">
        <f>COUNTIFS('Treatment Record'!B:B,"Nawanyago", 'Treatment Record'!I:I, "Ca")</f>
        <v>4</v>
      </c>
      <c r="F37" s="6">
        <f>COUNTIFS('Treatment Record'!B:B,"Nawanyago", 'Treatment Record'!I:I, "Ca/HIV")</f>
        <v>1</v>
      </c>
      <c r="G37" s="6">
        <f>COUNTIFS('Treatment Record'!B:B,"Nawanyago", 'Treatment Record'!I:I, "HIV")</f>
        <v>0</v>
      </c>
      <c r="H37" s="6">
        <f>COUNTIFS('Treatment Record'!B:B,"Nawanyago", 'Treatment Record'!I:I, "Other")</f>
        <v>0</v>
      </c>
      <c r="I37" s="6">
        <f>SUMIFS('Treatment Record'!N:N, 'Treatment Record'!B:B, "Nawanyago")</f>
        <v>1</v>
      </c>
      <c r="J37" s="6">
        <f>SUMIFS('Treatment Record'!P:P, 'Treatment Record'!B:B, "Nawanyago")</f>
        <v>4</v>
      </c>
      <c r="K37" s="6">
        <f>SUMIFS('Treatment Record'!S:S, 'Treatment Record'!B:B, "Nawanyago")</f>
        <v>0</v>
      </c>
      <c r="L37" s="6">
        <v>0</v>
      </c>
      <c r="M37" s="6">
        <f>SUMIFS('Treatment Record'!T:T, 'Treatment Record'!B:B, "Nawanyago")</f>
        <v>1</v>
      </c>
      <c r="N37" s="6">
        <v>0</v>
      </c>
      <c r="Q37" s="29" t="s">
        <v>49</v>
      </c>
      <c r="R37" s="26">
        <v>3</v>
      </c>
    </row>
    <row r="38" spans="1:18" ht="15.75" customHeight="1" x14ac:dyDescent="0.25">
      <c r="A38" s="17" t="s">
        <v>120</v>
      </c>
      <c r="B38" s="6">
        <f>COUNTIF('Treatment Record'!B:B,"Nyenga")</f>
        <v>2</v>
      </c>
      <c r="C38" s="6">
        <f>COUNTIFS('Treatment Record'!B:B,"Nyenga", 'Treatment Record'!G:G, "M")</f>
        <v>0</v>
      </c>
      <c r="D38" s="6">
        <f>COUNTIFS('Treatment Record'!B:B,"Nyenga", 'Treatment Record'!G:G, "F")</f>
        <v>2</v>
      </c>
      <c r="E38" s="6">
        <f>COUNTIFS('Treatment Record'!B:B,"Nyenga", 'Treatment Record'!I:I, "Ca")</f>
        <v>2</v>
      </c>
      <c r="F38" s="6">
        <f>COUNTIFS('Treatment Record'!B:B,"Nyenga", 'Treatment Record'!I:I, "Ca/HIV")</f>
        <v>0</v>
      </c>
      <c r="G38" s="6">
        <f>COUNTIFS('Treatment Record'!B:B,"Nyenga", 'Treatment Record'!I:I, "HIV")</f>
        <v>0</v>
      </c>
      <c r="H38" s="6">
        <f>COUNTIFS('Treatment Record'!B:B,"Nyenga", 'Treatment Record'!I:I, "Other")</f>
        <v>0</v>
      </c>
      <c r="I38" s="6">
        <f>SUMIFS('Treatment Record'!N:N, 'Treatment Record'!B:B, "Nyenga")</f>
        <v>1</v>
      </c>
      <c r="J38" s="6">
        <f>SUMIFS('Treatment Record'!P:P, 'Treatment Record'!B:B, "Nyenga")</f>
        <v>1</v>
      </c>
      <c r="K38" s="6">
        <f>SUMIFS('Treatment Record'!S:S, 'Treatment Record'!B:B, "Nyenga")</f>
        <v>0</v>
      </c>
      <c r="L38" s="6">
        <v>0</v>
      </c>
      <c r="M38" s="6">
        <f>SUMIFS('Treatment Record'!T:T, 'Treatment Record'!B:B, "Nyenga")</f>
        <v>1</v>
      </c>
      <c r="N38" s="6">
        <v>0</v>
      </c>
      <c r="Q38" s="29" t="s">
        <v>288</v>
      </c>
      <c r="R38" s="26">
        <v>1</v>
      </c>
    </row>
    <row r="39" spans="1:18" ht="15.75" customHeight="1" x14ac:dyDescent="0.25">
      <c r="A39" s="30" t="s">
        <v>339</v>
      </c>
      <c r="B39" s="16">
        <f t="shared" ref="B39:N39" si="0">SUM(B2:B38)</f>
        <v>83</v>
      </c>
      <c r="C39" s="16">
        <f t="shared" si="0"/>
        <v>26</v>
      </c>
      <c r="D39" s="16">
        <f t="shared" si="0"/>
        <v>57</v>
      </c>
      <c r="E39" s="16">
        <f t="shared" si="0"/>
        <v>72</v>
      </c>
      <c r="F39" s="16">
        <f t="shared" si="0"/>
        <v>7</v>
      </c>
      <c r="G39" s="16">
        <f t="shared" si="0"/>
        <v>0</v>
      </c>
      <c r="H39" s="16">
        <f t="shared" si="0"/>
        <v>4</v>
      </c>
      <c r="I39" s="16">
        <f t="shared" si="0"/>
        <v>26</v>
      </c>
      <c r="J39" s="16">
        <f t="shared" si="0"/>
        <v>57</v>
      </c>
      <c r="K39" s="16">
        <f t="shared" si="0"/>
        <v>0</v>
      </c>
      <c r="L39" s="16">
        <f t="shared" si="0"/>
        <v>0</v>
      </c>
      <c r="M39" s="16">
        <f t="shared" si="0"/>
        <v>6</v>
      </c>
      <c r="N39" s="16">
        <f t="shared" si="0"/>
        <v>0</v>
      </c>
      <c r="O39" s="31"/>
      <c r="Q39" s="23" t="s">
        <v>145</v>
      </c>
      <c r="R39" s="26">
        <v>3</v>
      </c>
    </row>
    <row r="40" spans="1:18" ht="15.75" customHeight="1" x14ac:dyDescent="0.25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Q40" s="29" t="s">
        <v>127</v>
      </c>
      <c r="R40" s="26">
        <v>2</v>
      </c>
    </row>
    <row r="41" spans="1:18" ht="15.75" customHeight="1" x14ac:dyDescent="0.25">
      <c r="A41" s="32"/>
      <c r="B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Q41" s="29" t="s">
        <v>150</v>
      </c>
      <c r="R41" s="26">
        <v>5</v>
      </c>
    </row>
    <row r="42" spans="1:18" ht="15.75" customHeight="1" x14ac:dyDescent="0.25">
      <c r="A42" s="32"/>
      <c r="B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Q42" s="23" t="s">
        <v>164</v>
      </c>
      <c r="R42" s="26">
        <v>1</v>
      </c>
    </row>
    <row r="43" spans="1:18" ht="15.75" customHeight="1" x14ac:dyDescent="0.25">
      <c r="A43" s="32"/>
      <c r="B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Q43" s="23" t="s">
        <v>291</v>
      </c>
      <c r="R43" s="26">
        <v>1</v>
      </c>
    </row>
    <row r="44" spans="1:18" ht="15.75" customHeight="1" x14ac:dyDescent="0.25">
      <c r="A44" s="32"/>
      <c r="B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Q44" s="23" t="s">
        <v>104</v>
      </c>
      <c r="R44" s="26">
        <v>1</v>
      </c>
    </row>
    <row r="45" spans="1:18" ht="15.75" customHeight="1" x14ac:dyDescent="0.25">
      <c r="A45" s="32"/>
      <c r="B45" s="31"/>
      <c r="C45" s="33" t="s">
        <v>340</v>
      </c>
      <c r="D45" s="34">
        <f>COUNT('Treatment Record'!X:X)</f>
        <v>3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Q45" s="18" t="s">
        <v>59</v>
      </c>
      <c r="R45" s="26">
        <v>4</v>
      </c>
    </row>
    <row r="46" spans="1:18" ht="15.75" customHeight="1" x14ac:dyDescent="0.25">
      <c r="A46" s="32"/>
      <c r="B46" s="31"/>
      <c r="C46" s="33" t="s">
        <v>21</v>
      </c>
      <c r="D46" s="34">
        <f>COUNT('Treatment Record'!V:V)</f>
        <v>14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Q46" s="18" t="s">
        <v>153</v>
      </c>
      <c r="R46" s="26">
        <v>1</v>
      </c>
    </row>
    <row r="47" spans="1:18" ht="15.75" customHeight="1" x14ac:dyDescent="0.25">
      <c r="A47" s="32"/>
      <c r="B47" s="31"/>
      <c r="C47" s="33" t="s">
        <v>341</v>
      </c>
      <c r="D47" s="34">
        <f>COUNT('Treatment Record'!W:W)</f>
        <v>5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Q47" s="18" t="s">
        <v>192</v>
      </c>
      <c r="R47" s="26">
        <v>3</v>
      </c>
    </row>
    <row r="48" spans="1:18" ht="15.75" customHeight="1" x14ac:dyDescent="0.25">
      <c r="A48" s="32"/>
      <c r="B48" s="31"/>
      <c r="C48" s="2" t="s">
        <v>20</v>
      </c>
      <c r="D48" s="34">
        <f>COUNT('Treatment Record'!U:U)</f>
        <v>6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Q48" s="18" t="s">
        <v>237</v>
      </c>
      <c r="R48" s="26">
        <v>1</v>
      </c>
    </row>
    <row r="49" spans="1:18" ht="15.75" customHeight="1" x14ac:dyDescent="0.25">
      <c r="A49" s="32"/>
      <c r="B49" s="31"/>
      <c r="C49" s="2" t="s">
        <v>342</v>
      </c>
      <c r="D49" s="34">
        <f>COUNT('Treatment Record'!AF:AF)</f>
        <v>4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Q49" s="18" t="s">
        <v>283</v>
      </c>
      <c r="R49" s="26">
        <v>2</v>
      </c>
    </row>
    <row r="50" spans="1:18" ht="15.75" customHeight="1" x14ac:dyDescent="0.25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Q50" s="18" t="s">
        <v>217</v>
      </c>
      <c r="R50" s="35">
        <v>1</v>
      </c>
    </row>
    <row r="51" spans="1:18" ht="15.75" customHeight="1" x14ac:dyDescent="0.25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Q51" s="18" t="s">
        <v>135</v>
      </c>
      <c r="R51" s="35">
        <v>1</v>
      </c>
    </row>
    <row r="52" spans="1:18" ht="15.75" customHeight="1" x14ac:dyDescent="0.25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Q52" s="18" t="s">
        <v>161</v>
      </c>
      <c r="R52" s="35">
        <v>1</v>
      </c>
    </row>
    <row r="53" spans="1:18" ht="15.75" customHeight="1" x14ac:dyDescent="0.25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Q53" s="18" t="s">
        <v>233</v>
      </c>
      <c r="R53" s="35">
        <v>1</v>
      </c>
    </row>
    <row r="54" spans="1:18" ht="15.75" customHeight="1" x14ac:dyDescent="0.25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Q54" s="18" t="s">
        <v>307</v>
      </c>
      <c r="R54" s="35">
        <v>1</v>
      </c>
    </row>
    <row r="55" spans="1:18" ht="15.75" customHeight="1" x14ac:dyDescent="0.2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Q55" s="18" t="s">
        <v>100</v>
      </c>
      <c r="R55" s="35">
        <v>1</v>
      </c>
    </row>
    <row r="56" spans="1:18" ht="15.75" customHeight="1" x14ac:dyDescent="0.25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Q56" s="18" t="s">
        <v>68</v>
      </c>
      <c r="R56" s="35">
        <v>2</v>
      </c>
    </row>
    <row r="57" spans="1:18" ht="15.75" customHeight="1" x14ac:dyDescent="0.25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Q57" s="18" t="s">
        <v>81</v>
      </c>
      <c r="R57" s="35">
        <v>1</v>
      </c>
    </row>
    <row r="58" spans="1:18" ht="15.75" customHeight="1" x14ac:dyDescent="0.25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Q58" s="18" t="s">
        <v>226</v>
      </c>
      <c r="R58" s="35">
        <v>1</v>
      </c>
    </row>
    <row r="59" spans="1:18" ht="15.75" customHeight="1" x14ac:dyDescent="0.25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Q59" s="18" t="s">
        <v>295</v>
      </c>
      <c r="R59" s="35">
        <v>1</v>
      </c>
    </row>
    <row r="60" spans="1:18" ht="15.75" customHeight="1" x14ac:dyDescent="0.25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Q60" s="18" t="s">
        <v>77</v>
      </c>
      <c r="R60" s="35">
        <v>1</v>
      </c>
    </row>
    <row r="61" spans="1:18" ht="15.75" customHeight="1" x14ac:dyDescent="0.25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Q61" s="18" t="s">
        <v>230</v>
      </c>
      <c r="R61" s="35">
        <v>1</v>
      </c>
    </row>
    <row r="62" spans="1:18" ht="15.75" customHeight="1" x14ac:dyDescent="0.25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Q62" s="18" t="s">
        <v>311</v>
      </c>
      <c r="R62" s="35">
        <v>1</v>
      </c>
    </row>
    <row r="63" spans="1:18" ht="15.75" customHeight="1" x14ac:dyDescent="0.25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Q63" s="18" t="s">
        <v>64</v>
      </c>
      <c r="R63" s="35">
        <v>2</v>
      </c>
    </row>
    <row r="64" spans="1:18" ht="15.75" customHeight="1" x14ac:dyDescent="0.25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Q64" s="18" t="s">
        <v>263</v>
      </c>
      <c r="R64" s="35">
        <v>1</v>
      </c>
    </row>
    <row r="65" spans="1:18" ht="15.75" customHeight="1" x14ac:dyDescent="0.2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Q65" s="18" t="s">
        <v>304</v>
      </c>
      <c r="R65" s="35">
        <v>1</v>
      </c>
    </row>
    <row r="66" spans="1:18" ht="15.75" customHeight="1" x14ac:dyDescent="0.25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Q66" s="36" t="s">
        <v>315</v>
      </c>
      <c r="R66" s="36">
        <f>SUM(R32:R65)</f>
        <v>83</v>
      </c>
    </row>
    <row r="67" spans="1:18" ht="15.75" customHeight="1" x14ac:dyDescent="0.25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Q67" s="16"/>
      <c r="R67" s="16"/>
    </row>
    <row r="68" spans="1:18" ht="15.75" customHeight="1" x14ac:dyDescent="0.25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</row>
    <row r="69" spans="1:18" ht="15.75" customHeight="1" x14ac:dyDescent="0.25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</row>
    <row r="70" spans="1:18" ht="15.75" customHeight="1" x14ac:dyDescent="0.25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</row>
    <row r="71" spans="1:18" ht="15.75" customHeight="1" x14ac:dyDescent="0.25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1:18" ht="15.75" customHeight="1" x14ac:dyDescent="0.25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</row>
    <row r="73" spans="1:18" ht="15.75" customHeight="1" x14ac:dyDescent="0.25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spans="1:18" ht="15.75" customHeight="1" x14ac:dyDescent="0.25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</row>
    <row r="75" spans="1:18" ht="15.75" customHeight="1" x14ac:dyDescent="0.2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</row>
    <row r="76" spans="1:18" ht="15.75" customHeight="1" x14ac:dyDescent="0.25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</row>
    <row r="77" spans="1:18" ht="15.75" customHeight="1" x14ac:dyDescent="0.25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 spans="1:18" ht="15.75" customHeight="1" x14ac:dyDescent="0.25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</row>
    <row r="79" spans="1:18" ht="15.75" customHeight="1" x14ac:dyDescent="0.25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1:18" ht="15.75" customHeight="1" x14ac:dyDescent="0.25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</row>
    <row r="81" spans="1:15" ht="15.75" customHeight="1" x14ac:dyDescent="0.25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spans="1:15" ht="15.75" customHeight="1" x14ac:dyDescent="0.25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</row>
    <row r="83" spans="1:15" ht="15.75" customHeight="1" x14ac:dyDescent="0.25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spans="1:15" ht="15.75" customHeight="1" x14ac:dyDescent="0.25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</row>
    <row r="85" spans="1:15" ht="15.75" customHeight="1" x14ac:dyDescent="0.2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</row>
    <row r="86" spans="1:15" ht="15.75" customHeight="1" x14ac:dyDescent="0.25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</row>
    <row r="87" spans="1:15" ht="15.75" customHeight="1" x14ac:dyDescent="0.25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</row>
    <row r="88" spans="1:15" ht="15.75" customHeight="1" x14ac:dyDescent="0.25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</row>
    <row r="89" spans="1:15" ht="15.75" customHeight="1" x14ac:dyDescent="0.25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</row>
    <row r="90" spans="1:15" ht="15.75" customHeight="1" x14ac:dyDescent="0.25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</row>
    <row r="91" spans="1:15" ht="15.75" customHeight="1" x14ac:dyDescent="0.25"/>
    <row r="92" spans="1:15" ht="15.75" customHeight="1" x14ac:dyDescent="0.25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1:15" ht="15.75" customHeight="1" x14ac:dyDescent="0.25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</row>
    <row r="94" spans="1:15" ht="15.75" customHeight="1" x14ac:dyDescent="0.25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</row>
    <row r="95" spans="1:15" ht="15.75" customHeight="1" x14ac:dyDescent="0.2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</row>
    <row r="96" spans="1:15" ht="15.75" customHeight="1" x14ac:dyDescent="0.25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</row>
    <row r="97" spans="1:15" ht="15.75" customHeight="1" x14ac:dyDescent="0.25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</row>
    <row r="98" spans="1:15" ht="15.75" customHeight="1" x14ac:dyDescent="0.25"/>
    <row r="99" spans="1:15" ht="15.75" customHeight="1" x14ac:dyDescent="0.25"/>
    <row r="100" spans="1:15" ht="15.75" customHeight="1" x14ac:dyDescent="0.25"/>
    <row r="101" spans="1:15" ht="15.75" customHeight="1" x14ac:dyDescent="0.25">
      <c r="A101" s="32" t="s">
        <v>343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</row>
    <row r="102" spans="1:15" ht="15.75" customHeight="1" x14ac:dyDescent="0.25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1:15" ht="15.75" customHeight="1" x14ac:dyDescent="0.25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 spans="1:15" ht="15.75" customHeight="1" x14ac:dyDescent="0.25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</row>
    <row r="105" spans="1:15" ht="15.75" customHeight="1" x14ac:dyDescent="0.2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</row>
    <row r="106" spans="1:15" ht="15.75" customHeight="1" x14ac:dyDescent="0.25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</row>
    <row r="107" spans="1:15" ht="15.75" customHeight="1" x14ac:dyDescent="0.25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</row>
    <row r="108" spans="1:15" ht="15.75" customHeight="1" x14ac:dyDescent="0.25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</row>
    <row r="109" spans="1:15" ht="15.75" customHeight="1" x14ac:dyDescent="0.25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</row>
    <row r="110" spans="1:15" ht="15.75" customHeight="1" x14ac:dyDescent="0.25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</row>
    <row r="111" spans="1:15" ht="15.75" customHeight="1" x14ac:dyDescent="0.25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</row>
    <row r="112" spans="1:15" ht="15.75" customHeight="1" x14ac:dyDescent="0.25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</row>
    <row r="113" spans="1:15" ht="15.75" customHeight="1" x14ac:dyDescent="0.25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</row>
    <row r="114" spans="1:15" ht="15.75" customHeight="1" x14ac:dyDescent="0.25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</row>
    <row r="115" spans="1:15" ht="15.75" customHeight="1" x14ac:dyDescent="0.2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</row>
    <row r="116" spans="1:15" ht="15.75" customHeight="1" x14ac:dyDescent="0.25"/>
    <row r="117" spans="1:15" ht="15.75" customHeight="1" x14ac:dyDescent="0.25"/>
    <row r="118" spans="1:15" ht="15.75" customHeight="1" x14ac:dyDescent="0.25"/>
    <row r="119" spans="1:15" ht="15.75" customHeight="1" x14ac:dyDescent="0.25"/>
    <row r="120" spans="1:15" ht="15.75" customHeight="1" x14ac:dyDescent="0.25"/>
    <row r="121" spans="1:15" ht="15.75" customHeight="1" x14ac:dyDescent="0.25"/>
    <row r="122" spans="1:15" ht="15.75" customHeight="1" x14ac:dyDescent="0.25"/>
    <row r="123" spans="1:15" ht="15.75" customHeight="1" x14ac:dyDescent="0.25"/>
    <row r="124" spans="1:15" ht="15.75" customHeight="1" x14ac:dyDescent="0.25"/>
    <row r="125" spans="1:15" ht="15.75" customHeight="1" x14ac:dyDescent="0.25"/>
    <row r="126" spans="1:15" ht="15.75" customHeight="1" x14ac:dyDescent="0.25"/>
    <row r="127" spans="1:15" ht="15.75" customHeight="1" x14ac:dyDescent="0.25"/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">
    <mergeCell ref="Q4:R4"/>
    <mergeCell ref="Q13:R13"/>
    <mergeCell ref="Q31:R3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7" t="s">
        <v>344</v>
      </c>
      <c r="B1" s="38" t="s">
        <v>345</v>
      </c>
      <c r="C1" s="38" t="s">
        <v>315</v>
      </c>
      <c r="D1" s="38" t="s">
        <v>58</v>
      </c>
      <c r="E1" s="38" t="s">
        <v>37</v>
      </c>
      <c r="F1" s="38" t="s">
        <v>39</v>
      </c>
      <c r="G1" s="38" t="s">
        <v>50</v>
      </c>
      <c r="H1" s="38" t="s">
        <v>316</v>
      </c>
      <c r="I1" s="38" t="s">
        <v>317</v>
      </c>
      <c r="J1" s="38" t="s">
        <v>318</v>
      </c>
      <c r="K1" s="38" t="s">
        <v>346</v>
      </c>
      <c r="L1" s="38" t="s">
        <v>347</v>
      </c>
      <c r="M1" s="39" t="s">
        <v>29</v>
      </c>
    </row>
    <row r="2" spans="1:13" x14ac:dyDescent="0.25">
      <c r="A2" s="52">
        <v>2020</v>
      </c>
      <c r="B2" s="31" t="s">
        <v>348</v>
      </c>
      <c r="C2" s="31">
        <v>40</v>
      </c>
      <c r="D2" s="31">
        <v>14</v>
      </c>
      <c r="E2" s="31">
        <v>26</v>
      </c>
      <c r="F2" s="31">
        <v>32</v>
      </c>
      <c r="G2" s="31">
        <v>6</v>
      </c>
      <c r="H2" s="31">
        <v>0</v>
      </c>
      <c r="I2" s="31">
        <v>2</v>
      </c>
      <c r="J2" s="31">
        <v>15</v>
      </c>
      <c r="K2" s="31">
        <v>25</v>
      </c>
      <c r="L2" s="31">
        <v>0</v>
      </c>
      <c r="M2" s="40">
        <v>0</v>
      </c>
    </row>
    <row r="3" spans="1:13" x14ac:dyDescent="0.25">
      <c r="A3" s="53"/>
      <c r="B3" s="31" t="s">
        <v>349</v>
      </c>
      <c r="C3" s="31">
        <v>39</v>
      </c>
      <c r="D3" s="31">
        <v>17</v>
      </c>
      <c r="E3" s="31">
        <v>22</v>
      </c>
      <c r="F3" s="31">
        <v>31</v>
      </c>
      <c r="G3" s="31">
        <v>4</v>
      </c>
      <c r="H3" s="31">
        <v>0</v>
      </c>
      <c r="I3" s="31">
        <v>4</v>
      </c>
      <c r="J3" s="31">
        <v>14</v>
      </c>
      <c r="K3" s="31">
        <v>25</v>
      </c>
      <c r="L3" s="31">
        <v>0</v>
      </c>
      <c r="M3" s="40">
        <v>0</v>
      </c>
    </row>
    <row r="4" spans="1:13" x14ac:dyDescent="0.25">
      <c r="A4" s="53"/>
      <c r="B4" s="31" t="s">
        <v>350</v>
      </c>
      <c r="C4" s="31">
        <v>36</v>
      </c>
      <c r="D4" s="31">
        <v>15</v>
      </c>
      <c r="E4" s="31">
        <v>21</v>
      </c>
      <c r="F4" s="31">
        <v>29</v>
      </c>
      <c r="G4" s="31">
        <v>3</v>
      </c>
      <c r="H4" s="31">
        <v>1</v>
      </c>
      <c r="I4" s="31">
        <v>3</v>
      </c>
      <c r="J4" s="31">
        <v>5</v>
      </c>
      <c r="K4" s="31">
        <v>31</v>
      </c>
      <c r="L4" s="31">
        <v>0</v>
      </c>
      <c r="M4" s="40">
        <v>5</v>
      </c>
    </row>
    <row r="5" spans="1:13" x14ac:dyDescent="0.25">
      <c r="A5" s="53"/>
      <c r="B5" s="41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3" x14ac:dyDescent="0.25">
      <c r="A6" s="53"/>
      <c r="B6" s="31" t="s">
        <v>351</v>
      </c>
      <c r="C6" s="31">
        <v>14</v>
      </c>
      <c r="D6" s="31">
        <v>7</v>
      </c>
      <c r="E6" s="31">
        <v>7</v>
      </c>
      <c r="F6" s="31">
        <v>12</v>
      </c>
      <c r="G6" s="31">
        <v>1</v>
      </c>
      <c r="H6" s="31">
        <v>0</v>
      </c>
      <c r="I6" s="31">
        <v>1</v>
      </c>
      <c r="J6" s="31">
        <v>0</v>
      </c>
      <c r="K6" s="31">
        <v>14</v>
      </c>
      <c r="L6" s="31">
        <v>0</v>
      </c>
      <c r="M6" s="44">
        <v>1</v>
      </c>
    </row>
    <row r="7" spans="1:13" x14ac:dyDescent="0.25">
      <c r="A7" s="53"/>
      <c r="B7" s="31" t="s">
        <v>352</v>
      </c>
      <c r="C7" s="31">
        <v>11</v>
      </c>
      <c r="D7" s="31">
        <v>5</v>
      </c>
      <c r="E7" s="31">
        <v>6</v>
      </c>
      <c r="F7" s="31">
        <v>10</v>
      </c>
      <c r="G7" s="31">
        <v>0</v>
      </c>
      <c r="H7" s="31">
        <v>0</v>
      </c>
      <c r="I7" s="31">
        <v>1</v>
      </c>
      <c r="J7" s="31">
        <v>1</v>
      </c>
      <c r="K7" s="31">
        <v>10</v>
      </c>
      <c r="L7" s="31">
        <v>0</v>
      </c>
      <c r="M7" s="44">
        <v>0</v>
      </c>
    </row>
    <row r="8" spans="1:13" x14ac:dyDescent="0.25">
      <c r="A8" s="53"/>
      <c r="B8" s="31" t="s">
        <v>353</v>
      </c>
      <c r="C8" s="31">
        <v>24</v>
      </c>
      <c r="D8" s="31">
        <v>10</v>
      </c>
      <c r="E8" s="31">
        <v>14</v>
      </c>
      <c r="F8" s="31">
        <v>15</v>
      </c>
      <c r="G8" s="31">
        <v>3</v>
      </c>
      <c r="H8" s="31">
        <v>0</v>
      </c>
      <c r="I8" s="31">
        <v>6</v>
      </c>
      <c r="J8" s="31">
        <v>10</v>
      </c>
      <c r="K8" s="31">
        <v>14</v>
      </c>
      <c r="L8" s="31">
        <v>0</v>
      </c>
      <c r="M8" s="44">
        <v>0</v>
      </c>
    </row>
    <row r="9" spans="1:13" x14ac:dyDescent="0.25">
      <c r="A9" s="5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5"/>
    </row>
    <row r="10" spans="1:13" x14ac:dyDescent="0.25">
      <c r="A10" s="53"/>
      <c r="B10" s="31" t="s">
        <v>354</v>
      </c>
      <c r="C10" s="31">
        <v>28</v>
      </c>
      <c r="D10" s="31">
        <v>12</v>
      </c>
      <c r="E10" s="31">
        <v>16</v>
      </c>
      <c r="F10" s="31">
        <v>23</v>
      </c>
      <c r="G10" s="31">
        <v>2</v>
      </c>
      <c r="H10" s="31">
        <v>0</v>
      </c>
      <c r="I10" s="31">
        <v>3</v>
      </c>
      <c r="J10" s="31">
        <v>0</v>
      </c>
      <c r="K10" s="31">
        <v>25</v>
      </c>
      <c r="L10" s="31">
        <v>1</v>
      </c>
      <c r="M10" s="40">
        <v>1</v>
      </c>
    </row>
    <row r="11" spans="1:13" x14ac:dyDescent="0.25">
      <c r="A11" s="53"/>
      <c r="B11" s="31" t="s">
        <v>355</v>
      </c>
      <c r="C11" s="31">
        <v>32</v>
      </c>
      <c r="D11" s="31">
        <v>9</v>
      </c>
      <c r="E11" s="31">
        <v>23</v>
      </c>
      <c r="F11" s="31">
        <v>25</v>
      </c>
      <c r="G11" s="31">
        <v>3</v>
      </c>
      <c r="H11" s="31">
        <v>0</v>
      </c>
      <c r="I11" s="31">
        <v>4</v>
      </c>
      <c r="J11" s="31">
        <v>13</v>
      </c>
      <c r="K11" s="31">
        <v>18</v>
      </c>
      <c r="L11" s="31">
        <v>0</v>
      </c>
      <c r="M11" s="40">
        <v>0</v>
      </c>
    </row>
    <row r="12" spans="1:13" x14ac:dyDescent="0.25">
      <c r="A12" s="53"/>
      <c r="B12" s="31" t="s">
        <v>356</v>
      </c>
      <c r="C12" s="31">
        <v>20</v>
      </c>
      <c r="D12" s="31">
        <v>8</v>
      </c>
      <c r="E12" s="31">
        <v>12</v>
      </c>
      <c r="F12" s="31">
        <v>16</v>
      </c>
      <c r="G12" s="31">
        <v>3</v>
      </c>
      <c r="H12" s="31">
        <v>0</v>
      </c>
      <c r="I12" s="31">
        <v>2</v>
      </c>
      <c r="J12" s="31">
        <v>6</v>
      </c>
      <c r="K12" s="31">
        <v>14</v>
      </c>
      <c r="L12" s="31">
        <v>0</v>
      </c>
      <c r="M12" s="44">
        <v>3</v>
      </c>
    </row>
    <row r="13" spans="1:13" x14ac:dyDescent="0.25">
      <c r="A13" s="53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</row>
    <row r="14" spans="1:13" x14ac:dyDescent="0.25">
      <c r="A14" s="53"/>
      <c r="B14" s="31" t="s">
        <v>357</v>
      </c>
      <c r="C14" s="31">
        <v>39</v>
      </c>
      <c r="D14" s="31">
        <v>14</v>
      </c>
      <c r="E14" s="31">
        <v>25</v>
      </c>
      <c r="F14" s="31">
        <v>25</v>
      </c>
      <c r="G14" s="31">
        <v>6</v>
      </c>
      <c r="H14" s="31">
        <v>1</v>
      </c>
      <c r="I14" s="31">
        <v>7</v>
      </c>
      <c r="J14" s="31">
        <v>14</v>
      </c>
      <c r="K14" s="31">
        <v>25</v>
      </c>
      <c r="L14" s="31">
        <v>0</v>
      </c>
      <c r="M14" s="44">
        <v>2</v>
      </c>
    </row>
    <row r="15" spans="1:13" x14ac:dyDescent="0.25">
      <c r="A15" s="53"/>
      <c r="B15" s="31" t="s">
        <v>358</v>
      </c>
      <c r="C15" s="31">
        <v>43</v>
      </c>
      <c r="D15" s="31">
        <v>17</v>
      </c>
      <c r="E15" s="31">
        <v>26</v>
      </c>
      <c r="F15" s="31">
        <v>28</v>
      </c>
      <c r="G15" s="31">
        <v>6</v>
      </c>
      <c r="H15" s="31">
        <v>1</v>
      </c>
      <c r="I15" s="31">
        <v>7</v>
      </c>
      <c r="J15" s="31">
        <v>14</v>
      </c>
      <c r="K15" s="31">
        <v>29</v>
      </c>
      <c r="L15" s="31">
        <v>1</v>
      </c>
      <c r="M15" s="44">
        <v>3</v>
      </c>
    </row>
    <row r="16" spans="1:13" x14ac:dyDescent="0.25">
      <c r="A16" s="54"/>
      <c r="B16" s="46" t="s">
        <v>359</v>
      </c>
      <c r="C16" s="46">
        <v>19</v>
      </c>
      <c r="D16" s="46">
        <v>5</v>
      </c>
      <c r="E16" s="46">
        <v>14</v>
      </c>
      <c r="F16" s="46">
        <v>13</v>
      </c>
      <c r="G16" s="46">
        <v>3</v>
      </c>
      <c r="H16" s="46">
        <v>0</v>
      </c>
      <c r="I16" s="46">
        <v>3</v>
      </c>
      <c r="J16" s="46">
        <v>2</v>
      </c>
      <c r="K16" s="46">
        <v>18</v>
      </c>
      <c r="L16" s="46">
        <v>0</v>
      </c>
      <c r="M16" s="47">
        <v>2</v>
      </c>
    </row>
    <row r="17" spans="1:13" x14ac:dyDescent="0.25">
      <c r="D17" s="6">
        <f t="shared" ref="D17:E17" si="0">SUM(D2:D16)</f>
        <v>133</v>
      </c>
      <c r="E17" s="6">
        <f t="shared" si="0"/>
        <v>212</v>
      </c>
      <c r="J17" s="6">
        <f>SUM(J2:J16)</f>
        <v>94</v>
      </c>
    </row>
    <row r="19" spans="1:13" x14ac:dyDescent="0.25">
      <c r="E19" s="55" t="s">
        <v>360</v>
      </c>
      <c r="F19" s="56"/>
      <c r="G19" s="56"/>
      <c r="H19" s="56"/>
      <c r="I19" s="48">
        <v>119</v>
      </c>
    </row>
    <row r="21" spans="1:13" ht="15.75" customHeight="1" x14ac:dyDescent="0.25">
      <c r="A21" s="52">
        <v>2021</v>
      </c>
      <c r="B21" s="31" t="s">
        <v>348</v>
      </c>
      <c r="C21" s="31">
        <v>22</v>
      </c>
      <c r="D21" s="31">
        <v>7</v>
      </c>
      <c r="E21" s="31">
        <v>14</v>
      </c>
      <c r="F21" s="31">
        <v>15</v>
      </c>
      <c r="G21" s="31">
        <v>2</v>
      </c>
      <c r="H21" s="31">
        <v>1</v>
      </c>
      <c r="I21" s="31">
        <v>1</v>
      </c>
      <c r="J21" s="31">
        <v>1</v>
      </c>
      <c r="K21" s="31">
        <v>16</v>
      </c>
      <c r="L21" s="31">
        <v>0</v>
      </c>
      <c r="M21" s="40">
        <v>0</v>
      </c>
    </row>
    <row r="22" spans="1:13" ht="15.75" customHeight="1" x14ac:dyDescent="0.25">
      <c r="A22" s="53"/>
      <c r="B22" s="31" t="s">
        <v>349</v>
      </c>
      <c r="C22" s="31">
        <v>37</v>
      </c>
      <c r="D22" s="31">
        <v>15</v>
      </c>
      <c r="E22" s="31">
        <v>22</v>
      </c>
      <c r="F22" s="31">
        <v>28</v>
      </c>
      <c r="G22" s="31">
        <v>4</v>
      </c>
      <c r="H22" s="31">
        <v>0</v>
      </c>
      <c r="I22" s="31">
        <v>5</v>
      </c>
      <c r="J22" s="31">
        <v>12</v>
      </c>
      <c r="K22" s="31">
        <v>25</v>
      </c>
      <c r="L22" s="31">
        <v>0</v>
      </c>
      <c r="M22" s="40">
        <v>0</v>
      </c>
    </row>
    <row r="23" spans="1:13" ht="15.75" customHeight="1" x14ac:dyDescent="0.25">
      <c r="A23" s="53"/>
      <c r="B23" s="31" t="s">
        <v>350</v>
      </c>
      <c r="C23" s="31">
        <v>43</v>
      </c>
      <c r="D23" s="31">
        <v>13</v>
      </c>
      <c r="E23" s="31">
        <v>30</v>
      </c>
      <c r="F23" s="31">
        <v>29</v>
      </c>
      <c r="G23" s="31">
        <v>6</v>
      </c>
      <c r="H23" s="31">
        <v>0</v>
      </c>
      <c r="I23" s="31">
        <v>8</v>
      </c>
      <c r="J23" s="31">
        <v>14</v>
      </c>
      <c r="K23" s="31">
        <v>29</v>
      </c>
      <c r="L23" s="31">
        <v>0</v>
      </c>
      <c r="M23" s="40">
        <v>0</v>
      </c>
    </row>
    <row r="24" spans="1:13" ht="15.75" customHeight="1" x14ac:dyDescent="0.25">
      <c r="A24" s="53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3" ht="15.75" customHeight="1" x14ac:dyDescent="0.25">
      <c r="A25" s="53"/>
      <c r="B25" s="31" t="s">
        <v>351</v>
      </c>
      <c r="C25" s="31">
        <v>43</v>
      </c>
      <c r="D25" s="31">
        <v>12</v>
      </c>
      <c r="E25" s="31">
        <v>31</v>
      </c>
      <c r="F25" s="31">
        <v>25</v>
      </c>
      <c r="G25" s="31">
        <v>2</v>
      </c>
      <c r="H25" s="31">
        <v>1</v>
      </c>
      <c r="I25" s="31">
        <v>15</v>
      </c>
      <c r="J25" s="31">
        <v>10</v>
      </c>
      <c r="K25" s="31">
        <v>33</v>
      </c>
      <c r="L25" s="31">
        <v>0</v>
      </c>
      <c r="M25" s="44">
        <v>1</v>
      </c>
    </row>
    <row r="26" spans="1:13" ht="15.75" customHeight="1" x14ac:dyDescent="0.25">
      <c r="A26" s="53"/>
      <c r="B26" s="31" t="s">
        <v>352</v>
      </c>
      <c r="C26" s="31">
        <v>42</v>
      </c>
      <c r="D26" s="31">
        <v>13</v>
      </c>
      <c r="E26" s="31">
        <v>29</v>
      </c>
      <c r="F26" s="31">
        <v>32</v>
      </c>
      <c r="G26" s="31">
        <v>4</v>
      </c>
      <c r="H26" s="31">
        <v>0</v>
      </c>
      <c r="I26" s="31">
        <v>5</v>
      </c>
      <c r="J26" s="31">
        <v>15</v>
      </c>
      <c r="K26" s="31">
        <v>27</v>
      </c>
      <c r="L26" s="31">
        <v>0</v>
      </c>
      <c r="M26" s="44">
        <v>3</v>
      </c>
    </row>
    <row r="27" spans="1:13" ht="15.75" customHeight="1" x14ac:dyDescent="0.25">
      <c r="A27" s="53"/>
      <c r="B27" s="31" t="s">
        <v>353</v>
      </c>
      <c r="C27" s="31">
        <v>45</v>
      </c>
      <c r="D27" s="31">
        <v>9</v>
      </c>
      <c r="E27" s="31">
        <v>36</v>
      </c>
      <c r="F27" s="31">
        <v>37</v>
      </c>
      <c r="G27" s="31">
        <v>4</v>
      </c>
      <c r="H27" s="31">
        <v>1</v>
      </c>
      <c r="I27" s="31">
        <v>3</v>
      </c>
      <c r="J27" s="31">
        <v>14</v>
      </c>
      <c r="K27" s="31">
        <v>31</v>
      </c>
      <c r="L27" s="31">
        <v>0</v>
      </c>
      <c r="M27" s="44">
        <v>2</v>
      </c>
    </row>
    <row r="28" spans="1:13" ht="15.75" customHeight="1" x14ac:dyDescent="0.25">
      <c r="A28" s="53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5"/>
    </row>
    <row r="29" spans="1:13" ht="15.75" customHeight="1" x14ac:dyDescent="0.25">
      <c r="A29" s="53"/>
      <c r="B29" s="31" t="s">
        <v>354</v>
      </c>
      <c r="C29" s="31">
        <v>44</v>
      </c>
      <c r="D29" s="31">
        <v>15</v>
      </c>
      <c r="E29" s="31">
        <v>29</v>
      </c>
      <c r="F29" s="31">
        <v>36</v>
      </c>
      <c r="G29" s="31">
        <v>6</v>
      </c>
      <c r="H29" s="31">
        <v>0</v>
      </c>
      <c r="I29" s="31">
        <v>2</v>
      </c>
      <c r="J29" s="31">
        <v>6</v>
      </c>
      <c r="K29" s="31">
        <v>38</v>
      </c>
      <c r="L29" s="31">
        <v>0</v>
      </c>
      <c r="M29" s="40">
        <v>0</v>
      </c>
    </row>
    <row r="30" spans="1:13" ht="15.75" customHeight="1" x14ac:dyDescent="0.25">
      <c r="A30" s="53"/>
      <c r="B30" s="31" t="s">
        <v>355</v>
      </c>
      <c r="C30" s="31">
        <v>37</v>
      </c>
      <c r="D30" s="31">
        <v>11</v>
      </c>
      <c r="E30" s="31">
        <v>26</v>
      </c>
      <c r="F30" s="31">
        <v>30</v>
      </c>
      <c r="G30" s="31">
        <v>6</v>
      </c>
      <c r="H30" s="31">
        <v>0</v>
      </c>
      <c r="I30" s="31">
        <v>1</v>
      </c>
      <c r="J30" s="31">
        <v>10</v>
      </c>
      <c r="K30" s="31">
        <v>26</v>
      </c>
      <c r="L30" s="31">
        <v>1</v>
      </c>
      <c r="M30" s="40">
        <v>0</v>
      </c>
    </row>
    <row r="31" spans="1:13" ht="15.75" customHeight="1" x14ac:dyDescent="0.25">
      <c r="A31" s="53"/>
      <c r="B31" s="31" t="s">
        <v>356</v>
      </c>
      <c r="C31" s="31">
        <v>63</v>
      </c>
      <c r="D31" s="31">
        <v>20</v>
      </c>
      <c r="E31" s="31">
        <v>43</v>
      </c>
      <c r="F31" s="31">
        <v>48</v>
      </c>
      <c r="G31" s="31">
        <v>7</v>
      </c>
      <c r="H31" s="31">
        <v>0</v>
      </c>
      <c r="I31" s="31">
        <v>8</v>
      </c>
      <c r="J31" s="31">
        <v>8</v>
      </c>
      <c r="K31" s="31">
        <v>55</v>
      </c>
      <c r="L31" s="31">
        <v>2</v>
      </c>
      <c r="M31" s="44">
        <v>0</v>
      </c>
    </row>
    <row r="32" spans="1:13" ht="15.75" customHeight="1" x14ac:dyDescent="0.25">
      <c r="A32" s="53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3"/>
    </row>
    <row r="33" spans="1:13" ht="15.75" customHeight="1" x14ac:dyDescent="0.25">
      <c r="A33" s="53"/>
      <c r="B33" s="31" t="s">
        <v>357</v>
      </c>
      <c r="C33" s="31">
        <v>55</v>
      </c>
      <c r="D33" s="31">
        <v>13</v>
      </c>
      <c r="E33" s="31">
        <v>42</v>
      </c>
      <c r="F33" s="31">
        <v>45</v>
      </c>
      <c r="G33" s="31">
        <v>8</v>
      </c>
      <c r="H33" s="31">
        <v>0</v>
      </c>
      <c r="I33" s="31">
        <v>2</v>
      </c>
      <c r="J33" s="31">
        <v>26</v>
      </c>
      <c r="K33" s="31">
        <v>29</v>
      </c>
      <c r="L33" s="31">
        <v>0</v>
      </c>
      <c r="M33" s="44">
        <v>0</v>
      </c>
    </row>
    <row r="34" spans="1:13" ht="15.75" customHeight="1" x14ac:dyDescent="0.25">
      <c r="A34" s="53"/>
      <c r="B34" s="31" t="s">
        <v>358</v>
      </c>
      <c r="C34" s="31">
        <v>84</v>
      </c>
      <c r="D34" s="31">
        <v>27</v>
      </c>
      <c r="E34" s="31">
        <v>57</v>
      </c>
      <c r="F34" s="31">
        <v>69</v>
      </c>
      <c r="G34" s="31">
        <v>8</v>
      </c>
      <c r="H34" s="31">
        <v>0</v>
      </c>
      <c r="I34" s="31">
        <v>7</v>
      </c>
      <c r="J34" s="31">
        <v>27</v>
      </c>
      <c r="K34" s="31">
        <v>57</v>
      </c>
      <c r="L34" s="31">
        <v>0</v>
      </c>
      <c r="M34" s="44">
        <v>5</v>
      </c>
    </row>
    <row r="35" spans="1:13" ht="15.75" customHeight="1" x14ac:dyDescent="0.25">
      <c r="A35" s="54"/>
      <c r="B35" s="46" t="s">
        <v>359</v>
      </c>
      <c r="C35" s="46">
        <v>47</v>
      </c>
      <c r="D35" s="46">
        <v>10</v>
      </c>
      <c r="E35" s="46">
        <v>37</v>
      </c>
      <c r="F35" s="46">
        <v>37</v>
      </c>
      <c r="G35" s="46">
        <v>4</v>
      </c>
      <c r="H35" s="46">
        <v>0</v>
      </c>
      <c r="I35" s="46">
        <v>6</v>
      </c>
      <c r="J35" s="46">
        <v>12</v>
      </c>
      <c r="K35" s="46">
        <v>35</v>
      </c>
      <c r="L35" s="46">
        <v>0</v>
      </c>
      <c r="M35" s="47">
        <v>2</v>
      </c>
    </row>
    <row r="36" spans="1:13" ht="15.75" customHeight="1" x14ac:dyDescent="0.25">
      <c r="J36" s="6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52">
        <v>2022</v>
      </c>
      <c r="B39" s="31" t="s">
        <v>348</v>
      </c>
      <c r="C39" s="31">
        <v>30</v>
      </c>
      <c r="D39" s="31">
        <v>8</v>
      </c>
      <c r="E39" s="31">
        <v>22</v>
      </c>
      <c r="F39" s="31">
        <v>21</v>
      </c>
      <c r="G39" s="31">
        <v>3</v>
      </c>
      <c r="H39" s="31">
        <v>0</v>
      </c>
      <c r="I39" s="31">
        <v>4</v>
      </c>
      <c r="J39" s="31">
        <v>10</v>
      </c>
      <c r="K39" s="31">
        <v>20</v>
      </c>
      <c r="L39" s="31">
        <v>0</v>
      </c>
      <c r="M39" s="40">
        <v>0</v>
      </c>
    </row>
    <row r="40" spans="1:13" ht="15.75" customHeight="1" x14ac:dyDescent="0.25">
      <c r="A40" s="53"/>
      <c r="B40" s="31" t="s">
        <v>349</v>
      </c>
      <c r="C40" s="31">
        <v>58</v>
      </c>
      <c r="D40" s="31">
        <v>23</v>
      </c>
      <c r="E40" s="31">
        <v>35</v>
      </c>
      <c r="F40" s="31">
        <v>45</v>
      </c>
      <c r="G40" s="31">
        <v>6</v>
      </c>
      <c r="H40" s="31">
        <v>0</v>
      </c>
      <c r="I40" s="31">
        <v>7</v>
      </c>
      <c r="J40" s="31">
        <v>11</v>
      </c>
      <c r="K40" s="31">
        <v>47</v>
      </c>
      <c r="L40" s="31">
        <v>1</v>
      </c>
      <c r="M40" s="40">
        <v>0</v>
      </c>
    </row>
    <row r="41" spans="1:13" ht="15.75" customHeight="1" x14ac:dyDescent="0.25">
      <c r="A41" s="53"/>
      <c r="B41" s="31" t="s">
        <v>350</v>
      </c>
      <c r="C41" s="31">
        <v>78</v>
      </c>
      <c r="D41" s="31">
        <v>27</v>
      </c>
      <c r="E41" s="31">
        <v>51</v>
      </c>
      <c r="F41" s="31">
        <v>59</v>
      </c>
      <c r="G41" s="31">
        <v>8</v>
      </c>
      <c r="H41" s="31">
        <v>1</v>
      </c>
      <c r="I41" s="31">
        <v>10</v>
      </c>
      <c r="J41" s="31">
        <v>13</v>
      </c>
      <c r="K41" s="31">
        <v>65</v>
      </c>
      <c r="L41" s="31">
        <v>1</v>
      </c>
      <c r="M41" s="40">
        <v>3</v>
      </c>
    </row>
    <row r="42" spans="1:13" ht="15.75" customHeight="1" x14ac:dyDescent="0.25">
      <c r="A42" s="53"/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3"/>
    </row>
    <row r="43" spans="1:13" ht="15.75" customHeight="1" x14ac:dyDescent="0.25">
      <c r="A43" s="53"/>
      <c r="B43" s="31" t="s">
        <v>351</v>
      </c>
      <c r="C43" s="31">
        <v>48</v>
      </c>
      <c r="D43" s="31">
        <v>19</v>
      </c>
      <c r="E43" s="31">
        <v>29</v>
      </c>
      <c r="F43" s="31">
        <v>40</v>
      </c>
      <c r="G43" s="31">
        <v>4</v>
      </c>
      <c r="H43" s="31">
        <v>0</v>
      </c>
      <c r="I43" s="31">
        <v>4</v>
      </c>
      <c r="J43" s="31">
        <v>8</v>
      </c>
      <c r="K43" s="31">
        <v>40</v>
      </c>
      <c r="L43" s="31">
        <v>0</v>
      </c>
      <c r="M43" s="44">
        <v>1</v>
      </c>
    </row>
    <row r="44" spans="1:13" ht="15.75" customHeight="1" x14ac:dyDescent="0.25">
      <c r="A44" s="53"/>
      <c r="B44" s="31" t="s">
        <v>352</v>
      </c>
      <c r="C44" s="31">
        <v>60</v>
      </c>
      <c r="D44" s="31">
        <v>30</v>
      </c>
      <c r="E44" s="31">
        <v>30</v>
      </c>
      <c r="F44" s="31">
        <v>48</v>
      </c>
      <c r="G44" s="31">
        <v>5</v>
      </c>
      <c r="H44" s="31">
        <v>0</v>
      </c>
      <c r="I44" s="31">
        <v>7</v>
      </c>
      <c r="J44" s="31">
        <v>14</v>
      </c>
      <c r="K44" s="31">
        <v>46</v>
      </c>
      <c r="L44" s="31">
        <v>0</v>
      </c>
      <c r="M44" s="44">
        <v>2</v>
      </c>
    </row>
    <row r="45" spans="1:13" ht="15.75" customHeight="1" x14ac:dyDescent="0.25">
      <c r="A45" s="53"/>
      <c r="B45" s="31" t="s">
        <v>353</v>
      </c>
      <c r="C45" s="31">
        <v>66</v>
      </c>
      <c r="D45" s="31">
        <v>27</v>
      </c>
      <c r="E45" s="31">
        <v>39</v>
      </c>
      <c r="F45" s="31">
        <v>46</v>
      </c>
      <c r="G45" s="31">
        <v>7</v>
      </c>
      <c r="H45" s="31">
        <v>2</v>
      </c>
      <c r="I45" s="31">
        <v>11</v>
      </c>
      <c r="J45" s="31">
        <v>13</v>
      </c>
      <c r="K45" s="31">
        <v>54</v>
      </c>
      <c r="L45" s="31">
        <v>0</v>
      </c>
      <c r="M45" s="44">
        <v>0</v>
      </c>
    </row>
    <row r="46" spans="1:13" ht="15.75" customHeight="1" x14ac:dyDescent="0.25">
      <c r="A46" s="53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5"/>
    </row>
    <row r="47" spans="1:13" ht="15.75" customHeight="1" x14ac:dyDescent="0.25">
      <c r="A47" s="53"/>
      <c r="B47" s="31" t="s">
        <v>354</v>
      </c>
      <c r="C47" s="31">
        <v>68</v>
      </c>
      <c r="D47" s="31">
        <v>20</v>
      </c>
      <c r="E47" s="31">
        <v>48</v>
      </c>
      <c r="F47" s="31">
        <v>47</v>
      </c>
      <c r="G47" s="31">
        <v>6</v>
      </c>
      <c r="H47" s="31">
        <v>4</v>
      </c>
      <c r="I47" s="31">
        <v>11</v>
      </c>
      <c r="J47" s="31">
        <v>18</v>
      </c>
      <c r="K47" s="31">
        <v>50</v>
      </c>
      <c r="L47" s="31">
        <v>0</v>
      </c>
      <c r="M47" s="40">
        <v>4</v>
      </c>
    </row>
    <row r="48" spans="1:13" ht="15.75" customHeight="1" x14ac:dyDescent="0.25">
      <c r="A48" s="53"/>
      <c r="B48" s="31" t="s">
        <v>355</v>
      </c>
      <c r="C48" s="31">
        <v>68</v>
      </c>
      <c r="D48" s="31">
        <v>26</v>
      </c>
      <c r="E48" s="31">
        <v>42</v>
      </c>
      <c r="F48" s="31">
        <v>50</v>
      </c>
      <c r="G48" s="31">
        <v>7</v>
      </c>
      <c r="H48" s="31">
        <v>0</v>
      </c>
      <c r="I48" s="31">
        <v>11</v>
      </c>
      <c r="J48" s="31">
        <v>13</v>
      </c>
      <c r="K48" s="31">
        <v>55</v>
      </c>
      <c r="L48" s="31">
        <v>0</v>
      </c>
      <c r="M48" s="40">
        <v>1</v>
      </c>
    </row>
    <row r="49" spans="1:13" ht="15.75" customHeight="1" x14ac:dyDescent="0.25">
      <c r="A49" s="53"/>
      <c r="B49" s="31" t="s">
        <v>356</v>
      </c>
      <c r="C49" s="31">
        <v>68</v>
      </c>
      <c r="D49" s="31">
        <v>26</v>
      </c>
      <c r="E49" s="31">
        <v>42</v>
      </c>
      <c r="F49" s="31">
        <v>48</v>
      </c>
      <c r="G49" s="31">
        <v>8</v>
      </c>
      <c r="H49" s="31">
        <v>1</v>
      </c>
      <c r="I49" s="31">
        <v>11</v>
      </c>
      <c r="J49" s="31">
        <v>9</v>
      </c>
      <c r="K49" s="31">
        <v>59</v>
      </c>
      <c r="L49" s="31">
        <v>0</v>
      </c>
      <c r="M49" s="44">
        <v>2</v>
      </c>
    </row>
    <row r="50" spans="1:13" ht="15.75" customHeight="1" x14ac:dyDescent="0.25">
      <c r="A50" s="53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3"/>
    </row>
    <row r="51" spans="1:13" ht="15.75" customHeight="1" x14ac:dyDescent="0.25">
      <c r="A51" s="53"/>
      <c r="B51" s="31" t="s">
        <v>357</v>
      </c>
      <c r="C51" s="31">
        <v>49</v>
      </c>
      <c r="D51" s="31">
        <v>16</v>
      </c>
      <c r="E51" s="31">
        <v>33</v>
      </c>
      <c r="F51" s="31">
        <v>30</v>
      </c>
      <c r="G51" s="31">
        <v>7</v>
      </c>
      <c r="H51" s="31">
        <v>3</v>
      </c>
      <c r="I51" s="31">
        <v>9</v>
      </c>
      <c r="J51" s="31">
        <v>11</v>
      </c>
      <c r="K51" s="31">
        <v>38</v>
      </c>
      <c r="L51" s="31">
        <v>0</v>
      </c>
      <c r="M51" s="44">
        <v>1</v>
      </c>
    </row>
    <row r="52" spans="1:13" ht="15.75" customHeight="1" x14ac:dyDescent="0.25">
      <c r="A52" s="53"/>
      <c r="B52" s="31" t="s">
        <v>358</v>
      </c>
      <c r="C52" s="31">
        <v>66</v>
      </c>
      <c r="D52" s="31">
        <v>27</v>
      </c>
      <c r="E52" s="31">
        <v>38</v>
      </c>
      <c r="F52" s="31">
        <v>41</v>
      </c>
      <c r="G52" s="31">
        <v>9</v>
      </c>
      <c r="H52" s="31">
        <v>0</v>
      </c>
      <c r="I52" s="31">
        <v>15</v>
      </c>
      <c r="J52" s="31">
        <v>16</v>
      </c>
      <c r="K52" s="31">
        <v>50</v>
      </c>
      <c r="L52" s="31">
        <v>0</v>
      </c>
      <c r="M52" s="44">
        <v>2</v>
      </c>
    </row>
    <row r="53" spans="1:13" ht="15.75" customHeight="1" x14ac:dyDescent="0.25">
      <c r="A53" s="54"/>
      <c r="B53" s="46" t="s">
        <v>359</v>
      </c>
      <c r="C53" s="46">
        <v>38</v>
      </c>
      <c r="D53" s="46">
        <v>17</v>
      </c>
      <c r="E53" s="46">
        <v>21</v>
      </c>
      <c r="F53" s="46">
        <v>27</v>
      </c>
      <c r="G53" s="46">
        <v>5</v>
      </c>
      <c r="H53" s="46">
        <v>1</v>
      </c>
      <c r="I53" s="46">
        <v>5</v>
      </c>
      <c r="J53" s="46">
        <v>6</v>
      </c>
      <c r="K53" s="46">
        <v>32</v>
      </c>
      <c r="L53" s="46">
        <v>1</v>
      </c>
      <c r="M53" s="47">
        <v>2</v>
      </c>
    </row>
    <row r="54" spans="1:13" ht="15.75" customHeight="1" x14ac:dyDescent="0.25"/>
    <row r="55" spans="1:13" ht="15.75" customHeight="1" x14ac:dyDescent="0.25">
      <c r="J55" s="6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52">
        <v>2023</v>
      </c>
      <c r="B58" s="31" t="s">
        <v>348</v>
      </c>
      <c r="C58" s="31">
        <v>50</v>
      </c>
      <c r="D58" s="31">
        <v>19</v>
      </c>
      <c r="E58" s="31">
        <v>31</v>
      </c>
      <c r="F58" s="31">
        <v>38</v>
      </c>
      <c r="G58" s="31">
        <v>3</v>
      </c>
      <c r="H58" s="31">
        <v>1</v>
      </c>
      <c r="I58" s="31">
        <v>8</v>
      </c>
      <c r="J58" s="31">
        <v>11</v>
      </c>
      <c r="K58" s="31">
        <v>39</v>
      </c>
      <c r="L58" s="31">
        <v>0</v>
      </c>
      <c r="M58" s="40">
        <v>0</v>
      </c>
    </row>
    <row r="59" spans="1:13" ht="15.75" customHeight="1" x14ac:dyDescent="0.25">
      <c r="A59" s="53"/>
      <c r="B59" s="31" t="s">
        <v>349</v>
      </c>
      <c r="C59" s="31">
        <v>63</v>
      </c>
      <c r="D59" s="31">
        <v>17</v>
      </c>
      <c r="E59" s="31">
        <v>46</v>
      </c>
      <c r="F59" s="31">
        <v>51</v>
      </c>
      <c r="G59" s="31">
        <v>4</v>
      </c>
      <c r="H59" s="31">
        <v>0</v>
      </c>
      <c r="I59" s="31">
        <v>8</v>
      </c>
      <c r="J59" s="31">
        <v>11</v>
      </c>
      <c r="K59" s="31">
        <v>52</v>
      </c>
      <c r="L59" s="31">
        <v>0</v>
      </c>
      <c r="M59" s="40">
        <v>3</v>
      </c>
    </row>
    <row r="60" spans="1:13" ht="15.75" customHeight="1" x14ac:dyDescent="0.25">
      <c r="A60" s="53"/>
      <c r="B60" s="31" t="s">
        <v>350</v>
      </c>
      <c r="C60" s="31">
        <v>52</v>
      </c>
      <c r="D60" s="31">
        <v>18</v>
      </c>
      <c r="E60" s="31">
        <v>34</v>
      </c>
      <c r="F60" s="31">
        <v>36</v>
      </c>
      <c r="G60" s="31">
        <v>5</v>
      </c>
      <c r="H60" s="31">
        <v>1</v>
      </c>
      <c r="I60" s="31">
        <v>10</v>
      </c>
      <c r="J60" s="31">
        <v>7</v>
      </c>
      <c r="K60" s="31">
        <v>45</v>
      </c>
      <c r="L60" s="31">
        <v>1</v>
      </c>
      <c r="M60" s="40">
        <v>1</v>
      </c>
    </row>
    <row r="61" spans="1:13" ht="15.75" customHeight="1" x14ac:dyDescent="0.25">
      <c r="A61" s="53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3"/>
    </row>
    <row r="62" spans="1:13" ht="15.75" customHeight="1" x14ac:dyDescent="0.25">
      <c r="A62" s="53"/>
      <c r="B62" s="31" t="s">
        <v>351</v>
      </c>
      <c r="C62" s="31">
        <v>52</v>
      </c>
      <c r="D62" s="31">
        <v>18</v>
      </c>
      <c r="E62" s="31">
        <v>34</v>
      </c>
      <c r="F62" s="31">
        <v>35</v>
      </c>
      <c r="G62" s="31">
        <v>7</v>
      </c>
      <c r="H62" s="31">
        <v>2</v>
      </c>
      <c r="I62" s="31">
        <v>8</v>
      </c>
      <c r="J62" s="31">
        <v>17</v>
      </c>
      <c r="K62" s="31">
        <v>35</v>
      </c>
      <c r="L62" s="31">
        <v>0</v>
      </c>
      <c r="M62" s="44">
        <v>2</v>
      </c>
    </row>
    <row r="63" spans="1:13" ht="15.75" customHeight="1" x14ac:dyDescent="0.25">
      <c r="A63" s="53"/>
      <c r="B63" s="31" t="s">
        <v>352</v>
      </c>
      <c r="C63" s="31">
        <v>68</v>
      </c>
      <c r="D63" s="31">
        <v>31</v>
      </c>
      <c r="E63" s="31">
        <v>37</v>
      </c>
      <c r="F63" s="31">
        <v>43</v>
      </c>
      <c r="G63" s="31">
        <v>12</v>
      </c>
      <c r="H63" s="31">
        <v>1</v>
      </c>
      <c r="I63" s="31">
        <v>12</v>
      </c>
      <c r="J63" s="31">
        <v>21</v>
      </c>
      <c r="K63" s="31">
        <v>47</v>
      </c>
      <c r="L63" s="31">
        <v>1</v>
      </c>
      <c r="M63" s="44">
        <v>1</v>
      </c>
    </row>
    <row r="64" spans="1:13" ht="15.75" customHeight="1" x14ac:dyDescent="0.25">
      <c r="A64" s="53"/>
      <c r="B64" s="31" t="s">
        <v>353</v>
      </c>
      <c r="C64" s="31">
        <v>77</v>
      </c>
      <c r="D64" s="31">
        <v>29</v>
      </c>
      <c r="E64" s="31">
        <v>48</v>
      </c>
      <c r="F64" s="31">
        <v>55</v>
      </c>
      <c r="G64" s="31">
        <v>8</v>
      </c>
      <c r="H64" s="31">
        <v>1</v>
      </c>
      <c r="I64" s="31">
        <v>13</v>
      </c>
      <c r="J64" s="31">
        <v>27</v>
      </c>
      <c r="K64" s="31">
        <v>50</v>
      </c>
      <c r="L64" s="31">
        <v>0</v>
      </c>
      <c r="M64" s="44">
        <v>1</v>
      </c>
    </row>
    <row r="65" spans="1:13" ht="15.75" customHeight="1" x14ac:dyDescent="0.25">
      <c r="A65" s="53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5"/>
    </row>
    <row r="66" spans="1:13" ht="15.75" customHeight="1" x14ac:dyDescent="0.25">
      <c r="A66" s="53"/>
      <c r="B66" s="31" t="s">
        <v>354</v>
      </c>
      <c r="C66" s="31">
        <v>85</v>
      </c>
      <c r="D66" s="31">
        <v>32</v>
      </c>
      <c r="E66" s="31">
        <v>53</v>
      </c>
      <c r="F66" s="31">
        <v>62</v>
      </c>
      <c r="G66" s="31">
        <v>8</v>
      </c>
      <c r="H66" s="31">
        <v>1</v>
      </c>
      <c r="I66" s="31">
        <v>14</v>
      </c>
      <c r="J66" s="31">
        <v>25</v>
      </c>
      <c r="K66" s="31">
        <v>60</v>
      </c>
      <c r="L66" s="31">
        <v>0</v>
      </c>
      <c r="M66" s="40">
        <v>2</v>
      </c>
    </row>
    <row r="67" spans="1:13" ht="15.75" customHeight="1" x14ac:dyDescent="0.25">
      <c r="A67" s="53"/>
      <c r="B67" s="31" t="s">
        <v>355</v>
      </c>
      <c r="C67" s="31">
        <v>83</v>
      </c>
      <c r="D67" s="31">
        <v>37</v>
      </c>
      <c r="E67" s="31">
        <v>46</v>
      </c>
      <c r="F67" s="31">
        <v>61</v>
      </c>
      <c r="G67" s="31">
        <v>12</v>
      </c>
      <c r="H67" s="31">
        <v>0</v>
      </c>
      <c r="I67" s="31">
        <v>10</v>
      </c>
      <c r="J67" s="31">
        <v>22</v>
      </c>
      <c r="K67" s="31">
        <v>61</v>
      </c>
      <c r="L67" s="31">
        <v>0</v>
      </c>
      <c r="M67" s="40">
        <v>2</v>
      </c>
    </row>
    <row r="68" spans="1:13" ht="15.75" customHeight="1" x14ac:dyDescent="0.25">
      <c r="A68" s="53"/>
      <c r="B68" s="31" t="s">
        <v>356</v>
      </c>
      <c r="C68" s="31">
        <v>71</v>
      </c>
      <c r="D68" s="31">
        <v>29</v>
      </c>
      <c r="E68" s="31">
        <v>42</v>
      </c>
      <c r="F68" s="31">
        <v>58</v>
      </c>
      <c r="G68" s="31">
        <v>6</v>
      </c>
      <c r="H68" s="31">
        <v>1</v>
      </c>
      <c r="I68" s="31">
        <v>6</v>
      </c>
      <c r="J68" s="31">
        <v>15</v>
      </c>
      <c r="K68" s="31">
        <v>56</v>
      </c>
      <c r="L68" s="31">
        <v>0</v>
      </c>
      <c r="M68" s="44">
        <v>1</v>
      </c>
    </row>
    <row r="69" spans="1:13" ht="15.75" customHeight="1" x14ac:dyDescent="0.25">
      <c r="A69" s="53"/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3"/>
    </row>
    <row r="70" spans="1:13" ht="15.75" customHeight="1" x14ac:dyDescent="0.25">
      <c r="A70" s="53"/>
      <c r="B70" s="31" t="s">
        <v>357</v>
      </c>
      <c r="C70" s="31">
        <v>59</v>
      </c>
      <c r="D70" s="31">
        <v>18</v>
      </c>
      <c r="E70" s="31">
        <v>41</v>
      </c>
      <c r="F70" s="31">
        <v>39</v>
      </c>
      <c r="G70" s="31">
        <v>12</v>
      </c>
      <c r="H70" s="31">
        <v>1</v>
      </c>
      <c r="I70" s="31">
        <v>7</v>
      </c>
      <c r="J70" s="31">
        <v>17</v>
      </c>
      <c r="K70" s="31">
        <v>42</v>
      </c>
      <c r="L70" s="31">
        <v>0</v>
      </c>
      <c r="M70" s="44">
        <v>0</v>
      </c>
    </row>
    <row r="71" spans="1:13" ht="15.75" customHeight="1" x14ac:dyDescent="0.25">
      <c r="A71" s="53"/>
      <c r="B71" s="31" t="s">
        <v>358</v>
      </c>
      <c r="C71" s="31">
        <v>82</v>
      </c>
      <c r="D71" s="31">
        <v>29</v>
      </c>
      <c r="E71" s="31">
        <v>53</v>
      </c>
      <c r="F71" s="31">
        <v>57</v>
      </c>
      <c r="G71" s="31">
        <v>14</v>
      </c>
      <c r="H71" s="31">
        <v>0</v>
      </c>
      <c r="I71" s="31">
        <v>11</v>
      </c>
      <c r="J71" s="31">
        <v>18</v>
      </c>
      <c r="K71" s="31">
        <v>64</v>
      </c>
      <c r="L71" s="31">
        <v>0</v>
      </c>
      <c r="M71" s="44">
        <v>0</v>
      </c>
    </row>
    <row r="72" spans="1:13" ht="15.75" customHeight="1" x14ac:dyDescent="0.25">
      <c r="A72" s="54"/>
      <c r="B72" s="46" t="s">
        <v>359</v>
      </c>
      <c r="C72" s="46">
        <v>60</v>
      </c>
      <c r="D72" s="46">
        <v>25</v>
      </c>
      <c r="E72" s="46">
        <v>35</v>
      </c>
      <c r="F72" s="46">
        <v>47</v>
      </c>
      <c r="G72" s="46">
        <v>5</v>
      </c>
      <c r="H72" s="46">
        <v>0</v>
      </c>
      <c r="I72" s="46">
        <v>8</v>
      </c>
      <c r="J72" s="46">
        <v>15</v>
      </c>
      <c r="K72" s="46">
        <v>45</v>
      </c>
      <c r="L72" s="46">
        <v>0</v>
      </c>
      <c r="M72" s="47">
        <v>0</v>
      </c>
    </row>
    <row r="73" spans="1:13" ht="15.75" customHeight="1" x14ac:dyDescent="0.25">
      <c r="J73" s="6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52">
        <v>2024</v>
      </c>
      <c r="B76" s="31" t="s">
        <v>348</v>
      </c>
      <c r="C76" s="31">
        <v>85</v>
      </c>
      <c r="D76" s="31">
        <v>29</v>
      </c>
      <c r="E76" s="31">
        <v>56</v>
      </c>
      <c r="F76" s="31">
        <v>74</v>
      </c>
      <c r="G76" s="31">
        <v>7</v>
      </c>
      <c r="H76" s="31">
        <v>0</v>
      </c>
      <c r="I76" s="31">
        <v>4</v>
      </c>
      <c r="J76" s="31">
        <v>12</v>
      </c>
      <c r="K76" s="31">
        <v>73</v>
      </c>
      <c r="L76" s="31">
        <v>0</v>
      </c>
      <c r="M76" s="40">
        <v>0</v>
      </c>
    </row>
    <row r="77" spans="1:13" ht="15.75" customHeight="1" x14ac:dyDescent="0.25">
      <c r="A77" s="53"/>
      <c r="B77" s="31" t="s">
        <v>349</v>
      </c>
      <c r="C77" s="49">
        <v>74</v>
      </c>
      <c r="D77" s="49">
        <v>27</v>
      </c>
      <c r="E77" s="49">
        <v>47</v>
      </c>
      <c r="F77" s="49">
        <v>57</v>
      </c>
      <c r="G77" s="49">
        <v>7</v>
      </c>
      <c r="H77" s="49">
        <v>0</v>
      </c>
      <c r="I77" s="49">
        <v>10</v>
      </c>
      <c r="J77" s="49">
        <v>23</v>
      </c>
      <c r="K77" s="49">
        <v>51</v>
      </c>
      <c r="L77" s="31">
        <v>2</v>
      </c>
      <c r="M77" s="40">
        <v>1</v>
      </c>
    </row>
    <row r="78" spans="1:13" ht="15.75" customHeight="1" x14ac:dyDescent="0.25">
      <c r="A78" s="53"/>
      <c r="B78" s="31" t="s">
        <v>350</v>
      </c>
      <c r="C78" s="31">
        <v>69</v>
      </c>
      <c r="D78" s="31">
        <v>20</v>
      </c>
      <c r="E78" s="31">
        <v>49</v>
      </c>
      <c r="F78" s="31">
        <v>53</v>
      </c>
      <c r="G78" s="31">
        <v>4</v>
      </c>
      <c r="H78" s="31">
        <v>0</v>
      </c>
      <c r="I78" s="31">
        <v>12</v>
      </c>
      <c r="J78" s="31">
        <v>15</v>
      </c>
      <c r="K78" s="31">
        <v>54</v>
      </c>
      <c r="L78" s="31">
        <v>0</v>
      </c>
      <c r="M78" s="40">
        <v>0</v>
      </c>
    </row>
    <row r="79" spans="1:13" ht="15.75" customHeight="1" x14ac:dyDescent="0.25">
      <c r="A79" s="53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3"/>
    </row>
    <row r="80" spans="1:13" ht="15.75" customHeight="1" x14ac:dyDescent="0.25">
      <c r="A80" s="53"/>
      <c r="B80" s="31" t="s">
        <v>351</v>
      </c>
      <c r="C80" s="31">
        <v>57</v>
      </c>
      <c r="D80" s="31">
        <v>20</v>
      </c>
      <c r="E80" s="31">
        <v>37</v>
      </c>
      <c r="F80" s="31">
        <v>50</v>
      </c>
      <c r="G80" s="31">
        <v>2</v>
      </c>
      <c r="H80" s="31">
        <v>0</v>
      </c>
      <c r="I80" s="31">
        <v>5</v>
      </c>
      <c r="J80" s="31">
        <v>9</v>
      </c>
      <c r="K80" s="31">
        <v>48</v>
      </c>
      <c r="L80" s="31">
        <v>0</v>
      </c>
      <c r="M80" s="44">
        <v>0</v>
      </c>
    </row>
    <row r="81" spans="1:13" ht="15.75" customHeight="1" x14ac:dyDescent="0.25">
      <c r="A81" s="53"/>
      <c r="B81" s="31" t="s">
        <v>352</v>
      </c>
      <c r="C81" s="31">
        <v>85</v>
      </c>
      <c r="D81" s="31">
        <v>25</v>
      </c>
      <c r="E81" s="31">
        <v>60</v>
      </c>
      <c r="F81" s="31">
        <v>68</v>
      </c>
      <c r="G81" s="31">
        <v>6</v>
      </c>
      <c r="H81" s="31">
        <v>0</v>
      </c>
      <c r="I81" s="31">
        <v>11</v>
      </c>
      <c r="J81" s="31">
        <v>25</v>
      </c>
      <c r="K81" s="31">
        <v>60</v>
      </c>
      <c r="L81" s="31">
        <v>1</v>
      </c>
      <c r="M81" s="44">
        <v>4</v>
      </c>
    </row>
    <row r="82" spans="1:13" ht="15.75" customHeight="1" x14ac:dyDescent="0.25">
      <c r="A82" s="53"/>
      <c r="B82" s="31" t="s">
        <v>353</v>
      </c>
      <c r="C82" s="31">
        <v>55</v>
      </c>
      <c r="D82" s="31">
        <v>13</v>
      </c>
      <c r="E82" s="31">
        <v>42</v>
      </c>
      <c r="F82" s="31">
        <v>38</v>
      </c>
      <c r="G82" s="31">
        <v>3</v>
      </c>
      <c r="H82" s="31">
        <v>1</v>
      </c>
      <c r="I82" s="31">
        <v>13</v>
      </c>
      <c r="J82" s="31">
        <v>14</v>
      </c>
      <c r="K82" s="31">
        <v>41</v>
      </c>
      <c r="L82" s="31">
        <v>1</v>
      </c>
      <c r="M82" s="44">
        <v>2</v>
      </c>
    </row>
    <row r="83" spans="1:13" ht="15.75" customHeight="1" x14ac:dyDescent="0.25">
      <c r="A83" s="53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5"/>
    </row>
    <row r="84" spans="1:13" ht="15.75" customHeight="1" x14ac:dyDescent="0.25">
      <c r="A84" s="53"/>
      <c r="B84" s="31" t="s">
        <v>354</v>
      </c>
      <c r="C84" s="31">
        <v>62</v>
      </c>
      <c r="D84" s="31">
        <v>18</v>
      </c>
      <c r="E84" s="31">
        <v>44</v>
      </c>
      <c r="F84" s="31">
        <v>53</v>
      </c>
      <c r="G84" s="31">
        <v>3</v>
      </c>
      <c r="H84" s="31">
        <v>1</v>
      </c>
      <c r="I84" s="31">
        <v>5</v>
      </c>
      <c r="J84" s="31">
        <v>10</v>
      </c>
      <c r="K84" s="31">
        <v>52</v>
      </c>
      <c r="L84" s="31">
        <v>0</v>
      </c>
      <c r="M84" s="40">
        <v>0</v>
      </c>
    </row>
    <row r="85" spans="1:13" ht="15.75" customHeight="1" x14ac:dyDescent="0.25">
      <c r="A85" s="53"/>
      <c r="B85" s="31" t="s">
        <v>355</v>
      </c>
      <c r="C85" s="31">
        <v>72</v>
      </c>
      <c r="D85" s="31">
        <v>24</v>
      </c>
      <c r="E85" s="31">
        <v>48</v>
      </c>
      <c r="F85" s="31">
        <v>66</v>
      </c>
      <c r="G85" s="31">
        <v>3</v>
      </c>
      <c r="H85" s="31">
        <v>0</v>
      </c>
      <c r="I85" s="31">
        <v>3</v>
      </c>
      <c r="J85" s="31">
        <v>8</v>
      </c>
      <c r="K85" s="31">
        <v>64</v>
      </c>
      <c r="L85" s="31">
        <v>0</v>
      </c>
      <c r="M85" s="40">
        <v>1</v>
      </c>
    </row>
    <row r="86" spans="1:13" ht="15.75" customHeight="1" x14ac:dyDescent="0.25">
      <c r="A86" s="53"/>
      <c r="B86" s="31" t="s">
        <v>356</v>
      </c>
      <c r="C86" s="31">
        <v>77</v>
      </c>
      <c r="D86" s="31">
        <v>14</v>
      </c>
      <c r="E86" s="31">
        <v>63</v>
      </c>
      <c r="F86" s="31">
        <v>62</v>
      </c>
      <c r="G86" s="31">
        <v>7</v>
      </c>
      <c r="H86" s="31">
        <v>1</v>
      </c>
      <c r="I86" s="31">
        <v>7</v>
      </c>
      <c r="J86" s="31">
        <v>18</v>
      </c>
      <c r="K86" s="31">
        <v>59</v>
      </c>
      <c r="L86" s="31">
        <v>2</v>
      </c>
      <c r="M86" s="44">
        <v>0</v>
      </c>
    </row>
    <row r="87" spans="1:13" ht="15.75" customHeight="1" x14ac:dyDescent="0.25">
      <c r="A87" s="53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3"/>
    </row>
    <row r="88" spans="1:13" ht="15.75" customHeight="1" x14ac:dyDescent="0.25">
      <c r="A88" s="53"/>
      <c r="B88" s="31" t="s">
        <v>357</v>
      </c>
      <c r="C88" s="31">
        <v>90</v>
      </c>
      <c r="D88" s="31">
        <v>27</v>
      </c>
      <c r="E88" s="31">
        <v>63</v>
      </c>
      <c r="F88" s="31">
        <v>66</v>
      </c>
      <c r="G88" s="31">
        <v>14</v>
      </c>
      <c r="H88" s="31">
        <v>0</v>
      </c>
      <c r="I88" s="31">
        <v>10</v>
      </c>
      <c r="J88" s="31">
        <v>20</v>
      </c>
      <c r="K88" s="31">
        <v>70</v>
      </c>
      <c r="L88" s="31">
        <v>0</v>
      </c>
      <c r="M88" s="44">
        <v>1</v>
      </c>
    </row>
    <row r="89" spans="1:13" ht="15.75" customHeight="1" x14ac:dyDescent="0.25">
      <c r="A89" s="53"/>
      <c r="B89" s="31" t="s">
        <v>358</v>
      </c>
      <c r="C89" s="31">
        <v>72</v>
      </c>
      <c r="D89" s="31">
        <v>15</v>
      </c>
      <c r="E89" s="31">
        <v>57</v>
      </c>
      <c r="F89" s="31">
        <v>56</v>
      </c>
      <c r="G89" s="31">
        <v>10</v>
      </c>
      <c r="H89" s="31">
        <v>1</v>
      </c>
      <c r="I89" s="31">
        <v>5</v>
      </c>
      <c r="J89" s="31">
        <v>13</v>
      </c>
      <c r="K89" s="31">
        <v>59</v>
      </c>
      <c r="L89" s="31">
        <v>0</v>
      </c>
      <c r="M89" s="44">
        <v>4</v>
      </c>
    </row>
    <row r="90" spans="1:13" ht="15.75" customHeight="1" x14ac:dyDescent="0.25">
      <c r="A90" s="54"/>
      <c r="B90" s="46" t="s">
        <v>359</v>
      </c>
      <c r="C90" s="46">
        <v>38</v>
      </c>
      <c r="D90" s="46">
        <v>12</v>
      </c>
      <c r="E90" s="46">
        <v>26</v>
      </c>
      <c r="F90" s="46">
        <v>34</v>
      </c>
      <c r="G90" s="46">
        <v>4</v>
      </c>
      <c r="H90" s="46">
        <v>0</v>
      </c>
      <c r="I90" s="46">
        <v>0</v>
      </c>
      <c r="J90" s="46">
        <v>4</v>
      </c>
      <c r="K90" s="46">
        <v>34</v>
      </c>
      <c r="L90" s="46">
        <v>0</v>
      </c>
      <c r="M90" s="47">
        <v>1</v>
      </c>
    </row>
    <row r="91" spans="1:13" ht="15.75" customHeight="1" x14ac:dyDescent="0.25">
      <c r="J91" s="6">
        <f>SUM(J76:J90)</f>
        <v>171</v>
      </c>
    </row>
    <row r="92" spans="1:13" ht="15.75" customHeight="1" x14ac:dyDescent="0.25">
      <c r="J92" s="6">
        <v>73</v>
      </c>
    </row>
    <row r="93" spans="1:13" ht="15.75" customHeight="1" x14ac:dyDescent="0.25"/>
    <row r="94" spans="1:13" ht="15.75" customHeight="1" x14ac:dyDescent="0.25">
      <c r="A94" s="52">
        <v>2025</v>
      </c>
      <c r="B94" s="31" t="s">
        <v>348</v>
      </c>
      <c r="C94" s="31">
        <v>83</v>
      </c>
      <c r="D94" s="31">
        <v>26</v>
      </c>
      <c r="E94" s="31">
        <v>57</v>
      </c>
      <c r="F94" s="31">
        <v>72</v>
      </c>
      <c r="G94" s="31">
        <v>7</v>
      </c>
      <c r="H94" s="31">
        <v>0</v>
      </c>
      <c r="I94" s="31">
        <v>4</v>
      </c>
      <c r="J94" s="31">
        <v>26</v>
      </c>
      <c r="K94" s="31">
        <v>57</v>
      </c>
      <c r="L94" s="31">
        <v>4</v>
      </c>
      <c r="M94" s="40">
        <v>3</v>
      </c>
    </row>
    <row r="95" spans="1:13" ht="15.75" customHeight="1" x14ac:dyDescent="0.25">
      <c r="A95" s="53"/>
      <c r="B95" s="31" t="s">
        <v>349</v>
      </c>
      <c r="C95" s="49"/>
      <c r="D95" s="49"/>
      <c r="E95" s="49"/>
      <c r="F95" s="49"/>
      <c r="G95" s="49"/>
      <c r="H95" s="49"/>
      <c r="I95" s="49"/>
      <c r="J95" s="49"/>
      <c r="K95" s="49"/>
      <c r="L95" s="31"/>
      <c r="M95" s="40"/>
    </row>
    <row r="96" spans="1:13" ht="15.75" customHeight="1" x14ac:dyDescent="0.25">
      <c r="A96" s="53"/>
      <c r="B96" s="31" t="s">
        <v>350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40"/>
    </row>
    <row r="97" spans="1:13" ht="15.75" customHeight="1" x14ac:dyDescent="0.25">
      <c r="A97" s="53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3"/>
    </row>
    <row r="98" spans="1:13" ht="15.75" customHeight="1" x14ac:dyDescent="0.25">
      <c r="A98" s="53"/>
      <c r="B98" s="31" t="s">
        <v>351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44"/>
    </row>
    <row r="99" spans="1:13" ht="15.75" customHeight="1" x14ac:dyDescent="0.25">
      <c r="A99" s="53"/>
      <c r="B99" s="31" t="s">
        <v>352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44"/>
    </row>
    <row r="100" spans="1:13" ht="15.75" customHeight="1" x14ac:dyDescent="0.25">
      <c r="A100" s="53"/>
      <c r="B100" s="31" t="s">
        <v>353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44"/>
    </row>
    <row r="101" spans="1:13" ht="15.75" customHeight="1" x14ac:dyDescent="0.25">
      <c r="A101" s="53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5"/>
    </row>
    <row r="102" spans="1:13" ht="15.75" customHeight="1" x14ac:dyDescent="0.25">
      <c r="A102" s="53"/>
      <c r="B102" s="31" t="s">
        <v>354</v>
      </c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40"/>
    </row>
    <row r="103" spans="1:13" ht="15.75" customHeight="1" x14ac:dyDescent="0.25">
      <c r="A103" s="53"/>
      <c r="B103" s="31" t="s">
        <v>355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40"/>
    </row>
    <row r="104" spans="1:13" ht="15.75" customHeight="1" x14ac:dyDescent="0.25">
      <c r="A104" s="53"/>
      <c r="B104" s="31" t="s">
        <v>356</v>
      </c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44"/>
    </row>
    <row r="105" spans="1:13" ht="15.75" customHeight="1" x14ac:dyDescent="0.25">
      <c r="A105" s="53"/>
      <c r="B105" s="41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3"/>
    </row>
    <row r="106" spans="1:13" ht="15.75" customHeight="1" x14ac:dyDescent="0.25">
      <c r="A106" s="53"/>
      <c r="B106" s="31" t="s">
        <v>357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44"/>
    </row>
    <row r="107" spans="1:13" ht="15.75" customHeight="1" x14ac:dyDescent="0.25">
      <c r="A107" s="53"/>
      <c r="B107" s="31" t="s">
        <v>358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44"/>
    </row>
    <row r="108" spans="1:13" ht="15.75" customHeight="1" x14ac:dyDescent="0.25">
      <c r="A108" s="54"/>
      <c r="B108" s="46" t="s">
        <v>359</v>
      </c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7"/>
    </row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2026-01-15T14:59:46Z</dcterms:modified>
</cp:coreProperties>
</file>