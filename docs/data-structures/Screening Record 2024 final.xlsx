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390" yWindow="615" windowWidth="19815" windowHeight="7110" firstSheet="171" activeTab="174"/>
  </bookViews>
  <sheets>
    <sheet name="Kangulamira 301" sheetId="1" r:id="rId1"/>
    <sheet name="Kangulamira Summary" sheetId="2" r:id="rId2"/>
    <sheet name="IRINGA HC II" sheetId="3" r:id="rId3"/>
    <sheet name="Iringa HC II Summary" sheetId="4" r:id="rId4"/>
    <sheet name="Iyingo PS" sheetId="5" r:id="rId5"/>
    <sheet name="IyingoPS Summary" sheetId="6" r:id="rId6"/>
    <sheet name="Bugonda Home" sheetId="7" r:id="rId7"/>
    <sheet name="Bugionda Home Summary" sheetId="8" r:id="rId8"/>
    <sheet name="Buyende Office" sheetId="9" r:id="rId9"/>
    <sheet name="Buyende office summary" sheetId="10" r:id="rId10"/>
    <sheet name="Kikaramoja 72" sheetId="11" r:id="rId11"/>
    <sheet name="Kikaramoja Summary" sheetId="12" r:id="rId12"/>
    <sheet name="NBS Station 132" sheetId="13" r:id="rId13"/>
    <sheet name="NBS Station Summary" sheetId="14" r:id="rId14"/>
    <sheet name="Nankoma HCIV 142" sheetId="15" r:id="rId15"/>
    <sheet name="Nankoma HCIV Summary" sheetId="16" r:id="rId16"/>
    <sheet name="Kakooge HCIII 212" sheetId="17" r:id="rId17"/>
    <sheet name="Kakooge HCIII Summary" sheetId="18" r:id="rId18"/>
    <sheet name="Kivejinja Hosp 222" sheetId="19" r:id="rId19"/>
    <sheet name="Kivejinja Hosp Summary" sheetId="20" r:id="rId20"/>
    <sheet name="RHHJ Feb" sheetId="21" r:id="rId21"/>
    <sheet name="RHHJ FEB Summary" sheetId="22" r:id="rId22"/>
    <sheet name="Ivukula HCIII 53" sheetId="23" r:id="rId23"/>
    <sheet name="Ivukula HCIII Summary" sheetId="24" r:id="rId24"/>
    <sheet name="Kitukiro PS 123" sheetId="25" r:id="rId25"/>
    <sheet name="Kitukiro PS Summary" sheetId="26" r:id="rId26"/>
    <sheet name="New Life 143" sheetId="27" r:id="rId27"/>
    <sheet name="New Life Summary" sheetId="28" r:id="rId28"/>
    <sheet name="Busuyi HCII 183" sheetId="29" r:id="rId29"/>
    <sheet name="Busuyi HCII Summary" sheetId="30" r:id="rId30"/>
    <sheet name="JTP 203 &amp; 213" sheetId="31" r:id="rId31"/>
    <sheet name="JTP Summary" sheetId="32" r:id="rId32"/>
    <sheet name="Kasubi HC III 253" sheetId="33" r:id="rId33"/>
    <sheet name="Kasubi HCIII Summary" sheetId="34" r:id="rId34"/>
    <sheet name="RHHJ Mar" sheetId="35" r:id="rId35"/>
    <sheet name="RHHJ Mar Summary" sheetId="36" r:id="rId36"/>
    <sheet name="Kikalu HC 11" sheetId="37" r:id="rId37"/>
    <sheet name="kIKALU HC Summary" sheetId="38" r:id="rId38"/>
    <sheet name="Hosana Faith Centre" sheetId="39" r:id="rId39"/>
    <sheet name="Hosana Faith Centre Summary" sheetId="40" r:id="rId40"/>
    <sheet name="St. Joseph HC" sheetId="41" r:id="rId41"/>
    <sheet name="St. Joseph Summary" sheetId="42" r:id="rId42"/>
    <sheet name="Vision of Africa" sheetId="43" r:id="rId43"/>
    <sheet name="Vision of Africa Summary" sheetId="44" r:id="rId44"/>
    <sheet name="Buwenge HC 1V" sheetId="45" r:id="rId45"/>
    <sheet name="Buwenge HC IV Summary" sheetId="46" r:id="rId46"/>
    <sheet name="St.Charles Lwanga Hospital " sheetId="47" r:id="rId47"/>
    <sheet name="St.Charles Lwanga Hospital Summ" sheetId="48" r:id="rId48"/>
    <sheet name="Nazigo HC 111" sheetId="49" r:id="rId49"/>
    <sheet name="Nazigo HC 111 Summary" sheetId="50" r:id="rId50"/>
    <sheet name="RHHJ April" sheetId="51" r:id="rId51"/>
    <sheet name="RHHJ Summary" sheetId="52" r:id="rId52"/>
    <sheet name="Buyende Office April" sheetId="53" r:id="rId53"/>
    <sheet name="Buyende Office April Summary" sheetId="54" r:id="rId54"/>
    <sheet name="Bugaya HC 4" sheetId="55" r:id="rId55"/>
    <sheet name="Bugaya HC 4 Summary" sheetId="56" r:id="rId56"/>
    <sheet name="Namaganda PS" sheetId="57" r:id="rId57"/>
    <sheet name="Namaganda PS Summary" sheetId="58" r:id="rId58"/>
    <sheet name="Sheet147" sheetId="59" r:id="rId59"/>
    <sheet name="Iyingo PS(2)" sheetId="60" r:id="rId60"/>
    <sheet name="Iyingo PS(2) Summary" sheetId="61" r:id="rId61"/>
    <sheet name="Buyende office May" sheetId="62" r:id="rId62"/>
    <sheet name="Buyende office May Summary 1" sheetId="63" r:id="rId63"/>
    <sheet name="Buyende office May Summary" sheetId="64" r:id="rId64"/>
    <sheet name="Buyende June" sheetId="65" r:id="rId65"/>
    <sheet name="Buyende June Summary" sheetId="66" r:id="rId66"/>
    <sheet name="Buyende July" sheetId="67" r:id="rId67"/>
    <sheet name="Buyende August " sheetId="68" r:id="rId68"/>
    <sheet name="Buyende August Summary" sheetId="69" r:id="rId69"/>
    <sheet name="Nkudu HC II" sheetId="70" r:id="rId70"/>
    <sheet name="Nkudu HC II Summary" sheetId="71" r:id="rId71"/>
    <sheet name="St Karoli PS Namaganda " sheetId="72" r:id="rId72"/>
    <sheet name="St Karoli PS Namaganda Summary" sheetId="73" r:id="rId73"/>
    <sheet name="Buyende July Summary" sheetId="74" r:id="rId74"/>
    <sheet name="Nkondo HC III" sheetId="75" r:id="rId75"/>
    <sheet name="Busaana HCIII" sheetId="76" r:id="rId76"/>
    <sheet name="Busaana Summary" sheetId="77" r:id="rId77"/>
    <sheet name="Buwenge  HCIII" sheetId="78" r:id="rId78"/>
    <sheet name="Buwenge  HCIII Summary" sheetId="79" r:id="rId79"/>
    <sheet name="Baale HC 1V" sheetId="80" r:id="rId80"/>
    <sheet name="Baale HC 1V Summary" sheetId="81" r:id="rId81"/>
    <sheet name="Hospice Clinic May" sheetId="82" r:id="rId82"/>
    <sheet name="Hospice Clinic May Summary" sheetId="83" r:id="rId83"/>
    <sheet name="Project Yesu Musima" sheetId="84" r:id="rId84"/>
    <sheet name="Project Yesu Musima Summary" sheetId="85" r:id="rId85"/>
    <sheet name="JCTK Clinic" sheetId="86" r:id="rId86"/>
    <sheet name="JCTK Clinic Summary" sheetId="87" r:id="rId87"/>
    <sheet name="Kyabirwa PS" sheetId="88" r:id="rId88"/>
    <sheet name="Kyabirwa PS Summary" sheetId="89" r:id="rId89"/>
    <sheet name="SD PCC" sheetId="90" r:id="rId90"/>
    <sheet name="SD PCC Summary" sheetId="91" r:id="rId91"/>
    <sheet name="LWATAMA HC 11" sheetId="92" r:id="rId92"/>
    <sheet name="LWATAMA HC 11 Summary" sheetId="93" r:id="rId93"/>
    <sheet name="Buwangala " sheetId="94" r:id="rId94"/>
    <sheet name="Buwangala Summary" sheetId="95" r:id="rId95"/>
    <sheet name="IIHS" sheetId="96" r:id="rId96"/>
    <sheet name="IIHS Summary" sheetId="97" r:id="rId97"/>
    <sheet name="Canaan HC 11" sheetId="98" r:id="rId98"/>
    <sheet name="Canaan HC 11 Summary" sheetId="99" r:id="rId99"/>
    <sheet name="Busedde HC 111" sheetId="100" r:id="rId100"/>
    <sheet name="Busedde HC 111 Summary" sheetId="101" r:id="rId101"/>
    <sheet name="Nazigo HC" sheetId="102" r:id="rId102"/>
    <sheet name="Nazigo HC Summary" sheetId="103" r:id="rId103"/>
    <sheet name="Buwenge HC 1V 3" sheetId="104" r:id="rId104"/>
    <sheet name="Buwenge HC 1V 3 Summary" sheetId="105" r:id="rId105"/>
    <sheet name="Wangobo HC 11" sheetId="106" r:id="rId106"/>
    <sheet name="Wangobo HC 11 Summary" sheetId="107" r:id="rId107"/>
    <sheet name="RHHJ June" sheetId="108" r:id="rId108"/>
    <sheet name="RHHJ June Summary" sheetId="109" r:id="rId109"/>
    <sheet name="RHHJ July" sheetId="110" r:id="rId110"/>
    <sheet name="RHHJ July Summary" sheetId="111" r:id="rId111"/>
    <sheet name="BUSOGA FORESRTY" sheetId="112" r:id="rId112"/>
    <sheet name="BUSOGA FORESRTY SUMMARY" sheetId="113" r:id="rId113"/>
    <sheet name="Bugweri" sheetId="114" r:id="rId114"/>
    <sheet name="Bugweri Summary" sheetId="115" r:id="rId115"/>
    <sheet name="IGENGE" sheetId="116" r:id="rId116"/>
    <sheet name="Igenge Summary" sheetId="117" r:id="rId117"/>
    <sheet name="JINJA CENTRAL MARKET" sheetId="118" r:id="rId118"/>
    <sheet name="Jinja Central Market Summary" sheetId="119" r:id="rId119"/>
    <sheet name="MULAMA" sheetId="120" r:id="rId120"/>
    <sheet name="Mulama Summary" sheetId="121" r:id="rId121"/>
    <sheet name="RHHJ August" sheetId="122" r:id="rId122"/>
    <sheet name="RHHJ August Summary" sheetId="123" r:id="rId123"/>
    <sheet name="Namagera PS" sheetId="124" r:id="rId124"/>
    <sheet name="Namagera Summary" sheetId="125" r:id="rId125"/>
    <sheet name="SDA Ivunamba" sheetId="126" r:id="rId126"/>
    <sheet name="SDA Ivanumba Summary" sheetId="127" r:id="rId127"/>
    <sheet name="Busana HC" sheetId="128" r:id="rId128"/>
    <sheet name="Busana HC Summary" sheetId="129" r:id="rId129"/>
    <sheet name="Makonge HCIII" sheetId="130" r:id="rId130"/>
    <sheet name="Makonge Summary" sheetId="131" r:id="rId131"/>
    <sheet name="St Jude PS Musoli" sheetId="132" r:id="rId132"/>
    <sheet name="St Jude Summary" sheetId="133" r:id="rId133"/>
    <sheet name="Nile Vocational" sheetId="134" r:id="rId134"/>
    <sheet name="Buyende October " sheetId="135" r:id="rId135"/>
    <sheet name="NVI Summary" sheetId="136" r:id="rId136"/>
    <sheet name="Wakawaka HCII" sheetId="137" r:id="rId137"/>
    <sheet name="Wakawaka Summary" sheetId="138" r:id="rId138"/>
    <sheet name="RHHJ Sept" sheetId="139" r:id="rId139"/>
    <sheet name="RHHJ Sept Summary" sheetId="140" r:id="rId140"/>
    <sheet name="Bukungu PS" sheetId="141" r:id="rId141"/>
    <sheet name="Bukungu Sept Summary" sheetId="142" r:id="rId142"/>
    <sheet name="Yalelo" sheetId="143" r:id="rId143"/>
    <sheet name="Yalelo Summary" sheetId="144" r:id="rId144"/>
    <sheet name="Kalalu PS" sheetId="145" r:id="rId145"/>
    <sheet name="Kalalu PS Summary" sheetId="146" r:id="rId146"/>
    <sheet name="Mark &amp; Kelly Petra Community" sheetId="147" r:id="rId147"/>
    <sheet name="Mark &amp; Kelly Petra Community Su" sheetId="148" r:id="rId148"/>
    <sheet name="Bukatube HCIII" sheetId="149" r:id="rId149"/>
    <sheet name="Bukatube HC III Summary" sheetId="150" r:id="rId150"/>
    <sheet name="Nabirumba PS" sheetId="151" r:id="rId151"/>
    <sheet name="Nabirumba PS Summary" sheetId="155" r:id="rId152"/>
    <sheet name="Buyinja HC 1V" sheetId="152" r:id="rId153"/>
    <sheet name="Buyinja HC 1V Summary" sheetId="156" r:id="rId154"/>
    <sheet name="Kakongoka P S" sheetId="157" r:id="rId155"/>
    <sheet name="Kakongoka Summary" sheetId="158" r:id="rId156"/>
    <sheet name="Nabisoigi H C III" sheetId="159" r:id="rId157"/>
    <sheet name="Nabisoigi Summary" sheetId="160" r:id="rId158"/>
    <sheet name="RHHJ OCT" sheetId="161" r:id="rId159"/>
    <sheet name="RHHJ Oct Summary" sheetId="162" r:id="rId160"/>
    <sheet name="Nilus" sheetId="163" r:id="rId161"/>
    <sheet name="Nilus Summary" sheetId="164" r:id="rId162"/>
    <sheet name="Buckly HS" sheetId="165" r:id="rId163"/>
    <sheet name="Buckly HS Summary" sheetId="166" r:id="rId164"/>
    <sheet name="Busesa HCIV" sheetId="167" r:id="rId165"/>
    <sheet name="Busesa HCIV Summary" sheetId="168" r:id="rId166"/>
    <sheet name="RHHJ Nov" sheetId="169" r:id="rId167"/>
    <sheet name="RHHJ Nov Summary" sheetId="170" r:id="rId168"/>
    <sheet name="Buyende Nov" sheetId="171" r:id="rId169"/>
    <sheet name="Buyende Nov Summary" sheetId="172" r:id="rId170"/>
    <sheet name="Kaliro HCIII" sheetId="173" r:id="rId171"/>
    <sheet name="Kaliro HCIII Summary" sheetId="174" r:id="rId172"/>
    <sheet name="RHHJ Dec" sheetId="175" r:id="rId173"/>
    <sheet name="RHHJ Dec Summary" sheetId="176" r:id="rId174"/>
    <sheet name="Annual Summary" sheetId="153" r:id="rId175"/>
    <sheet name="Quick Summary" sheetId="154" state="hidden" r:id="rId176"/>
  </sheets>
  <definedNames>
    <definedName name="_xlnm._FilterDatabase" localSheetId="79" hidden="1">'Baale HC 1V'!$A$3:$CU$27</definedName>
    <definedName name="_xlnm._FilterDatabase" localSheetId="54" hidden="1">'Bugaya HC 4'!$A$3:$CT$11</definedName>
    <definedName name="_xlnm._FilterDatabase" localSheetId="6" hidden="1">'Bugonda Home'!$A$3:$CR$42</definedName>
    <definedName name="_xlnm._FilterDatabase" localSheetId="113" hidden="1">Bugweri!$A$3:$CT$13</definedName>
    <definedName name="_xlnm._FilterDatabase" localSheetId="148" hidden="1">'Bukatube HCIII'!$A$3:$CT$34</definedName>
    <definedName name="_xlnm._FilterDatabase" localSheetId="140" hidden="1">'Bukungu PS'!$A$3:$CS$53</definedName>
    <definedName name="_xlnm._FilterDatabase" localSheetId="75" hidden="1">'Busaana HCIII'!$A$3:$CU$54</definedName>
    <definedName name="_xlnm._FilterDatabase" localSheetId="127" hidden="1">'Busana HC'!$A$3:$F$35</definedName>
    <definedName name="_xlnm._FilterDatabase" localSheetId="99" hidden="1">'Busedde HC 111'!$A$3:$CR$8</definedName>
    <definedName name="_xlnm._FilterDatabase" localSheetId="111" hidden="1">'BUSOGA FORESRTY'!$A$3:$CT$47</definedName>
    <definedName name="_xlnm._FilterDatabase" localSheetId="93" hidden="1">'Buwangala '!$A$3:$CR$36</definedName>
    <definedName name="_xlnm._FilterDatabase" localSheetId="77" hidden="1">'Buwenge  HCIII'!$A$3:$CU$40</definedName>
    <definedName name="_xlnm._FilterDatabase" localSheetId="44" hidden="1">'Buwenge HC 1V'!$A$3:$CU$67</definedName>
    <definedName name="_xlnm._FilterDatabase" localSheetId="103" hidden="1">'Buwenge HC 1V 3'!$A$4:$CR$39</definedName>
    <definedName name="_xlnm._FilterDatabase" localSheetId="67" hidden="1">'Buyende August '!$A$3:$CU$5</definedName>
    <definedName name="_xlnm._FilterDatabase" localSheetId="66" hidden="1">'Buyende July'!$A$3:$CU$7</definedName>
    <definedName name="_xlnm._FilterDatabase" localSheetId="64" hidden="1">'Buyende June'!$A$3:$CU$6</definedName>
    <definedName name="_xlnm._FilterDatabase" localSheetId="8" hidden="1">'Buyende Office'!$A$3:$CS$10</definedName>
    <definedName name="_xlnm._FilterDatabase" localSheetId="52" hidden="1">'Buyende Office April'!$A$3:$CU$4</definedName>
    <definedName name="_xlnm._FilterDatabase" localSheetId="61" hidden="1">'Buyende office May'!$A$3:$CU$6</definedName>
    <definedName name="_xlnm._FilterDatabase" localSheetId="152" hidden="1">'Buyinja HC 1V'!$A$3:$CT$39</definedName>
    <definedName name="_xlnm._FilterDatabase" localSheetId="97" hidden="1">'Canaan HC 11'!$A$3:$CR$26</definedName>
    <definedName name="_xlnm._FilterDatabase" localSheetId="38" hidden="1">'Hosana Faith Centre'!$A$3:$CU$45</definedName>
    <definedName name="_xlnm._FilterDatabase" localSheetId="81" hidden="1">'Hospice Clinic May'!$A$3:$CU$9</definedName>
    <definedName name="_xlnm._FilterDatabase" localSheetId="115" hidden="1">IGENGE!$A$3:$CT$28</definedName>
    <definedName name="_xlnm._FilterDatabase" localSheetId="95" hidden="1">IIHS!$A$3:$CR$23</definedName>
    <definedName name="_xlnm._FilterDatabase" localSheetId="2" hidden="1">'IRINGA HC II'!$A$3:$CR$60</definedName>
    <definedName name="_xlnm._FilterDatabase" localSheetId="22" hidden="1">'Ivukula HCIII 53'!$B$3:$CV$56</definedName>
    <definedName name="_xlnm._FilterDatabase" localSheetId="4" hidden="1">'Iyingo PS'!$A$3:$CR$76</definedName>
    <definedName name="_xlnm._FilterDatabase" localSheetId="59" hidden="1">'Iyingo PS(2)'!$A$3:$CU$16</definedName>
    <definedName name="_xlnm._FilterDatabase" localSheetId="85" hidden="1">'JCTK Clinic'!$A$3:$CU$28</definedName>
    <definedName name="_xlnm._FilterDatabase" localSheetId="117" hidden="1">'JINJA CENTRAL MARKET'!$A$3:$CT$62</definedName>
    <definedName name="_xlnm._FilterDatabase" localSheetId="16" hidden="1">'Kakooge HCIII 212'!$A$3:$CU$32</definedName>
    <definedName name="_xlnm._FilterDatabase" localSheetId="144" hidden="1">'Kalalu PS'!$A$3:$CT$38</definedName>
    <definedName name="_xlnm._FilterDatabase" localSheetId="170" hidden="1">'Kaliro HCIII'!$A$3:$CT$3</definedName>
    <definedName name="_xlnm._FilterDatabase" localSheetId="0" hidden="1">'Kangulamira 301'!$A$4:$CR$72</definedName>
    <definedName name="_xlnm._FilterDatabase" localSheetId="36" hidden="1">'Kikalu HC 11'!$A$3:$CU$65</definedName>
    <definedName name="_xlnm._FilterDatabase" localSheetId="10" hidden="1">'Kikaramoja 72'!$A$3:$CV$57</definedName>
    <definedName name="_xlnm._FilterDatabase" localSheetId="24" hidden="1">'Kitukiro PS 123'!$A$3:$CU$62</definedName>
    <definedName name="_xlnm._FilterDatabase" localSheetId="18" hidden="1">'Kivejinja Hosp 222'!$A$3:$CU$25</definedName>
    <definedName name="_xlnm._FilterDatabase" localSheetId="87" hidden="1">'Kyabirwa PS'!$A$3:$CR$29</definedName>
    <definedName name="_xlnm._FilterDatabase" localSheetId="91" hidden="1">'LWATAMA HC 11'!$A$3:$CR$100</definedName>
    <definedName name="_xlnm._FilterDatabase" localSheetId="129" hidden="1">'Makonge HCIII'!$A$3:$CT$58</definedName>
    <definedName name="_xlnm._FilterDatabase" localSheetId="146" hidden="1">'Mark &amp; Kelly Petra Community'!$A$3:$CT$39</definedName>
    <definedName name="_xlnm._FilterDatabase" localSheetId="119" hidden="1">MULAMA!$A$3:$CT$37</definedName>
    <definedName name="_xlnm._FilterDatabase" localSheetId="150" hidden="1">'Nabirumba PS'!$A$3:$CT$29</definedName>
    <definedName name="_xlnm._FilterDatabase" localSheetId="56" hidden="1">'Namaganda PS'!$A$3:$CU$40</definedName>
    <definedName name="_xlnm._FilterDatabase" localSheetId="123" hidden="1">'Namagera PS'!$A$3:$CT$45</definedName>
    <definedName name="_xlnm._FilterDatabase" localSheetId="14" hidden="1">'Nankoma HCIV 142'!$A$3:$CT$29</definedName>
    <definedName name="_xlnm._FilterDatabase" localSheetId="101" hidden="1">'Nazigo HC'!$A$3:$CR$30</definedName>
    <definedName name="_xlnm._FilterDatabase" localSheetId="48" hidden="1">'Nazigo HC 111'!$A$3:$CU$19</definedName>
    <definedName name="_xlnm._FilterDatabase" localSheetId="12" hidden="1">'NBS Station 132'!$A$3:$CT$19</definedName>
    <definedName name="_xlnm._FilterDatabase" localSheetId="133" hidden="1">'Nile Vocational'!$B$3:$D$26</definedName>
    <definedName name="_xlnm._FilterDatabase" localSheetId="69" hidden="1">'Nkudu HC II'!$A$3:$CU$38</definedName>
    <definedName name="_xlnm._FilterDatabase" localSheetId="83" hidden="1">'Project Yesu Musima'!$A$3:$CU$61</definedName>
    <definedName name="_xlnm._FilterDatabase" localSheetId="50" hidden="1">'RHHJ April'!$A$3:$CU$10</definedName>
    <definedName name="_xlnm._FilterDatabase" localSheetId="121" hidden="1">'RHHJ August'!$A$3:$CT$9</definedName>
    <definedName name="_xlnm._FilterDatabase" localSheetId="20" hidden="1">'RHHJ Feb'!$A$3:$CS$7</definedName>
    <definedName name="_xlnm._FilterDatabase" localSheetId="109" hidden="1">'RHHJ July'!$A$3:$CT$11</definedName>
    <definedName name="_xlnm._FilterDatabase" localSheetId="107" hidden="1">'RHHJ June'!$A$3:$CT$7</definedName>
    <definedName name="_xlnm._FilterDatabase" localSheetId="34" hidden="1">'RHHJ Mar'!$A$3:$CU$13</definedName>
    <definedName name="_xlnm._FilterDatabase" localSheetId="158" hidden="1">'RHHJ OCT'!$A$3:$CT$3</definedName>
    <definedName name="_xlnm._FilterDatabase" localSheetId="89" hidden="1">'SD PCC'!$A$3:$CR$36</definedName>
    <definedName name="_xlnm._FilterDatabase" localSheetId="71" hidden="1">'St Karoli PS Namaganda '!$A$3:$CT$46</definedName>
    <definedName name="_xlnm._FilterDatabase" localSheetId="40" hidden="1">'St. Joseph HC'!$A$3:$CU$61</definedName>
    <definedName name="_xlnm._FilterDatabase" localSheetId="46" hidden="1">'St.Charles Lwanga Hospital '!$A$3:$CU$82</definedName>
    <definedName name="_xlnm._FilterDatabase" localSheetId="42" hidden="1">'Vision of Africa'!$A$4:$CU$59</definedName>
    <definedName name="_xlnm._FilterDatabase" localSheetId="136" hidden="1">'Wakawaka HCII'!$A$3:$CT$32</definedName>
    <definedName name="_xlnm._FilterDatabase" localSheetId="105" hidden="1">'Wangobo HC 11'!$A$3:$CT$42</definedName>
    <definedName name="_xlnm._FilterDatabase" localSheetId="142" hidden="1">Yalelo!$A$3:$CT$14</definedName>
    <definedName name="Z_36254250_19C7_4333_B80F_7FFB88F4757A_.wvu.FilterData" localSheetId="12" hidden="1">'NBS Station 132'!$A$3:$CT$19</definedName>
    <definedName name="Z_DC7BA589_A128_4FA2_A428_606D1239C559_.wvu.FilterData" localSheetId="12" hidden="1">'NBS Station 132'!$A$3:$CT$19</definedName>
  </definedNames>
  <calcPr calcId="152511"/>
  <customWorkbookViews>
    <customWorkbookView name="Filter 2" guid="{36254250-19C7-4333-B80F-7FFB88F4757A}" maximized="1" windowWidth="0" windowHeight="0" activeSheetId="0"/>
    <customWorkbookView name="Filter 1" guid="{DC7BA589-A128-4FA2-A428-606D1239C559}" maximized="1" windowWidth="0" windowHeight="0" activeSheetId="0"/>
  </customWorkbookViews>
</workbook>
</file>

<file path=xl/calcChain.xml><?xml version="1.0" encoding="utf-8"?>
<calcChain xmlns="http://schemas.openxmlformats.org/spreadsheetml/2006/main">
  <c r="F147" i="153" l="1"/>
  <c r="G147" i="153"/>
  <c r="H147" i="153"/>
  <c r="I147" i="153"/>
  <c r="J147" i="153"/>
  <c r="K147" i="153"/>
  <c r="L147" i="153"/>
  <c r="M147" i="153"/>
  <c r="N147" i="153"/>
  <c r="O147" i="153"/>
  <c r="P147" i="153"/>
  <c r="Q147" i="153"/>
  <c r="R147" i="153"/>
  <c r="S147" i="153"/>
  <c r="T147" i="153"/>
  <c r="U147" i="153"/>
  <c r="V147" i="153"/>
  <c r="W147" i="153"/>
  <c r="X147" i="153"/>
  <c r="Y147" i="153"/>
  <c r="Z147" i="153"/>
  <c r="AA147" i="153"/>
  <c r="AB147" i="153"/>
  <c r="AC147" i="153"/>
  <c r="AD147" i="153"/>
  <c r="AE147" i="153"/>
  <c r="AF147" i="153"/>
  <c r="AG147" i="153"/>
  <c r="D147" i="153"/>
  <c r="E147" i="153"/>
  <c r="C147" i="153"/>
  <c r="AE144" i="153" l="1"/>
  <c r="U144" i="153"/>
  <c r="Q144" i="153"/>
  <c r="L144" i="153"/>
  <c r="F144" i="153"/>
  <c r="K53" i="153"/>
  <c r="AG132" i="153"/>
  <c r="AF132" i="153"/>
  <c r="AD132" i="153"/>
  <c r="AC132" i="153"/>
  <c r="AB132" i="153"/>
  <c r="AA132" i="153"/>
  <c r="Y132" i="153"/>
  <c r="X132" i="153"/>
  <c r="W132" i="153"/>
  <c r="V132" i="153"/>
  <c r="T132" i="153"/>
  <c r="S132" i="153"/>
  <c r="R132" i="153"/>
  <c r="P132" i="153"/>
  <c r="O132" i="153"/>
  <c r="N132" i="153"/>
  <c r="M132" i="153"/>
  <c r="K132" i="153"/>
  <c r="L127" i="153"/>
  <c r="L126" i="153"/>
  <c r="L125" i="153"/>
  <c r="L124" i="153"/>
  <c r="L123" i="153"/>
  <c r="L122" i="153"/>
  <c r="L121" i="153"/>
  <c r="L120" i="153"/>
  <c r="J132" i="153"/>
  <c r="I132" i="153"/>
  <c r="H132" i="153"/>
  <c r="G132" i="153"/>
  <c r="E132" i="153"/>
  <c r="D132" i="153"/>
  <c r="C132" i="153"/>
  <c r="O118" i="153" l="1"/>
  <c r="P118" i="153"/>
  <c r="R118" i="153"/>
  <c r="S118" i="153"/>
  <c r="T118" i="153"/>
  <c r="Z106" i="153"/>
  <c r="Z107" i="153"/>
  <c r="Z108" i="153"/>
  <c r="Z109" i="153"/>
  <c r="Z110" i="153"/>
  <c r="Z111" i="153"/>
  <c r="Z112" i="153"/>
  <c r="Z113" i="153"/>
  <c r="Z114" i="153"/>
  <c r="Z115" i="153"/>
  <c r="Z116" i="153"/>
  <c r="Z117" i="153"/>
  <c r="Z105" i="153"/>
  <c r="Z144" i="153"/>
  <c r="Z145" i="153"/>
  <c r="Z146" i="153"/>
  <c r="Z143" i="153"/>
  <c r="L143" i="153"/>
  <c r="Z134" i="153"/>
  <c r="Z135" i="153"/>
  <c r="Z136" i="153"/>
  <c r="Z137" i="153"/>
  <c r="Z138" i="153"/>
  <c r="Z139" i="153"/>
  <c r="Z140" i="153"/>
  <c r="Z141" i="153"/>
  <c r="Z133" i="153"/>
  <c r="M142" i="153" l="1"/>
  <c r="N142" i="153"/>
  <c r="O142" i="153"/>
  <c r="P142" i="153"/>
  <c r="R142" i="153"/>
  <c r="S142" i="153"/>
  <c r="T142" i="153"/>
  <c r="V142" i="153"/>
  <c r="W142" i="153"/>
  <c r="X142" i="153"/>
  <c r="D142" i="153"/>
  <c r="E142" i="153"/>
  <c r="G142" i="153"/>
  <c r="H142" i="153"/>
  <c r="I142" i="153"/>
  <c r="J142" i="153"/>
  <c r="K142" i="153"/>
  <c r="C142" i="153"/>
  <c r="Y142" i="153"/>
  <c r="Z142" i="153"/>
  <c r="AB142" i="153"/>
  <c r="AC142" i="153"/>
  <c r="AD142" i="153"/>
  <c r="AF142" i="153"/>
  <c r="AG142" i="153"/>
  <c r="AA142" i="153"/>
  <c r="AE141" i="153"/>
  <c r="U141" i="153"/>
  <c r="Q141" i="153"/>
  <c r="L141" i="153"/>
  <c r="F141" i="153"/>
  <c r="AE140" i="153"/>
  <c r="U140" i="153"/>
  <c r="Q140" i="153"/>
  <c r="L140" i="153"/>
  <c r="F140" i="153"/>
  <c r="L139" i="153"/>
  <c r="L138" i="153"/>
  <c r="L137" i="153"/>
  <c r="L136" i="153"/>
  <c r="L135" i="153"/>
  <c r="L133" i="153" l="1"/>
  <c r="L131" i="153" l="1"/>
  <c r="AE130" i="153"/>
  <c r="Q130" i="153"/>
  <c r="L130" i="153"/>
  <c r="U130" i="153"/>
  <c r="F130" i="153"/>
  <c r="L129" i="153" l="1"/>
  <c r="L128" i="153"/>
  <c r="F64" i="153" l="1"/>
  <c r="AA9" i="150" l="1"/>
  <c r="S9" i="150"/>
  <c r="G9" i="150"/>
  <c r="D9" i="150"/>
  <c r="B9" i="150"/>
  <c r="AA9" i="148"/>
  <c r="X9" i="148"/>
  <c r="Q9" i="148"/>
  <c r="S9" i="148"/>
  <c r="O9" i="148"/>
  <c r="N9" i="148"/>
  <c r="M9" i="148"/>
  <c r="G9" i="148"/>
  <c r="F9" i="148"/>
  <c r="D9" i="148"/>
  <c r="C9" i="148"/>
  <c r="B9" i="148"/>
  <c r="AG9" i="146" l="1"/>
  <c r="AD9" i="146"/>
  <c r="AF9" i="146"/>
  <c r="AB9" i="146"/>
  <c r="AC9" i="146"/>
  <c r="AA9" i="146"/>
  <c r="Y9" i="146"/>
  <c r="V9" i="146"/>
  <c r="W9" i="146"/>
  <c r="X9" i="146"/>
  <c r="U9" i="146"/>
  <c r="R9" i="146"/>
  <c r="S9" i="146"/>
  <c r="Q9" i="146"/>
  <c r="P8" i="146"/>
  <c r="N9" i="146"/>
  <c r="O9" i="146"/>
  <c r="L9" i="146"/>
  <c r="M9" i="146"/>
  <c r="F9" i="146"/>
  <c r="G9" i="146"/>
  <c r="H9" i="146"/>
  <c r="I9" i="146"/>
  <c r="C9" i="146"/>
  <c r="D9" i="146"/>
  <c r="B9" i="146"/>
  <c r="Z128" i="153"/>
  <c r="Z129" i="153"/>
  <c r="Z131" i="153"/>
  <c r="Z120" i="153"/>
  <c r="Z121" i="153"/>
  <c r="Z122" i="153"/>
  <c r="Z123" i="153"/>
  <c r="Z124" i="153"/>
  <c r="Z125" i="153"/>
  <c r="Z126" i="153"/>
  <c r="Z127" i="153"/>
  <c r="Z119" i="153"/>
  <c r="Q119" i="153"/>
  <c r="L119" i="153"/>
  <c r="L132" i="153" s="1"/>
  <c r="F119" i="153"/>
  <c r="AG9" i="158"/>
  <c r="AF9" i="158"/>
  <c r="AE4" i="158"/>
  <c r="AE5" i="158"/>
  <c r="AE6" i="158"/>
  <c r="AE7" i="158"/>
  <c r="AE8" i="158"/>
  <c r="AE3" i="158"/>
  <c r="AB9" i="158"/>
  <c r="AC9" i="158"/>
  <c r="AD9" i="158"/>
  <c r="AA9" i="158"/>
  <c r="V9" i="158"/>
  <c r="W9" i="158"/>
  <c r="X9" i="158"/>
  <c r="Y9" i="158"/>
  <c r="U9" i="158"/>
  <c r="T4" i="158"/>
  <c r="T5" i="158"/>
  <c r="T6" i="158"/>
  <c r="T7" i="158"/>
  <c r="T8" i="158"/>
  <c r="T3" i="158"/>
  <c r="R9" i="158"/>
  <c r="S9" i="158"/>
  <c r="Q9" i="158"/>
  <c r="P4" i="158"/>
  <c r="P5" i="158"/>
  <c r="P6" i="158"/>
  <c r="P7" i="158"/>
  <c r="P8" i="158"/>
  <c r="P3" i="158"/>
  <c r="L9" i="158"/>
  <c r="M9" i="158"/>
  <c r="N9" i="158"/>
  <c r="O9" i="158"/>
  <c r="K9" i="158"/>
  <c r="J4" i="158"/>
  <c r="J5" i="158"/>
  <c r="J6" i="158"/>
  <c r="J7" i="158"/>
  <c r="J8" i="158"/>
  <c r="J3" i="158"/>
  <c r="F9" i="158"/>
  <c r="G9" i="158"/>
  <c r="H9" i="158"/>
  <c r="I9" i="158"/>
  <c r="E4" i="158"/>
  <c r="E5" i="158"/>
  <c r="E6" i="158"/>
  <c r="E7" i="158"/>
  <c r="E8" i="158"/>
  <c r="E3" i="158"/>
  <c r="C9" i="158"/>
  <c r="D9" i="158"/>
  <c r="B9" i="158"/>
  <c r="P9" i="158" l="1"/>
  <c r="Z132" i="153"/>
  <c r="J9" i="158"/>
  <c r="T9" i="158"/>
  <c r="AE9" i="158"/>
  <c r="E9" i="158"/>
  <c r="E4" i="160" l="1"/>
  <c r="E5" i="160"/>
  <c r="E6" i="160"/>
  <c r="E7" i="160"/>
  <c r="E8" i="160"/>
  <c r="E3" i="160"/>
  <c r="C9" i="160"/>
  <c r="D9" i="160"/>
  <c r="B9" i="160"/>
  <c r="AE4" i="162"/>
  <c r="AE5" i="162"/>
  <c r="AE6" i="162"/>
  <c r="AE7" i="162"/>
  <c r="AE8" i="162"/>
  <c r="AE3" i="162"/>
  <c r="AB9" i="162"/>
  <c r="AC9" i="162"/>
  <c r="AD9" i="162"/>
  <c r="AA9" i="162"/>
  <c r="T4" i="162"/>
  <c r="T5" i="162"/>
  <c r="T6" i="162"/>
  <c r="T7" i="162"/>
  <c r="T8" i="162"/>
  <c r="T3" i="162"/>
  <c r="R9" i="162"/>
  <c r="S9" i="162"/>
  <c r="Q9" i="162"/>
  <c r="P4" i="162"/>
  <c r="P5" i="162"/>
  <c r="P6" i="162"/>
  <c r="P7" i="162"/>
  <c r="P8" i="162"/>
  <c r="P3" i="162"/>
  <c r="L9" i="162"/>
  <c r="M9" i="162"/>
  <c r="N9" i="162"/>
  <c r="O9" i="162"/>
  <c r="K9" i="162"/>
  <c r="J4" i="162"/>
  <c r="J5" i="162"/>
  <c r="J6" i="162"/>
  <c r="J7" i="162"/>
  <c r="J8" i="162"/>
  <c r="J3" i="162"/>
  <c r="F9" i="162"/>
  <c r="G9" i="162"/>
  <c r="H9" i="162"/>
  <c r="I9" i="162"/>
  <c r="E4" i="162"/>
  <c r="E5" i="162"/>
  <c r="E6" i="162"/>
  <c r="E7" i="162"/>
  <c r="E8" i="162"/>
  <c r="E3" i="162"/>
  <c r="C9" i="162"/>
  <c r="D9" i="162"/>
  <c r="B9" i="162"/>
  <c r="AE9" i="162" l="1"/>
  <c r="J9" i="162"/>
  <c r="P9" i="162"/>
  <c r="T9" i="162"/>
  <c r="E9" i="160"/>
  <c r="E9" i="162"/>
  <c r="AG9" i="156"/>
  <c r="AF9" i="156"/>
  <c r="AD9" i="156"/>
  <c r="AC9" i="156"/>
  <c r="AB9" i="156"/>
  <c r="AA9" i="156"/>
  <c r="Z9" i="156"/>
  <c r="Y9" i="156"/>
  <c r="X9" i="156"/>
  <c r="W9" i="156"/>
  <c r="V9" i="156"/>
  <c r="U9" i="156"/>
  <c r="S9" i="156"/>
  <c r="R9" i="156"/>
  <c r="Q9" i="156"/>
  <c r="O9" i="156"/>
  <c r="N9" i="156"/>
  <c r="M9" i="156"/>
  <c r="L9" i="156"/>
  <c r="K9" i="156"/>
  <c r="I9" i="156"/>
  <c r="H9" i="156"/>
  <c r="G9" i="156"/>
  <c r="F9" i="156"/>
  <c r="D9" i="156"/>
  <c r="C9" i="156"/>
  <c r="B9" i="156"/>
  <c r="AE8" i="156"/>
  <c r="T8" i="156"/>
  <c r="P8" i="156"/>
  <c r="J8" i="156"/>
  <c r="E8" i="156"/>
  <c r="AE7" i="156"/>
  <c r="T7" i="156"/>
  <c r="P7" i="156"/>
  <c r="J7" i="156"/>
  <c r="E7" i="156"/>
  <c r="AE6" i="156"/>
  <c r="T6" i="156"/>
  <c r="P6" i="156"/>
  <c r="J6" i="156"/>
  <c r="E6" i="156"/>
  <c r="AE5" i="156"/>
  <c r="T5" i="156"/>
  <c r="P5" i="156"/>
  <c r="J5" i="156"/>
  <c r="E5" i="156"/>
  <c r="AE4" i="156"/>
  <c r="T4" i="156"/>
  <c r="P4" i="156"/>
  <c r="J4" i="156"/>
  <c r="E4" i="156"/>
  <c r="AE3" i="156"/>
  <c r="T3" i="156"/>
  <c r="P3" i="156"/>
  <c r="J3" i="156"/>
  <c r="E3" i="156"/>
  <c r="AG9" i="155"/>
  <c r="AF9" i="155"/>
  <c r="AD9" i="155"/>
  <c r="AC9" i="155"/>
  <c r="AB9" i="155"/>
  <c r="AA9" i="155"/>
  <c r="Y9" i="155"/>
  <c r="X9" i="155"/>
  <c r="W9" i="155"/>
  <c r="V9" i="155"/>
  <c r="U9" i="155"/>
  <c r="S9" i="155"/>
  <c r="R9" i="155"/>
  <c r="Q9" i="155"/>
  <c r="O9" i="155"/>
  <c r="N9" i="155"/>
  <c r="M9" i="155"/>
  <c r="I9" i="155"/>
  <c r="H9" i="155"/>
  <c r="G9" i="155"/>
  <c r="F9" i="155"/>
  <c r="D9" i="155"/>
  <c r="C9" i="155"/>
  <c r="B9" i="155"/>
  <c r="AE7" i="155"/>
  <c r="Z9" i="155"/>
  <c r="L9" i="155"/>
  <c r="K9" i="155"/>
  <c r="AE8" i="155"/>
  <c r="T8" i="155"/>
  <c r="P8" i="155"/>
  <c r="J8" i="155"/>
  <c r="E8" i="155"/>
  <c r="T7" i="155"/>
  <c r="P7" i="155"/>
  <c r="J7" i="155"/>
  <c r="E7" i="155"/>
  <c r="AE6" i="155"/>
  <c r="T6" i="155"/>
  <c r="P6" i="155"/>
  <c r="J6" i="155"/>
  <c r="E6" i="155"/>
  <c r="AE5" i="155"/>
  <c r="T5" i="155"/>
  <c r="P5" i="155"/>
  <c r="J5" i="155"/>
  <c r="E5" i="155"/>
  <c r="AE4" i="155"/>
  <c r="T4" i="155"/>
  <c r="P4" i="155"/>
  <c r="J4" i="155"/>
  <c r="E4" i="155"/>
  <c r="AE3" i="155"/>
  <c r="T3" i="155"/>
  <c r="P3" i="155"/>
  <c r="J3" i="155"/>
  <c r="E3" i="155"/>
  <c r="U146" i="153"/>
  <c r="Q146" i="153"/>
  <c r="L146" i="153"/>
  <c r="F146" i="153"/>
  <c r="AE143" i="153"/>
  <c r="U143" i="153"/>
  <c r="Q143" i="153"/>
  <c r="F143" i="153"/>
  <c r="AE139" i="153"/>
  <c r="U139" i="153"/>
  <c r="Q139" i="153"/>
  <c r="F139" i="153"/>
  <c r="AE138" i="153"/>
  <c r="U138" i="153"/>
  <c r="Q138" i="153"/>
  <c r="F138" i="153"/>
  <c r="AE137" i="153"/>
  <c r="U137" i="153"/>
  <c r="Q137" i="153"/>
  <c r="F137" i="153"/>
  <c r="AE136" i="153"/>
  <c r="U136" i="153"/>
  <c r="Q136" i="153"/>
  <c r="F136" i="153"/>
  <c r="AE135" i="153"/>
  <c r="U135" i="153"/>
  <c r="Q135" i="153"/>
  <c r="F135" i="153"/>
  <c r="AE134" i="153"/>
  <c r="U134" i="153"/>
  <c r="Q134" i="153"/>
  <c r="L134" i="153"/>
  <c r="L142" i="153" s="1"/>
  <c r="F134" i="153"/>
  <c r="AE133" i="153"/>
  <c r="U133" i="153"/>
  <c r="Q133" i="153"/>
  <c r="F133" i="153"/>
  <c r="AE132" i="153"/>
  <c r="U132" i="153"/>
  <c r="AE131" i="153"/>
  <c r="U131" i="153"/>
  <c r="Q131" i="153"/>
  <c r="F131" i="153"/>
  <c r="AE129" i="153"/>
  <c r="U129" i="153"/>
  <c r="Q129" i="153"/>
  <c r="F129" i="153"/>
  <c r="AE128" i="153"/>
  <c r="U128" i="153"/>
  <c r="Q128" i="153"/>
  <c r="F128" i="153"/>
  <c r="AE127" i="153"/>
  <c r="U127" i="153"/>
  <c r="Q127" i="153"/>
  <c r="F127" i="153"/>
  <c r="AE126" i="153"/>
  <c r="U126" i="153"/>
  <c r="Q126" i="153"/>
  <c r="F126" i="153"/>
  <c r="AE125" i="153"/>
  <c r="U125" i="153"/>
  <c r="Q125" i="153"/>
  <c r="F125" i="153"/>
  <c r="AE124" i="153"/>
  <c r="U124" i="153"/>
  <c r="Q124" i="153"/>
  <c r="F124" i="153"/>
  <c r="AE123" i="153"/>
  <c r="U123" i="153"/>
  <c r="Q123" i="153"/>
  <c r="F123" i="153"/>
  <c r="AE122" i="153"/>
  <c r="U122" i="153"/>
  <c r="Q122" i="153"/>
  <c r="F122" i="153"/>
  <c r="AE121" i="153"/>
  <c r="U121" i="153"/>
  <c r="Q121" i="153"/>
  <c r="F121" i="153"/>
  <c r="AE120" i="153"/>
  <c r="U120" i="153"/>
  <c r="Q120" i="153"/>
  <c r="F120" i="153"/>
  <c r="AE119" i="153"/>
  <c r="U119" i="153"/>
  <c r="AE118" i="153"/>
  <c r="N118" i="153"/>
  <c r="M118" i="153"/>
  <c r="K118" i="153"/>
  <c r="J118" i="153"/>
  <c r="I118" i="153"/>
  <c r="H118" i="153"/>
  <c r="G118" i="153"/>
  <c r="E118" i="153"/>
  <c r="D118" i="153"/>
  <c r="C118" i="153"/>
  <c r="AE117" i="153"/>
  <c r="U117" i="153"/>
  <c r="Q117" i="153"/>
  <c r="L117" i="153"/>
  <c r="F117" i="153"/>
  <c r="U116" i="153"/>
  <c r="L116" i="153"/>
  <c r="F116" i="153"/>
  <c r="U115" i="153"/>
  <c r="L115" i="153"/>
  <c r="F115" i="153"/>
  <c r="U114" i="153"/>
  <c r="L114" i="153"/>
  <c r="F114" i="153"/>
  <c r="AE113" i="153"/>
  <c r="U113" i="153"/>
  <c r="L113" i="153"/>
  <c r="F113" i="153"/>
  <c r="AE112" i="153"/>
  <c r="U112" i="153"/>
  <c r="L112" i="153"/>
  <c r="F112" i="153"/>
  <c r="AE111" i="153"/>
  <c r="U111" i="153"/>
  <c r="L111" i="153"/>
  <c r="F111" i="153"/>
  <c r="AE110" i="153"/>
  <c r="U110" i="153"/>
  <c r="Q110" i="153"/>
  <c r="L110" i="153"/>
  <c r="F110" i="153"/>
  <c r="AE109" i="153"/>
  <c r="U109" i="153"/>
  <c r="Q109" i="153"/>
  <c r="L109" i="153"/>
  <c r="F109" i="153"/>
  <c r="AE108" i="153"/>
  <c r="U108" i="153"/>
  <c r="Q108" i="153"/>
  <c r="L108" i="153"/>
  <c r="F108" i="153"/>
  <c r="AE107" i="153"/>
  <c r="U107" i="153"/>
  <c r="Q107" i="153"/>
  <c r="L107" i="153"/>
  <c r="F107" i="153"/>
  <c r="AE106" i="153"/>
  <c r="U106" i="153"/>
  <c r="Q106" i="153"/>
  <c r="L106" i="153"/>
  <c r="F106" i="153"/>
  <c r="AE105" i="153"/>
  <c r="U105" i="153"/>
  <c r="Q105" i="153"/>
  <c r="Q118" i="153" s="1"/>
  <c r="L105" i="153"/>
  <c r="F105" i="153"/>
  <c r="AG104" i="153"/>
  <c r="AF104" i="153"/>
  <c r="AD104" i="153"/>
  <c r="AC104" i="153"/>
  <c r="AB104" i="153"/>
  <c r="AA104" i="153"/>
  <c r="Y104" i="153"/>
  <c r="X104" i="153"/>
  <c r="W104" i="153"/>
  <c r="V104" i="153"/>
  <c r="T104" i="153"/>
  <c r="S104" i="153"/>
  <c r="R104" i="153"/>
  <c r="P104" i="153"/>
  <c r="O104" i="153"/>
  <c r="N104" i="153"/>
  <c r="M104" i="153"/>
  <c r="K104" i="153"/>
  <c r="J104" i="153"/>
  <c r="I104" i="153"/>
  <c r="H104" i="153"/>
  <c r="G104" i="153"/>
  <c r="E104" i="153"/>
  <c r="D104" i="153"/>
  <c r="C104" i="153"/>
  <c r="AE103" i="153"/>
  <c r="Z103" i="153"/>
  <c r="U103" i="153"/>
  <c r="Q103" i="153"/>
  <c r="L103" i="153"/>
  <c r="F103" i="153"/>
  <c r="AE102" i="153"/>
  <c r="Z102" i="153"/>
  <c r="U102" i="153"/>
  <c r="Q102" i="153"/>
  <c r="L102" i="153"/>
  <c r="F102" i="153"/>
  <c r="AE101" i="153"/>
  <c r="Z101" i="153"/>
  <c r="U101" i="153"/>
  <c r="Q101" i="153"/>
  <c r="L101" i="153"/>
  <c r="F101" i="153"/>
  <c r="AE100" i="153"/>
  <c r="Z100" i="153"/>
  <c r="U100" i="153"/>
  <c r="Q100" i="153"/>
  <c r="L100" i="153"/>
  <c r="F100" i="153"/>
  <c r="AE99" i="153"/>
  <c r="Z99" i="153"/>
  <c r="U99" i="153"/>
  <c r="Q99" i="153"/>
  <c r="L99" i="153"/>
  <c r="F99" i="153"/>
  <c r="AE98" i="153"/>
  <c r="Z98" i="153"/>
  <c r="U98" i="153"/>
  <c r="Q98" i="153"/>
  <c r="L98" i="153"/>
  <c r="F98" i="153"/>
  <c r="AE97" i="153"/>
  <c r="Z97" i="153"/>
  <c r="U97" i="153"/>
  <c r="Q97" i="153"/>
  <c r="L97" i="153"/>
  <c r="F97" i="153"/>
  <c r="AE96" i="153"/>
  <c r="Z96" i="153"/>
  <c r="U96" i="153"/>
  <c r="Q96" i="153"/>
  <c r="L96" i="153"/>
  <c r="F96" i="153"/>
  <c r="AE95" i="153"/>
  <c r="Z95" i="153"/>
  <c r="U95" i="153"/>
  <c r="Q95" i="153"/>
  <c r="L95" i="153"/>
  <c r="F95" i="153"/>
  <c r="AE94" i="153"/>
  <c r="Z94" i="153"/>
  <c r="U94" i="153"/>
  <c r="Q94" i="153"/>
  <c r="L94" i="153"/>
  <c r="F94" i="153"/>
  <c r="AE93" i="153"/>
  <c r="Z93" i="153"/>
  <c r="U93" i="153"/>
  <c r="Q93" i="153"/>
  <c r="L93" i="153"/>
  <c r="F93" i="153"/>
  <c r="AE92" i="153"/>
  <c r="Z92" i="153"/>
  <c r="U92" i="153"/>
  <c r="Q92" i="153"/>
  <c r="L92" i="153"/>
  <c r="F92" i="153"/>
  <c r="AE91" i="153"/>
  <c r="Z91" i="153"/>
  <c r="U91" i="153"/>
  <c r="Q91" i="153"/>
  <c r="L91" i="153"/>
  <c r="F91" i="153"/>
  <c r="AG90" i="153"/>
  <c r="AF90" i="153"/>
  <c r="AD90" i="153"/>
  <c r="AC90" i="153"/>
  <c r="AB90" i="153"/>
  <c r="AA90" i="153"/>
  <c r="Y90" i="153"/>
  <c r="X90" i="153"/>
  <c r="W90" i="153"/>
  <c r="V90" i="153"/>
  <c r="T90" i="153"/>
  <c r="S90" i="153"/>
  <c r="R90" i="153"/>
  <c r="P90" i="153"/>
  <c r="O90" i="153"/>
  <c r="N90" i="153"/>
  <c r="M90" i="153"/>
  <c r="K90" i="153"/>
  <c r="J90" i="153"/>
  <c r="I90" i="153"/>
  <c r="H90" i="153"/>
  <c r="G90" i="153"/>
  <c r="E90" i="153"/>
  <c r="D90" i="153"/>
  <c r="C90" i="153"/>
  <c r="AE89" i="153"/>
  <c r="Z89" i="153"/>
  <c r="U89" i="153"/>
  <c r="Q89" i="153"/>
  <c r="L89" i="153"/>
  <c r="F89" i="153"/>
  <c r="AE88" i="153"/>
  <c r="Z88" i="153"/>
  <c r="U88" i="153"/>
  <c r="Q88" i="153"/>
  <c r="L88" i="153"/>
  <c r="F88" i="153"/>
  <c r="AE87" i="153"/>
  <c r="Z87" i="153"/>
  <c r="U87" i="153"/>
  <c r="Q87" i="153"/>
  <c r="L87" i="153"/>
  <c r="F87" i="153"/>
  <c r="AE86" i="153"/>
  <c r="Z86" i="153"/>
  <c r="U86" i="153"/>
  <c r="Q86" i="153"/>
  <c r="L86" i="153"/>
  <c r="F86" i="153"/>
  <c r="AE85" i="153"/>
  <c r="Z85" i="153"/>
  <c r="U85" i="153"/>
  <c r="Q85" i="153"/>
  <c r="L85" i="153"/>
  <c r="F85" i="153"/>
  <c r="AE84" i="153"/>
  <c r="Z84" i="153"/>
  <c r="U84" i="153"/>
  <c r="Q84" i="153"/>
  <c r="L84" i="153"/>
  <c r="F84" i="153"/>
  <c r="AE83" i="153"/>
  <c r="Z83" i="153"/>
  <c r="U83" i="153"/>
  <c r="Q83" i="153"/>
  <c r="L83" i="153"/>
  <c r="F83" i="153"/>
  <c r="AE82" i="153"/>
  <c r="Z82" i="153"/>
  <c r="U82" i="153"/>
  <c r="Q82" i="153"/>
  <c r="L82" i="153"/>
  <c r="F82" i="153"/>
  <c r="AE81" i="153"/>
  <c r="Z81" i="153"/>
  <c r="U81" i="153"/>
  <c r="Q81" i="153"/>
  <c r="L81" i="153"/>
  <c r="F81" i="153"/>
  <c r="AE80" i="153"/>
  <c r="Z80" i="153"/>
  <c r="U80" i="153"/>
  <c r="Q80" i="153"/>
  <c r="L80" i="153"/>
  <c r="F80" i="153"/>
  <c r="AE79" i="153"/>
  <c r="Z79" i="153"/>
  <c r="U79" i="153"/>
  <c r="Q79" i="153"/>
  <c r="L79" i="153"/>
  <c r="F79" i="153"/>
  <c r="AG78" i="153"/>
  <c r="AF78" i="153"/>
  <c r="AD78" i="153"/>
  <c r="AC78" i="153"/>
  <c r="AB78" i="153"/>
  <c r="AA78" i="153"/>
  <c r="Y78" i="153"/>
  <c r="X78" i="153"/>
  <c r="W78" i="153"/>
  <c r="V78" i="153"/>
  <c r="T78" i="153"/>
  <c r="S78" i="153"/>
  <c r="R78" i="153"/>
  <c r="P78" i="153"/>
  <c r="O78" i="153"/>
  <c r="N78" i="153"/>
  <c r="M78" i="153"/>
  <c r="K78" i="153"/>
  <c r="J78" i="153"/>
  <c r="I78" i="153"/>
  <c r="H78" i="153"/>
  <c r="G78" i="153"/>
  <c r="E78" i="153"/>
  <c r="D78" i="153"/>
  <c r="C78" i="153"/>
  <c r="AE77" i="153"/>
  <c r="Z77" i="153"/>
  <c r="U77" i="153"/>
  <c r="Q77" i="153"/>
  <c r="L77" i="153"/>
  <c r="F77" i="153"/>
  <c r="AE76" i="153"/>
  <c r="Z76" i="153"/>
  <c r="U76" i="153"/>
  <c r="Q76" i="153"/>
  <c r="L76" i="153"/>
  <c r="F76" i="153"/>
  <c r="AE75" i="153"/>
  <c r="Z75" i="153"/>
  <c r="U75" i="153"/>
  <c r="Q75" i="153"/>
  <c r="L75" i="153"/>
  <c r="F75" i="153"/>
  <c r="AE74" i="153"/>
  <c r="Z74" i="153"/>
  <c r="U74" i="153"/>
  <c r="Q74" i="153"/>
  <c r="L74" i="153"/>
  <c r="F74" i="153"/>
  <c r="AE73" i="153"/>
  <c r="Z73" i="153"/>
  <c r="U73" i="153"/>
  <c r="Q73" i="153"/>
  <c r="L73" i="153"/>
  <c r="F73" i="153"/>
  <c r="AE72" i="153"/>
  <c r="Z72" i="153"/>
  <c r="U72" i="153"/>
  <c r="Q72" i="153"/>
  <c r="L72" i="153"/>
  <c r="F72" i="153"/>
  <c r="AE71" i="153"/>
  <c r="Z71" i="153"/>
  <c r="U71" i="153"/>
  <c r="Q71" i="153"/>
  <c r="L71" i="153"/>
  <c r="F71" i="153"/>
  <c r="AE70" i="153"/>
  <c r="Z70" i="153"/>
  <c r="U70" i="153"/>
  <c r="Q70" i="153"/>
  <c r="L70" i="153"/>
  <c r="F70" i="153"/>
  <c r="AE69" i="153"/>
  <c r="Z69" i="153"/>
  <c r="U69" i="153"/>
  <c r="Q69" i="153"/>
  <c r="L69" i="153"/>
  <c r="F69" i="153"/>
  <c r="AE68" i="153"/>
  <c r="Z68" i="153"/>
  <c r="U68" i="153"/>
  <c r="Q68" i="153"/>
  <c r="L68" i="153"/>
  <c r="F68" i="153"/>
  <c r="AE67" i="153"/>
  <c r="Z67" i="153"/>
  <c r="U67" i="153"/>
  <c r="Q67" i="153"/>
  <c r="L67" i="153"/>
  <c r="F67" i="153"/>
  <c r="AG66" i="153"/>
  <c r="AF66" i="153"/>
  <c r="AD66" i="153"/>
  <c r="AC66" i="153"/>
  <c r="AB66" i="153"/>
  <c r="AA66" i="153"/>
  <c r="Y66" i="153"/>
  <c r="X66" i="153"/>
  <c r="W66" i="153"/>
  <c r="V66" i="153"/>
  <c r="T66" i="153"/>
  <c r="S66" i="153"/>
  <c r="R66" i="153"/>
  <c r="P66" i="153"/>
  <c r="O66" i="153"/>
  <c r="N66" i="153"/>
  <c r="M66" i="153"/>
  <c r="K66" i="153"/>
  <c r="J66" i="153"/>
  <c r="I66" i="153"/>
  <c r="H66" i="153"/>
  <c r="G66" i="153"/>
  <c r="E66" i="153"/>
  <c r="D66" i="153"/>
  <c r="C66" i="153"/>
  <c r="AE65" i="153"/>
  <c r="Z65" i="153"/>
  <c r="U65" i="153"/>
  <c r="Q65" i="153"/>
  <c r="L65" i="153"/>
  <c r="F65" i="153"/>
  <c r="AE64" i="153"/>
  <c r="Z64" i="153"/>
  <c r="U64" i="153"/>
  <c r="Q64" i="153"/>
  <c r="L64" i="153"/>
  <c r="AE63" i="153"/>
  <c r="Z63" i="153"/>
  <c r="U63" i="153"/>
  <c r="Q63" i="153"/>
  <c r="L63" i="153"/>
  <c r="F63" i="153"/>
  <c r="AE62" i="153"/>
  <c r="Z62" i="153"/>
  <c r="U62" i="153"/>
  <c r="Q62" i="153"/>
  <c r="L62" i="153"/>
  <c r="F62" i="153"/>
  <c r="AE61" i="153"/>
  <c r="Z61" i="153"/>
  <c r="U61" i="153"/>
  <c r="Q61" i="153"/>
  <c r="L61" i="153"/>
  <c r="F61" i="153"/>
  <c r="AE60" i="153"/>
  <c r="Z60" i="153"/>
  <c r="U60" i="153"/>
  <c r="Q60" i="153"/>
  <c r="L60" i="153"/>
  <c r="F60" i="153"/>
  <c r="AE59" i="153"/>
  <c r="Z59" i="153"/>
  <c r="U59" i="153"/>
  <c r="Q59" i="153"/>
  <c r="L59" i="153"/>
  <c r="F59" i="153"/>
  <c r="AE58" i="153"/>
  <c r="Z58" i="153"/>
  <c r="U58" i="153"/>
  <c r="Q58" i="153"/>
  <c r="L58" i="153"/>
  <c r="F58" i="153"/>
  <c r="AE57" i="153"/>
  <c r="Z57" i="153"/>
  <c r="U57" i="153"/>
  <c r="Q57" i="153"/>
  <c r="L57" i="153"/>
  <c r="F57" i="153"/>
  <c r="AE56" i="153"/>
  <c r="Z56" i="153"/>
  <c r="U56" i="153"/>
  <c r="Q56" i="153"/>
  <c r="L56" i="153"/>
  <c r="F56" i="153"/>
  <c r="AE55" i="153"/>
  <c r="Z55" i="153"/>
  <c r="U55" i="153"/>
  <c r="Q55" i="153"/>
  <c r="L55" i="153"/>
  <c r="F55" i="153"/>
  <c r="AE54" i="153"/>
  <c r="Z54" i="153"/>
  <c r="U54" i="153"/>
  <c r="Q54" i="153"/>
  <c r="L54" i="153"/>
  <c r="F54" i="153"/>
  <c r="AG53" i="153"/>
  <c r="AF53" i="153"/>
  <c r="AD53" i="153"/>
  <c r="AC53" i="153"/>
  <c r="AB53" i="153"/>
  <c r="AA53" i="153"/>
  <c r="Y53" i="153"/>
  <c r="X53" i="153"/>
  <c r="W53" i="153"/>
  <c r="V53" i="153"/>
  <c r="T53" i="153"/>
  <c r="S53" i="153"/>
  <c r="R53" i="153"/>
  <c r="P53" i="153"/>
  <c r="O53" i="153"/>
  <c r="N53" i="153"/>
  <c r="M53" i="153"/>
  <c r="J53" i="153"/>
  <c r="I53" i="153"/>
  <c r="H53" i="153"/>
  <c r="G53" i="153"/>
  <c r="E53" i="153"/>
  <c r="D53" i="153"/>
  <c r="C53" i="153"/>
  <c r="AE52" i="153"/>
  <c r="Z52" i="153"/>
  <c r="U52" i="153"/>
  <c r="Q52" i="153"/>
  <c r="L52" i="153"/>
  <c r="F52" i="153"/>
  <c r="AE51" i="153"/>
  <c r="Z51" i="153"/>
  <c r="U51" i="153"/>
  <c r="Q51" i="153"/>
  <c r="L51" i="153"/>
  <c r="F51" i="153"/>
  <c r="AE50" i="153"/>
  <c r="Z50" i="153"/>
  <c r="U50" i="153"/>
  <c r="Q50" i="153"/>
  <c r="L50" i="153"/>
  <c r="F50" i="153"/>
  <c r="AE49" i="153"/>
  <c r="Z49" i="153"/>
  <c r="U49" i="153"/>
  <c r="Q49" i="153"/>
  <c r="L49" i="153"/>
  <c r="F49" i="153"/>
  <c r="AE48" i="153"/>
  <c r="Z48" i="153"/>
  <c r="U48" i="153"/>
  <c r="Q48" i="153"/>
  <c r="L48" i="153"/>
  <c r="F48" i="153"/>
  <c r="AE47" i="153"/>
  <c r="Z47" i="153"/>
  <c r="U47" i="153"/>
  <c r="Q47" i="153"/>
  <c r="L47" i="153"/>
  <c r="F47" i="153"/>
  <c r="AE46" i="153"/>
  <c r="Z46" i="153"/>
  <c r="U46" i="153"/>
  <c r="Q46" i="153"/>
  <c r="L46" i="153"/>
  <c r="F46" i="153"/>
  <c r="AE45" i="153"/>
  <c r="Z45" i="153"/>
  <c r="U45" i="153"/>
  <c r="Q45" i="153"/>
  <c r="L45" i="153"/>
  <c r="F45" i="153"/>
  <c r="AE44" i="153"/>
  <c r="Z44" i="153"/>
  <c r="U44" i="153"/>
  <c r="Q44" i="153"/>
  <c r="L44" i="153"/>
  <c r="F44" i="153"/>
  <c r="AE43" i="153"/>
  <c r="Z43" i="153"/>
  <c r="U43" i="153"/>
  <c r="Q43" i="153"/>
  <c r="L43" i="153"/>
  <c r="F43" i="153"/>
  <c r="AE42" i="153"/>
  <c r="Z42" i="153"/>
  <c r="U42" i="153"/>
  <c r="Q42" i="153"/>
  <c r="L42" i="153"/>
  <c r="F42" i="153"/>
  <c r="AE41" i="153"/>
  <c r="Z41" i="153"/>
  <c r="U41" i="153"/>
  <c r="Q41" i="153"/>
  <c r="L41" i="153"/>
  <c r="F41" i="153"/>
  <c r="AE40" i="153"/>
  <c r="Z40" i="153"/>
  <c r="U40" i="153"/>
  <c r="Q40" i="153"/>
  <c r="L40" i="153"/>
  <c r="F40" i="153"/>
  <c r="AE39" i="153"/>
  <c r="Z39" i="153"/>
  <c r="U39" i="153"/>
  <c r="Q39" i="153"/>
  <c r="L39" i="153"/>
  <c r="F39" i="153"/>
  <c r="AE38" i="153"/>
  <c r="Z38" i="153"/>
  <c r="U38" i="153"/>
  <c r="Q38" i="153"/>
  <c r="L38" i="153"/>
  <c r="F38" i="153"/>
  <c r="AE37" i="153"/>
  <c r="Z37" i="153"/>
  <c r="U37" i="153"/>
  <c r="Q37" i="153"/>
  <c r="L37" i="153"/>
  <c r="F37" i="153"/>
  <c r="AF36" i="153"/>
  <c r="AD36" i="153"/>
  <c r="AC36" i="153"/>
  <c r="AB36" i="153"/>
  <c r="AA36" i="153"/>
  <c r="Y36" i="153"/>
  <c r="X36" i="153"/>
  <c r="W36" i="153"/>
  <c r="V36" i="153"/>
  <c r="T36" i="153"/>
  <c r="S36" i="153"/>
  <c r="R36" i="153"/>
  <c r="P36" i="153"/>
  <c r="O36" i="153"/>
  <c r="N36" i="153"/>
  <c r="M36" i="153"/>
  <c r="I36" i="153"/>
  <c r="H36" i="153"/>
  <c r="G36" i="153"/>
  <c r="E36" i="153"/>
  <c r="D36" i="153"/>
  <c r="C36" i="153"/>
  <c r="AE35" i="153"/>
  <c r="Z35" i="153"/>
  <c r="U35" i="153"/>
  <c r="Q35" i="153"/>
  <c r="L35" i="153"/>
  <c r="F35" i="153"/>
  <c r="AE34" i="153"/>
  <c r="Z34" i="153"/>
  <c r="U34" i="153"/>
  <c r="Q34" i="153"/>
  <c r="L34" i="153"/>
  <c r="F34" i="153"/>
  <c r="AE33" i="153"/>
  <c r="Z33" i="153"/>
  <c r="U33" i="153"/>
  <c r="Q33" i="153"/>
  <c r="L33" i="153"/>
  <c r="F33" i="153"/>
  <c r="AE32" i="153"/>
  <c r="Z32" i="153"/>
  <c r="U32" i="153"/>
  <c r="Q32" i="153"/>
  <c r="L32" i="153"/>
  <c r="F32" i="153"/>
  <c r="AE31" i="153"/>
  <c r="Z31" i="153"/>
  <c r="U31" i="153"/>
  <c r="Q31" i="153"/>
  <c r="L31" i="153"/>
  <c r="F31" i="153"/>
  <c r="AE30" i="153"/>
  <c r="Z30" i="153"/>
  <c r="U30" i="153"/>
  <c r="Q30" i="153"/>
  <c r="L30" i="153"/>
  <c r="F30" i="153"/>
  <c r="AE29" i="153"/>
  <c r="Z29" i="153"/>
  <c r="U29" i="153"/>
  <c r="Q29" i="153"/>
  <c r="L29" i="153"/>
  <c r="F29" i="153"/>
  <c r="AE28" i="153"/>
  <c r="Z28" i="153"/>
  <c r="U28" i="153"/>
  <c r="Q28" i="153"/>
  <c r="L28" i="153"/>
  <c r="F28" i="153"/>
  <c r="AE27" i="153"/>
  <c r="Z27" i="153"/>
  <c r="U27" i="153"/>
  <c r="Q27" i="153"/>
  <c r="L27" i="153"/>
  <c r="F27" i="153"/>
  <c r="AE26" i="153"/>
  <c r="Z26" i="153"/>
  <c r="U26" i="153"/>
  <c r="Q26" i="153"/>
  <c r="L26" i="153"/>
  <c r="F26" i="153"/>
  <c r="AE25" i="153"/>
  <c r="Z25" i="153"/>
  <c r="U25" i="153"/>
  <c r="Q25" i="153"/>
  <c r="L25" i="153"/>
  <c r="F25" i="153"/>
  <c r="AE24" i="153"/>
  <c r="Z24" i="153"/>
  <c r="U24" i="153"/>
  <c r="Q24" i="153"/>
  <c r="L24" i="153"/>
  <c r="F24" i="153"/>
  <c r="AF23" i="153"/>
  <c r="AD23" i="153"/>
  <c r="AC23" i="153"/>
  <c r="AB23" i="153"/>
  <c r="AA23" i="153"/>
  <c r="Y23" i="153"/>
  <c r="X23" i="153"/>
  <c r="W23" i="153"/>
  <c r="V23" i="153"/>
  <c r="T23" i="153"/>
  <c r="S23" i="153"/>
  <c r="R23" i="153"/>
  <c r="P23" i="153"/>
  <c r="O23" i="153"/>
  <c r="N23" i="153"/>
  <c r="M23" i="153"/>
  <c r="I23" i="153"/>
  <c r="H23" i="153"/>
  <c r="G23" i="153"/>
  <c r="E23" i="153"/>
  <c r="D23" i="153"/>
  <c r="C23" i="153"/>
  <c r="AE22" i="153"/>
  <c r="Z22" i="153"/>
  <c r="U22" i="153"/>
  <c r="Q22" i="153"/>
  <c r="L22" i="153"/>
  <c r="F22" i="153"/>
  <c r="AE21" i="153"/>
  <c r="Z21" i="153"/>
  <c r="U21" i="153"/>
  <c r="Q21" i="153"/>
  <c r="L21" i="153"/>
  <c r="F21" i="153"/>
  <c r="AE20" i="153"/>
  <c r="Z20" i="153"/>
  <c r="U20" i="153"/>
  <c r="Q20" i="153"/>
  <c r="L20" i="153"/>
  <c r="F20" i="153"/>
  <c r="AE19" i="153"/>
  <c r="Z19" i="153"/>
  <c r="U19" i="153"/>
  <c r="Q19" i="153"/>
  <c r="L19" i="153"/>
  <c r="F19" i="153"/>
  <c r="AE18" i="153"/>
  <c r="Z18" i="153"/>
  <c r="U18" i="153"/>
  <c r="Q18" i="153"/>
  <c r="L18" i="153"/>
  <c r="F18" i="153"/>
  <c r="AE17" i="153"/>
  <c r="Z17" i="153"/>
  <c r="U17" i="153"/>
  <c r="Q17" i="153"/>
  <c r="L17" i="153"/>
  <c r="F17" i="153"/>
  <c r="AE16" i="153"/>
  <c r="Z16" i="153"/>
  <c r="U16" i="153"/>
  <c r="Q16" i="153"/>
  <c r="L16" i="153"/>
  <c r="F16" i="153"/>
  <c r="AE15" i="153"/>
  <c r="Z15" i="153"/>
  <c r="U15" i="153"/>
  <c r="Q15" i="153"/>
  <c r="L15" i="153"/>
  <c r="F15" i="153"/>
  <c r="AE14" i="153"/>
  <c r="Z14" i="153"/>
  <c r="U14" i="153"/>
  <c r="Q14" i="153"/>
  <c r="L14" i="153"/>
  <c r="F14" i="153"/>
  <c r="AE13" i="153"/>
  <c r="Z13" i="153"/>
  <c r="U13" i="153"/>
  <c r="Q13" i="153"/>
  <c r="L13" i="153"/>
  <c r="F13" i="153"/>
  <c r="AF12" i="153"/>
  <c r="AD12" i="153"/>
  <c r="AC12" i="153"/>
  <c r="AB12" i="153"/>
  <c r="AA12" i="153"/>
  <c r="Y12" i="153"/>
  <c r="X12" i="153"/>
  <c r="W12" i="153"/>
  <c r="V12" i="153"/>
  <c r="T12" i="153"/>
  <c r="S12" i="153"/>
  <c r="R12" i="153"/>
  <c r="P12" i="153"/>
  <c r="O12" i="153"/>
  <c r="N12" i="153"/>
  <c r="M12" i="153"/>
  <c r="I12" i="153"/>
  <c r="H12" i="153"/>
  <c r="G12" i="153"/>
  <c r="E12" i="153"/>
  <c r="D12" i="153"/>
  <c r="C12" i="153"/>
  <c r="AE11" i="153"/>
  <c r="Z11" i="153"/>
  <c r="U11" i="153"/>
  <c r="Q11" i="153"/>
  <c r="L11" i="153"/>
  <c r="F11" i="153"/>
  <c r="Z10" i="153"/>
  <c r="L10" i="153"/>
  <c r="F10" i="153"/>
  <c r="AE9" i="153"/>
  <c r="Z9" i="153"/>
  <c r="U9" i="153"/>
  <c r="Q9" i="153"/>
  <c r="L9" i="153"/>
  <c r="F9" i="153"/>
  <c r="AE8" i="153"/>
  <c r="Z8" i="153"/>
  <c r="U8" i="153"/>
  <c r="Q8" i="153"/>
  <c r="L8" i="153"/>
  <c r="F8" i="153"/>
  <c r="AE7" i="153"/>
  <c r="Z7" i="153"/>
  <c r="U7" i="153"/>
  <c r="Q7" i="153"/>
  <c r="L7" i="153"/>
  <c r="F7" i="153"/>
  <c r="AE6" i="153"/>
  <c r="Z6" i="153"/>
  <c r="U6" i="153"/>
  <c r="Q6" i="153"/>
  <c r="L6" i="153"/>
  <c r="F6" i="153"/>
  <c r="AG9" i="150"/>
  <c r="AF9" i="150"/>
  <c r="AD9" i="150"/>
  <c r="AC9" i="150"/>
  <c r="AB9" i="150"/>
  <c r="Z9" i="150"/>
  <c r="Y9" i="150"/>
  <c r="X9" i="150"/>
  <c r="W9" i="150"/>
  <c r="V9" i="150"/>
  <c r="U9" i="150"/>
  <c r="R9" i="150"/>
  <c r="Q9" i="150"/>
  <c r="O9" i="150"/>
  <c r="N9" i="150"/>
  <c r="M9" i="150"/>
  <c r="L9" i="150"/>
  <c r="K9" i="150"/>
  <c r="I9" i="150"/>
  <c r="H9" i="150"/>
  <c r="F9" i="150"/>
  <c r="C9" i="150"/>
  <c r="AE8" i="150"/>
  <c r="T8" i="150"/>
  <c r="P8" i="150"/>
  <c r="J8" i="150"/>
  <c r="E8" i="150"/>
  <c r="AE7" i="150"/>
  <c r="T7" i="150"/>
  <c r="P7" i="150"/>
  <c r="J7" i="150"/>
  <c r="E7" i="150"/>
  <c r="AE6" i="150"/>
  <c r="T6" i="150"/>
  <c r="P6" i="150"/>
  <c r="J6" i="150"/>
  <c r="E6" i="150"/>
  <c r="AE5" i="150"/>
  <c r="T5" i="150"/>
  <c r="P5" i="150"/>
  <c r="J5" i="150"/>
  <c r="E5" i="150"/>
  <c r="AE4" i="150"/>
  <c r="T4" i="150"/>
  <c r="P4" i="150"/>
  <c r="J4" i="150"/>
  <c r="E4" i="150"/>
  <c r="AE3" i="150"/>
  <c r="T3" i="150"/>
  <c r="P3" i="150"/>
  <c r="J3" i="150"/>
  <c r="E3" i="150"/>
  <c r="AG9" i="148"/>
  <c r="AF9" i="148"/>
  <c r="AD9" i="148"/>
  <c r="AC9" i="148"/>
  <c r="AB9" i="148"/>
  <c r="Z9" i="148"/>
  <c r="Y9" i="148"/>
  <c r="W9" i="148"/>
  <c r="V9" i="148"/>
  <c r="U9" i="148"/>
  <c r="R9" i="148"/>
  <c r="L9" i="148"/>
  <c r="K9" i="148"/>
  <c r="I9" i="148"/>
  <c r="H9" i="148"/>
  <c r="J9" i="148"/>
  <c r="AE8" i="148"/>
  <c r="T8" i="148"/>
  <c r="P8" i="148"/>
  <c r="J8" i="148"/>
  <c r="E8" i="148"/>
  <c r="AE7" i="148"/>
  <c r="T7" i="148"/>
  <c r="P7" i="148"/>
  <c r="J7" i="148"/>
  <c r="E7" i="148"/>
  <c r="AE6" i="148"/>
  <c r="T6" i="148"/>
  <c r="P6" i="148"/>
  <c r="J6" i="148"/>
  <c r="E6" i="148"/>
  <c r="AE5" i="148"/>
  <c r="AE9" i="148" s="1"/>
  <c r="T5" i="148"/>
  <c r="P5" i="148"/>
  <c r="J5" i="148"/>
  <c r="E5" i="148"/>
  <c r="AE4" i="148"/>
  <c r="T4" i="148"/>
  <c r="P4" i="148"/>
  <c r="J4" i="148"/>
  <c r="E4" i="148"/>
  <c r="AE3" i="148"/>
  <c r="T3" i="148"/>
  <c r="T9" i="148" s="1"/>
  <c r="P3" i="148"/>
  <c r="J3" i="148"/>
  <c r="E3" i="148"/>
  <c r="Z9" i="146"/>
  <c r="K9" i="146"/>
  <c r="P9" i="146" s="1"/>
  <c r="J9" i="146"/>
  <c r="AE8" i="146"/>
  <c r="T8" i="146"/>
  <c r="J8" i="146"/>
  <c r="E8" i="146"/>
  <c r="AE7" i="146"/>
  <c r="T7" i="146"/>
  <c r="P7" i="146"/>
  <c r="J7" i="146"/>
  <c r="E7" i="146"/>
  <c r="AE6" i="146"/>
  <c r="T6" i="146"/>
  <c r="P6" i="146"/>
  <c r="J6" i="146"/>
  <c r="E6" i="146"/>
  <c r="AE5" i="146"/>
  <c r="T5" i="146"/>
  <c r="P5" i="146"/>
  <c r="J5" i="146"/>
  <c r="E5" i="146"/>
  <c r="AE4" i="146"/>
  <c r="T4" i="146"/>
  <c r="P4" i="146"/>
  <c r="J4" i="146"/>
  <c r="E4" i="146"/>
  <c r="AE3" i="146"/>
  <c r="T3" i="146"/>
  <c r="T9" i="146" s="1"/>
  <c r="P3" i="146"/>
  <c r="J3" i="146"/>
  <c r="E3" i="146"/>
  <c r="E9" i="146" s="1"/>
  <c r="AG6" i="144"/>
  <c r="AF6" i="144"/>
  <c r="AD6" i="144"/>
  <c r="AC6" i="144"/>
  <c r="AB6" i="144"/>
  <c r="AA6" i="144"/>
  <c r="Z6" i="144"/>
  <c r="Y6" i="144"/>
  <c r="X6" i="144"/>
  <c r="W6" i="144"/>
  <c r="V6" i="144"/>
  <c r="U6" i="144"/>
  <c r="S6" i="144"/>
  <c r="R6" i="144"/>
  <c r="Q6" i="144"/>
  <c r="O6" i="144"/>
  <c r="N6" i="144"/>
  <c r="M6" i="144"/>
  <c r="L6" i="144"/>
  <c r="K6" i="144"/>
  <c r="I6" i="144"/>
  <c r="H6" i="144"/>
  <c r="G6" i="144"/>
  <c r="F6" i="144"/>
  <c r="D6" i="144"/>
  <c r="C6" i="144"/>
  <c r="B6" i="144"/>
  <c r="AE5" i="144"/>
  <c r="T5" i="144"/>
  <c r="P5" i="144"/>
  <c r="J5" i="144"/>
  <c r="E5" i="144"/>
  <c r="AE4" i="144"/>
  <c r="T4" i="144"/>
  <c r="P4" i="144"/>
  <c r="J4" i="144"/>
  <c r="E4" i="144"/>
  <c r="AE3" i="144"/>
  <c r="T3" i="144"/>
  <c r="P3" i="144"/>
  <c r="J3" i="144"/>
  <c r="E3" i="144"/>
  <c r="E6" i="144" s="1"/>
  <c r="AG9" i="142"/>
  <c r="AF9" i="142"/>
  <c r="AD9" i="142"/>
  <c r="AC9" i="142"/>
  <c r="AB9" i="142"/>
  <c r="AA9" i="142"/>
  <c r="Z9" i="142"/>
  <c r="Y9" i="142"/>
  <c r="X9" i="142"/>
  <c r="W9" i="142"/>
  <c r="V9" i="142"/>
  <c r="U9" i="142"/>
  <c r="S9" i="142"/>
  <c r="R9" i="142"/>
  <c r="Q9" i="142"/>
  <c r="O9" i="142"/>
  <c r="N9" i="142"/>
  <c r="M9" i="142"/>
  <c r="L9" i="142"/>
  <c r="K9" i="142"/>
  <c r="I9" i="142"/>
  <c r="H9" i="142"/>
  <c r="G9" i="142"/>
  <c r="F9" i="142"/>
  <c r="D9" i="142"/>
  <c r="C9" i="142"/>
  <c r="B9" i="142"/>
  <c r="AE8" i="142"/>
  <c r="T8" i="142"/>
  <c r="P8" i="142"/>
  <c r="J8" i="142"/>
  <c r="E8" i="142"/>
  <c r="AE7" i="142"/>
  <c r="T7" i="142"/>
  <c r="P7" i="142"/>
  <c r="J7" i="142"/>
  <c r="E7" i="142"/>
  <c r="AE6" i="142"/>
  <c r="T6" i="142"/>
  <c r="P6" i="142"/>
  <c r="J6" i="142"/>
  <c r="E6" i="142"/>
  <c r="AE5" i="142"/>
  <c r="T5" i="142"/>
  <c r="P5" i="142"/>
  <c r="J5" i="142"/>
  <c r="E5" i="142"/>
  <c r="AE4" i="142"/>
  <c r="T4" i="142"/>
  <c r="P4" i="142"/>
  <c r="J4" i="142"/>
  <c r="E4" i="142"/>
  <c r="AE3" i="142"/>
  <c r="T3" i="142"/>
  <c r="P3" i="142"/>
  <c r="J3" i="142"/>
  <c r="E3" i="142"/>
  <c r="AG8" i="140"/>
  <c r="AF8" i="140"/>
  <c r="AD8" i="140"/>
  <c r="AC8" i="140"/>
  <c r="AB8" i="140"/>
  <c r="AA8" i="140"/>
  <c r="Z8" i="140"/>
  <c r="Y8" i="140"/>
  <c r="X8" i="140"/>
  <c r="W8" i="140"/>
  <c r="V8" i="140"/>
  <c r="U8" i="140"/>
  <c r="S8" i="140"/>
  <c r="R8" i="140"/>
  <c r="Q8" i="140"/>
  <c r="O8" i="140"/>
  <c r="N8" i="140"/>
  <c r="M8" i="140"/>
  <c r="L8" i="140"/>
  <c r="K8" i="140"/>
  <c r="I8" i="140"/>
  <c r="H8" i="140"/>
  <c r="G8" i="140"/>
  <c r="F8" i="140"/>
  <c r="D8" i="140"/>
  <c r="C8" i="140"/>
  <c r="B8" i="140"/>
  <c r="AE7" i="140"/>
  <c r="T7" i="140"/>
  <c r="P7" i="140"/>
  <c r="J7" i="140"/>
  <c r="E7" i="140"/>
  <c r="AE6" i="140"/>
  <c r="T6" i="140"/>
  <c r="P6" i="140"/>
  <c r="J6" i="140"/>
  <c r="E6" i="140"/>
  <c r="AE5" i="140"/>
  <c r="T5" i="140"/>
  <c r="P5" i="140"/>
  <c r="J5" i="140"/>
  <c r="E5" i="140"/>
  <c r="AE4" i="140"/>
  <c r="T4" i="140"/>
  <c r="P4" i="140"/>
  <c r="J4" i="140"/>
  <c r="E4" i="140"/>
  <c r="AE3" i="140"/>
  <c r="T3" i="140"/>
  <c r="P3" i="140"/>
  <c r="J3" i="140"/>
  <c r="E3" i="140"/>
  <c r="AG8" i="138"/>
  <c r="AF8" i="138"/>
  <c r="AD8" i="138"/>
  <c r="AC8" i="138"/>
  <c r="AB8" i="138"/>
  <c r="AA8" i="138"/>
  <c r="Z8" i="138"/>
  <c r="Y8" i="138"/>
  <c r="X8" i="138"/>
  <c r="W8" i="138"/>
  <c r="V8" i="138"/>
  <c r="U8" i="138"/>
  <c r="S8" i="138"/>
  <c r="R8" i="138"/>
  <c r="Q8" i="138"/>
  <c r="O8" i="138"/>
  <c r="N8" i="138"/>
  <c r="M8" i="138"/>
  <c r="L8" i="138"/>
  <c r="K8" i="138"/>
  <c r="I8" i="138"/>
  <c r="H8" i="138"/>
  <c r="G8" i="138"/>
  <c r="F8" i="138"/>
  <c r="D8" i="138"/>
  <c r="C8" i="138"/>
  <c r="B8" i="138"/>
  <c r="AE7" i="138"/>
  <c r="T7" i="138"/>
  <c r="P7" i="138"/>
  <c r="J7" i="138"/>
  <c r="E7" i="138"/>
  <c r="AE6" i="138"/>
  <c r="T6" i="138"/>
  <c r="P6" i="138"/>
  <c r="J6" i="138"/>
  <c r="E6" i="138"/>
  <c r="AE5" i="138"/>
  <c r="T5" i="138"/>
  <c r="P5" i="138"/>
  <c r="J5" i="138"/>
  <c r="E5" i="138"/>
  <c r="AE4" i="138"/>
  <c r="T4" i="138"/>
  <c r="P4" i="138"/>
  <c r="J4" i="138"/>
  <c r="E4" i="138"/>
  <c r="AE3" i="138"/>
  <c r="T3" i="138"/>
  <c r="P3" i="138"/>
  <c r="J3" i="138"/>
  <c r="E3" i="138"/>
  <c r="AG6" i="136"/>
  <c r="AF6" i="136"/>
  <c r="AD6" i="136"/>
  <c r="AC6" i="136"/>
  <c r="AB6" i="136"/>
  <c r="AA6" i="136"/>
  <c r="Z6" i="136"/>
  <c r="Y6" i="136"/>
  <c r="X6" i="136"/>
  <c r="W6" i="136"/>
  <c r="V6" i="136"/>
  <c r="U6" i="136"/>
  <c r="S6" i="136"/>
  <c r="R6" i="136"/>
  <c r="Q6" i="136"/>
  <c r="T6" i="136" s="1"/>
  <c r="O6" i="136"/>
  <c r="N6" i="136"/>
  <c r="M6" i="136"/>
  <c r="L6" i="136"/>
  <c r="K6" i="136"/>
  <c r="I6" i="136"/>
  <c r="H6" i="136"/>
  <c r="G6" i="136"/>
  <c r="F6" i="136"/>
  <c r="D6" i="136"/>
  <c r="C6" i="136"/>
  <c r="B6" i="136"/>
  <c r="AE5" i="136"/>
  <c r="T5" i="136"/>
  <c r="P5" i="136"/>
  <c r="J5" i="136"/>
  <c r="E5" i="136"/>
  <c r="AE4" i="136"/>
  <c r="T4" i="136"/>
  <c r="P4" i="136"/>
  <c r="J4" i="136"/>
  <c r="E4" i="136"/>
  <c r="AE3" i="136"/>
  <c r="T3" i="136"/>
  <c r="P3" i="136"/>
  <c r="J3" i="136"/>
  <c r="E3" i="136"/>
  <c r="AG8" i="133"/>
  <c r="AF8" i="133"/>
  <c r="AD8" i="133"/>
  <c r="AC8" i="133"/>
  <c r="AB8" i="133"/>
  <c r="AA8" i="133"/>
  <c r="Z8" i="133"/>
  <c r="Y8" i="133"/>
  <c r="X8" i="133"/>
  <c r="W8" i="133"/>
  <c r="V8" i="133"/>
  <c r="U8" i="133"/>
  <c r="S8" i="133"/>
  <c r="R8" i="133"/>
  <c r="Q8" i="133"/>
  <c r="O8" i="133"/>
  <c r="N8" i="133"/>
  <c r="M8" i="133"/>
  <c r="L8" i="133"/>
  <c r="K8" i="133"/>
  <c r="I8" i="133"/>
  <c r="H8" i="133"/>
  <c r="G8" i="133"/>
  <c r="F8" i="133"/>
  <c r="D8" i="133"/>
  <c r="C8" i="133"/>
  <c r="B8" i="133"/>
  <c r="AE7" i="133"/>
  <c r="T7" i="133"/>
  <c r="P7" i="133"/>
  <c r="J7" i="133"/>
  <c r="E7" i="133"/>
  <c r="AE6" i="133"/>
  <c r="T6" i="133"/>
  <c r="P6" i="133"/>
  <c r="J6" i="133"/>
  <c r="E6" i="133"/>
  <c r="AE5" i="133"/>
  <c r="T5" i="133"/>
  <c r="P5" i="133"/>
  <c r="J5" i="133"/>
  <c r="E5" i="133"/>
  <c r="AE4" i="133"/>
  <c r="T4" i="133"/>
  <c r="P4" i="133"/>
  <c r="J4" i="133"/>
  <c r="E4" i="133"/>
  <c r="AE3" i="133"/>
  <c r="AE8" i="133" s="1"/>
  <c r="T3" i="133"/>
  <c r="P3" i="133"/>
  <c r="J3" i="133"/>
  <c r="E3" i="133"/>
  <c r="AG8" i="131"/>
  <c r="AF8" i="131"/>
  <c r="AD8" i="131"/>
  <c r="AC8" i="131"/>
  <c r="AB8" i="131"/>
  <c r="AA8" i="131"/>
  <c r="Z8" i="131"/>
  <c r="Y8" i="131"/>
  <c r="X8" i="131"/>
  <c r="W8" i="131"/>
  <c r="V8" i="131"/>
  <c r="U8" i="131"/>
  <c r="S8" i="131"/>
  <c r="R8" i="131"/>
  <c r="Q8" i="131"/>
  <c r="O8" i="131"/>
  <c r="N8" i="131"/>
  <c r="P8" i="131" s="1"/>
  <c r="M8" i="131"/>
  <c r="L8" i="131"/>
  <c r="K8" i="131"/>
  <c r="I8" i="131"/>
  <c r="H8" i="131"/>
  <c r="G8" i="131"/>
  <c r="F8" i="131"/>
  <c r="D8" i="131"/>
  <c r="C8" i="131"/>
  <c r="B8" i="131"/>
  <c r="AE7" i="131"/>
  <c r="T7" i="131"/>
  <c r="P7" i="131"/>
  <c r="J7" i="131"/>
  <c r="E7" i="131"/>
  <c r="AE6" i="131"/>
  <c r="T6" i="131"/>
  <c r="P6" i="131"/>
  <c r="J6" i="131"/>
  <c r="E6" i="131"/>
  <c r="AE5" i="131"/>
  <c r="T5" i="131"/>
  <c r="P5" i="131"/>
  <c r="J5" i="131"/>
  <c r="E5" i="131"/>
  <c r="AE4" i="131"/>
  <c r="T4" i="131"/>
  <c r="P4" i="131"/>
  <c r="J4" i="131"/>
  <c r="E4" i="131"/>
  <c r="AE3" i="131"/>
  <c r="T3" i="131"/>
  <c r="P3" i="131"/>
  <c r="J3" i="131"/>
  <c r="E3" i="131"/>
  <c r="AG7" i="129"/>
  <c r="AF7" i="129"/>
  <c r="AD7" i="129"/>
  <c r="AC7" i="129"/>
  <c r="AB7" i="129"/>
  <c r="AA7" i="129"/>
  <c r="Z7" i="129"/>
  <c r="Y7" i="129"/>
  <c r="X7" i="129"/>
  <c r="W7" i="129"/>
  <c r="V7" i="129"/>
  <c r="U7" i="129"/>
  <c r="S7" i="129"/>
  <c r="R7" i="129"/>
  <c r="Q7" i="129"/>
  <c r="O7" i="129"/>
  <c r="N7" i="129"/>
  <c r="M7" i="129"/>
  <c r="L7" i="129"/>
  <c r="K7" i="129"/>
  <c r="I7" i="129"/>
  <c r="H7" i="129"/>
  <c r="G7" i="129"/>
  <c r="F7" i="129"/>
  <c r="D7" i="129"/>
  <c r="C7" i="129"/>
  <c r="B7" i="129"/>
  <c r="AE6" i="129"/>
  <c r="T6" i="129"/>
  <c r="P6" i="129"/>
  <c r="J6" i="129"/>
  <c r="E6" i="129"/>
  <c r="AE5" i="129"/>
  <c r="T5" i="129"/>
  <c r="P5" i="129"/>
  <c r="J5" i="129"/>
  <c r="E5" i="129"/>
  <c r="AE4" i="129"/>
  <c r="T4" i="129"/>
  <c r="P4" i="129"/>
  <c r="J4" i="129"/>
  <c r="E4" i="129"/>
  <c r="AE3" i="129"/>
  <c r="T3" i="129"/>
  <c r="P3" i="129"/>
  <c r="J3" i="129"/>
  <c r="E3" i="129"/>
  <c r="AG8" i="127"/>
  <c r="AF8" i="127"/>
  <c r="AD8" i="127"/>
  <c r="AC8" i="127"/>
  <c r="AB8" i="127"/>
  <c r="AA8" i="127"/>
  <c r="Z8" i="127"/>
  <c r="Y8" i="127"/>
  <c r="X8" i="127"/>
  <c r="W8" i="127"/>
  <c r="V8" i="127"/>
  <c r="U8" i="127"/>
  <c r="S8" i="127"/>
  <c r="R8" i="127"/>
  <c r="Q8" i="127"/>
  <c r="O8" i="127"/>
  <c r="N8" i="127"/>
  <c r="M8" i="127"/>
  <c r="L8" i="127"/>
  <c r="K8" i="127"/>
  <c r="I8" i="127"/>
  <c r="H8" i="127"/>
  <c r="G8" i="127"/>
  <c r="F8" i="127"/>
  <c r="D8" i="127"/>
  <c r="C8" i="127"/>
  <c r="B8" i="127"/>
  <c r="AE7" i="127"/>
  <c r="T7" i="127"/>
  <c r="P7" i="127"/>
  <c r="J7" i="127"/>
  <c r="E7" i="127"/>
  <c r="AE6" i="127"/>
  <c r="T6" i="127"/>
  <c r="P6" i="127"/>
  <c r="J6" i="127"/>
  <c r="E6" i="127"/>
  <c r="AE5" i="127"/>
  <c r="T5" i="127"/>
  <c r="P5" i="127"/>
  <c r="J5" i="127"/>
  <c r="E5" i="127"/>
  <c r="AE4" i="127"/>
  <c r="T4" i="127"/>
  <c r="P4" i="127"/>
  <c r="J4" i="127"/>
  <c r="E4" i="127"/>
  <c r="AE3" i="127"/>
  <c r="T3" i="127"/>
  <c r="P3" i="127"/>
  <c r="J3" i="127"/>
  <c r="E3" i="127"/>
  <c r="AG9" i="125"/>
  <c r="AF9" i="125"/>
  <c r="AD9" i="125"/>
  <c r="AC9" i="125"/>
  <c r="AB9" i="125"/>
  <c r="AA9" i="125"/>
  <c r="Z9" i="125"/>
  <c r="Y9" i="125"/>
  <c r="X9" i="125"/>
  <c r="W9" i="125"/>
  <c r="V9" i="125"/>
  <c r="U9" i="125"/>
  <c r="T9" i="125"/>
  <c r="S9" i="125"/>
  <c r="R9" i="125"/>
  <c r="Q9" i="125"/>
  <c r="O9" i="125"/>
  <c r="N9" i="125"/>
  <c r="M9" i="125"/>
  <c r="L9" i="125"/>
  <c r="K9" i="125"/>
  <c r="I9" i="125"/>
  <c r="H9" i="125"/>
  <c r="G9" i="125"/>
  <c r="F9" i="125"/>
  <c r="D9" i="125"/>
  <c r="C9" i="125"/>
  <c r="B9" i="125"/>
  <c r="AE8" i="125"/>
  <c r="T8" i="125"/>
  <c r="P8" i="125"/>
  <c r="J8" i="125"/>
  <c r="E8" i="125"/>
  <c r="AE7" i="125"/>
  <c r="T7" i="125"/>
  <c r="P7" i="125"/>
  <c r="J7" i="125"/>
  <c r="E7" i="125"/>
  <c r="AE6" i="125"/>
  <c r="T6" i="125"/>
  <c r="P6" i="125"/>
  <c r="J6" i="125"/>
  <c r="E6" i="125"/>
  <c r="AE5" i="125"/>
  <c r="T5" i="125"/>
  <c r="P5" i="125"/>
  <c r="J5" i="125"/>
  <c r="E5" i="125"/>
  <c r="AE4" i="125"/>
  <c r="T4" i="125"/>
  <c r="P4" i="125"/>
  <c r="J4" i="125"/>
  <c r="E4" i="125"/>
  <c r="E9" i="125" s="1"/>
  <c r="AG6" i="123"/>
  <c r="AF6" i="123"/>
  <c r="AD6" i="123"/>
  <c r="AC6" i="123"/>
  <c r="AB6" i="123"/>
  <c r="AA6" i="123"/>
  <c r="Z6" i="123"/>
  <c r="Y6" i="123"/>
  <c r="X6" i="123"/>
  <c r="W6" i="123"/>
  <c r="V6" i="123"/>
  <c r="U6" i="123"/>
  <c r="S6" i="123"/>
  <c r="R6" i="123"/>
  <c r="Q6" i="123"/>
  <c r="O6" i="123"/>
  <c r="N6" i="123"/>
  <c r="M6" i="123"/>
  <c r="L6" i="123"/>
  <c r="K6" i="123"/>
  <c r="I6" i="123"/>
  <c r="H6" i="123"/>
  <c r="G6" i="123"/>
  <c r="F6" i="123"/>
  <c r="D6" i="123"/>
  <c r="C6" i="123"/>
  <c r="B6" i="123"/>
  <c r="AE5" i="123"/>
  <c r="T5" i="123"/>
  <c r="P5" i="123"/>
  <c r="J5" i="123"/>
  <c r="E5" i="123"/>
  <c r="AE4" i="123"/>
  <c r="T4" i="123"/>
  <c r="P4" i="123"/>
  <c r="J4" i="123"/>
  <c r="E4" i="123"/>
  <c r="AE3" i="123"/>
  <c r="T3" i="123"/>
  <c r="P3" i="123"/>
  <c r="J3" i="123"/>
  <c r="E3" i="123"/>
  <c r="AG8" i="121"/>
  <c r="AF8" i="121"/>
  <c r="AD8" i="121"/>
  <c r="AC8" i="121"/>
  <c r="AB8" i="121"/>
  <c r="AA8" i="121"/>
  <c r="Z8" i="121"/>
  <c r="Y8" i="121"/>
  <c r="X8" i="121"/>
  <c r="W8" i="121"/>
  <c r="V8" i="121"/>
  <c r="U8" i="121"/>
  <c r="S8" i="121"/>
  <c r="T8" i="121" s="1"/>
  <c r="R8" i="121"/>
  <c r="Q8" i="121"/>
  <c r="O8" i="121"/>
  <c r="N8" i="121"/>
  <c r="M8" i="121"/>
  <c r="L8" i="121"/>
  <c r="K8" i="121"/>
  <c r="I8" i="121"/>
  <c r="H8" i="121"/>
  <c r="G8" i="121"/>
  <c r="F8" i="121"/>
  <c r="D8" i="121"/>
  <c r="C8" i="121"/>
  <c r="B8" i="121"/>
  <c r="AE7" i="121"/>
  <c r="T7" i="121"/>
  <c r="P7" i="121"/>
  <c r="J7" i="121"/>
  <c r="E7" i="121"/>
  <c r="AE6" i="121"/>
  <c r="T6" i="121"/>
  <c r="P6" i="121"/>
  <c r="J6" i="121"/>
  <c r="E6" i="121"/>
  <c r="AE5" i="121"/>
  <c r="T5" i="121"/>
  <c r="P5" i="121"/>
  <c r="J5" i="121"/>
  <c r="E5" i="121"/>
  <c r="AE4" i="121"/>
  <c r="T4" i="121"/>
  <c r="P4" i="121"/>
  <c r="J4" i="121"/>
  <c r="E4" i="121"/>
  <c r="AE3" i="121"/>
  <c r="T3" i="121"/>
  <c r="P3" i="121"/>
  <c r="J3" i="121"/>
  <c r="E3" i="121"/>
  <c r="AG9" i="119"/>
  <c r="AF9" i="119"/>
  <c r="AD9" i="119"/>
  <c r="AC9" i="119"/>
  <c r="AB9" i="119"/>
  <c r="AA9" i="119"/>
  <c r="Z9" i="119"/>
  <c r="Y9" i="119"/>
  <c r="X9" i="119"/>
  <c r="W9" i="119"/>
  <c r="V9" i="119"/>
  <c r="U9" i="119"/>
  <c r="S9" i="119"/>
  <c r="R9" i="119"/>
  <c r="Q9" i="119"/>
  <c r="O9" i="119"/>
  <c r="N9" i="119"/>
  <c r="M9" i="119"/>
  <c r="L9" i="119"/>
  <c r="K9" i="119"/>
  <c r="I9" i="119"/>
  <c r="H9" i="119"/>
  <c r="G9" i="119"/>
  <c r="F9" i="119"/>
  <c r="D9" i="119"/>
  <c r="C9" i="119"/>
  <c r="B9" i="119"/>
  <c r="AE8" i="119"/>
  <c r="T8" i="119"/>
  <c r="P8" i="119"/>
  <c r="J8" i="119"/>
  <c r="E8" i="119"/>
  <c r="AE7" i="119"/>
  <c r="T7" i="119"/>
  <c r="P7" i="119"/>
  <c r="J7" i="119"/>
  <c r="E7" i="119"/>
  <c r="AE6" i="119"/>
  <c r="T6" i="119"/>
  <c r="P6" i="119"/>
  <c r="J6" i="119"/>
  <c r="E6" i="119"/>
  <c r="AE5" i="119"/>
  <c r="T5" i="119"/>
  <c r="P5" i="119"/>
  <c r="J5" i="119"/>
  <c r="E5" i="119"/>
  <c r="AE4" i="119"/>
  <c r="T4" i="119"/>
  <c r="T9" i="119" s="1"/>
  <c r="P4" i="119"/>
  <c r="J4" i="119"/>
  <c r="E4" i="119"/>
  <c r="E9" i="119" s="1"/>
  <c r="AG8" i="117"/>
  <c r="AF8" i="117"/>
  <c r="AD8" i="117"/>
  <c r="AC8" i="117"/>
  <c r="AB8" i="117"/>
  <c r="AA8" i="117"/>
  <c r="Z8" i="117"/>
  <c r="Y8" i="117"/>
  <c r="X8" i="117"/>
  <c r="W8" i="117"/>
  <c r="V8" i="117"/>
  <c r="U8" i="117"/>
  <c r="S8" i="117"/>
  <c r="R8" i="117"/>
  <c r="Q8" i="117"/>
  <c r="O8" i="117"/>
  <c r="N8" i="117"/>
  <c r="M8" i="117"/>
  <c r="P8" i="117" s="1"/>
  <c r="L8" i="117"/>
  <c r="K8" i="117"/>
  <c r="I8" i="117"/>
  <c r="H8" i="117"/>
  <c r="G8" i="117"/>
  <c r="F8" i="117"/>
  <c r="D8" i="117"/>
  <c r="C8" i="117"/>
  <c r="B8" i="117"/>
  <c r="AE7" i="117"/>
  <c r="T7" i="117"/>
  <c r="P7" i="117"/>
  <c r="J7" i="117"/>
  <c r="E7" i="117"/>
  <c r="AE6" i="117"/>
  <c r="T6" i="117"/>
  <c r="P6" i="117"/>
  <c r="J6" i="117"/>
  <c r="E6" i="117"/>
  <c r="AE5" i="117"/>
  <c r="T5" i="117"/>
  <c r="P5" i="117"/>
  <c r="J5" i="117"/>
  <c r="E5" i="117"/>
  <c r="AE4" i="117"/>
  <c r="T4" i="117"/>
  <c r="P4" i="117"/>
  <c r="J4" i="117"/>
  <c r="E4" i="117"/>
  <c r="AE3" i="117"/>
  <c r="T3" i="117"/>
  <c r="P3" i="117"/>
  <c r="J3" i="117"/>
  <c r="E3" i="117"/>
  <c r="E8" i="117" s="1"/>
  <c r="AG7" i="115"/>
  <c r="AF7" i="115"/>
  <c r="AD7" i="115"/>
  <c r="AC7" i="115"/>
  <c r="AB7" i="115"/>
  <c r="AA7" i="115"/>
  <c r="Z7" i="115"/>
  <c r="Y7" i="115"/>
  <c r="X7" i="115"/>
  <c r="W7" i="115"/>
  <c r="V7" i="115"/>
  <c r="U7" i="115"/>
  <c r="S7" i="115"/>
  <c r="R7" i="115"/>
  <c r="Q7" i="115"/>
  <c r="O7" i="115"/>
  <c r="N7" i="115"/>
  <c r="M7" i="115"/>
  <c r="L7" i="115"/>
  <c r="K7" i="115"/>
  <c r="I7" i="115"/>
  <c r="H7" i="115"/>
  <c r="G7" i="115"/>
  <c r="F7" i="115"/>
  <c r="D7" i="115"/>
  <c r="C7" i="115"/>
  <c r="B7" i="115"/>
  <c r="AE6" i="115"/>
  <c r="T6" i="115"/>
  <c r="P6" i="115"/>
  <c r="J6" i="115"/>
  <c r="E6" i="115"/>
  <c r="AE5" i="115"/>
  <c r="T5" i="115"/>
  <c r="P5" i="115"/>
  <c r="J5" i="115"/>
  <c r="E5" i="115"/>
  <c r="AE4" i="115"/>
  <c r="T4" i="115"/>
  <c r="P4" i="115"/>
  <c r="J4" i="115"/>
  <c r="E4" i="115"/>
  <c r="AE3" i="115"/>
  <c r="AE7" i="115" s="1"/>
  <c r="T3" i="115"/>
  <c r="P3" i="115"/>
  <c r="J3" i="115"/>
  <c r="E3" i="115"/>
  <c r="AG8" i="113"/>
  <c r="AF8" i="113"/>
  <c r="AD8" i="113"/>
  <c r="AC8" i="113"/>
  <c r="AB8" i="113"/>
  <c r="AA8" i="113"/>
  <c r="Z8" i="113"/>
  <c r="Y8" i="113"/>
  <c r="X8" i="113"/>
  <c r="W8" i="113"/>
  <c r="V8" i="113"/>
  <c r="U8" i="113"/>
  <c r="S8" i="113"/>
  <c r="R8" i="113"/>
  <c r="Q8" i="113"/>
  <c r="O8" i="113"/>
  <c r="N8" i="113"/>
  <c r="M8" i="113"/>
  <c r="L8" i="113"/>
  <c r="K8" i="113"/>
  <c r="I8" i="113"/>
  <c r="H8" i="113"/>
  <c r="G8" i="113"/>
  <c r="F8" i="113"/>
  <c r="D8" i="113"/>
  <c r="C8" i="113"/>
  <c r="B8" i="113"/>
  <c r="AE7" i="113"/>
  <c r="T7" i="113"/>
  <c r="P7" i="113"/>
  <c r="J7" i="113"/>
  <c r="E7" i="113"/>
  <c r="AE6" i="113"/>
  <c r="T6" i="113"/>
  <c r="P6" i="113"/>
  <c r="J6" i="113"/>
  <c r="E6" i="113"/>
  <c r="AE5" i="113"/>
  <c r="T5" i="113"/>
  <c r="P5" i="113"/>
  <c r="J5" i="113"/>
  <c r="E5" i="113"/>
  <c r="AE4" i="113"/>
  <c r="T4" i="113"/>
  <c r="P4" i="113"/>
  <c r="J4" i="113"/>
  <c r="E4" i="113"/>
  <c r="AE3" i="113"/>
  <c r="T3" i="113"/>
  <c r="P3" i="113"/>
  <c r="J3" i="113"/>
  <c r="E3" i="113"/>
  <c r="AG5" i="111"/>
  <c r="AF5" i="111"/>
  <c r="AD5" i="111"/>
  <c r="AC5" i="111"/>
  <c r="AB5" i="111"/>
  <c r="AA5" i="111"/>
  <c r="Z5" i="111"/>
  <c r="Y5" i="111"/>
  <c r="X5" i="111"/>
  <c r="W5" i="111"/>
  <c r="V5" i="111"/>
  <c r="U5" i="111"/>
  <c r="S5" i="111"/>
  <c r="R5" i="111"/>
  <c r="Q5" i="111"/>
  <c r="O5" i="111"/>
  <c r="N5" i="111"/>
  <c r="M5" i="111"/>
  <c r="L5" i="111"/>
  <c r="K5" i="111"/>
  <c r="I5" i="111"/>
  <c r="H5" i="111"/>
  <c r="G5" i="111"/>
  <c r="F5" i="111"/>
  <c r="D5" i="111"/>
  <c r="C5" i="111"/>
  <c r="B5" i="111"/>
  <c r="AE4" i="111"/>
  <c r="T4" i="111"/>
  <c r="P4" i="111"/>
  <c r="J4" i="111"/>
  <c r="E4" i="111"/>
  <c r="AE3" i="111"/>
  <c r="T3" i="111"/>
  <c r="T5" i="111" s="1"/>
  <c r="P3" i="111"/>
  <c r="J3" i="111"/>
  <c r="E3" i="111"/>
  <c r="E5" i="111" s="1"/>
  <c r="AG7" i="109"/>
  <c r="AF7" i="109"/>
  <c r="AD7" i="109"/>
  <c r="AC7" i="109"/>
  <c r="AB7" i="109"/>
  <c r="AA7" i="109"/>
  <c r="Z7" i="109"/>
  <c r="Y7" i="109"/>
  <c r="X7" i="109"/>
  <c r="W7" i="109"/>
  <c r="V7" i="109"/>
  <c r="U7" i="109"/>
  <c r="S7" i="109"/>
  <c r="R7" i="109"/>
  <c r="Q7" i="109"/>
  <c r="O7" i="109"/>
  <c r="N7" i="109"/>
  <c r="M7" i="109"/>
  <c r="L7" i="109"/>
  <c r="K7" i="109"/>
  <c r="I7" i="109"/>
  <c r="H7" i="109"/>
  <c r="G7" i="109"/>
  <c r="F7" i="109"/>
  <c r="D7" i="109"/>
  <c r="C7" i="109"/>
  <c r="B7" i="109"/>
  <c r="AE6" i="109"/>
  <c r="T6" i="109"/>
  <c r="P6" i="109"/>
  <c r="J6" i="109"/>
  <c r="E6" i="109"/>
  <c r="AE5" i="109"/>
  <c r="T5" i="109"/>
  <c r="P5" i="109"/>
  <c r="J5" i="109"/>
  <c r="E5" i="109"/>
  <c r="AE4" i="109"/>
  <c r="T4" i="109"/>
  <c r="P4" i="109"/>
  <c r="J4" i="109"/>
  <c r="E4" i="109"/>
  <c r="AE3" i="109"/>
  <c r="T3" i="109"/>
  <c r="P3" i="109"/>
  <c r="J3" i="109"/>
  <c r="E3" i="109"/>
  <c r="AG8" i="107"/>
  <c r="AF8" i="107"/>
  <c r="AD8" i="107"/>
  <c r="AC8" i="107"/>
  <c r="AB8" i="107"/>
  <c r="AA8" i="107"/>
  <c r="Z8" i="107"/>
  <c r="Y8" i="107"/>
  <c r="X8" i="107"/>
  <c r="W8" i="107"/>
  <c r="V8" i="107"/>
  <c r="U8" i="107"/>
  <c r="S8" i="107"/>
  <c r="R8" i="107"/>
  <c r="Q8" i="107"/>
  <c r="O8" i="107"/>
  <c r="N8" i="107"/>
  <c r="M8" i="107"/>
  <c r="L8" i="107"/>
  <c r="K8" i="107"/>
  <c r="I8" i="107"/>
  <c r="H8" i="107"/>
  <c r="G8" i="107"/>
  <c r="F8" i="107"/>
  <c r="D8" i="107"/>
  <c r="C8" i="107"/>
  <c r="B8" i="107"/>
  <c r="AE7" i="107"/>
  <c r="T7" i="107"/>
  <c r="P7" i="107"/>
  <c r="J7" i="107"/>
  <c r="E7" i="107"/>
  <c r="AE6" i="107"/>
  <c r="T6" i="107"/>
  <c r="P6" i="107"/>
  <c r="J6" i="107"/>
  <c r="E6" i="107"/>
  <c r="AE5" i="107"/>
  <c r="T5" i="107"/>
  <c r="P5" i="107"/>
  <c r="J5" i="107"/>
  <c r="E5" i="107"/>
  <c r="AE4" i="107"/>
  <c r="T4" i="107"/>
  <c r="P4" i="107"/>
  <c r="J4" i="107"/>
  <c r="E4" i="107"/>
  <c r="AE3" i="107"/>
  <c r="T3" i="107"/>
  <c r="T8" i="107" s="1"/>
  <c r="P3" i="107"/>
  <c r="J3" i="107"/>
  <c r="E3" i="107"/>
  <c r="E8" i="107" s="1"/>
  <c r="AG8" i="105"/>
  <c r="AF8" i="105"/>
  <c r="AD8" i="105"/>
  <c r="AC8" i="105"/>
  <c r="AB8" i="105"/>
  <c r="AA8" i="105"/>
  <c r="Z8" i="105"/>
  <c r="Y8" i="105"/>
  <c r="X8" i="105"/>
  <c r="W8" i="105"/>
  <c r="V8" i="105"/>
  <c r="U8" i="105"/>
  <c r="S8" i="105"/>
  <c r="R8" i="105"/>
  <c r="Q8" i="105"/>
  <c r="O8" i="105"/>
  <c r="N8" i="105"/>
  <c r="M8" i="105"/>
  <c r="L8" i="105"/>
  <c r="K8" i="105"/>
  <c r="I8" i="105"/>
  <c r="H8" i="105"/>
  <c r="G8" i="105"/>
  <c r="F8" i="105"/>
  <c r="D8" i="105"/>
  <c r="C8" i="105"/>
  <c r="B8" i="105"/>
  <c r="AE7" i="105"/>
  <c r="T7" i="105"/>
  <c r="P7" i="105"/>
  <c r="J7" i="105"/>
  <c r="E7" i="105"/>
  <c r="AE6" i="105"/>
  <c r="T6" i="105"/>
  <c r="P6" i="105"/>
  <c r="J6" i="105"/>
  <c r="E6" i="105"/>
  <c r="AE5" i="105"/>
  <c r="T5" i="105"/>
  <c r="P5" i="105"/>
  <c r="J5" i="105"/>
  <c r="E5" i="105"/>
  <c r="AE4" i="105"/>
  <c r="T4" i="105"/>
  <c r="P4" i="105"/>
  <c r="J4" i="105"/>
  <c r="E4" i="105"/>
  <c r="AE3" i="105"/>
  <c r="T3" i="105"/>
  <c r="P3" i="105"/>
  <c r="J3" i="105"/>
  <c r="E3" i="105"/>
  <c r="AG8" i="103"/>
  <c r="AF8" i="103"/>
  <c r="AD8" i="103"/>
  <c r="AC8" i="103"/>
  <c r="AB8" i="103"/>
  <c r="AA8" i="103"/>
  <c r="Z8" i="103"/>
  <c r="Y8" i="103"/>
  <c r="X8" i="103"/>
  <c r="W8" i="103"/>
  <c r="V8" i="103"/>
  <c r="U8" i="103"/>
  <c r="S8" i="103"/>
  <c r="R8" i="103"/>
  <c r="Q8" i="103"/>
  <c r="O8" i="103"/>
  <c r="N8" i="103"/>
  <c r="M8" i="103"/>
  <c r="L8" i="103"/>
  <c r="K8" i="103"/>
  <c r="I8" i="103"/>
  <c r="H8" i="103"/>
  <c r="G8" i="103"/>
  <c r="F8" i="103"/>
  <c r="D8" i="103"/>
  <c r="C8" i="103"/>
  <c r="B8" i="103"/>
  <c r="AE7" i="103"/>
  <c r="T7" i="103"/>
  <c r="P7" i="103"/>
  <c r="J7" i="103"/>
  <c r="E7" i="103"/>
  <c r="AE6" i="103"/>
  <c r="T6" i="103"/>
  <c r="P6" i="103"/>
  <c r="J6" i="103"/>
  <c r="E6" i="103"/>
  <c r="AE5" i="103"/>
  <c r="T5" i="103"/>
  <c r="P5" i="103"/>
  <c r="J5" i="103"/>
  <c r="E5" i="103"/>
  <c r="AE4" i="103"/>
  <c r="T4" i="103"/>
  <c r="P4" i="103"/>
  <c r="J4" i="103"/>
  <c r="E4" i="103"/>
  <c r="AE3" i="103"/>
  <c r="T3" i="103"/>
  <c r="P3" i="103"/>
  <c r="J3" i="103"/>
  <c r="E3" i="103"/>
  <c r="AG7" i="101"/>
  <c r="AF7" i="101"/>
  <c r="AD7" i="101"/>
  <c r="AC7" i="101"/>
  <c r="AB7" i="101"/>
  <c r="AA7" i="101"/>
  <c r="Z7" i="101"/>
  <c r="Y7" i="101"/>
  <c r="X7" i="101"/>
  <c r="W7" i="101"/>
  <c r="V7" i="101"/>
  <c r="U7" i="101"/>
  <c r="S7" i="101"/>
  <c r="R7" i="101"/>
  <c r="Q7" i="101"/>
  <c r="O7" i="101"/>
  <c r="N7" i="101"/>
  <c r="M7" i="101"/>
  <c r="L7" i="101"/>
  <c r="K7" i="101"/>
  <c r="I7" i="101"/>
  <c r="H7" i="101"/>
  <c r="G7" i="101"/>
  <c r="F7" i="101"/>
  <c r="D7" i="101"/>
  <c r="C7" i="101"/>
  <c r="B7" i="101"/>
  <c r="AE6" i="101"/>
  <c r="T6" i="101"/>
  <c r="P6" i="101"/>
  <c r="J6" i="101"/>
  <c r="E6" i="101"/>
  <c r="AE5" i="101"/>
  <c r="T5" i="101"/>
  <c r="P5" i="101"/>
  <c r="J5" i="101"/>
  <c r="E5" i="101"/>
  <c r="AE4" i="101"/>
  <c r="T4" i="101"/>
  <c r="P4" i="101"/>
  <c r="J4" i="101"/>
  <c r="E4" i="101"/>
  <c r="AE3" i="101"/>
  <c r="T3" i="101"/>
  <c r="P3" i="101"/>
  <c r="J3" i="101"/>
  <c r="E3" i="101"/>
  <c r="AG7" i="99"/>
  <c r="AF7" i="99"/>
  <c r="AD7" i="99"/>
  <c r="AC7" i="99"/>
  <c r="AB7" i="99"/>
  <c r="AA7" i="99"/>
  <c r="Z7" i="99"/>
  <c r="Y7" i="99"/>
  <c r="X7" i="99"/>
  <c r="W7" i="99"/>
  <c r="V7" i="99"/>
  <c r="U7" i="99"/>
  <c r="S7" i="99"/>
  <c r="R7" i="99"/>
  <c r="Q7" i="99"/>
  <c r="O7" i="99"/>
  <c r="N7" i="99"/>
  <c r="M7" i="99"/>
  <c r="L7" i="99"/>
  <c r="K7" i="99"/>
  <c r="I7" i="99"/>
  <c r="H7" i="99"/>
  <c r="G7" i="99"/>
  <c r="F7" i="99"/>
  <c r="D7" i="99"/>
  <c r="C7" i="99"/>
  <c r="B7" i="99"/>
  <c r="AE6" i="99"/>
  <c r="T6" i="99"/>
  <c r="P6" i="99"/>
  <c r="J6" i="99"/>
  <c r="E6" i="99"/>
  <c r="AE5" i="99"/>
  <c r="T5" i="99"/>
  <c r="P5" i="99"/>
  <c r="J5" i="99"/>
  <c r="E5" i="99"/>
  <c r="AE4" i="99"/>
  <c r="T4" i="99"/>
  <c r="P4" i="99"/>
  <c r="J4" i="99"/>
  <c r="E4" i="99"/>
  <c r="AE3" i="99"/>
  <c r="T3" i="99"/>
  <c r="P3" i="99"/>
  <c r="J3" i="99"/>
  <c r="E3" i="99"/>
  <c r="AG5" i="97"/>
  <c r="AF5" i="97"/>
  <c r="AD5" i="97"/>
  <c r="AC5" i="97"/>
  <c r="AB5" i="97"/>
  <c r="AA5" i="97"/>
  <c r="Z5" i="97"/>
  <c r="Y5" i="97"/>
  <c r="X5" i="97"/>
  <c r="W5" i="97"/>
  <c r="V5" i="97"/>
  <c r="U5" i="97"/>
  <c r="S5" i="97"/>
  <c r="R5" i="97"/>
  <c r="Q5" i="97"/>
  <c r="O5" i="97"/>
  <c r="N5" i="97"/>
  <c r="M5" i="97"/>
  <c r="L5" i="97"/>
  <c r="K5" i="97"/>
  <c r="I5" i="97"/>
  <c r="H5" i="97"/>
  <c r="G5" i="97"/>
  <c r="F5" i="97"/>
  <c r="D5" i="97"/>
  <c r="C5" i="97"/>
  <c r="B5" i="97"/>
  <c r="AE4" i="97"/>
  <c r="T4" i="97"/>
  <c r="P4" i="97"/>
  <c r="J4" i="97"/>
  <c r="E4" i="97"/>
  <c r="AE3" i="97"/>
  <c r="T3" i="97"/>
  <c r="P3" i="97"/>
  <c r="J3" i="97"/>
  <c r="E3" i="97"/>
  <c r="AG9" i="95"/>
  <c r="AF9" i="95"/>
  <c r="AD9" i="95"/>
  <c r="AC9" i="95"/>
  <c r="AB9" i="95"/>
  <c r="AA9" i="95"/>
  <c r="Z9" i="95"/>
  <c r="Y9" i="95"/>
  <c r="X9" i="95"/>
  <c r="W9" i="95"/>
  <c r="V9" i="95"/>
  <c r="U9" i="95"/>
  <c r="S9" i="95"/>
  <c r="R9" i="95"/>
  <c r="Q9" i="95"/>
  <c r="O9" i="95"/>
  <c r="N9" i="95"/>
  <c r="M9" i="95"/>
  <c r="L9" i="95"/>
  <c r="K9" i="95"/>
  <c r="I9" i="95"/>
  <c r="H9" i="95"/>
  <c r="G9" i="95"/>
  <c r="F9" i="95"/>
  <c r="D9" i="95"/>
  <c r="C9" i="95"/>
  <c r="B9" i="95"/>
  <c r="AE8" i="95"/>
  <c r="T8" i="95"/>
  <c r="P8" i="95"/>
  <c r="J8" i="95"/>
  <c r="E8" i="95"/>
  <c r="AE7" i="95"/>
  <c r="T7" i="95"/>
  <c r="P7" i="95"/>
  <c r="J7" i="95"/>
  <c r="E7" i="95"/>
  <c r="AE6" i="95"/>
  <c r="T6" i="95"/>
  <c r="P6" i="95"/>
  <c r="J6" i="95"/>
  <c r="E6" i="95"/>
  <c r="AE5" i="95"/>
  <c r="T5" i="95"/>
  <c r="P5" i="95"/>
  <c r="J5" i="95"/>
  <c r="E5" i="95"/>
  <c r="E9" i="95" s="1"/>
  <c r="AE4" i="95"/>
  <c r="T4" i="95"/>
  <c r="P4" i="95"/>
  <c r="J4" i="95"/>
  <c r="E4" i="95"/>
  <c r="AE3" i="95"/>
  <c r="T3" i="95"/>
  <c r="P3" i="95"/>
  <c r="J3" i="95"/>
  <c r="E3" i="95"/>
  <c r="AG9" i="93"/>
  <c r="AF9" i="93"/>
  <c r="AD9" i="93"/>
  <c r="AC9" i="93"/>
  <c r="AB9" i="93"/>
  <c r="AA9" i="93"/>
  <c r="Z9" i="93"/>
  <c r="Y9" i="93"/>
  <c r="X9" i="93"/>
  <c r="W9" i="93"/>
  <c r="V9" i="93"/>
  <c r="U9" i="93"/>
  <c r="S9" i="93"/>
  <c r="R9" i="93"/>
  <c r="Q9" i="93"/>
  <c r="O9" i="93"/>
  <c r="N9" i="93"/>
  <c r="M9" i="93"/>
  <c r="L9" i="93"/>
  <c r="K9" i="93"/>
  <c r="I9" i="93"/>
  <c r="H9" i="93"/>
  <c r="G9" i="93"/>
  <c r="F9" i="93"/>
  <c r="D9" i="93"/>
  <c r="C9" i="93"/>
  <c r="B9" i="93"/>
  <c r="AE8" i="93"/>
  <c r="T8" i="93"/>
  <c r="P8" i="93"/>
  <c r="J8" i="93"/>
  <c r="E8" i="93"/>
  <c r="AE7" i="93"/>
  <c r="T7" i="93"/>
  <c r="P7" i="93"/>
  <c r="J7" i="93"/>
  <c r="E7" i="93"/>
  <c r="AE6" i="93"/>
  <c r="T6" i="93"/>
  <c r="P6" i="93"/>
  <c r="J6" i="93"/>
  <c r="E6" i="93"/>
  <c r="AE5" i="93"/>
  <c r="T5" i="93"/>
  <c r="P5" i="93"/>
  <c r="J5" i="93"/>
  <c r="E5" i="93"/>
  <c r="AE4" i="93"/>
  <c r="T4" i="93"/>
  <c r="P4" i="93"/>
  <c r="J4" i="93"/>
  <c r="E4" i="93"/>
  <c r="AE3" i="93"/>
  <c r="T3" i="93"/>
  <c r="T9" i="93" s="1"/>
  <c r="P3" i="93"/>
  <c r="J3" i="93"/>
  <c r="E3" i="93"/>
  <c r="AG9" i="91"/>
  <c r="AF9" i="91"/>
  <c r="AD9" i="91"/>
  <c r="AC9" i="91"/>
  <c r="AB9" i="91"/>
  <c r="AA9" i="91"/>
  <c r="Z9" i="91"/>
  <c r="Y9" i="91"/>
  <c r="X9" i="91"/>
  <c r="W9" i="91"/>
  <c r="V9" i="91"/>
  <c r="U9" i="91"/>
  <c r="S9" i="91"/>
  <c r="R9" i="91"/>
  <c r="Q9" i="91"/>
  <c r="O9" i="91"/>
  <c r="N9" i="91"/>
  <c r="M9" i="91"/>
  <c r="L9" i="91"/>
  <c r="K9" i="91"/>
  <c r="I9" i="91"/>
  <c r="H9" i="91"/>
  <c r="G9" i="91"/>
  <c r="F9" i="91"/>
  <c r="D9" i="91"/>
  <c r="C9" i="91"/>
  <c r="B9" i="91"/>
  <c r="AE8" i="91"/>
  <c r="T8" i="91"/>
  <c r="P8" i="91"/>
  <c r="J8" i="91"/>
  <c r="E8" i="91"/>
  <c r="AE7" i="91"/>
  <c r="T7" i="91"/>
  <c r="P7" i="91"/>
  <c r="J7" i="91"/>
  <c r="E7" i="91"/>
  <c r="AE6" i="91"/>
  <c r="T6" i="91"/>
  <c r="P6" i="91"/>
  <c r="J6" i="91"/>
  <c r="E6" i="91"/>
  <c r="AE5" i="91"/>
  <c r="T5" i="91"/>
  <c r="P5" i="91"/>
  <c r="J5" i="91"/>
  <c r="E5" i="91"/>
  <c r="AE4" i="91"/>
  <c r="T4" i="91"/>
  <c r="P4" i="91"/>
  <c r="J4" i="91"/>
  <c r="E4" i="91"/>
  <c r="AE3" i="91"/>
  <c r="T3" i="91"/>
  <c r="P3" i="91"/>
  <c r="J3" i="91"/>
  <c r="E3" i="91"/>
  <c r="AG9" i="89"/>
  <c r="AF9" i="89"/>
  <c r="AD9" i="89"/>
  <c r="AC9" i="89"/>
  <c r="AB9" i="89"/>
  <c r="AA9" i="89"/>
  <c r="Z9" i="89"/>
  <c r="Y9" i="89"/>
  <c r="X9" i="89"/>
  <c r="W9" i="89"/>
  <c r="V9" i="89"/>
  <c r="U9" i="89"/>
  <c r="S9" i="89"/>
  <c r="R9" i="89"/>
  <c r="Q9" i="89"/>
  <c r="O9" i="89"/>
  <c r="N9" i="89"/>
  <c r="M9" i="89"/>
  <c r="L9" i="89"/>
  <c r="K9" i="89"/>
  <c r="I9" i="89"/>
  <c r="H9" i="89"/>
  <c r="G9" i="89"/>
  <c r="F9" i="89"/>
  <c r="D9" i="89"/>
  <c r="C9" i="89"/>
  <c r="B9" i="89"/>
  <c r="AE8" i="89"/>
  <c r="T8" i="89"/>
  <c r="P8" i="89"/>
  <c r="J8" i="89"/>
  <c r="E8" i="89"/>
  <c r="AE7" i="89"/>
  <c r="T7" i="89"/>
  <c r="P7" i="89"/>
  <c r="J7" i="89"/>
  <c r="E7" i="89"/>
  <c r="AE6" i="89"/>
  <c r="T6" i="89"/>
  <c r="P6" i="89"/>
  <c r="J6" i="89"/>
  <c r="E6" i="89"/>
  <c r="AE5" i="89"/>
  <c r="T5" i="89"/>
  <c r="P5" i="89"/>
  <c r="J5" i="89"/>
  <c r="E5" i="89"/>
  <c r="AE4" i="89"/>
  <c r="T4" i="89"/>
  <c r="P4" i="89"/>
  <c r="J4" i="89"/>
  <c r="E4" i="89"/>
  <c r="AE3" i="89"/>
  <c r="T3" i="89"/>
  <c r="T9" i="89" s="1"/>
  <c r="P3" i="89"/>
  <c r="J3" i="89"/>
  <c r="E3" i="89"/>
  <c r="E9" i="89" s="1"/>
  <c r="AG9" i="87"/>
  <c r="AF9" i="87"/>
  <c r="AD9" i="87"/>
  <c r="AC9" i="87"/>
  <c r="AB9" i="87"/>
  <c r="AA9" i="87"/>
  <c r="Z9" i="87"/>
  <c r="Y9" i="87"/>
  <c r="X9" i="87"/>
  <c r="W9" i="87"/>
  <c r="V9" i="87"/>
  <c r="U9" i="87"/>
  <c r="S9" i="87"/>
  <c r="R9" i="87"/>
  <c r="Q9" i="87"/>
  <c r="O9" i="87"/>
  <c r="N9" i="87"/>
  <c r="M9" i="87"/>
  <c r="L9" i="87"/>
  <c r="K9" i="87"/>
  <c r="I9" i="87"/>
  <c r="H9" i="87"/>
  <c r="G9" i="87"/>
  <c r="F9" i="87"/>
  <c r="D9" i="87"/>
  <c r="C9" i="87"/>
  <c r="B9" i="87"/>
  <c r="AE8" i="87"/>
  <c r="T8" i="87"/>
  <c r="P8" i="87"/>
  <c r="J8" i="87"/>
  <c r="E8" i="87"/>
  <c r="AE7" i="87"/>
  <c r="T7" i="87"/>
  <c r="P7" i="87"/>
  <c r="J7" i="87"/>
  <c r="E7" i="87"/>
  <c r="AE6" i="87"/>
  <c r="T6" i="87"/>
  <c r="P6" i="87"/>
  <c r="J6" i="87"/>
  <c r="E6" i="87"/>
  <c r="AE5" i="87"/>
  <c r="T5" i="87"/>
  <c r="P5" i="87"/>
  <c r="J5" i="87"/>
  <c r="E5" i="87"/>
  <c r="AE4" i="87"/>
  <c r="T4" i="87"/>
  <c r="P4" i="87"/>
  <c r="J4" i="87"/>
  <c r="E4" i="87"/>
  <c r="AE3" i="87"/>
  <c r="AE9" i="87" s="1"/>
  <c r="T3" i="87"/>
  <c r="P3" i="87"/>
  <c r="J3" i="87"/>
  <c r="E3" i="87"/>
  <c r="AG9" i="85"/>
  <c r="AF9" i="85"/>
  <c r="AD9" i="85"/>
  <c r="AC9" i="85"/>
  <c r="AB9" i="85"/>
  <c r="AA9" i="85"/>
  <c r="Z9" i="85"/>
  <c r="Y9" i="85"/>
  <c r="X9" i="85"/>
  <c r="W9" i="85"/>
  <c r="V9" i="85"/>
  <c r="U9" i="85"/>
  <c r="S9" i="85"/>
  <c r="R9" i="85"/>
  <c r="Q9" i="85"/>
  <c r="O9" i="85"/>
  <c r="N9" i="85"/>
  <c r="M9" i="85"/>
  <c r="L9" i="85"/>
  <c r="K9" i="85"/>
  <c r="I9" i="85"/>
  <c r="H9" i="85"/>
  <c r="G9" i="85"/>
  <c r="F9" i="85"/>
  <c r="D9" i="85"/>
  <c r="C9" i="85"/>
  <c r="B9" i="85"/>
  <c r="AE8" i="85"/>
  <c r="T8" i="85"/>
  <c r="P8" i="85"/>
  <c r="J8" i="85"/>
  <c r="E8" i="85"/>
  <c r="AE7" i="85"/>
  <c r="T7" i="85"/>
  <c r="P7" i="85"/>
  <c r="J7" i="85"/>
  <c r="E7" i="85"/>
  <c r="AE6" i="85"/>
  <c r="T6" i="85"/>
  <c r="P6" i="85"/>
  <c r="J6" i="85"/>
  <c r="E6" i="85"/>
  <c r="AE5" i="85"/>
  <c r="T5" i="85"/>
  <c r="P5" i="85"/>
  <c r="J5" i="85"/>
  <c r="E5" i="85"/>
  <c r="AE4" i="85"/>
  <c r="T4" i="85"/>
  <c r="P4" i="85"/>
  <c r="J4" i="85"/>
  <c r="E4" i="85"/>
  <c r="AE3" i="85"/>
  <c r="T3" i="85"/>
  <c r="P3" i="85"/>
  <c r="J3" i="85"/>
  <c r="E3" i="85"/>
  <c r="AF5" i="83"/>
  <c r="AE5" i="83"/>
  <c r="AC5" i="83"/>
  <c r="AB5" i="83"/>
  <c r="AA5" i="83"/>
  <c r="Z5" i="83"/>
  <c r="Y5" i="83"/>
  <c r="X5" i="83"/>
  <c r="W5" i="83"/>
  <c r="V5" i="83"/>
  <c r="U5" i="83"/>
  <c r="T5" i="83"/>
  <c r="R5" i="83"/>
  <c r="Q5" i="83"/>
  <c r="P5" i="83"/>
  <c r="N5" i="83"/>
  <c r="M5" i="83"/>
  <c r="L5" i="83"/>
  <c r="K5" i="83"/>
  <c r="I5" i="83"/>
  <c r="H5" i="83"/>
  <c r="G5" i="83"/>
  <c r="F5" i="83"/>
  <c r="D5" i="83"/>
  <c r="C5" i="83"/>
  <c r="B5" i="83"/>
  <c r="AD4" i="83"/>
  <c r="S4" i="83"/>
  <c r="O4" i="83"/>
  <c r="J4" i="83"/>
  <c r="E4" i="83"/>
  <c r="AD3" i="83"/>
  <c r="AD5" i="83" s="1"/>
  <c r="S3" i="83"/>
  <c r="O3" i="83"/>
  <c r="J3" i="83"/>
  <c r="E3" i="83"/>
  <c r="E5" i="83" s="1"/>
  <c r="AF9" i="81"/>
  <c r="AE9" i="81"/>
  <c r="AC9" i="81"/>
  <c r="AB9" i="81"/>
  <c r="AA9" i="81"/>
  <c r="Z9" i="81"/>
  <c r="Y9" i="81"/>
  <c r="X9" i="81"/>
  <c r="W9" i="81"/>
  <c r="V9" i="81"/>
  <c r="U9" i="81"/>
  <c r="T9" i="81"/>
  <c r="R9" i="81"/>
  <c r="Q9" i="81"/>
  <c r="P9" i="81"/>
  <c r="N9" i="81"/>
  <c r="M9" i="81"/>
  <c r="L9" i="81"/>
  <c r="K9" i="81"/>
  <c r="I9" i="81"/>
  <c r="H9" i="81"/>
  <c r="G9" i="81"/>
  <c r="F9" i="81"/>
  <c r="D9" i="81"/>
  <c r="C9" i="81"/>
  <c r="B9" i="81"/>
  <c r="AD8" i="81"/>
  <c r="S8" i="81"/>
  <c r="O8" i="81"/>
  <c r="J8" i="81"/>
  <c r="E8" i="81"/>
  <c r="AD7" i="81"/>
  <c r="S7" i="81"/>
  <c r="O7" i="81"/>
  <c r="J7" i="81"/>
  <c r="E7" i="81"/>
  <c r="AD6" i="81"/>
  <c r="S6" i="81"/>
  <c r="O6" i="81"/>
  <c r="J6" i="81"/>
  <c r="E6" i="81"/>
  <c r="AD5" i="81"/>
  <c r="S5" i="81"/>
  <c r="O5" i="81"/>
  <c r="J5" i="81"/>
  <c r="E5" i="81"/>
  <c r="S4" i="81"/>
  <c r="O4" i="81"/>
  <c r="AD4" i="81" s="1"/>
  <c r="J4" i="81"/>
  <c r="E4" i="81"/>
  <c r="S3" i="81"/>
  <c r="O3" i="81"/>
  <c r="AD3" i="81" s="1"/>
  <c r="J3" i="81"/>
  <c r="E3" i="81"/>
  <c r="AF9" i="79"/>
  <c r="AE9" i="79"/>
  <c r="AC9" i="79"/>
  <c r="AB9" i="79"/>
  <c r="AA9" i="79"/>
  <c r="Z9" i="79"/>
  <c r="Y9" i="79"/>
  <c r="X9" i="79"/>
  <c r="W9" i="79"/>
  <c r="V9" i="79"/>
  <c r="U9" i="79"/>
  <c r="T9" i="79"/>
  <c r="R9" i="79"/>
  <c r="Q9" i="79"/>
  <c r="P9" i="79"/>
  <c r="N9" i="79"/>
  <c r="M9" i="79"/>
  <c r="L9" i="79"/>
  <c r="K9" i="79"/>
  <c r="I9" i="79"/>
  <c r="H9" i="79"/>
  <c r="G9" i="79"/>
  <c r="F9" i="79"/>
  <c r="D9" i="79"/>
  <c r="C9" i="79"/>
  <c r="B9" i="79"/>
  <c r="S8" i="79"/>
  <c r="O8" i="79"/>
  <c r="AD8" i="79" s="1"/>
  <c r="J8" i="79"/>
  <c r="E8" i="79"/>
  <c r="S7" i="79"/>
  <c r="O7" i="79"/>
  <c r="AD7" i="79" s="1"/>
  <c r="J7" i="79"/>
  <c r="E7" i="79"/>
  <c r="S6" i="79"/>
  <c r="O6" i="79"/>
  <c r="AD6" i="79" s="1"/>
  <c r="J6" i="79"/>
  <c r="E6" i="79"/>
  <c r="S5" i="79"/>
  <c r="O5" i="79"/>
  <c r="AD5" i="79" s="1"/>
  <c r="J5" i="79"/>
  <c r="E5" i="79"/>
  <c r="S4" i="79"/>
  <c r="O4" i="79"/>
  <c r="AD4" i="79" s="1"/>
  <c r="J4" i="79"/>
  <c r="E4" i="79"/>
  <c r="S3" i="79"/>
  <c r="S9" i="79" s="1"/>
  <c r="O3" i="79"/>
  <c r="AD3" i="79" s="1"/>
  <c r="J3" i="79"/>
  <c r="E3" i="79"/>
  <c r="AE9" i="77"/>
  <c r="AC9" i="77"/>
  <c r="AB9" i="77"/>
  <c r="AA9" i="77"/>
  <c r="Z9" i="77"/>
  <c r="Y9" i="77"/>
  <c r="X9" i="77"/>
  <c r="W9" i="77"/>
  <c r="V9" i="77"/>
  <c r="U9" i="77"/>
  <c r="T9" i="77"/>
  <c r="R9" i="77"/>
  <c r="Q9" i="77"/>
  <c r="P9" i="77"/>
  <c r="N9" i="77"/>
  <c r="M9" i="77"/>
  <c r="L9" i="77"/>
  <c r="K9" i="77"/>
  <c r="I9" i="77"/>
  <c r="H9" i="77"/>
  <c r="G9" i="77"/>
  <c r="F9" i="77"/>
  <c r="D9" i="77"/>
  <c r="C9" i="77"/>
  <c r="B9" i="77"/>
  <c r="AD8" i="77"/>
  <c r="S8" i="77"/>
  <c r="O8" i="77"/>
  <c r="J8" i="77"/>
  <c r="E8" i="77"/>
  <c r="AD7" i="77"/>
  <c r="S7" i="77"/>
  <c r="O7" i="77"/>
  <c r="J7" i="77"/>
  <c r="E7" i="77"/>
  <c r="AD6" i="77"/>
  <c r="S6" i="77"/>
  <c r="O6" i="77"/>
  <c r="J6" i="77"/>
  <c r="E6" i="77"/>
  <c r="AD5" i="77"/>
  <c r="S5" i="77"/>
  <c r="O5" i="77"/>
  <c r="J5" i="77"/>
  <c r="E5" i="77"/>
  <c r="AD4" i="77"/>
  <c r="S4" i="77"/>
  <c r="O4" i="77"/>
  <c r="J4" i="77"/>
  <c r="E4" i="77"/>
  <c r="AD3" i="77"/>
  <c r="AD9" i="77" s="1"/>
  <c r="S3" i="77"/>
  <c r="O3" i="77"/>
  <c r="J3" i="77"/>
  <c r="E3" i="77"/>
  <c r="AG6" i="74"/>
  <c r="AF6" i="74"/>
  <c r="AD6" i="74"/>
  <c r="AC6" i="74"/>
  <c r="AB6" i="74"/>
  <c r="AA6" i="74"/>
  <c r="Z6" i="74"/>
  <c r="Y6" i="74"/>
  <c r="X6" i="74"/>
  <c r="W6" i="74"/>
  <c r="V6" i="74"/>
  <c r="U6" i="74"/>
  <c r="S6" i="74"/>
  <c r="R6" i="74"/>
  <c r="Q6" i="74"/>
  <c r="O6" i="74"/>
  <c r="N6" i="74"/>
  <c r="M6" i="74"/>
  <c r="L6" i="74"/>
  <c r="J6" i="74"/>
  <c r="I6" i="74"/>
  <c r="H6" i="74"/>
  <c r="G6" i="74"/>
  <c r="F6" i="74"/>
  <c r="D6" i="74"/>
  <c r="C6" i="74"/>
  <c r="B6" i="74"/>
  <c r="AE5" i="74"/>
  <c r="T5" i="74"/>
  <c r="P5" i="74"/>
  <c r="K5" i="74"/>
  <c r="E5" i="74"/>
  <c r="AE4" i="74"/>
  <c r="T4" i="74"/>
  <c r="P4" i="74"/>
  <c r="K4" i="74"/>
  <c r="E4" i="74"/>
  <c r="AE3" i="74"/>
  <c r="T3" i="74"/>
  <c r="P3" i="74"/>
  <c r="K3" i="74"/>
  <c r="E3" i="74"/>
  <c r="E6" i="74" s="1"/>
  <c r="AG9" i="73"/>
  <c r="AF9" i="73"/>
  <c r="AD9" i="73"/>
  <c r="AC9" i="73"/>
  <c r="AB9" i="73"/>
  <c r="AA9" i="73"/>
  <c r="Z9" i="73"/>
  <c r="Y9" i="73"/>
  <c r="X9" i="73"/>
  <c r="W9" i="73"/>
  <c r="V9" i="73"/>
  <c r="U9" i="73"/>
  <c r="S9" i="73"/>
  <c r="R9" i="73"/>
  <c r="Q9" i="73"/>
  <c r="O9" i="73"/>
  <c r="N9" i="73"/>
  <c r="M9" i="73"/>
  <c r="L9" i="73"/>
  <c r="K9" i="73"/>
  <c r="I9" i="73"/>
  <c r="H9" i="73"/>
  <c r="G9" i="73"/>
  <c r="F9" i="73"/>
  <c r="D9" i="73"/>
  <c r="C9" i="73"/>
  <c r="B9" i="73"/>
  <c r="AE8" i="73"/>
  <c r="T8" i="73"/>
  <c r="P8" i="73"/>
  <c r="J8" i="73"/>
  <c r="E8" i="73"/>
  <c r="AE7" i="73"/>
  <c r="T7" i="73"/>
  <c r="P7" i="73"/>
  <c r="J7" i="73"/>
  <c r="E7" i="73"/>
  <c r="AE6" i="73"/>
  <c r="T6" i="73"/>
  <c r="P6" i="73"/>
  <c r="J6" i="73"/>
  <c r="E6" i="73"/>
  <c r="AE5" i="73"/>
  <c r="T5" i="73"/>
  <c r="P5" i="73"/>
  <c r="J5" i="73"/>
  <c r="E5" i="73"/>
  <c r="AE4" i="73"/>
  <c r="T4" i="73"/>
  <c r="P4" i="73"/>
  <c r="J4" i="73"/>
  <c r="E4" i="73"/>
  <c r="AE3" i="73"/>
  <c r="AE9" i="73" s="1"/>
  <c r="T3" i="73"/>
  <c r="P3" i="73"/>
  <c r="J3" i="73"/>
  <c r="E3" i="73"/>
  <c r="AG9" i="71"/>
  <c r="AF9" i="71"/>
  <c r="AD9" i="71"/>
  <c r="AC9" i="71"/>
  <c r="AB9" i="71"/>
  <c r="AA9" i="71"/>
  <c r="Z9" i="71"/>
  <c r="Y9" i="71"/>
  <c r="X9" i="71"/>
  <c r="W9" i="71"/>
  <c r="V9" i="71"/>
  <c r="U9" i="71"/>
  <c r="S9" i="71"/>
  <c r="R9" i="71"/>
  <c r="Q9" i="71"/>
  <c r="O9" i="71"/>
  <c r="N9" i="71"/>
  <c r="M9" i="71"/>
  <c r="L9" i="71"/>
  <c r="K9" i="71"/>
  <c r="I9" i="71"/>
  <c r="H9" i="71"/>
  <c r="G9" i="71"/>
  <c r="F9" i="71"/>
  <c r="D9" i="71"/>
  <c r="C9" i="71"/>
  <c r="B9" i="71"/>
  <c r="AE8" i="71"/>
  <c r="T8" i="71"/>
  <c r="P8" i="71"/>
  <c r="J8" i="71"/>
  <c r="E8" i="71"/>
  <c r="AE7" i="71"/>
  <c r="T7" i="71"/>
  <c r="P7" i="71"/>
  <c r="J7" i="71"/>
  <c r="E7" i="71"/>
  <c r="AE6" i="71"/>
  <c r="T6" i="71"/>
  <c r="P6" i="71"/>
  <c r="J6" i="71"/>
  <c r="E6" i="71"/>
  <c r="AE5" i="71"/>
  <c r="T5" i="71"/>
  <c r="P5" i="71"/>
  <c r="J5" i="71"/>
  <c r="E5" i="71"/>
  <c r="AE4" i="71"/>
  <c r="T4" i="71"/>
  <c r="P4" i="71"/>
  <c r="J4" i="71"/>
  <c r="E4" i="71"/>
  <c r="AE3" i="71"/>
  <c r="T3" i="71"/>
  <c r="P3" i="71"/>
  <c r="J3" i="71"/>
  <c r="E3" i="71"/>
  <c r="AG5" i="69"/>
  <c r="AF5" i="69"/>
  <c r="AD5" i="69"/>
  <c r="AC5" i="69"/>
  <c r="AB5" i="69"/>
  <c r="AA5" i="69"/>
  <c r="Z5" i="69"/>
  <c r="Y5" i="69"/>
  <c r="X5" i="69"/>
  <c r="W5" i="69"/>
  <c r="V5" i="69"/>
  <c r="U5" i="69"/>
  <c r="S5" i="69"/>
  <c r="R5" i="69"/>
  <c r="Q5" i="69"/>
  <c r="O5" i="69"/>
  <c r="N5" i="69"/>
  <c r="M5" i="69"/>
  <c r="L5" i="69"/>
  <c r="K5" i="69"/>
  <c r="I5" i="69"/>
  <c r="H5" i="69"/>
  <c r="G5" i="69"/>
  <c r="F5" i="69"/>
  <c r="D5" i="69"/>
  <c r="C5" i="69"/>
  <c r="B5" i="69"/>
  <c r="AE4" i="69"/>
  <c r="T4" i="69"/>
  <c r="P4" i="69"/>
  <c r="J4" i="69"/>
  <c r="E4" i="69"/>
  <c r="AE3" i="69"/>
  <c r="T3" i="69"/>
  <c r="T5" i="69" s="1"/>
  <c r="P3" i="69"/>
  <c r="J3" i="69"/>
  <c r="E3" i="69"/>
  <c r="AG5" i="66"/>
  <c r="AF5" i="66"/>
  <c r="AD5" i="66"/>
  <c r="AC5" i="66"/>
  <c r="AB5" i="66"/>
  <c r="AA5" i="66"/>
  <c r="Z5" i="66"/>
  <c r="Y5" i="66"/>
  <c r="X5" i="66"/>
  <c r="W5" i="66"/>
  <c r="V5" i="66"/>
  <c r="U5" i="66"/>
  <c r="S5" i="66"/>
  <c r="R5" i="66"/>
  <c r="Q5" i="66"/>
  <c r="O5" i="66"/>
  <c r="N5" i="66"/>
  <c r="M5" i="66"/>
  <c r="L5" i="66"/>
  <c r="J5" i="66"/>
  <c r="I5" i="66"/>
  <c r="H5" i="66"/>
  <c r="G5" i="66"/>
  <c r="F5" i="66"/>
  <c r="D5" i="66"/>
  <c r="C5" i="66"/>
  <c r="B5" i="66"/>
  <c r="AE4" i="66"/>
  <c r="T4" i="66"/>
  <c r="P4" i="66"/>
  <c r="K4" i="66"/>
  <c r="E4" i="66"/>
  <c r="AE3" i="66"/>
  <c r="AE5" i="66" s="1"/>
  <c r="T3" i="66"/>
  <c r="P3" i="66"/>
  <c r="K3" i="66"/>
  <c r="E3" i="66"/>
  <c r="AG5" i="64"/>
  <c r="AF5" i="64"/>
  <c r="AD5" i="64"/>
  <c r="AC5" i="64"/>
  <c r="AB5" i="64"/>
  <c r="AA5" i="64"/>
  <c r="Z5" i="64"/>
  <c r="Y5" i="64"/>
  <c r="X5" i="64"/>
  <c r="W5" i="64"/>
  <c r="V5" i="64"/>
  <c r="U5" i="64"/>
  <c r="S5" i="64"/>
  <c r="R5" i="64"/>
  <c r="Q5" i="64"/>
  <c r="O5" i="64"/>
  <c r="N5" i="64"/>
  <c r="M5" i="64"/>
  <c r="L5" i="64"/>
  <c r="J5" i="64"/>
  <c r="I5" i="64"/>
  <c r="H5" i="64"/>
  <c r="G5" i="64"/>
  <c r="F5" i="64"/>
  <c r="D5" i="64"/>
  <c r="C5" i="64"/>
  <c r="B5" i="64"/>
  <c r="AE4" i="64"/>
  <c r="T4" i="64"/>
  <c r="T5" i="64" s="1"/>
  <c r="P4" i="64"/>
  <c r="K4" i="64"/>
  <c r="E4" i="64"/>
  <c r="AE3" i="64"/>
  <c r="AE5" i="64" s="1"/>
  <c r="T3" i="64"/>
  <c r="P3" i="64"/>
  <c r="K3" i="64"/>
  <c r="E3" i="64"/>
  <c r="E5" i="64" s="1"/>
  <c r="AG6" i="63"/>
  <c r="AF6" i="63"/>
  <c r="AD6" i="63"/>
  <c r="AC6" i="63"/>
  <c r="AB6" i="63"/>
  <c r="AA6" i="63"/>
  <c r="Z6" i="63"/>
  <c r="Y6" i="63"/>
  <c r="X6" i="63"/>
  <c r="W6" i="63"/>
  <c r="V6" i="63"/>
  <c r="U6" i="63"/>
  <c r="S6" i="63"/>
  <c r="R6" i="63"/>
  <c r="Q6" i="63"/>
  <c r="O6" i="63"/>
  <c r="N6" i="63"/>
  <c r="M6" i="63"/>
  <c r="L6" i="63"/>
  <c r="J6" i="63"/>
  <c r="I6" i="63"/>
  <c r="H6" i="63"/>
  <c r="G6" i="63"/>
  <c r="F6" i="63"/>
  <c r="D6" i="63"/>
  <c r="C6" i="63"/>
  <c r="B6" i="63"/>
  <c r="AE5" i="63"/>
  <c r="T5" i="63"/>
  <c r="P5" i="63"/>
  <c r="K5" i="63"/>
  <c r="E5" i="63"/>
  <c r="AE4" i="63"/>
  <c r="T4" i="63"/>
  <c r="P4" i="63"/>
  <c r="K4" i="63"/>
  <c r="E4" i="63"/>
  <c r="AE3" i="63"/>
  <c r="AE6" i="63" s="1"/>
  <c r="T3" i="63"/>
  <c r="P3" i="63"/>
  <c r="K3" i="63"/>
  <c r="E3" i="63"/>
  <c r="AG8" i="61"/>
  <c r="AF8" i="61"/>
  <c r="AD8" i="61"/>
  <c r="AC8" i="61"/>
  <c r="AB8" i="61"/>
  <c r="AA8" i="61"/>
  <c r="Z8" i="61"/>
  <c r="Y8" i="61"/>
  <c r="X8" i="61"/>
  <c r="W8" i="61"/>
  <c r="V8" i="61"/>
  <c r="U8" i="61"/>
  <c r="S8" i="61"/>
  <c r="R8" i="61"/>
  <c r="Q8" i="61"/>
  <c r="O8" i="61"/>
  <c r="N8" i="61"/>
  <c r="M8" i="61"/>
  <c r="L8" i="61"/>
  <c r="J8" i="61"/>
  <c r="I8" i="61"/>
  <c r="H8" i="61"/>
  <c r="G8" i="61"/>
  <c r="F8" i="61"/>
  <c r="D8" i="61"/>
  <c r="C8" i="61"/>
  <c r="B8" i="61"/>
  <c r="AE7" i="61"/>
  <c r="T7" i="61"/>
  <c r="P7" i="61"/>
  <c r="K7" i="61"/>
  <c r="E7" i="61"/>
  <c r="AE6" i="61"/>
  <c r="T6" i="61"/>
  <c r="P6" i="61"/>
  <c r="K6" i="61"/>
  <c r="E6" i="61"/>
  <c r="AE5" i="61"/>
  <c r="T5" i="61"/>
  <c r="P5" i="61"/>
  <c r="K5" i="61"/>
  <c r="E5" i="61"/>
  <c r="AE4" i="61"/>
  <c r="T4" i="61"/>
  <c r="P4" i="61"/>
  <c r="K4" i="61"/>
  <c r="E4" i="61"/>
  <c r="AE3" i="61"/>
  <c r="T3" i="61"/>
  <c r="P3" i="61"/>
  <c r="K3" i="61"/>
  <c r="E3" i="61"/>
  <c r="E8" i="61" s="1"/>
  <c r="AG9" i="58"/>
  <c r="AF9" i="58"/>
  <c r="AD9" i="58"/>
  <c r="AC9" i="58"/>
  <c r="AB9" i="58"/>
  <c r="AA9" i="58"/>
  <c r="Z9" i="58"/>
  <c r="Y9" i="58"/>
  <c r="X9" i="58"/>
  <c r="W9" i="58"/>
  <c r="V9" i="58"/>
  <c r="U9" i="58"/>
  <c r="S9" i="58"/>
  <c r="R9" i="58"/>
  <c r="Q9" i="58"/>
  <c r="O9" i="58"/>
  <c r="N9" i="58"/>
  <c r="P9" i="58" s="1"/>
  <c r="M9" i="58"/>
  <c r="L9" i="58"/>
  <c r="I9" i="58"/>
  <c r="H9" i="58"/>
  <c r="G9" i="58"/>
  <c r="F9" i="58"/>
  <c r="D9" i="58"/>
  <c r="C9" i="58"/>
  <c r="B9" i="58"/>
  <c r="AE8" i="58"/>
  <c r="T8" i="58"/>
  <c r="P8" i="58"/>
  <c r="K8" i="58"/>
  <c r="E8" i="58"/>
  <c r="AE7" i="58"/>
  <c r="T7" i="58"/>
  <c r="P7" i="58"/>
  <c r="K7" i="58"/>
  <c r="E7" i="58"/>
  <c r="AE6" i="58"/>
  <c r="T6" i="58"/>
  <c r="P6" i="58"/>
  <c r="K6" i="58"/>
  <c r="E6" i="58"/>
  <c r="AE5" i="58"/>
  <c r="T5" i="58"/>
  <c r="P5" i="58"/>
  <c r="K5" i="58"/>
  <c r="E5" i="58"/>
  <c r="AE4" i="58"/>
  <c r="T4" i="58"/>
  <c r="P4" i="58"/>
  <c r="K4" i="58"/>
  <c r="E4" i="58"/>
  <c r="AE3" i="58"/>
  <c r="T3" i="58"/>
  <c r="P3" i="58"/>
  <c r="K3" i="58"/>
  <c r="E3" i="58"/>
  <c r="AG6" i="56"/>
  <c r="AF6" i="56"/>
  <c r="AD6" i="56"/>
  <c r="AC6" i="56"/>
  <c r="AB6" i="56"/>
  <c r="AA6" i="56"/>
  <c r="Z6" i="56"/>
  <c r="Y6" i="56"/>
  <c r="X6" i="56"/>
  <c r="W6" i="56"/>
  <c r="V6" i="56"/>
  <c r="U6" i="56"/>
  <c r="S6" i="56"/>
  <c r="R6" i="56"/>
  <c r="Q6" i="56"/>
  <c r="O6" i="56"/>
  <c r="N6" i="56"/>
  <c r="M6" i="56"/>
  <c r="L6" i="56"/>
  <c r="I6" i="56"/>
  <c r="H6" i="56"/>
  <c r="G6" i="56"/>
  <c r="F6" i="56"/>
  <c r="D6" i="56"/>
  <c r="C6" i="56"/>
  <c r="B6" i="56"/>
  <c r="AE5" i="56"/>
  <c r="T5" i="56"/>
  <c r="P5" i="56"/>
  <c r="K5" i="56"/>
  <c r="E5" i="56"/>
  <c r="AE4" i="56"/>
  <c r="T4" i="56"/>
  <c r="P4" i="56"/>
  <c r="K4" i="56"/>
  <c r="E4" i="56"/>
  <c r="AE3" i="56"/>
  <c r="AE6" i="56" s="1"/>
  <c r="T3" i="56"/>
  <c r="P3" i="56"/>
  <c r="K3" i="56"/>
  <c r="E3" i="56"/>
  <c r="AC4" i="54"/>
  <c r="AA4" i="54"/>
  <c r="Z4" i="54"/>
  <c r="Y4" i="54"/>
  <c r="X4" i="54"/>
  <c r="V4" i="54"/>
  <c r="U4" i="54"/>
  <c r="T4" i="54"/>
  <c r="S4" i="54"/>
  <c r="Q4" i="54"/>
  <c r="P4" i="54"/>
  <c r="O4" i="54"/>
  <c r="M4" i="54"/>
  <c r="L4" i="54"/>
  <c r="K4" i="54"/>
  <c r="J4" i="54"/>
  <c r="H4" i="54"/>
  <c r="G4" i="54"/>
  <c r="F4" i="54"/>
  <c r="D4" i="54"/>
  <c r="C4" i="54"/>
  <c r="B4" i="54"/>
  <c r="AB3" i="54"/>
  <c r="AB4" i="54" s="1"/>
  <c r="W3" i="54"/>
  <c r="W4" i="54" s="1"/>
  <c r="R3" i="54"/>
  <c r="R4" i="54" s="1"/>
  <c r="N3" i="54"/>
  <c r="N4" i="54" s="1"/>
  <c r="I3" i="54"/>
  <c r="I4" i="54" s="1"/>
  <c r="E3" i="54"/>
  <c r="E4" i="54" s="1"/>
  <c r="AE7" i="52"/>
  <c r="AC7" i="52"/>
  <c r="AB7" i="52"/>
  <c r="AA7" i="52"/>
  <c r="Z7" i="52"/>
  <c r="Y7" i="52"/>
  <c r="X7" i="52"/>
  <c r="W7" i="52"/>
  <c r="V7" i="52"/>
  <c r="U7" i="52"/>
  <c r="T7" i="52"/>
  <c r="R7" i="52"/>
  <c r="Q7" i="52"/>
  <c r="P7" i="52"/>
  <c r="N7" i="52"/>
  <c r="M7" i="52"/>
  <c r="L7" i="52"/>
  <c r="K7" i="52"/>
  <c r="J7" i="52"/>
  <c r="I7" i="52"/>
  <c r="H7" i="52"/>
  <c r="F7" i="52"/>
  <c r="D7" i="52"/>
  <c r="C7" i="52"/>
  <c r="B7" i="52"/>
  <c r="AD6" i="52"/>
  <c r="S6" i="52"/>
  <c r="O6" i="52"/>
  <c r="J6" i="52"/>
  <c r="E6" i="52"/>
  <c r="AD5" i="52"/>
  <c r="S5" i="52"/>
  <c r="O5" i="52"/>
  <c r="J5" i="52"/>
  <c r="E5" i="52"/>
  <c r="AD4" i="52"/>
  <c r="S4" i="52"/>
  <c r="O4" i="52"/>
  <c r="J4" i="52"/>
  <c r="E4" i="52"/>
  <c r="AD3" i="52"/>
  <c r="AD7" i="52" s="1"/>
  <c r="S3" i="52"/>
  <c r="O3" i="52"/>
  <c r="J3" i="52"/>
  <c r="E3" i="52"/>
  <c r="AE8" i="50"/>
  <c r="AC8" i="50"/>
  <c r="AB8" i="50"/>
  <c r="AA8" i="50"/>
  <c r="Z8" i="50"/>
  <c r="Y8" i="50"/>
  <c r="X8" i="50"/>
  <c r="W8" i="50"/>
  <c r="V8" i="50"/>
  <c r="U8" i="50"/>
  <c r="T8" i="50"/>
  <c r="R8" i="50"/>
  <c r="Q8" i="50"/>
  <c r="P8" i="50"/>
  <c r="N8" i="50"/>
  <c r="M8" i="50"/>
  <c r="L8" i="50"/>
  <c r="K8" i="50"/>
  <c r="I8" i="50"/>
  <c r="H8" i="50"/>
  <c r="F8" i="50"/>
  <c r="D8" i="50"/>
  <c r="C8" i="50"/>
  <c r="B8" i="50"/>
  <c r="AD7" i="50"/>
  <c r="S7" i="50"/>
  <c r="O7" i="50"/>
  <c r="J7" i="50"/>
  <c r="E7" i="50"/>
  <c r="AD6" i="50"/>
  <c r="S6" i="50"/>
  <c r="O6" i="50"/>
  <c r="J6" i="50"/>
  <c r="E6" i="50"/>
  <c r="AD5" i="50"/>
  <c r="S5" i="50"/>
  <c r="O5" i="50"/>
  <c r="J5" i="50"/>
  <c r="E5" i="50"/>
  <c r="AD4" i="50"/>
  <c r="S4" i="50"/>
  <c r="O4" i="50"/>
  <c r="J4" i="50"/>
  <c r="E4" i="50"/>
  <c r="AD3" i="50"/>
  <c r="S3" i="50"/>
  <c r="S8" i="50" s="1"/>
  <c r="O3" i="50"/>
  <c r="J3" i="50"/>
  <c r="E3" i="50"/>
  <c r="AE9" i="48"/>
  <c r="AC9" i="48"/>
  <c r="AB9" i="48"/>
  <c r="AA9" i="48"/>
  <c r="Z9" i="48"/>
  <c r="Y9" i="48"/>
  <c r="X9" i="48"/>
  <c r="W9" i="48"/>
  <c r="V9" i="48"/>
  <c r="U9" i="48"/>
  <c r="T9" i="48"/>
  <c r="R9" i="48"/>
  <c r="Q9" i="48"/>
  <c r="P9" i="48"/>
  <c r="N9" i="48"/>
  <c r="M9" i="48"/>
  <c r="L9" i="48"/>
  <c r="K9" i="48"/>
  <c r="I9" i="48"/>
  <c r="H9" i="48"/>
  <c r="F9" i="48"/>
  <c r="D9" i="48"/>
  <c r="C9" i="48"/>
  <c r="B9" i="48"/>
  <c r="AD8" i="48"/>
  <c r="S8" i="48"/>
  <c r="O8" i="48"/>
  <c r="J8" i="48"/>
  <c r="E8" i="48"/>
  <c r="AD7" i="48"/>
  <c r="S7" i="48"/>
  <c r="O7" i="48"/>
  <c r="J7" i="48"/>
  <c r="E7" i="48"/>
  <c r="AD6" i="48"/>
  <c r="S6" i="48"/>
  <c r="O6" i="48"/>
  <c r="J6" i="48"/>
  <c r="E6" i="48"/>
  <c r="AD5" i="48"/>
  <c r="S5" i="48"/>
  <c r="O5" i="48"/>
  <c r="J5" i="48"/>
  <c r="E5" i="48"/>
  <c r="AD4" i="48"/>
  <c r="S4" i="48"/>
  <c r="O4" i="48"/>
  <c r="J4" i="48"/>
  <c r="E4" i="48"/>
  <c r="AD3" i="48"/>
  <c r="S3" i="48"/>
  <c r="S9" i="48" s="1"/>
  <c r="O3" i="48"/>
  <c r="J3" i="48"/>
  <c r="E3" i="48"/>
  <c r="AE9" i="46"/>
  <c r="AC9" i="46"/>
  <c r="AB9" i="46"/>
  <c r="AA9" i="46"/>
  <c r="Z9" i="46"/>
  <c r="Y9" i="46"/>
  <c r="X9" i="46"/>
  <c r="W9" i="46"/>
  <c r="V9" i="46"/>
  <c r="U9" i="46"/>
  <c r="T9" i="46"/>
  <c r="R9" i="46"/>
  <c r="Q9" i="46"/>
  <c r="P9" i="46"/>
  <c r="N9" i="46"/>
  <c r="M9" i="46"/>
  <c r="L9" i="46"/>
  <c r="K9" i="46"/>
  <c r="I9" i="46"/>
  <c r="H9" i="46"/>
  <c r="F9" i="46"/>
  <c r="J9" i="46" s="1"/>
  <c r="D9" i="46"/>
  <c r="C9" i="46"/>
  <c r="B9" i="46"/>
  <c r="AD8" i="46"/>
  <c r="S8" i="46"/>
  <c r="O8" i="46"/>
  <c r="J8" i="46"/>
  <c r="E8" i="46"/>
  <c r="AD7" i="46"/>
  <c r="S7" i="46"/>
  <c r="O7" i="46"/>
  <c r="J7" i="46"/>
  <c r="E7" i="46"/>
  <c r="AD6" i="46"/>
  <c r="S6" i="46"/>
  <c r="O6" i="46"/>
  <c r="J6" i="46"/>
  <c r="E6" i="46"/>
  <c r="AD5" i="46"/>
  <c r="S5" i="46"/>
  <c r="O5" i="46"/>
  <c r="J5" i="46"/>
  <c r="E5" i="46"/>
  <c r="AD4" i="46"/>
  <c r="S4" i="46"/>
  <c r="O4" i="46"/>
  <c r="J4" i="46"/>
  <c r="E4" i="46"/>
  <c r="AD3" i="46"/>
  <c r="S3" i="46"/>
  <c r="O3" i="46"/>
  <c r="J3" i="46"/>
  <c r="E3" i="46"/>
  <c r="AB9" i="44"/>
  <c r="AA9" i="44"/>
  <c r="Z9" i="44"/>
  <c r="Y9" i="44"/>
  <c r="X9" i="44"/>
  <c r="W9" i="44"/>
  <c r="V9" i="44"/>
  <c r="U9" i="44"/>
  <c r="T9" i="44"/>
  <c r="S9" i="44"/>
  <c r="Q9" i="44"/>
  <c r="P9" i="44"/>
  <c r="O9" i="44"/>
  <c r="M9" i="44"/>
  <c r="L9" i="44"/>
  <c r="K9" i="44"/>
  <c r="J9" i="44"/>
  <c r="H9" i="44"/>
  <c r="G9" i="44"/>
  <c r="F9" i="44"/>
  <c r="I9" i="44" s="1"/>
  <c r="D9" i="44"/>
  <c r="C9" i="44"/>
  <c r="B9" i="44"/>
  <c r="AC8" i="44"/>
  <c r="R8" i="44"/>
  <c r="N8" i="44"/>
  <c r="I8" i="44"/>
  <c r="E8" i="44"/>
  <c r="AC7" i="44"/>
  <c r="R7" i="44"/>
  <c r="N7" i="44"/>
  <c r="I7" i="44"/>
  <c r="E7" i="44"/>
  <c r="AC6" i="44"/>
  <c r="R6" i="44"/>
  <c r="N6" i="44"/>
  <c r="I6" i="44"/>
  <c r="E6" i="44"/>
  <c r="AC5" i="44"/>
  <c r="R5" i="44"/>
  <c r="N5" i="44"/>
  <c r="I5" i="44"/>
  <c r="E5" i="44"/>
  <c r="AC4" i="44"/>
  <c r="R4" i="44"/>
  <c r="N4" i="44"/>
  <c r="I4" i="44"/>
  <c r="E4" i="44"/>
  <c r="AC3" i="44"/>
  <c r="R3" i="44"/>
  <c r="N3" i="44"/>
  <c r="I3" i="44"/>
  <c r="E3" i="44"/>
  <c r="AE9" i="42"/>
  <c r="AD9" i="42"/>
  <c r="AB9" i="42"/>
  <c r="AA9" i="42"/>
  <c r="Z9" i="42"/>
  <c r="Y9" i="42"/>
  <c r="X9" i="42"/>
  <c r="W9" i="42"/>
  <c r="V9" i="42"/>
  <c r="U9" i="42"/>
  <c r="T9" i="42"/>
  <c r="S9" i="42"/>
  <c r="Q9" i="42"/>
  <c r="P9" i="42"/>
  <c r="O9" i="42"/>
  <c r="M9" i="42"/>
  <c r="L9" i="42"/>
  <c r="K9" i="42"/>
  <c r="J9" i="42"/>
  <c r="H9" i="42"/>
  <c r="G9" i="42"/>
  <c r="F9" i="42"/>
  <c r="I9" i="42" s="1"/>
  <c r="D9" i="42"/>
  <c r="C9" i="42"/>
  <c r="B9" i="42"/>
  <c r="AC8" i="42"/>
  <c r="R8" i="42"/>
  <c r="N8" i="42"/>
  <c r="I8" i="42"/>
  <c r="E8" i="42"/>
  <c r="AC7" i="42"/>
  <c r="R7" i="42"/>
  <c r="N7" i="42"/>
  <c r="I7" i="42"/>
  <c r="E7" i="42"/>
  <c r="AC6" i="42"/>
  <c r="R6" i="42"/>
  <c r="N6" i="42"/>
  <c r="I6" i="42"/>
  <c r="E6" i="42"/>
  <c r="AC5" i="42"/>
  <c r="R5" i="42"/>
  <c r="N5" i="42"/>
  <c r="I5" i="42"/>
  <c r="E5" i="42"/>
  <c r="AC4" i="42"/>
  <c r="R4" i="42"/>
  <c r="N4" i="42"/>
  <c r="I4" i="42"/>
  <c r="E4" i="42"/>
  <c r="AC3" i="42"/>
  <c r="R3" i="42"/>
  <c r="N3" i="42"/>
  <c r="I3" i="42"/>
  <c r="E3" i="42"/>
  <c r="AD8" i="40"/>
  <c r="AB8" i="40"/>
  <c r="AA8" i="40"/>
  <c r="Z8" i="40"/>
  <c r="Y8" i="40"/>
  <c r="X8" i="40"/>
  <c r="W8" i="40"/>
  <c r="V8" i="40"/>
  <c r="U8" i="40"/>
  <c r="T8" i="40"/>
  <c r="S8" i="40"/>
  <c r="Q8" i="40"/>
  <c r="P8" i="40"/>
  <c r="O8" i="40"/>
  <c r="M8" i="40"/>
  <c r="L8" i="40"/>
  <c r="K8" i="40"/>
  <c r="N8" i="40" s="1"/>
  <c r="J8" i="40"/>
  <c r="H8" i="40"/>
  <c r="G8" i="40"/>
  <c r="F8" i="40"/>
  <c r="D8" i="40"/>
  <c r="C8" i="40"/>
  <c r="B8" i="40"/>
  <c r="AC7" i="40"/>
  <c r="R7" i="40"/>
  <c r="N7" i="40"/>
  <c r="I7" i="40"/>
  <c r="E7" i="40"/>
  <c r="AC6" i="40"/>
  <c r="R6" i="40"/>
  <c r="N6" i="40"/>
  <c r="I6" i="40"/>
  <c r="E6" i="40"/>
  <c r="AC5" i="40"/>
  <c r="R5" i="40"/>
  <c r="N5" i="40"/>
  <c r="I5" i="40"/>
  <c r="E5" i="40"/>
  <c r="AC4" i="40"/>
  <c r="R4" i="40"/>
  <c r="N4" i="40"/>
  <c r="I4" i="40"/>
  <c r="E4" i="40"/>
  <c r="AC3" i="40"/>
  <c r="R3" i="40"/>
  <c r="N3" i="40"/>
  <c r="I3" i="40"/>
  <c r="E3" i="40"/>
  <c r="E8" i="40" s="1"/>
  <c r="AB8" i="38"/>
  <c r="AA8" i="38"/>
  <c r="Z8" i="38"/>
  <c r="Y8" i="38"/>
  <c r="X8" i="38"/>
  <c r="W8" i="38"/>
  <c r="V8" i="38"/>
  <c r="U8" i="38"/>
  <c r="T8" i="38"/>
  <c r="S8" i="38"/>
  <c r="Q8" i="38"/>
  <c r="P8" i="38"/>
  <c r="O8" i="38"/>
  <c r="M8" i="38"/>
  <c r="L8" i="38"/>
  <c r="K8" i="38"/>
  <c r="N8" i="38" s="1"/>
  <c r="J8" i="38"/>
  <c r="H8" i="38"/>
  <c r="G8" i="38"/>
  <c r="F8" i="38"/>
  <c r="D8" i="38"/>
  <c r="C8" i="38"/>
  <c r="B8" i="38"/>
  <c r="AC7" i="38"/>
  <c r="R7" i="38"/>
  <c r="N7" i="38"/>
  <c r="I7" i="38"/>
  <c r="E7" i="38"/>
  <c r="AC6" i="38"/>
  <c r="R6" i="38"/>
  <c r="N6" i="38"/>
  <c r="I6" i="38"/>
  <c r="E6" i="38"/>
  <c r="AC5" i="38"/>
  <c r="R5" i="38"/>
  <c r="N5" i="38"/>
  <c r="I5" i="38"/>
  <c r="E5" i="38"/>
  <c r="AC4" i="38"/>
  <c r="R4" i="38"/>
  <c r="N4" i="38"/>
  <c r="I4" i="38"/>
  <c r="E4" i="38"/>
  <c r="AC3" i="38"/>
  <c r="R3" i="38"/>
  <c r="N3" i="38"/>
  <c r="I3" i="38"/>
  <c r="E3" i="38"/>
  <c r="E8" i="38" s="1"/>
  <c r="AB7" i="36"/>
  <c r="AA7" i="36"/>
  <c r="Z7" i="36"/>
  <c r="Y7" i="36"/>
  <c r="X7" i="36"/>
  <c r="W7" i="36"/>
  <c r="V7" i="36"/>
  <c r="U7" i="36"/>
  <c r="T7" i="36"/>
  <c r="S7" i="36"/>
  <c r="Q7" i="36"/>
  <c r="P7" i="36"/>
  <c r="O7" i="36"/>
  <c r="M7" i="36"/>
  <c r="L7" i="36"/>
  <c r="K7" i="36"/>
  <c r="J7" i="36"/>
  <c r="H7" i="36"/>
  <c r="G7" i="36"/>
  <c r="F7" i="36"/>
  <c r="D7" i="36"/>
  <c r="C7" i="36"/>
  <c r="B7" i="36"/>
  <c r="AC6" i="36"/>
  <c r="R6" i="36"/>
  <c r="N6" i="36"/>
  <c r="I6" i="36"/>
  <c r="E6" i="36"/>
  <c r="AC5" i="36"/>
  <c r="R5" i="36"/>
  <c r="N5" i="36"/>
  <c r="I5" i="36"/>
  <c r="E5" i="36"/>
  <c r="AC4" i="36"/>
  <c r="R4" i="36"/>
  <c r="N4" i="36"/>
  <c r="I4" i="36"/>
  <c r="E4" i="36"/>
  <c r="AC3" i="36"/>
  <c r="AC7" i="36" s="1"/>
  <c r="R3" i="36"/>
  <c r="R7" i="36" s="1"/>
  <c r="N3" i="36"/>
  <c r="I3" i="36"/>
  <c r="E3" i="36"/>
  <c r="AB6" i="34"/>
  <c r="AA6" i="34"/>
  <c r="Z6" i="34"/>
  <c r="Y6" i="34"/>
  <c r="X6" i="34"/>
  <c r="W6" i="34"/>
  <c r="V6" i="34"/>
  <c r="U6" i="34"/>
  <c r="T6" i="34"/>
  <c r="S6" i="34"/>
  <c r="Q6" i="34"/>
  <c r="P6" i="34"/>
  <c r="O6" i="34"/>
  <c r="M6" i="34"/>
  <c r="L6" i="34"/>
  <c r="K6" i="34"/>
  <c r="J6" i="34"/>
  <c r="H6" i="34"/>
  <c r="G6" i="34"/>
  <c r="F6" i="34"/>
  <c r="D6" i="34"/>
  <c r="C6" i="34"/>
  <c r="B6" i="34"/>
  <c r="AC5" i="34"/>
  <c r="R5" i="34"/>
  <c r="N5" i="34"/>
  <c r="I5" i="34"/>
  <c r="E5" i="34"/>
  <c r="AC4" i="34"/>
  <c r="R4" i="34"/>
  <c r="N4" i="34"/>
  <c r="I4" i="34"/>
  <c r="E4" i="34"/>
  <c r="AC3" i="34"/>
  <c r="R3" i="34"/>
  <c r="N3" i="34"/>
  <c r="I3" i="34"/>
  <c r="E3" i="34"/>
  <c r="E6" i="34" s="1"/>
  <c r="AB9" i="32"/>
  <c r="AA9" i="32"/>
  <c r="Z9" i="32"/>
  <c r="Y9" i="32"/>
  <c r="X9" i="32"/>
  <c r="W9" i="32"/>
  <c r="V9" i="32"/>
  <c r="U9" i="32"/>
  <c r="T9" i="32"/>
  <c r="S9" i="32"/>
  <c r="Q9" i="32"/>
  <c r="P9" i="32"/>
  <c r="O9" i="32"/>
  <c r="M9" i="32"/>
  <c r="L9" i="32"/>
  <c r="K9" i="32"/>
  <c r="J9" i="32"/>
  <c r="H9" i="32"/>
  <c r="G9" i="32"/>
  <c r="F9" i="32"/>
  <c r="D9" i="32"/>
  <c r="C9" i="32"/>
  <c r="B9" i="32"/>
  <c r="AC8" i="32"/>
  <c r="R8" i="32"/>
  <c r="N8" i="32"/>
  <c r="I8" i="32"/>
  <c r="E8" i="32"/>
  <c r="AC7" i="32"/>
  <c r="R7" i="32"/>
  <c r="N7" i="32"/>
  <c r="I7" i="32"/>
  <c r="E7" i="32"/>
  <c r="AC6" i="32"/>
  <c r="R6" i="32"/>
  <c r="N6" i="32"/>
  <c r="I6" i="32"/>
  <c r="E6" i="32"/>
  <c r="AC5" i="32"/>
  <c r="R5" i="32"/>
  <c r="N5" i="32"/>
  <c r="I5" i="32"/>
  <c r="E5" i="32"/>
  <c r="AC4" i="32"/>
  <c r="R4" i="32"/>
  <c r="N4" i="32"/>
  <c r="I4" i="32"/>
  <c r="E4" i="32"/>
  <c r="AC3" i="32"/>
  <c r="R3" i="32"/>
  <c r="N3" i="32"/>
  <c r="I3" i="32"/>
  <c r="E3" i="32"/>
  <c r="AB9" i="30"/>
  <c r="AA9" i="30"/>
  <c r="Z9" i="30"/>
  <c r="Y9" i="30"/>
  <c r="X9" i="30"/>
  <c r="W9" i="30"/>
  <c r="V9" i="30"/>
  <c r="U9" i="30"/>
  <c r="T9" i="30"/>
  <c r="S9" i="30"/>
  <c r="Q9" i="30"/>
  <c r="P9" i="30"/>
  <c r="O9" i="30"/>
  <c r="M9" i="30"/>
  <c r="L9" i="30"/>
  <c r="K9" i="30"/>
  <c r="J9" i="30"/>
  <c r="H9" i="30"/>
  <c r="G9" i="30"/>
  <c r="F9" i="30"/>
  <c r="D9" i="30"/>
  <c r="C9" i="30"/>
  <c r="B9" i="30"/>
  <c r="AC8" i="30"/>
  <c r="R8" i="30"/>
  <c r="N8" i="30"/>
  <c r="I8" i="30"/>
  <c r="E8" i="30"/>
  <c r="AC7" i="30"/>
  <c r="R7" i="30"/>
  <c r="N7" i="30"/>
  <c r="I7" i="30"/>
  <c r="E7" i="30"/>
  <c r="AC6" i="30"/>
  <c r="R6" i="30"/>
  <c r="N6" i="30"/>
  <c r="I6" i="30"/>
  <c r="E6" i="30"/>
  <c r="AC5" i="30"/>
  <c r="R5" i="30"/>
  <c r="N5" i="30"/>
  <c r="I5" i="30"/>
  <c r="E5" i="30"/>
  <c r="AC4" i="30"/>
  <c r="R4" i="30"/>
  <c r="N4" i="30"/>
  <c r="I4" i="30"/>
  <c r="E4" i="30"/>
  <c r="AC3" i="30"/>
  <c r="R3" i="30"/>
  <c r="N3" i="30"/>
  <c r="I3" i="30"/>
  <c r="E3" i="30"/>
  <c r="AB9" i="28"/>
  <c r="AA9" i="28"/>
  <c r="Z9" i="28"/>
  <c r="Y9" i="28"/>
  <c r="X9" i="28"/>
  <c r="W9" i="28"/>
  <c r="V9" i="28"/>
  <c r="U9" i="28"/>
  <c r="T9" i="28"/>
  <c r="S9" i="28"/>
  <c r="Q9" i="28"/>
  <c r="P9" i="28"/>
  <c r="O9" i="28"/>
  <c r="M9" i="28"/>
  <c r="N9" i="28" s="1"/>
  <c r="L9" i="28"/>
  <c r="K9" i="28"/>
  <c r="J9" i="28"/>
  <c r="H9" i="28"/>
  <c r="G9" i="28"/>
  <c r="F9" i="28"/>
  <c r="I9" i="28" s="1"/>
  <c r="D9" i="28"/>
  <c r="C9" i="28"/>
  <c r="B9" i="28"/>
  <c r="AC8" i="28"/>
  <c r="R8" i="28"/>
  <c r="N8" i="28"/>
  <c r="I8" i="28"/>
  <c r="E8" i="28"/>
  <c r="AC7" i="28"/>
  <c r="R7" i="28"/>
  <c r="N7" i="28"/>
  <c r="I7" i="28"/>
  <c r="E7" i="28"/>
  <c r="AC6" i="28"/>
  <c r="R6" i="28"/>
  <c r="N6" i="28"/>
  <c r="I6" i="28"/>
  <c r="E6" i="28"/>
  <c r="AC5" i="28"/>
  <c r="R5" i="28"/>
  <c r="N5" i="28"/>
  <c r="I5" i="28"/>
  <c r="E5" i="28"/>
  <c r="AC4" i="28"/>
  <c r="R4" i="28"/>
  <c r="N4" i="28"/>
  <c r="I4" i="28"/>
  <c r="E4" i="28"/>
  <c r="AC3" i="28"/>
  <c r="R3" i="28"/>
  <c r="N3" i="28"/>
  <c r="I3" i="28"/>
  <c r="E3" i="28"/>
  <c r="AB9" i="26"/>
  <c r="AA9" i="26"/>
  <c r="Z9" i="26"/>
  <c r="Y9" i="26"/>
  <c r="X9" i="26"/>
  <c r="W9" i="26"/>
  <c r="V9" i="26"/>
  <c r="U9" i="26"/>
  <c r="T9" i="26"/>
  <c r="S9" i="26"/>
  <c r="Q9" i="26"/>
  <c r="P9" i="26"/>
  <c r="O9" i="26"/>
  <c r="M9" i="26"/>
  <c r="L9" i="26"/>
  <c r="K9" i="26"/>
  <c r="J9" i="26"/>
  <c r="H9" i="26"/>
  <c r="G9" i="26"/>
  <c r="F9" i="26"/>
  <c r="I9" i="26" s="1"/>
  <c r="D9" i="26"/>
  <c r="C9" i="26"/>
  <c r="B9" i="26"/>
  <c r="AC8" i="26"/>
  <c r="R8" i="26"/>
  <c r="N8" i="26"/>
  <c r="I8" i="26"/>
  <c r="E8" i="26"/>
  <c r="AC7" i="26"/>
  <c r="R7" i="26"/>
  <c r="N7" i="26"/>
  <c r="I7" i="26"/>
  <c r="E7" i="26"/>
  <c r="AC6" i="26"/>
  <c r="R6" i="26"/>
  <c r="N6" i="26"/>
  <c r="I6" i="26"/>
  <c r="E6" i="26"/>
  <c r="AC5" i="26"/>
  <c r="R5" i="26"/>
  <c r="N5" i="26"/>
  <c r="I5" i="26"/>
  <c r="E5" i="26"/>
  <c r="AC4" i="26"/>
  <c r="R4" i="26"/>
  <c r="N4" i="26"/>
  <c r="I4" i="26"/>
  <c r="E4" i="26"/>
  <c r="AC3" i="26"/>
  <c r="R3" i="26"/>
  <c r="N3" i="26"/>
  <c r="I3" i="26"/>
  <c r="E3" i="26"/>
  <c r="AB9" i="24"/>
  <c r="AA9" i="24"/>
  <c r="Z9" i="24"/>
  <c r="Y9" i="24"/>
  <c r="X9" i="24"/>
  <c r="W9" i="24"/>
  <c r="V9" i="24"/>
  <c r="U9" i="24"/>
  <c r="T9" i="24"/>
  <c r="S9" i="24"/>
  <c r="Q9" i="24"/>
  <c r="P9" i="24"/>
  <c r="O9" i="24"/>
  <c r="M9" i="24"/>
  <c r="L9" i="24"/>
  <c r="K9" i="24"/>
  <c r="J9" i="24"/>
  <c r="H9" i="24"/>
  <c r="G9" i="24"/>
  <c r="F9" i="24"/>
  <c r="D9" i="24"/>
  <c r="C9" i="24"/>
  <c r="B9" i="24"/>
  <c r="AC8" i="24"/>
  <c r="R8" i="24"/>
  <c r="N8" i="24"/>
  <c r="I8" i="24"/>
  <c r="E8" i="24"/>
  <c r="AC7" i="24"/>
  <c r="R7" i="24"/>
  <c r="N7" i="24"/>
  <c r="I7" i="24"/>
  <c r="E7" i="24"/>
  <c r="AC6" i="24"/>
  <c r="R6" i="24"/>
  <c r="N6" i="24"/>
  <c r="I6" i="24"/>
  <c r="E6" i="24"/>
  <c r="AC5" i="24"/>
  <c r="R5" i="24"/>
  <c r="N5" i="24"/>
  <c r="I5" i="24"/>
  <c r="E5" i="24"/>
  <c r="AC4" i="24"/>
  <c r="R4" i="24"/>
  <c r="N4" i="24"/>
  <c r="I4" i="24"/>
  <c r="E4" i="24"/>
  <c r="AC3" i="24"/>
  <c r="R3" i="24"/>
  <c r="N3" i="24"/>
  <c r="I3" i="24"/>
  <c r="E3" i="24"/>
  <c r="A5" i="23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B9" i="22"/>
  <c r="AA9" i="22"/>
  <c r="Z9" i="22"/>
  <c r="Y9" i="22"/>
  <c r="X9" i="22"/>
  <c r="W9" i="22"/>
  <c r="V9" i="22"/>
  <c r="U9" i="22"/>
  <c r="T9" i="22"/>
  <c r="S9" i="22"/>
  <c r="Q9" i="22"/>
  <c r="P9" i="22"/>
  <c r="O9" i="22"/>
  <c r="M9" i="22"/>
  <c r="L9" i="22"/>
  <c r="K9" i="22"/>
  <c r="J9" i="22"/>
  <c r="H9" i="22"/>
  <c r="G9" i="22"/>
  <c r="F9" i="22"/>
  <c r="D9" i="22"/>
  <c r="C9" i="22"/>
  <c r="B9" i="22"/>
  <c r="AC8" i="22"/>
  <c r="R8" i="22"/>
  <c r="N8" i="22"/>
  <c r="I8" i="22"/>
  <c r="E8" i="22"/>
  <c r="AC7" i="22"/>
  <c r="R7" i="22"/>
  <c r="N7" i="22"/>
  <c r="I7" i="22"/>
  <c r="E7" i="22"/>
  <c r="AC6" i="22"/>
  <c r="R6" i="22"/>
  <c r="N6" i="22"/>
  <c r="I6" i="22"/>
  <c r="E6" i="22"/>
  <c r="AC5" i="22"/>
  <c r="R5" i="22"/>
  <c r="N5" i="22"/>
  <c r="I5" i="22"/>
  <c r="E5" i="22"/>
  <c r="AC4" i="22"/>
  <c r="R4" i="22"/>
  <c r="N4" i="22"/>
  <c r="I4" i="22"/>
  <c r="E4" i="22"/>
  <c r="AC3" i="22"/>
  <c r="R3" i="22"/>
  <c r="N3" i="22"/>
  <c r="I3" i="22"/>
  <c r="E3" i="22"/>
  <c r="AB9" i="20"/>
  <c r="AA9" i="20"/>
  <c r="Z9" i="20"/>
  <c r="Y9" i="20"/>
  <c r="X9" i="20"/>
  <c r="W9" i="20"/>
  <c r="V9" i="20"/>
  <c r="U9" i="20"/>
  <c r="T9" i="20"/>
  <c r="S9" i="20"/>
  <c r="Q9" i="20"/>
  <c r="P9" i="20"/>
  <c r="O9" i="20"/>
  <c r="M9" i="20"/>
  <c r="L9" i="20"/>
  <c r="K9" i="20"/>
  <c r="J9" i="20"/>
  <c r="H9" i="20"/>
  <c r="I9" i="20" s="1"/>
  <c r="G9" i="20"/>
  <c r="F9" i="20"/>
  <c r="D9" i="20"/>
  <c r="C9" i="20"/>
  <c r="B9" i="20"/>
  <c r="AC8" i="20"/>
  <c r="R8" i="20"/>
  <c r="N8" i="20"/>
  <c r="I8" i="20"/>
  <c r="E8" i="20"/>
  <c r="AC7" i="20"/>
  <c r="R7" i="20"/>
  <c r="N7" i="20"/>
  <c r="I7" i="20"/>
  <c r="E7" i="20"/>
  <c r="AC6" i="20"/>
  <c r="R6" i="20"/>
  <c r="N6" i="20"/>
  <c r="I6" i="20"/>
  <c r="E6" i="20"/>
  <c r="AC5" i="20"/>
  <c r="R5" i="20"/>
  <c r="N5" i="20"/>
  <c r="I5" i="20"/>
  <c r="E5" i="20"/>
  <c r="AC4" i="20"/>
  <c r="R4" i="20"/>
  <c r="N4" i="20"/>
  <c r="I4" i="20"/>
  <c r="E4" i="20"/>
  <c r="AC3" i="20"/>
  <c r="R3" i="20"/>
  <c r="N3" i="20"/>
  <c r="I3" i="20"/>
  <c r="E3" i="20"/>
  <c r="AB9" i="18"/>
  <c r="AA9" i="18"/>
  <c r="Z9" i="18"/>
  <c r="Y9" i="18"/>
  <c r="Q9" i="18"/>
  <c r="P9" i="18"/>
  <c r="O9" i="18"/>
  <c r="M9" i="18"/>
  <c r="L9" i="18"/>
  <c r="K9" i="18"/>
  <c r="J9" i="18"/>
  <c r="H9" i="18"/>
  <c r="G9" i="18"/>
  <c r="F9" i="18"/>
  <c r="D9" i="18"/>
  <c r="C9" i="18"/>
  <c r="B9" i="18"/>
  <c r="AC8" i="18"/>
  <c r="R8" i="18"/>
  <c r="N8" i="18"/>
  <c r="I8" i="18"/>
  <c r="E8" i="18"/>
  <c r="AC7" i="18"/>
  <c r="R7" i="18"/>
  <c r="N7" i="18"/>
  <c r="I7" i="18"/>
  <c r="E7" i="18"/>
  <c r="AC6" i="18"/>
  <c r="R6" i="18"/>
  <c r="N6" i="18"/>
  <c r="I6" i="18"/>
  <c r="E6" i="18"/>
  <c r="AC5" i="18"/>
  <c r="R5" i="18"/>
  <c r="N5" i="18"/>
  <c r="I5" i="18"/>
  <c r="E5" i="18"/>
  <c r="AC4" i="18"/>
  <c r="R4" i="18"/>
  <c r="N4" i="18"/>
  <c r="I4" i="18"/>
  <c r="E4" i="18"/>
  <c r="AC3" i="18"/>
  <c r="R3" i="18"/>
  <c r="N3" i="18"/>
  <c r="I3" i="18"/>
  <c r="E3" i="18"/>
  <c r="AC10" i="16"/>
  <c r="AA10" i="16"/>
  <c r="Z10" i="16"/>
  <c r="Y10" i="16"/>
  <c r="X10" i="16"/>
  <c r="V10" i="16"/>
  <c r="U10" i="16"/>
  <c r="T10" i="16"/>
  <c r="S10" i="16"/>
  <c r="Q10" i="16"/>
  <c r="P10" i="16"/>
  <c r="O10" i="16"/>
  <c r="M10" i="16"/>
  <c r="L10" i="16"/>
  <c r="K10" i="16"/>
  <c r="J10" i="16"/>
  <c r="H10" i="16"/>
  <c r="G10" i="16"/>
  <c r="F10" i="16"/>
  <c r="D10" i="16"/>
  <c r="C10" i="16"/>
  <c r="B10" i="16"/>
  <c r="AB9" i="16"/>
  <c r="W9" i="16"/>
  <c r="R9" i="16"/>
  <c r="N9" i="16"/>
  <c r="I9" i="16"/>
  <c r="E9" i="16"/>
  <c r="AB8" i="16"/>
  <c r="W8" i="16"/>
  <c r="R8" i="16"/>
  <c r="N8" i="16"/>
  <c r="I8" i="16"/>
  <c r="E8" i="16"/>
  <c r="AB7" i="16"/>
  <c r="W7" i="16"/>
  <c r="R7" i="16"/>
  <c r="N7" i="16"/>
  <c r="I7" i="16"/>
  <c r="E7" i="16"/>
  <c r="AB6" i="16"/>
  <c r="W6" i="16"/>
  <c r="R6" i="16"/>
  <c r="N6" i="16"/>
  <c r="I6" i="16"/>
  <c r="E6" i="16"/>
  <c r="AB5" i="16"/>
  <c r="W5" i="16"/>
  <c r="R5" i="16"/>
  <c r="N5" i="16"/>
  <c r="I5" i="16"/>
  <c r="E5" i="16"/>
  <c r="AB4" i="16"/>
  <c r="W4" i="16"/>
  <c r="R4" i="16"/>
  <c r="N4" i="16"/>
  <c r="I4" i="16"/>
  <c r="E4" i="16"/>
  <c r="AB9" i="14"/>
  <c r="AA9" i="14"/>
  <c r="Z9" i="14"/>
  <c r="Y9" i="14"/>
  <c r="X9" i="14"/>
  <c r="W9" i="14"/>
  <c r="V9" i="14"/>
  <c r="U9" i="14"/>
  <c r="T9" i="14"/>
  <c r="S9" i="14"/>
  <c r="Q9" i="14"/>
  <c r="P9" i="14"/>
  <c r="O9" i="14"/>
  <c r="M9" i="14"/>
  <c r="L9" i="14"/>
  <c r="K9" i="14"/>
  <c r="J9" i="14"/>
  <c r="N9" i="14" s="1"/>
  <c r="H9" i="14"/>
  <c r="G9" i="14"/>
  <c r="F9" i="14"/>
  <c r="I9" i="14" s="1"/>
  <c r="C9" i="14"/>
  <c r="B9" i="14"/>
  <c r="AC8" i="14"/>
  <c r="R8" i="14"/>
  <c r="N8" i="14"/>
  <c r="I8" i="14"/>
  <c r="E8" i="14"/>
  <c r="AC7" i="14"/>
  <c r="R7" i="14"/>
  <c r="N7" i="14"/>
  <c r="I7" i="14"/>
  <c r="E7" i="14"/>
  <c r="AC6" i="14"/>
  <c r="R6" i="14"/>
  <c r="N6" i="14"/>
  <c r="I6" i="14"/>
  <c r="E6" i="14"/>
  <c r="AC5" i="14"/>
  <c r="R5" i="14"/>
  <c r="N5" i="14"/>
  <c r="I5" i="14"/>
  <c r="E5" i="14"/>
  <c r="AC4" i="14"/>
  <c r="R4" i="14"/>
  <c r="N4" i="14"/>
  <c r="I4" i="14"/>
  <c r="E4" i="14"/>
  <c r="AC3" i="14"/>
  <c r="R3" i="14"/>
  <c r="N3" i="14"/>
  <c r="I3" i="14"/>
  <c r="E3" i="14"/>
  <c r="AB9" i="12"/>
  <c r="AA9" i="12"/>
  <c r="Z9" i="12"/>
  <c r="Y9" i="12"/>
  <c r="X9" i="12"/>
  <c r="W9" i="12"/>
  <c r="V9" i="12"/>
  <c r="U9" i="12"/>
  <c r="T9" i="12"/>
  <c r="S9" i="12"/>
  <c r="Q9" i="12"/>
  <c r="P9" i="12"/>
  <c r="O9" i="12"/>
  <c r="M9" i="12"/>
  <c r="L9" i="12"/>
  <c r="K9" i="12"/>
  <c r="J9" i="12"/>
  <c r="H9" i="12"/>
  <c r="G9" i="12"/>
  <c r="F9" i="12"/>
  <c r="I9" i="12" s="1"/>
  <c r="D9" i="12"/>
  <c r="C9" i="12"/>
  <c r="B9" i="12"/>
  <c r="AC8" i="12"/>
  <c r="R8" i="12"/>
  <c r="N8" i="12"/>
  <c r="I8" i="12"/>
  <c r="E8" i="12"/>
  <c r="AC7" i="12"/>
  <c r="R7" i="12"/>
  <c r="N7" i="12"/>
  <c r="I7" i="12"/>
  <c r="E7" i="12"/>
  <c r="AC6" i="12"/>
  <c r="R6" i="12"/>
  <c r="N6" i="12"/>
  <c r="I6" i="12"/>
  <c r="E6" i="12"/>
  <c r="AC5" i="12"/>
  <c r="R5" i="12"/>
  <c r="N5" i="12"/>
  <c r="I5" i="12"/>
  <c r="E5" i="12"/>
  <c r="AC4" i="12"/>
  <c r="R4" i="12"/>
  <c r="N4" i="12"/>
  <c r="I4" i="12"/>
  <c r="E4" i="12"/>
  <c r="AC3" i="12"/>
  <c r="R3" i="12"/>
  <c r="N3" i="12"/>
  <c r="I3" i="12"/>
  <c r="E3" i="12"/>
  <c r="AC9" i="10"/>
  <c r="AB9" i="10"/>
  <c r="AA9" i="10"/>
  <c r="Z9" i="10"/>
  <c r="R9" i="10"/>
  <c r="Q9" i="10"/>
  <c r="P9" i="10"/>
  <c r="S9" i="10" s="1"/>
  <c r="N9" i="10"/>
  <c r="M9" i="10"/>
  <c r="L9" i="10"/>
  <c r="K9" i="10"/>
  <c r="I9" i="10"/>
  <c r="H9" i="10"/>
  <c r="G9" i="10"/>
  <c r="E9" i="10"/>
  <c r="D9" i="10"/>
  <c r="C9" i="10"/>
  <c r="AD8" i="10"/>
  <c r="S8" i="10"/>
  <c r="O8" i="10"/>
  <c r="J8" i="10"/>
  <c r="F8" i="10"/>
  <c r="F9" i="10" s="1"/>
  <c r="AD7" i="10"/>
  <c r="S7" i="10"/>
  <c r="O7" i="10"/>
  <c r="J7" i="10"/>
  <c r="F7" i="10"/>
  <c r="AD6" i="10"/>
  <c r="S6" i="10"/>
  <c r="O6" i="10"/>
  <c r="J6" i="10"/>
  <c r="F6" i="10"/>
  <c r="AB9" i="8"/>
  <c r="AA9" i="8"/>
  <c r="Z9" i="8"/>
  <c r="Y9" i="8"/>
  <c r="X9" i="8"/>
  <c r="W9" i="8"/>
  <c r="V9" i="8"/>
  <c r="U9" i="8"/>
  <c r="T9" i="8"/>
  <c r="S9" i="8"/>
  <c r="Q9" i="8"/>
  <c r="P9" i="8"/>
  <c r="O9" i="8"/>
  <c r="M9" i="8"/>
  <c r="L9" i="8"/>
  <c r="K9" i="8"/>
  <c r="J9" i="8"/>
  <c r="H9" i="8"/>
  <c r="G9" i="8"/>
  <c r="F9" i="8"/>
  <c r="D9" i="8"/>
  <c r="C9" i="8"/>
  <c r="B9" i="8"/>
  <c r="AC8" i="8"/>
  <c r="R8" i="8"/>
  <c r="N8" i="8"/>
  <c r="I8" i="8"/>
  <c r="E8" i="8"/>
  <c r="AC7" i="8"/>
  <c r="R7" i="8"/>
  <c r="N7" i="8"/>
  <c r="I7" i="8"/>
  <c r="E7" i="8"/>
  <c r="AC6" i="8"/>
  <c r="R6" i="8"/>
  <c r="N6" i="8"/>
  <c r="I6" i="8"/>
  <c r="E6" i="8"/>
  <c r="AC5" i="8"/>
  <c r="R5" i="8"/>
  <c r="N5" i="8"/>
  <c r="I5" i="8"/>
  <c r="E5" i="8"/>
  <c r="AC4" i="8"/>
  <c r="R4" i="8"/>
  <c r="N4" i="8"/>
  <c r="I4" i="8"/>
  <c r="E4" i="8"/>
  <c r="AC3" i="8"/>
  <c r="R3" i="8"/>
  <c r="N3" i="8"/>
  <c r="I3" i="8"/>
  <c r="E3" i="8"/>
  <c r="AB9" i="6"/>
  <c r="AA9" i="6"/>
  <c r="Z9" i="6"/>
  <c r="Y9" i="6"/>
  <c r="X9" i="6"/>
  <c r="W9" i="6"/>
  <c r="V9" i="6"/>
  <c r="U9" i="6"/>
  <c r="T9" i="6"/>
  <c r="S9" i="6"/>
  <c r="Q9" i="6"/>
  <c r="P9" i="6"/>
  <c r="O9" i="6"/>
  <c r="M9" i="6"/>
  <c r="L9" i="6"/>
  <c r="K9" i="6"/>
  <c r="J9" i="6"/>
  <c r="H9" i="6"/>
  <c r="G9" i="6"/>
  <c r="F9" i="6"/>
  <c r="D9" i="6"/>
  <c r="C9" i="6"/>
  <c r="B9" i="6"/>
  <c r="AC8" i="6"/>
  <c r="R8" i="6"/>
  <c r="N8" i="6"/>
  <c r="I8" i="6"/>
  <c r="E8" i="6"/>
  <c r="AC7" i="6"/>
  <c r="R7" i="6"/>
  <c r="N7" i="6"/>
  <c r="I7" i="6"/>
  <c r="E7" i="6"/>
  <c r="AC6" i="6"/>
  <c r="R6" i="6"/>
  <c r="N6" i="6"/>
  <c r="I6" i="6"/>
  <c r="E6" i="6"/>
  <c r="AC5" i="6"/>
  <c r="R5" i="6"/>
  <c r="N5" i="6"/>
  <c r="I5" i="6"/>
  <c r="E5" i="6"/>
  <c r="AC4" i="6"/>
  <c r="R4" i="6"/>
  <c r="N4" i="6"/>
  <c r="I4" i="6"/>
  <c r="E4" i="6"/>
  <c r="AC3" i="6"/>
  <c r="R3" i="6"/>
  <c r="N3" i="6"/>
  <c r="I3" i="6"/>
  <c r="E3" i="6"/>
  <c r="AB9" i="4"/>
  <c r="AA9" i="4"/>
  <c r="Z9" i="4"/>
  <c r="Y9" i="4"/>
  <c r="AC9" i="4" s="1"/>
  <c r="X9" i="4"/>
  <c r="W9" i="4"/>
  <c r="V9" i="4"/>
  <c r="U9" i="4"/>
  <c r="T9" i="4"/>
  <c r="S9" i="4"/>
  <c r="Q9" i="4"/>
  <c r="P9" i="4"/>
  <c r="R9" i="4" s="1"/>
  <c r="O9" i="4"/>
  <c r="M9" i="4"/>
  <c r="L9" i="4"/>
  <c r="K9" i="4"/>
  <c r="J9" i="4"/>
  <c r="H9" i="4"/>
  <c r="G9" i="4"/>
  <c r="F9" i="4"/>
  <c r="D9" i="4"/>
  <c r="C9" i="4"/>
  <c r="B9" i="4"/>
  <c r="AC8" i="4"/>
  <c r="R8" i="4"/>
  <c r="N8" i="4"/>
  <c r="I8" i="4"/>
  <c r="E8" i="4"/>
  <c r="AC7" i="4"/>
  <c r="R7" i="4"/>
  <c r="N7" i="4"/>
  <c r="I7" i="4"/>
  <c r="E7" i="4"/>
  <c r="AC6" i="4"/>
  <c r="R6" i="4"/>
  <c r="N6" i="4"/>
  <c r="I6" i="4"/>
  <c r="E6" i="4"/>
  <c r="AC5" i="4"/>
  <c r="R5" i="4"/>
  <c r="N5" i="4"/>
  <c r="I5" i="4"/>
  <c r="E5" i="4"/>
  <c r="AC4" i="4"/>
  <c r="R4" i="4"/>
  <c r="N4" i="4"/>
  <c r="I4" i="4"/>
  <c r="E4" i="4"/>
  <c r="AC3" i="4"/>
  <c r="R3" i="4"/>
  <c r="N3" i="4"/>
  <c r="I3" i="4"/>
  <c r="E3" i="4"/>
  <c r="AB11" i="2"/>
  <c r="AA11" i="2"/>
  <c r="Z11" i="2"/>
  <c r="Y11" i="2"/>
  <c r="Q11" i="2"/>
  <c r="P11" i="2"/>
  <c r="O11" i="2"/>
  <c r="M11" i="2"/>
  <c r="L11" i="2"/>
  <c r="K11" i="2"/>
  <c r="J11" i="2"/>
  <c r="H11" i="2"/>
  <c r="G11" i="2"/>
  <c r="F11" i="2"/>
  <c r="D11" i="2"/>
  <c r="C11" i="2"/>
  <c r="B11" i="2"/>
  <c r="AC10" i="2"/>
  <c r="R10" i="2"/>
  <c r="N10" i="2"/>
  <c r="I10" i="2"/>
  <c r="E10" i="2"/>
  <c r="AC9" i="2"/>
  <c r="R9" i="2"/>
  <c r="N9" i="2"/>
  <c r="I9" i="2"/>
  <c r="E9" i="2"/>
  <c r="AC8" i="2"/>
  <c r="R8" i="2"/>
  <c r="N8" i="2"/>
  <c r="I8" i="2"/>
  <c r="E8" i="2"/>
  <c r="AC7" i="2"/>
  <c r="R7" i="2"/>
  <c r="N7" i="2"/>
  <c r="I7" i="2"/>
  <c r="E7" i="2"/>
  <c r="AC6" i="2"/>
  <c r="R6" i="2"/>
  <c r="N6" i="2"/>
  <c r="I6" i="2"/>
  <c r="E6" i="2"/>
  <c r="AC5" i="2"/>
  <c r="R5" i="2"/>
  <c r="N5" i="2"/>
  <c r="I5" i="2"/>
  <c r="E5" i="2"/>
  <c r="E9" i="8" l="1"/>
  <c r="R9" i="8"/>
  <c r="E9" i="28"/>
  <c r="AD8" i="50"/>
  <c r="S7" i="52"/>
  <c r="O7" i="52"/>
  <c r="E9" i="58"/>
  <c r="T6" i="63"/>
  <c r="T5" i="66"/>
  <c r="E9" i="73"/>
  <c r="O9" i="81"/>
  <c r="J5" i="83"/>
  <c r="J9" i="85"/>
  <c r="P9" i="91"/>
  <c r="AE9" i="93"/>
  <c r="P5" i="97"/>
  <c r="AE5" i="111"/>
  <c r="T7" i="115"/>
  <c r="AE8" i="117"/>
  <c r="J9" i="125"/>
  <c r="AE8" i="131"/>
  <c r="J8" i="131"/>
  <c r="AE8" i="140"/>
  <c r="P6" i="144"/>
  <c r="I9" i="24"/>
  <c r="AD9" i="46"/>
  <c r="K9" i="58"/>
  <c r="T8" i="61"/>
  <c r="P5" i="64"/>
  <c r="J9" i="73"/>
  <c r="AE9" i="91"/>
  <c r="P9" i="93"/>
  <c r="J8" i="105"/>
  <c r="P8" i="113"/>
  <c r="J8" i="117"/>
  <c r="P9" i="119"/>
  <c r="P6" i="123"/>
  <c r="AE7" i="129"/>
  <c r="J6" i="144"/>
  <c r="E9" i="150"/>
  <c r="P9" i="150"/>
  <c r="AD9" i="10"/>
  <c r="R9" i="22"/>
  <c r="AC9" i="24"/>
  <c r="E9" i="32"/>
  <c r="R6" i="34"/>
  <c r="O9" i="48"/>
  <c r="K5" i="66"/>
  <c r="T9" i="71"/>
  <c r="E9" i="79"/>
  <c r="O9" i="79"/>
  <c r="P9" i="95"/>
  <c r="J8" i="121"/>
  <c r="E6" i="123"/>
  <c r="AE6" i="136"/>
  <c r="AE8" i="138"/>
  <c r="J8" i="138"/>
  <c r="E8" i="140"/>
  <c r="P8" i="140"/>
  <c r="AE9" i="142"/>
  <c r="T6" i="144"/>
  <c r="P9" i="148"/>
  <c r="T9" i="150"/>
  <c r="AE142" i="153"/>
  <c r="T9" i="155"/>
  <c r="N11" i="2"/>
  <c r="R9" i="6"/>
  <c r="N9" i="12"/>
  <c r="E9" i="14"/>
  <c r="R9" i="28"/>
  <c r="I9" i="32"/>
  <c r="S9" i="46"/>
  <c r="O8" i="50"/>
  <c r="T9" i="58"/>
  <c r="P5" i="69"/>
  <c r="AE9" i="71"/>
  <c r="T9" i="87"/>
  <c r="J9" i="89"/>
  <c r="J5" i="97"/>
  <c r="E8" i="103"/>
  <c r="T8" i="138"/>
  <c r="P9" i="142"/>
  <c r="AE6" i="144"/>
  <c r="AE9" i="150"/>
  <c r="AC9" i="6"/>
  <c r="AD9" i="6" s="1"/>
  <c r="P6" i="63"/>
  <c r="E9" i="71"/>
  <c r="J9" i="81"/>
  <c r="O5" i="83"/>
  <c r="P9" i="85"/>
  <c r="J9" i="91"/>
  <c r="J7" i="109"/>
  <c r="J7" i="115"/>
  <c r="J6" i="123"/>
  <c r="P9" i="125"/>
  <c r="J7" i="129"/>
  <c r="J8" i="133"/>
  <c r="N9" i="8"/>
  <c r="AC9" i="20"/>
  <c r="E9" i="20"/>
  <c r="N9" i="22"/>
  <c r="E7" i="36"/>
  <c r="E7" i="52"/>
  <c r="K8" i="61"/>
  <c r="E6" i="63"/>
  <c r="K5" i="64"/>
  <c r="P9" i="87"/>
  <c r="P7" i="101"/>
  <c r="AE8" i="103"/>
  <c r="J8" i="107"/>
  <c r="P5" i="111"/>
  <c r="J8" i="113"/>
  <c r="E7" i="115"/>
  <c r="E8" i="121"/>
  <c r="J8" i="127"/>
  <c r="T7" i="129"/>
  <c r="T8" i="133"/>
  <c r="E9" i="4"/>
  <c r="E9" i="12"/>
  <c r="AC9" i="18"/>
  <c r="N9" i="18"/>
  <c r="N9" i="20"/>
  <c r="E9" i="24"/>
  <c r="AC9" i="42"/>
  <c r="AC9" i="44"/>
  <c r="AE5" i="69"/>
  <c r="S5" i="83"/>
  <c r="E5" i="97"/>
  <c r="T7" i="99"/>
  <c r="P7" i="99"/>
  <c r="J8" i="103"/>
  <c r="AE8" i="121"/>
  <c r="AE6" i="123"/>
  <c r="T8" i="127"/>
  <c r="E6" i="136"/>
  <c r="J6" i="136"/>
  <c r="P8" i="138"/>
  <c r="AF118" i="153"/>
  <c r="AG118" i="153"/>
  <c r="F132" i="153"/>
  <c r="Q132" i="153"/>
  <c r="F142" i="153"/>
  <c r="U118" i="153"/>
  <c r="Z23" i="153"/>
  <c r="U142" i="153"/>
  <c r="Q142" i="153"/>
  <c r="F78" i="153"/>
  <c r="U66" i="153"/>
  <c r="Z53" i="153"/>
  <c r="F90" i="153"/>
  <c r="AE104" i="153"/>
  <c r="Q36" i="153"/>
  <c r="AE66" i="153"/>
  <c r="AE78" i="153"/>
  <c r="Z36" i="153"/>
  <c r="Q53" i="153"/>
  <c r="AE36" i="153"/>
  <c r="U90" i="153"/>
  <c r="F104" i="153"/>
  <c r="L104" i="153"/>
  <c r="U23" i="153"/>
  <c r="L66" i="153"/>
  <c r="L78" i="153"/>
  <c r="L12" i="153"/>
  <c r="Q23" i="153"/>
  <c r="F36" i="153"/>
  <c r="I9" i="8"/>
  <c r="I11" i="2"/>
  <c r="R11" i="2"/>
  <c r="I9" i="4"/>
  <c r="R9" i="12"/>
  <c r="I10" i="16"/>
  <c r="R10" i="16"/>
  <c r="I9" i="22"/>
  <c r="R9" i="26"/>
  <c r="R9" i="32"/>
  <c r="AC6" i="34"/>
  <c r="I7" i="36"/>
  <c r="O9" i="46"/>
  <c r="E8" i="50"/>
  <c r="E6" i="56"/>
  <c r="E5" i="69"/>
  <c r="J9" i="71"/>
  <c r="AE6" i="74"/>
  <c r="J9" i="77"/>
  <c r="E9" i="85"/>
  <c r="T9" i="85"/>
  <c r="AE9" i="89"/>
  <c r="AE5" i="97"/>
  <c r="E7" i="101"/>
  <c r="AE8" i="105"/>
  <c r="P8" i="105"/>
  <c r="AE8" i="107"/>
  <c r="E7" i="109"/>
  <c r="T8" i="113"/>
  <c r="E8" i="138"/>
  <c r="E9" i="142"/>
  <c r="E9" i="148"/>
  <c r="AE23" i="153"/>
  <c r="Q78" i="153"/>
  <c r="AE90" i="153"/>
  <c r="N9" i="6"/>
  <c r="O9" i="10"/>
  <c r="AC9" i="12"/>
  <c r="E9" i="18"/>
  <c r="E9" i="22"/>
  <c r="R9" i="24"/>
  <c r="AC9" i="26"/>
  <c r="AC9" i="30"/>
  <c r="I9" i="30"/>
  <c r="AC9" i="32"/>
  <c r="N9" i="32"/>
  <c r="AC8" i="38"/>
  <c r="I8" i="38"/>
  <c r="AC8" i="40"/>
  <c r="I8" i="40"/>
  <c r="R9" i="42"/>
  <c r="R9" i="44"/>
  <c r="E9" i="48"/>
  <c r="AE8" i="61"/>
  <c r="P9" i="73"/>
  <c r="S9" i="77"/>
  <c r="E9" i="81"/>
  <c r="T9" i="91"/>
  <c r="E9" i="93"/>
  <c r="AE7" i="99"/>
  <c r="AE8" i="113"/>
  <c r="T8" i="117"/>
  <c r="P7" i="129"/>
  <c r="AE12" i="153"/>
  <c r="U36" i="153"/>
  <c r="Q66" i="153"/>
  <c r="Z90" i="153"/>
  <c r="F118" i="153"/>
  <c r="R8" i="40"/>
  <c r="K6" i="56"/>
  <c r="J9" i="93"/>
  <c r="J7" i="99"/>
  <c r="J7" i="101"/>
  <c r="E8" i="113"/>
  <c r="P8" i="127"/>
  <c r="E8" i="131"/>
  <c r="L23" i="153"/>
  <c r="L118" i="153"/>
  <c r="N9" i="4"/>
  <c r="AD9" i="4"/>
  <c r="AC9" i="14"/>
  <c r="W10" i="16"/>
  <c r="AC9" i="22"/>
  <c r="N9" i="26"/>
  <c r="R9" i="30"/>
  <c r="N7" i="36"/>
  <c r="J9" i="48"/>
  <c r="T6" i="56"/>
  <c r="K6" i="63"/>
  <c r="O9" i="77"/>
  <c r="J9" i="79"/>
  <c r="J9" i="87"/>
  <c r="E7" i="99"/>
  <c r="P8" i="103"/>
  <c r="T7" i="109"/>
  <c r="AE7" i="109"/>
  <c r="AE9" i="119"/>
  <c r="J9" i="119"/>
  <c r="AE9" i="125"/>
  <c r="E8" i="133"/>
  <c r="P8" i="133"/>
  <c r="J8" i="140"/>
  <c r="AE9" i="146"/>
  <c r="F23" i="153"/>
  <c r="AE53" i="153"/>
  <c r="Z66" i="153"/>
  <c r="U78" i="153"/>
  <c r="Q104" i="153"/>
  <c r="Z104" i="153"/>
  <c r="R9" i="14"/>
  <c r="E9" i="30"/>
  <c r="AC11" i="2"/>
  <c r="J9" i="10"/>
  <c r="AB10" i="16"/>
  <c r="R9" i="18"/>
  <c r="I9" i="18"/>
  <c r="R9" i="20"/>
  <c r="N9" i="24"/>
  <c r="N9" i="30"/>
  <c r="I6" i="34"/>
  <c r="R8" i="38"/>
  <c r="J8" i="50"/>
  <c r="P5" i="66"/>
  <c r="P9" i="71"/>
  <c r="T9" i="73"/>
  <c r="P6" i="74"/>
  <c r="S9" i="81"/>
  <c r="AE9" i="85"/>
  <c r="P9" i="89"/>
  <c r="AE9" i="95"/>
  <c r="J9" i="95"/>
  <c r="T5" i="97"/>
  <c r="AE7" i="101"/>
  <c r="T8" i="105"/>
  <c r="P8" i="107"/>
  <c r="P7" i="109"/>
  <c r="J5" i="111"/>
  <c r="P7" i="115"/>
  <c r="P8" i="121"/>
  <c r="T8" i="131"/>
  <c r="J9" i="142"/>
  <c r="J9" i="150"/>
  <c r="F12" i="153"/>
  <c r="Z78" i="153"/>
  <c r="L90" i="153"/>
  <c r="U104" i="153"/>
  <c r="AC9" i="28"/>
  <c r="E9" i="42"/>
  <c r="N9" i="42"/>
  <c r="E9" i="44"/>
  <c r="N9" i="44"/>
  <c r="E9" i="46"/>
  <c r="AD9" i="48"/>
  <c r="P6" i="56"/>
  <c r="AE9" i="58"/>
  <c r="P8" i="61"/>
  <c r="J5" i="69"/>
  <c r="K6" i="74"/>
  <c r="E9" i="77"/>
  <c r="T9" i="95"/>
  <c r="T7" i="101"/>
  <c r="T8" i="103"/>
  <c r="T6" i="123"/>
  <c r="AE8" i="127"/>
  <c r="E7" i="129"/>
  <c r="P6" i="136"/>
  <c r="T8" i="140"/>
  <c r="T9" i="142"/>
  <c r="Q12" i="153"/>
  <c r="Z12" i="153"/>
  <c r="F53" i="153"/>
  <c r="I9" i="6"/>
  <c r="E11" i="2"/>
  <c r="E9" i="6"/>
  <c r="AC9" i="8"/>
  <c r="AD9" i="8" s="1"/>
  <c r="E10" i="16"/>
  <c r="N10" i="16"/>
  <c r="E9" i="26"/>
  <c r="N6" i="34"/>
  <c r="E5" i="66"/>
  <c r="T6" i="74"/>
  <c r="E9" i="87"/>
  <c r="E9" i="91"/>
  <c r="E8" i="105"/>
  <c r="E8" i="127"/>
  <c r="U12" i="153"/>
  <c r="L36" i="153"/>
  <c r="L53" i="153"/>
  <c r="U53" i="153"/>
  <c r="F66" i="153"/>
  <c r="Q90" i="153"/>
  <c r="P9" i="156"/>
  <c r="J9" i="156"/>
  <c r="AE9" i="156"/>
  <c r="T9" i="156"/>
  <c r="E9" i="156"/>
  <c r="E9" i="155"/>
  <c r="AE9" i="155"/>
  <c r="P9" i="155"/>
  <c r="J9" i="155"/>
  <c r="AD9" i="79"/>
  <c r="AD9" i="81"/>
</calcChain>
</file>

<file path=xl/comments1.xml><?xml version="1.0" encoding="utf-8"?>
<comments xmlns="http://schemas.openxmlformats.org/spreadsheetml/2006/main">
  <authors>
    <author/>
  </authors>
  <commentList>
    <comment ref="E5" authorId="0" shapeId="0">
      <text>
        <r>
          <rPr>
            <sz val="11"/>
            <color theme="1"/>
            <rFont val="Calibri"/>
            <family val="2"/>
            <scheme val="minor"/>
          </rPr>
          <t>0708-000255
======</t>
        </r>
      </text>
    </comment>
    <comment ref="BL5" authorId="0" shapeId="0">
      <text>
        <r>
          <rPr>
            <sz val="11"/>
            <color theme="1"/>
            <rFont val="Calibri"/>
            <family val="2"/>
            <scheme val="minor"/>
          </rPr>
          <t>Cervix not visible
======</t>
        </r>
      </text>
    </comment>
    <comment ref="BL6" authorId="0" shapeId="0">
      <text>
        <r>
          <rPr>
            <sz val="11"/>
            <color theme="1"/>
            <rFont val="Calibri"/>
            <family val="2"/>
            <scheme val="minor"/>
          </rPr>
          <t>In periods
======</t>
        </r>
      </text>
    </comment>
    <comment ref="CG13" authorId="0" shapeId="0">
      <text>
        <r>
          <rPr>
            <sz val="11"/>
            <color theme="1"/>
            <rFont val="Calibri"/>
            <family val="2"/>
            <scheme val="minor"/>
          </rPr>
          <t>Not screened, patient did not want
======</t>
        </r>
      </text>
    </comment>
    <comment ref="E16" authorId="0" shapeId="0">
      <text>
        <r>
          <rPr>
            <sz val="11"/>
            <color theme="1"/>
            <rFont val="Calibri"/>
            <family val="2"/>
            <scheme val="minor"/>
          </rPr>
          <t>0779-563398 Husband (Patrick)
======</t>
        </r>
      </text>
    </comment>
    <comment ref="BW16" authorId="0" shapeId="0">
      <text>
        <r>
          <rPr>
            <sz val="11"/>
            <color theme="1"/>
            <rFont val="Calibri"/>
            <family val="2"/>
            <scheme val="minor"/>
          </rPr>
          <t>Histology
======</t>
        </r>
      </text>
    </comment>
    <comment ref="K17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CG23" authorId="0" shapeId="0">
      <text>
        <r>
          <rPr>
            <sz val="11"/>
            <color theme="1"/>
            <rFont val="Calibri"/>
            <family val="2"/>
            <scheme val="minor"/>
          </rPr>
          <t>Not screened, patient did not want
======</t>
        </r>
      </text>
    </comment>
    <comment ref="CR30" authorId="0" shapeId="0">
      <text>
        <r>
          <rPr>
            <sz val="11"/>
            <color theme="1"/>
            <rFont val="Calibri"/>
            <family val="2"/>
            <scheme val="minor"/>
          </rPr>
          <t>But check breasts after 1 month
======</t>
        </r>
      </text>
    </comment>
    <comment ref="K35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CG41" authorId="0" shapeId="0">
      <text>
        <r>
          <rPr>
            <sz val="11"/>
            <color theme="1"/>
            <rFont val="Calibri"/>
            <family val="2"/>
            <scheme val="minor"/>
          </rPr>
          <t>Not done
======</t>
        </r>
      </text>
    </comment>
    <comment ref="E42" authorId="0" shapeId="0">
      <text>
        <r>
          <rPr>
            <sz val="11"/>
            <color theme="1"/>
            <rFont val="Calibri"/>
            <family val="2"/>
            <scheme val="minor"/>
          </rPr>
          <t>Mother
======</t>
        </r>
      </text>
    </comment>
    <comment ref="K51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BW56" authorId="0" shapeId="0">
      <text>
        <r>
          <rPr>
            <sz val="11"/>
            <color theme="1"/>
            <rFont val="Calibri"/>
            <family val="2"/>
            <scheme val="minor"/>
          </rPr>
          <t>Referred to JRRH
======</t>
        </r>
      </text>
    </comment>
    <comment ref="K61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AJ63" authorId="0" shapeId="0">
      <text>
        <r>
          <rPr>
            <sz val="11"/>
            <color theme="1"/>
            <rFont val="Calibri"/>
            <family val="2"/>
            <scheme val="minor"/>
          </rPr>
          <t>But IUD was removed during this screening, at the request of the patient
======</t>
        </r>
      </text>
    </comment>
    <comment ref="E72" authorId="0" shapeId="0">
      <text>
        <r>
          <rPr>
            <sz val="11"/>
            <color theme="1"/>
            <rFont val="Calibri"/>
            <family val="2"/>
            <scheme val="minor"/>
          </rPr>
          <t>There is a number on the screening sheet, but is not enough digits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J5" authorId="0" shapeId="0">
      <text>
        <r>
          <rPr>
            <sz val="11"/>
            <color theme="1"/>
            <rFont val="Calibri"/>
            <family val="2"/>
            <scheme val="minor"/>
          </rPr>
          <t>Not screened. Asked to come back after 1 month
======</t>
        </r>
      </text>
    </comment>
    <comment ref="BY6" authorId="0" shapeId="0">
      <text>
        <r>
          <rPr>
            <sz val="11"/>
            <color theme="1"/>
            <rFont val="Calibri"/>
            <family val="2"/>
            <scheme val="minor"/>
          </rPr>
          <t>Referred to JRRH Pap smear
======</t>
        </r>
      </text>
    </comment>
    <comment ref="BK7" authorId="0" shapeId="0">
      <text>
        <r>
          <rPr>
            <sz val="11"/>
            <color theme="1"/>
            <rFont val="Calibri"/>
            <family val="2"/>
            <scheme val="minor"/>
          </rPr>
          <t>======
ID#AAABHLgbrw4
Rays of hope HospiceJinja    (2024-02-23 08:38:30)
Not tested. Severe pain on touching vagina. Referred to JRRH</t>
        </r>
      </text>
    </comment>
    <comment ref="BY8" authorId="0" shapeId="0">
      <text>
        <r>
          <rPr>
            <sz val="11"/>
            <color theme="1"/>
            <rFont val="Calibri"/>
            <family val="2"/>
            <scheme val="minor"/>
          </rPr>
          <t>Referred to JRRH
======</t>
        </r>
      </text>
    </comment>
    <comment ref="CJ9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Father
======</t>
        </r>
      </text>
    </comment>
    <comment ref="CJ11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K12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BN35" authorId="0" shapeId="0">
      <text>
        <r>
          <rPr>
            <sz val="11"/>
            <color theme="1"/>
            <rFont val="Calibri"/>
            <family val="2"/>
            <scheme val="minor"/>
          </rPr>
          <t>Not screened due to severe infection
======</t>
        </r>
      </text>
    </comment>
    <comment ref="E46" authorId="0" shapeId="0">
      <text>
        <r>
          <rPr>
            <sz val="11"/>
            <color theme="1"/>
            <rFont val="Calibri"/>
            <family val="2"/>
            <scheme val="minor"/>
          </rPr>
          <t>Husband
======</t>
        </r>
      </text>
    </comment>
    <comment ref="BN51" authorId="0" shapeId="0">
      <text>
        <r>
          <rPr>
            <sz val="11"/>
            <color theme="1"/>
            <rFont val="Calibri"/>
            <family val="2"/>
            <scheme val="minor"/>
          </rPr>
          <t>Prolapsed uterus
======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M5" authorId="0" shapeId="0">
      <text>
        <r>
          <rPr>
            <sz val="11"/>
            <color theme="1"/>
            <rFont val="Calibri"/>
            <family val="2"/>
            <scheme val="minor"/>
          </rPr>
          <t>Breast check only
======</t>
        </r>
      </text>
    </comment>
    <comment ref="BM14" authorId="0" shapeId="0">
      <text>
        <r>
          <rPr>
            <sz val="11"/>
            <color theme="1"/>
            <rFont val="Calibri"/>
            <family val="2"/>
            <scheme val="minor"/>
          </rPr>
          <t>Pregnant, cervix is bleeding
======</t>
        </r>
      </text>
    </comment>
    <comment ref="BO14" authorId="0" shapeId="0">
      <text>
        <r>
          <rPr>
            <sz val="11"/>
            <color theme="1"/>
            <rFont val="Calibri"/>
            <family val="2"/>
            <scheme val="minor"/>
          </rPr>
          <t>Referred for gyne
======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Daughter in law
======</t>
        </r>
      </text>
    </comment>
    <comment ref="BX7" authorId="0" shapeId="0">
      <text>
        <r>
          <rPr>
            <sz val="11"/>
            <color theme="1"/>
            <rFont val="Calibri"/>
            <family val="2"/>
            <scheme val="minor"/>
          </rPr>
          <t>Referred to JRRH and/or Iganda Hosp (LEEP)
======</t>
        </r>
      </text>
    </comment>
    <comment ref="K18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Husband
======</t>
        </r>
      </text>
    </comment>
    <comment ref="BI26" authorId="0" shapeId="0">
      <text>
        <r>
          <rPr>
            <sz val="11"/>
            <color theme="1"/>
            <rFont val="Calibri"/>
            <family val="2"/>
            <scheme val="minor"/>
          </rPr>
          <t>Virgin
======</t>
        </r>
      </text>
    </comment>
    <comment ref="BI32" authorId="0" shapeId="0">
      <text>
        <r>
          <rPr>
            <sz val="11"/>
            <color theme="1"/>
            <rFont val="Calibri"/>
            <family val="2"/>
            <scheme val="minor"/>
          </rPr>
          <t>At patient's request
======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BX5" authorId="0" shapeId="0">
      <text>
        <r>
          <rPr>
            <sz val="11"/>
            <color theme="1"/>
            <rFont val="Calibri"/>
            <family val="2"/>
            <scheme val="minor"/>
          </rPr>
          <t>Referred to JRRH
======</t>
        </r>
      </text>
    </comment>
    <comment ref="CJ6" authorId="0" shapeId="0">
      <text>
        <r>
          <rPr>
            <sz val="11"/>
            <color theme="1"/>
            <rFont val="Calibri"/>
            <family val="2"/>
            <scheme val="minor"/>
          </rPr>
          <t>Referred to Afri Egypt for mammogram
======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Also 0771-684930
======</t>
        </r>
      </text>
    </comment>
    <comment ref="BI16" authorId="0" shapeId="0">
      <text>
        <r>
          <rPr>
            <sz val="11"/>
            <color theme="1"/>
            <rFont val="Calibri"/>
            <family val="2"/>
            <scheme val="minor"/>
          </rPr>
          <t>Treated for UTI
======</t>
        </r>
      </text>
    </comment>
    <comment ref="K18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BI25" authorId="0" shapeId="0">
      <text>
        <r>
          <rPr>
            <sz val="11"/>
            <color theme="1"/>
            <rFont val="Calibri"/>
            <family val="2"/>
            <scheme val="minor"/>
          </rPr>
          <t>Menstruating
======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BL7" authorId="0" shapeId="0">
      <text>
        <r>
          <rPr>
            <sz val="11"/>
            <color theme="1"/>
            <rFont val="Calibri"/>
            <family val="2"/>
            <scheme val="minor"/>
          </rPr>
          <t>Screening not done
======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theme="1"/>
            <rFont val="Calibri"/>
            <family val="2"/>
            <scheme val="minor"/>
          </rPr>
          <t>Son
======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0778 461309
======</t>
        </r>
      </text>
    </comment>
    <comment ref="BN13" authorId="0" shapeId="0">
      <text>
        <r>
          <rPr>
            <sz val="11"/>
            <color theme="1"/>
            <rFont val="Calibri"/>
            <family val="2"/>
            <scheme val="minor"/>
          </rPr>
          <t>Not screened. Last screened 6 mths ago
======</t>
        </r>
      </text>
    </comment>
    <comment ref="F14" authorId="0" shapeId="0">
      <text>
        <r>
          <rPr>
            <sz val="11"/>
            <color theme="1"/>
            <rFont val="Calibri"/>
            <family val="2"/>
            <scheme val="minor"/>
          </rPr>
          <t>Daughter
======</t>
        </r>
      </text>
    </comment>
    <comment ref="F19" authorId="0" shapeId="0">
      <text>
        <r>
          <rPr>
            <sz val="11"/>
            <color theme="1"/>
            <rFont val="Calibri"/>
            <family val="2"/>
            <scheme val="minor"/>
          </rPr>
          <t>Mother
======</t>
        </r>
      </text>
    </comment>
    <comment ref="F24" authorId="0" shapeId="0">
      <text>
        <r>
          <rPr>
            <sz val="11"/>
            <color theme="1"/>
            <rFont val="Calibri"/>
            <family val="2"/>
            <scheme val="minor"/>
          </rPr>
          <t>0751 000971
======</t>
        </r>
      </text>
    </comment>
    <comment ref="F36" authorId="0" shapeId="0">
      <text>
        <r>
          <rPr>
            <sz val="11"/>
            <color theme="1"/>
            <rFont val="Calibri"/>
            <family val="2"/>
            <scheme val="minor"/>
          </rPr>
          <t>0751 000971
======</t>
        </r>
      </text>
    </comment>
    <comment ref="BN36" authorId="0" shapeId="0">
      <text>
        <r>
          <rPr>
            <sz val="11"/>
            <color theme="1"/>
            <rFont val="Calibri"/>
            <family val="2"/>
            <scheme val="minor"/>
          </rPr>
          <t>Not able to screen patient. Too old and in too much pain
======</t>
        </r>
      </text>
    </comment>
    <comment ref="BN51" authorId="0" shapeId="0">
      <text>
        <r>
          <rPr>
            <sz val="11"/>
            <color theme="1"/>
            <rFont val="Calibri"/>
            <family val="2"/>
            <scheme val="minor"/>
          </rPr>
          <t>Not screened. In periods.
======</t>
        </r>
      </text>
    </comment>
    <comment ref="BI54" authorId="0" shapeId="0">
      <text>
        <r>
          <rPr>
            <sz val="11"/>
            <color theme="1"/>
            <rFont val="Calibri"/>
            <family val="2"/>
            <scheme val="minor"/>
          </rPr>
          <t>Suspicious
======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L11" authorId="0" shapeId="0">
      <text>
        <r>
          <rPr>
            <sz val="11"/>
            <color theme="1"/>
            <rFont val="Calibri"/>
            <family val="2"/>
            <scheme val="minor"/>
          </rPr>
          <t>Patient did not want
======</t>
        </r>
      </text>
    </comment>
    <comment ref="K12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K17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Best guess
======</t>
        </r>
      </text>
    </comment>
    <comment ref="K34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J4" authorId="0" shapeId="0">
      <text>
        <r>
          <rPr>
            <sz val="11"/>
            <color theme="1"/>
            <rFont val="Calibri"/>
            <family val="2"/>
            <scheme val="minor"/>
          </rPr>
          <t>Let us observe
======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0755 975789
======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0778 773957
======</t>
        </r>
      </text>
    </comment>
    <comment ref="BM13" authorId="0" shapeId="0">
      <text>
        <r>
          <rPr>
            <sz val="11"/>
            <color theme="1"/>
            <rFont val="Calibri"/>
            <family val="2"/>
            <scheme val="minor"/>
          </rPr>
          <t>Patient did not want
======</t>
        </r>
      </text>
    </comment>
    <comment ref="K29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AH37" authorId="0" shapeId="0">
      <text>
        <r>
          <rPr>
            <sz val="11"/>
            <color theme="1"/>
            <rFont val="Calibri"/>
            <family val="2"/>
            <scheme val="minor"/>
          </rPr>
          <t>Itching, rather than pain
======</t>
        </r>
      </text>
    </comment>
    <comment ref="BM37" authorId="0" shapeId="0">
      <text>
        <r>
          <rPr>
            <sz val="11"/>
            <color theme="1"/>
            <rFont val="Calibri"/>
            <family val="2"/>
            <scheme val="minor"/>
          </rPr>
          <t>Not screened, Cervicitis
======</t>
        </r>
      </text>
    </comment>
    <comment ref="CU37" authorId="0" shapeId="0">
      <text>
        <r>
          <rPr>
            <sz val="11"/>
            <color theme="1"/>
            <rFont val="Calibri"/>
            <family val="2"/>
            <scheme val="minor"/>
          </rPr>
          <t>After cervicitis has been cleared
======</t>
        </r>
      </text>
    </comment>
    <comment ref="CL40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CM53" authorId="0" shapeId="0">
      <text>
        <r>
          <rPr>
            <sz val="11"/>
            <color theme="1"/>
            <rFont val="Calibri"/>
            <family val="2"/>
            <scheme val="minor"/>
          </rPr>
          <t>Kyabirwa
======</t>
        </r>
      </text>
    </comment>
    <comment ref="CM56" authorId="0" shapeId="0">
      <text>
        <r>
          <rPr>
            <sz val="11"/>
            <color theme="1"/>
            <rFont val="Calibri"/>
            <family val="2"/>
            <scheme val="minor"/>
          </rPr>
          <t>Kyabirwa
======</t>
        </r>
      </text>
    </comment>
    <comment ref="K59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BM7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BM18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BM48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BM49" authorId="0" shapeId="0">
      <text>
        <r>
          <rPr>
            <sz val="11"/>
            <color theme="1"/>
            <rFont val="Calibri"/>
            <family val="2"/>
            <scheme val="minor"/>
          </rPr>
          <t>Not screened. Last check was only 2 weeks ago
======</t>
        </r>
      </text>
    </comment>
    <comment ref="E63" authorId="0" shapeId="0">
      <text>
        <r>
          <rPr>
            <sz val="11"/>
            <color theme="1"/>
            <rFont val="Calibri"/>
            <family val="2"/>
            <scheme val="minor"/>
          </rPr>
          <t>Husband
======</t>
        </r>
      </text>
    </comment>
    <comment ref="BM79" authorId="0" shapeId="0">
      <text>
        <r>
          <rPr>
            <sz val="11"/>
            <color theme="1"/>
            <rFont val="Calibri"/>
            <family val="2"/>
            <scheme val="minor"/>
          </rPr>
          <t>Infection
======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BM4" authorId="0" shapeId="0">
      <text>
        <r>
          <rPr>
            <sz val="11"/>
            <color theme="1"/>
            <rFont val="Calibri"/>
            <family val="2"/>
            <scheme val="minor"/>
          </rPr>
          <t>Severe infection. Screen after treatment.
======</t>
        </r>
      </text>
    </comment>
    <comment ref="CU4" authorId="0" shapeId="0">
      <text>
        <r>
          <rPr>
            <sz val="11"/>
            <color theme="1"/>
            <rFont val="Calibri"/>
            <family val="2"/>
            <scheme val="minor"/>
          </rPr>
          <t>For infection
======</t>
        </r>
      </text>
    </comment>
    <comment ref="CJ11" authorId="0" shapeId="0">
      <text>
        <r>
          <rPr>
            <sz val="11"/>
            <color theme="1"/>
            <rFont val="Calibri"/>
            <family val="2"/>
            <scheme val="minor"/>
          </rPr>
          <t>Referred to Afri-Egypt for mammogram
======</t>
        </r>
      </text>
    </comment>
    <comment ref="K32" authorId="0" shapeId="0">
      <text>
        <r>
          <rPr>
            <sz val="11"/>
            <color theme="1"/>
            <rFont val="Calibri"/>
            <family val="2"/>
            <scheme val="minor"/>
          </rPr>
          <t>SDA
======</t>
        </r>
      </text>
    </comment>
    <comment ref="BM33" authorId="0" shapeId="0">
      <text>
        <r>
          <rPr>
            <sz val="11"/>
            <color theme="1"/>
            <rFont val="Calibri"/>
            <family val="2"/>
            <scheme val="minor"/>
          </rPr>
          <t>Not screened On periods
======</t>
        </r>
      </text>
    </comment>
    <comment ref="CQ36" authorId="0" shapeId="0">
      <text>
        <r>
          <rPr>
            <sz val="11"/>
            <color theme="1"/>
            <rFont val="Calibri"/>
            <family val="2"/>
            <scheme val="minor"/>
          </rPr>
          <t>For a mammogram
======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BE21" authorId="0" shapeId="0">
      <text>
        <r>
          <rPr>
            <sz val="11"/>
            <color theme="1"/>
            <rFont val="Calibri"/>
            <family val="2"/>
            <scheme val="minor"/>
          </rPr>
          <t>======
ID#AAABO19oe2E
Rays of hope HospiceJinja    (2024-05-28 11:19:55)
HPV POSITIVE</t>
        </r>
      </text>
    </comment>
    <comment ref="BE22" authorId="0" shapeId="0">
      <text>
        <r>
          <rPr>
            <sz val="11"/>
            <color theme="1"/>
            <rFont val="Calibri"/>
            <family val="2"/>
            <scheme val="minor"/>
          </rPr>
          <t>======
ID#AAABO19oe2M
Rays of hope HospiceJinja    (2024-05-28 11:26:03)
HPV POSITIVE</t>
        </r>
      </text>
    </comment>
    <comment ref="BB23" authorId="0" shapeId="0">
      <text>
        <r>
          <rPr>
            <sz val="11"/>
            <color theme="1"/>
            <rFont val="Calibri"/>
            <family val="2"/>
            <scheme val="minor"/>
          </rPr>
          <t>======
ID#AAABO19oe2U
Rays of hope HospiceJinja    (2024-05-28 11:33:25)
HPV Positive</t>
        </r>
      </text>
    </comment>
    <comment ref="BB24" authorId="0" shapeId="0">
      <text>
        <r>
          <rPr>
            <sz val="11"/>
            <color theme="1"/>
            <rFont val="Calibri"/>
            <family val="2"/>
            <scheme val="minor"/>
          </rPr>
          <t>======
ID#AAABO2zhaRM
Rays of hope HospiceJinja    (2024-05-28 11:40:54)
HPV POSITIVE</t>
        </r>
      </text>
    </comment>
    <comment ref="BG24" authorId="0" shapeId="0">
      <text>
        <r>
          <rPr>
            <sz val="11"/>
            <color theme="1"/>
            <rFont val="Calibri"/>
            <family val="2"/>
            <scheme val="minor"/>
          </rPr>
          <t>======
ID#AAABO2zhaRQ
Rays of hope HospiceJinja    (2024-05-28 11:47:10)
HPV POSITIVE</t>
        </r>
      </text>
    </comment>
    <comment ref="BB25" authorId="0" shapeId="0">
      <text>
        <r>
          <rPr>
            <sz val="11"/>
            <color theme="1"/>
            <rFont val="Calibri"/>
            <family val="2"/>
            <scheme val="minor"/>
          </rPr>
          <t>======
ID#AAABO2zhaSA
Rays of hope HospiceJinja    (2024-05-28 12:02:09)
HPV POSITIVE</t>
        </r>
      </text>
    </comment>
    <comment ref="BB26" authorId="0" shapeId="0">
      <text>
        <r>
          <rPr>
            <sz val="11"/>
            <color theme="1"/>
            <rFont val="Calibri"/>
            <family val="2"/>
            <scheme val="minor"/>
          </rPr>
          <t>======
ID#AAABO2zhaSU
Rays of hope HospiceJinja    (2024-05-28 12:09:45)
HPV POSITIVE</t>
        </r>
      </text>
    </comment>
    <comment ref="BB27" authorId="0" shapeId="0">
      <text>
        <r>
          <rPr>
            <sz val="11"/>
            <color theme="1"/>
            <rFont val="Calibri"/>
            <family val="2"/>
            <scheme val="minor"/>
          </rPr>
          <t>======
ID#AAABO2zhaT8
Rays of hope HospiceJinja    (2024-05-28 12:37:13)
HPV POSITIVE</t>
        </r>
      </text>
    </comment>
    <comment ref="BB28" authorId="0" shapeId="0">
      <text>
        <r>
          <rPr>
            <sz val="11"/>
            <color theme="1"/>
            <rFont val="Calibri"/>
            <family val="2"/>
            <scheme val="minor"/>
          </rPr>
          <t>======
ID#AAABO2inGtY
Rays of hope HospiceJinja    (2024-05-28 15:57:04)
HPV POSITIVE</t>
        </r>
      </text>
    </comment>
    <comment ref="BB29" authorId="0" shapeId="0">
      <text>
        <r>
          <rPr>
            <sz val="11"/>
            <color theme="1"/>
            <rFont val="Calibri"/>
            <family val="2"/>
            <scheme val="minor"/>
          </rPr>
          <t>======
ID#AAABO2inGtc
Rays of hope HospiceJinja    (2024-05-28 16:03:38)
HPV POSITIVE</t>
        </r>
      </text>
    </comment>
    <comment ref="BB30" authorId="0" shapeId="0">
      <text>
        <r>
          <rPr>
            <sz val="11"/>
            <color theme="1"/>
            <rFont val="Calibri"/>
            <family val="2"/>
            <scheme val="minor"/>
          </rPr>
          <t>======
ID#AAABO2inGto
Rays of hope HospiceJinja    (2024-05-28 16:08:45)
HPV POSITIVE</t>
        </r>
      </text>
    </comment>
    <comment ref="BB32" authorId="0" shapeId="0">
      <text>
        <r>
          <rPr>
            <sz val="11"/>
            <color theme="1"/>
            <rFont val="Calibri"/>
            <family val="2"/>
            <scheme val="minor"/>
          </rPr>
          <t>======
ID#AAABO2inGt0
Rays of hope HospiceJinja    (2024-05-28 16:18:22)
HPV POSITIVE</t>
        </r>
      </text>
    </comment>
    <comment ref="BB33" authorId="0" shapeId="0">
      <text>
        <r>
          <rPr>
            <sz val="11"/>
            <color theme="1"/>
            <rFont val="Calibri"/>
            <family val="2"/>
            <scheme val="minor"/>
          </rPr>
          <t>======
ID#AAABO2inGt8
Rays of hope HospiceJinja    (2024-05-28 16:23:18)
HPV POSITIVE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N3" authorId="0" shapeId="0">
      <text>
        <r>
          <rPr>
            <sz val="11"/>
            <color theme="1"/>
            <rFont val="Calibri"/>
            <family val="2"/>
            <scheme val="minor"/>
          </rPr>
          <t>======
ID#AAABPR8QGgc
Rays of hope HospiceJinja    (2024-06-07 10:32:58)
Cervical polyp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E25" authorId="0" shapeId="0">
      <text>
        <r>
          <rPr>
            <sz val="11"/>
            <color theme="1"/>
            <rFont val="Calibri"/>
            <family val="2"/>
            <scheme val="minor"/>
          </rPr>
          <t>Husband
======</t>
        </r>
      </text>
    </comment>
    <comment ref="BX57" authorId="0" shapeId="0">
      <text>
        <r>
          <rPr>
            <sz val="11"/>
            <color theme="1"/>
            <rFont val="Calibri"/>
            <family val="2"/>
            <scheme val="minor"/>
          </rPr>
          <t>Thermal reqd, but postponed by patient
======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5" authorId="0" shapeId="0">
      <text>
        <r>
          <rPr>
            <sz val="11"/>
            <color theme="1"/>
            <rFont val="Calibri"/>
            <family val="2"/>
            <scheme val="minor"/>
          </rPr>
          <t>Neighbour
======</t>
        </r>
      </text>
    </comment>
    <comment ref="E78" authorId="0" shapeId="0">
      <text>
        <r>
          <rPr>
            <sz val="11"/>
            <color theme="1"/>
            <rFont val="Calibri"/>
            <family val="2"/>
            <scheme val="minor"/>
          </rPr>
          <t>There is a digit missing
======</t>
        </r>
      </text>
    </comment>
    <comment ref="E82" authorId="0" shapeId="0">
      <text>
        <r>
          <rPr>
            <sz val="11"/>
            <color theme="1"/>
            <rFont val="Calibri"/>
            <family val="2"/>
            <scheme val="minor"/>
          </rPr>
          <t>Neighbour
======</t>
        </r>
      </text>
    </comment>
    <comment ref="CT88" authorId="0" shapeId="0">
      <text>
        <r>
          <rPr>
            <sz val="11"/>
            <color theme="1"/>
            <rFont val="Calibri"/>
            <family val="2"/>
            <scheme val="minor"/>
          </rPr>
          <t>Pt declined treatment on the day, wants to think about it
======</t>
        </r>
      </text>
    </comment>
    <comment ref="BK89" authorId="0" shapeId="0">
      <text>
        <r>
          <rPr>
            <sz val="11"/>
            <color theme="1"/>
            <rFont val="Calibri"/>
            <family val="2"/>
            <scheme val="minor"/>
          </rPr>
          <t>Not screened, in period
======</t>
        </r>
      </text>
    </comment>
    <comment ref="BK90" authorId="0" shapeId="0">
      <text>
        <r>
          <rPr>
            <sz val="11"/>
            <color theme="1"/>
            <rFont val="Calibri"/>
            <family val="2"/>
            <scheme val="minor"/>
          </rPr>
          <t>Not screened, virgin
======</t>
        </r>
      </text>
    </comment>
    <comment ref="BK91" authorId="0" shapeId="0">
      <text>
        <r>
          <rPr>
            <sz val="11"/>
            <color theme="1"/>
            <rFont val="Calibri"/>
            <family val="2"/>
            <scheme val="minor"/>
          </rPr>
          <t>No cervix, hysterectomy done 2021
======</t>
        </r>
      </text>
    </comment>
    <comment ref="BK92" authorId="0" shapeId="0">
      <text>
        <r>
          <rPr>
            <sz val="11"/>
            <color theme="1"/>
            <rFont val="Calibri"/>
            <family val="2"/>
            <scheme val="minor"/>
          </rPr>
          <t>Not screened, pregnant
======</t>
        </r>
      </text>
    </comment>
    <comment ref="BK93" authorId="0" shapeId="0">
      <text>
        <r>
          <rPr>
            <sz val="11"/>
            <color theme="1"/>
            <rFont val="Calibri"/>
            <family val="2"/>
            <scheme val="minor"/>
          </rPr>
          <t>Not screened, pregnant
======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K4" authorId="0" shapeId="0">
      <text>
        <r>
          <rPr>
            <sz val="11"/>
            <color theme="1"/>
            <rFont val="Calibri"/>
            <family val="2"/>
            <scheme val="minor"/>
          </rPr>
          <t>Inconclusive
======</t>
        </r>
      </text>
    </comment>
    <comment ref="E12" authorId="0" shapeId="0">
      <text>
        <r>
          <rPr>
            <sz val="11"/>
            <color theme="1"/>
            <rFont val="Calibri"/>
            <family val="2"/>
            <scheme val="minor"/>
          </rPr>
          <t>Cousin
======</t>
        </r>
      </text>
    </comment>
    <comment ref="BK24" authorId="0" shapeId="0">
      <text>
        <r>
          <rPr>
            <sz val="11"/>
            <color theme="1"/>
            <rFont val="Calibri"/>
            <family val="2"/>
            <scheme val="minor"/>
          </rPr>
          <t>Not screened, virgin
======</t>
        </r>
      </text>
    </comment>
    <comment ref="BK25" authorId="0" shapeId="0">
      <text>
        <r>
          <rPr>
            <sz val="11"/>
            <color theme="1"/>
            <rFont val="Calibri"/>
            <family val="2"/>
            <scheme val="minor"/>
          </rPr>
          <t>Not screened, virgin
======</t>
        </r>
      </text>
    </comment>
    <comment ref="BK26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BK6" authorId="0" shapeId="0">
      <text>
        <r>
          <rPr>
            <sz val="11"/>
            <color theme="1"/>
            <rFont val="Calibri"/>
            <family val="2"/>
            <scheme val="minor"/>
          </rPr>
          <t>Not screened, severe infection
======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Maybe 0780 976567
======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>Husband
======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1 digit missing from number
======</t>
        </r>
      </text>
    </comment>
    <comment ref="BK26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BK27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BK28" authorId="0" shapeId="0">
      <text>
        <r>
          <rPr>
            <sz val="11"/>
            <color theme="1"/>
            <rFont val="Calibri"/>
            <family val="2"/>
            <scheme val="minor"/>
          </rPr>
          <t>Not screened
======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>Digit missing from the number
======</t>
        </r>
      </text>
    </comment>
    <comment ref="BK29" authorId="0" shapeId="0">
      <text>
        <r>
          <rPr>
            <sz val="11"/>
            <color theme="1"/>
            <rFont val="Calibri"/>
            <family val="2"/>
            <scheme val="minor"/>
          </rPr>
          <t>Not screened, pregnant
======</t>
        </r>
      </text>
    </comment>
    <comment ref="BK30" authorId="0" shapeId="0">
      <text>
        <r>
          <rPr>
            <sz val="11"/>
            <color theme="1"/>
            <rFont val="Calibri"/>
            <family val="2"/>
            <scheme val="minor"/>
          </rPr>
          <t>Inconclusive
======</t>
        </r>
      </text>
    </comment>
    <comment ref="BK31" authorId="0" shapeId="0">
      <text>
        <r>
          <rPr>
            <sz val="11"/>
            <color theme="1"/>
            <rFont val="Calibri"/>
            <family val="2"/>
            <scheme val="minor"/>
          </rPr>
          <t>Inconclusive
======</t>
        </r>
      </text>
    </comment>
    <comment ref="BK32" authorId="0" shapeId="0">
      <text>
        <r>
          <rPr>
            <sz val="11"/>
            <color theme="1"/>
            <rFont val="Calibri"/>
            <family val="2"/>
            <scheme val="minor"/>
          </rPr>
          <t>Suspicious
======</t>
        </r>
      </text>
    </comment>
  </commentList>
</comments>
</file>

<file path=xl/sharedStrings.xml><?xml version="1.0" encoding="utf-8"?>
<sst xmlns="http://schemas.openxmlformats.org/spreadsheetml/2006/main" count="30034" uniqueCount="8873">
  <si>
    <t xml:space="preserve"> Date: 30/1/2024</t>
  </si>
  <si>
    <t>Place: Kangulamira HCIV</t>
  </si>
  <si>
    <t>Religion</t>
  </si>
  <si>
    <t>Marital status</t>
  </si>
  <si>
    <t>Family Structure</t>
  </si>
  <si>
    <t>Education</t>
  </si>
  <si>
    <t>Gyn History</t>
  </si>
  <si>
    <t>Gyn.Symptoms</t>
  </si>
  <si>
    <t>Contraception</t>
  </si>
  <si>
    <t>HIV Status</t>
  </si>
  <si>
    <t>HIV Pos and ARV</t>
  </si>
  <si>
    <t>CD4 /Viral Load</t>
  </si>
  <si>
    <t>History of smoking</t>
  </si>
  <si>
    <t>Sexual partners</t>
  </si>
  <si>
    <t>Prev Cervical  Screenig</t>
  </si>
  <si>
    <t>Result of prev screening</t>
  </si>
  <si>
    <t>Result today</t>
  </si>
  <si>
    <t>referred for  biopsy</t>
  </si>
  <si>
    <t>Result of Biopsy</t>
  </si>
  <si>
    <t xml:space="preserve">Treatment and follow-upgiven </t>
  </si>
  <si>
    <t>Lump at Breast  Self exam</t>
  </si>
  <si>
    <t xml:space="preserve">previous Breast screening </t>
  </si>
  <si>
    <t>When</t>
  </si>
  <si>
    <t>Result of prev . Exam</t>
  </si>
  <si>
    <t>Needs biopsy</t>
  </si>
  <si>
    <t>Enroll on programme</t>
  </si>
  <si>
    <t>Appointment</t>
  </si>
  <si>
    <t>Referrals</t>
  </si>
  <si>
    <t>#IPN</t>
  </si>
  <si>
    <t>Name</t>
  </si>
  <si>
    <t>Age</t>
  </si>
  <si>
    <t>Village</t>
  </si>
  <si>
    <t>Phone</t>
  </si>
  <si>
    <t>Tribe</t>
  </si>
  <si>
    <t>Cath</t>
  </si>
  <si>
    <t>Prot.</t>
  </si>
  <si>
    <t>Musl.</t>
  </si>
  <si>
    <t>Saved</t>
  </si>
  <si>
    <t>Other</t>
  </si>
  <si>
    <t>Sing</t>
  </si>
  <si>
    <t>Mar</t>
  </si>
  <si>
    <t>CoH</t>
  </si>
  <si>
    <t>Div</t>
  </si>
  <si>
    <t>Wid</t>
  </si>
  <si>
    <t>Mono</t>
  </si>
  <si>
    <t>Poly</t>
  </si>
  <si>
    <t>None</t>
  </si>
  <si>
    <t>Prim</t>
  </si>
  <si>
    <t>Sec</t>
  </si>
  <si>
    <t>Tert</t>
  </si>
  <si>
    <t>1st period</t>
  </si>
  <si>
    <t>1st sex.contact</t>
  </si>
  <si>
    <t>1st delivery</t>
  </si>
  <si>
    <t># Preg.</t>
  </si>
  <si>
    <t># live births</t>
  </si>
  <si>
    <t>Children alive</t>
  </si>
  <si>
    <t>No</t>
  </si>
  <si>
    <t>Bleed.</t>
  </si>
  <si>
    <t>Disch.</t>
  </si>
  <si>
    <t>Growth</t>
  </si>
  <si>
    <t>Urinary</t>
  </si>
  <si>
    <t>Pain</t>
  </si>
  <si>
    <t>N</t>
  </si>
  <si>
    <t>Y</t>
  </si>
  <si>
    <t>HIV-</t>
  </si>
  <si>
    <t>HIV+</t>
  </si>
  <si>
    <t>UNKNOWN</t>
  </si>
  <si>
    <t>Not on ARV</t>
  </si>
  <si>
    <t>1st line</t>
  </si>
  <si>
    <t>2nd Line</t>
  </si>
  <si>
    <t>Result of CD4/Vl</t>
  </si>
  <si>
    <t>month since test</t>
  </si>
  <si>
    <t>Doesn't know</t>
  </si>
  <si>
    <t>Yes</t>
  </si>
  <si>
    <t>1-3 partners</t>
  </si>
  <si>
    <t>4-6 part</t>
  </si>
  <si>
    <t>7-9 part</t>
  </si>
  <si>
    <t>10+</t>
  </si>
  <si>
    <t>VIA</t>
  </si>
  <si>
    <t>PAP</t>
  </si>
  <si>
    <t>Histology</t>
  </si>
  <si>
    <t>Neg</t>
  </si>
  <si>
    <t>pos</t>
  </si>
  <si>
    <t>Pos</t>
  </si>
  <si>
    <t>suspicious</t>
  </si>
  <si>
    <t>Clincal Cancer</t>
  </si>
  <si>
    <t>Others</t>
  </si>
  <si>
    <t>Where</t>
  </si>
  <si>
    <t>neg</t>
  </si>
  <si>
    <t>referred for PAP Smear</t>
  </si>
  <si>
    <t>Cryo</t>
  </si>
  <si>
    <t>Thermal</t>
  </si>
  <si>
    <t>Anti biotics</t>
  </si>
  <si>
    <t>Refer to Mulago</t>
  </si>
  <si>
    <t>Enrlled on programme</t>
  </si>
  <si>
    <t>When (monhs)</t>
  </si>
  <si>
    <t>Normal</t>
  </si>
  <si>
    <t>Suspicious lump</t>
  </si>
  <si>
    <t>Clinical Cancer</t>
  </si>
  <si>
    <t>yes</t>
  </si>
  <si>
    <t>Appointment for enrollment</t>
  </si>
  <si>
    <t xml:space="preserve">Enrolled </t>
  </si>
  <si>
    <t>Follow-up</t>
  </si>
  <si>
    <t>S001/24</t>
  </si>
  <si>
    <t>Nakimuli Catherine</t>
  </si>
  <si>
    <t>Mataba</t>
  </si>
  <si>
    <t>0778-585140</t>
  </si>
  <si>
    <t>Muganda</t>
  </si>
  <si>
    <t>S002/24</t>
  </si>
  <si>
    <t>Kagoya Evaline</t>
  </si>
  <si>
    <t>Kibira</t>
  </si>
  <si>
    <t>0785-724020</t>
  </si>
  <si>
    <t>Musoga</t>
  </si>
  <si>
    <t>S003/24</t>
  </si>
  <si>
    <t>Kabejja Rehemah</t>
  </si>
  <si>
    <t>Kalangala</t>
  </si>
  <si>
    <t>0774-637252</t>
  </si>
  <si>
    <t>After biopsy</t>
  </si>
  <si>
    <t>S004/24</t>
  </si>
  <si>
    <t>Kakayi Scovia</t>
  </si>
  <si>
    <t>Kakayi</t>
  </si>
  <si>
    <t>0709-838981</t>
  </si>
  <si>
    <t>Mugishu</t>
  </si>
  <si>
    <t>S005/24</t>
  </si>
  <si>
    <t>Gwelana Angellina</t>
  </si>
  <si>
    <t>Kayunga</t>
  </si>
  <si>
    <t>0700-950700</t>
  </si>
  <si>
    <t>Munyole</t>
  </si>
  <si>
    <t>S006/24</t>
  </si>
  <si>
    <t>Adiru Joyce</t>
  </si>
  <si>
    <t>Seeta-Nyinze</t>
  </si>
  <si>
    <t>0777-182939</t>
  </si>
  <si>
    <t>Mulugwala</t>
  </si>
  <si>
    <t>S007/24</t>
  </si>
  <si>
    <t>Kakayi Betty</t>
  </si>
  <si>
    <t>Kangulamira</t>
  </si>
  <si>
    <t>0706-203736</t>
  </si>
  <si>
    <t>S008/24</t>
  </si>
  <si>
    <t>Nakajumba Catherine</t>
  </si>
  <si>
    <t>Makindye</t>
  </si>
  <si>
    <t>0740-711928</t>
  </si>
  <si>
    <t>S009/24</t>
  </si>
  <si>
    <t>Mudachi Phinah</t>
  </si>
  <si>
    <t>Kisega</t>
  </si>
  <si>
    <t>0750-547015</t>
  </si>
  <si>
    <t>Itesot</t>
  </si>
  <si>
    <t>S010/24</t>
  </si>
  <si>
    <t>Nangobi Suzan</t>
  </si>
  <si>
    <t>Gayaza</t>
  </si>
  <si>
    <t>0751-935250</t>
  </si>
  <si>
    <t>S011/24</t>
  </si>
  <si>
    <t>Nalumu Faith</t>
  </si>
  <si>
    <t>Kamuli</t>
  </si>
  <si>
    <t>0778-746916</t>
  </si>
  <si>
    <t>S012/24</t>
  </si>
  <si>
    <t>Namakula Prossy</t>
  </si>
  <si>
    <t>Kikwanya</t>
  </si>
  <si>
    <t>0755-668437</t>
  </si>
  <si>
    <t>After results</t>
  </si>
  <si>
    <t>S013/24</t>
  </si>
  <si>
    <t>Nakate Joyce</t>
  </si>
  <si>
    <t>0770-805356</t>
  </si>
  <si>
    <t>Munyarwanda</t>
  </si>
  <si>
    <t>S014/24</t>
  </si>
  <si>
    <t>Nakyanze Rashida</t>
  </si>
  <si>
    <t>0754-274348</t>
  </si>
  <si>
    <t>S015/24</t>
  </si>
  <si>
    <t>Natumansi Harriet</t>
  </si>
  <si>
    <t>Wabukwa</t>
  </si>
  <si>
    <t>0774-176826</t>
  </si>
  <si>
    <t>S016/24</t>
  </si>
  <si>
    <t>Nekesa Gertrude</t>
  </si>
  <si>
    <t>0756-878725</t>
  </si>
  <si>
    <t>Musamya</t>
  </si>
  <si>
    <t>S017/24</t>
  </si>
  <si>
    <t>Namazzi Proscovia</t>
  </si>
  <si>
    <t>0782-563845</t>
  </si>
  <si>
    <t>S018/24</t>
  </si>
  <si>
    <t>Jimono Caroline</t>
  </si>
  <si>
    <t>Kamira</t>
  </si>
  <si>
    <t>0755-736358</t>
  </si>
  <si>
    <t>Mugisu</t>
  </si>
  <si>
    <t>Not known</t>
  </si>
  <si>
    <t>S019/24</t>
  </si>
  <si>
    <t>Logose Margret</t>
  </si>
  <si>
    <t>Kiwungu</t>
  </si>
  <si>
    <t>0742-795195</t>
  </si>
  <si>
    <t>S020/24</t>
  </si>
  <si>
    <t>Namuwenge Mariam</t>
  </si>
  <si>
    <t>Kalagala</t>
  </si>
  <si>
    <t>0787-381322</t>
  </si>
  <si>
    <t>N/A</t>
  </si>
  <si>
    <t>S021/24</t>
  </si>
  <si>
    <t>Namubiru Lovisa</t>
  </si>
  <si>
    <t>Bugiri</t>
  </si>
  <si>
    <t>0752-721850</t>
  </si>
  <si>
    <t>S022/24</t>
  </si>
  <si>
    <t>Mutesi Sakina</t>
  </si>
  <si>
    <t>S023/24</t>
  </si>
  <si>
    <t>Kabonesi Josephine</t>
  </si>
  <si>
    <t>0774-745424</t>
  </si>
  <si>
    <t>Mutooro</t>
  </si>
  <si>
    <t>S024/24</t>
  </si>
  <si>
    <t>Kamya Rukia</t>
  </si>
  <si>
    <t>0703-545578</t>
  </si>
  <si>
    <t>S025/24</t>
  </si>
  <si>
    <t>Nabukwasi Zuena</t>
  </si>
  <si>
    <t>S026/24</t>
  </si>
  <si>
    <t>Naigaga Jenifer</t>
  </si>
  <si>
    <t>Kyabakadde</t>
  </si>
  <si>
    <t>0741-507873</t>
  </si>
  <si>
    <t>S027/24</t>
  </si>
  <si>
    <t>Nalumu Norah</t>
  </si>
  <si>
    <t>Nakirubi</t>
  </si>
  <si>
    <t>0779-519080</t>
  </si>
  <si>
    <t>S028/24</t>
  </si>
  <si>
    <t>Nabukeera Christine</t>
  </si>
  <si>
    <t>0785-106050</t>
  </si>
  <si>
    <t>Munyala</t>
  </si>
  <si>
    <t>S029/24</t>
  </si>
  <si>
    <t>Kiranji Doreen</t>
  </si>
  <si>
    <t>0702-330193</t>
  </si>
  <si>
    <t>S030/24</t>
  </si>
  <si>
    <t>Galenda Faridah</t>
  </si>
  <si>
    <t>Kasabya</t>
  </si>
  <si>
    <t>0708-742390</t>
  </si>
  <si>
    <t>S031/24</t>
  </si>
  <si>
    <t>Babirye Janet</t>
  </si>
  <si>
    <t>0743-033942</t>
  </si>
  <si>
    <t>S032/24</t>
  </si>
  <si>
    <t>Nakabugo Alizik</t>
  </si>
  <si>
    <t>S033/24</t>
  </si>
  <si>
    <t>Hadijah Aminah</t>
  </si>
  <si>
    <t>Seeta</t>
  </si>
  <si>
    <t>0708-463519</t>
  </si>
  <si>
    <t>Munakenya</t>
  </si>
  <si>
    <t>S034/24</t>
  </si>
  <si>
    <t>Nakijjoba Kirabo</t>
  </si>
  <si>
    <t>0773-256019</t>
  </si>
  <si>
    <t>S035/24</t>
  </si>
  <si>
    <t>Seera Harriet</t>
  </si>
  <si>
    <t>0782-058147</t>
  </si>
  <si>
    <t xml:space="preserve">          </t>
  </si>
  <si>
    <t>S036/24</t>
  </si>
  <si>
    <t>Komujumi Evaline</t>
  </si>
  <si>
    <t>0743-432110</t>
  </si>
  <si>
    <t>Munyankolw</t>
  </si>
  <si>
    <t>S037/24</t>
  </si>
  <si>
    <t>Logose Allen</t>
  </si>
  <si>
    <t>Kigayaza</t>
  </si>
  <si>
    <t>0759-777583</t>
  </si>
  <si>
    <t>Suppressed</t>
  </si>
  <si>
    <t>6 mths</t>
  </si>
  <si>
    <t>S038/24</t>
  </si>
  <si>
    <t>Nakayima Rose</t>
  </si>
  <si>
    <t>0755-006461</t>
  </si>
  <si>
    <t>S039/24</t>
  </si>
  <si>
    <t>Namusubo Justine</t>
  </si>
  <si>
    <t>0703-447679</t>
  </si>
  <si>
    <t>S040/24</t>
  </si>
  <si>
    <t>Namika Ruth</t>
  </si>
  <si>
    <t>0704-218464</t>
  </si>
  <si>
    <t>S041/24</t>
  </si>
  <si>
    <t>Kisega Mariam</t>
  </si>
  <si>
    <t>0755-079192</t>
  </si>
  <si>
    <t>S042/24</t>
  </si>
  <si>
    <t>Loy Nantume</t>
  </si>
  <si>
    <t>0753-499062</t>
  </si>
  <si>
    <t>S043/24</t>
  </si>
  <si>
    <t>Tibelowoza Milly</t>
  </si>
  <si>
    <t>Natetta</t>
  </si>
  <si>
    <t>S044/24</t>
  </si>
  <si>
    <t>Nakitende Arthur</t>
  </si>
  <si>
    <t>Kitabazzi</t>
  </si>
  <si>
    <t>Tanzanian</t>
  </si>
  <si>
    <t>5 mths</t>
  </si>
  <si>
    <t>S045/24</t>
  </si>
  <si>
    <t>Katusabe Becca</t>
  </si>
  <si>
    <t>Nyinze</t>
  </si>
  <si>
    <t>0743-831516</t>
  </si>
  <si>
    <t>S046/24</t>
  </si>
  <si>
    <t>Nakayuki Sofiah</t>
  </si>
  <si>
    <t>0759-150069</t>
  </si>
  <si>
    <t>S047/24</t>
  </si>
  <si>
    <t>Nabunduwa Kate</t>
  </si>
  <si>
    <t>0707-548684</t>
  </si>
  <si>
    <t>S048/24</t>
  </si>
  <si>
    <t>Nakawangi Florence</t>
  </si>
  <si>
    <t>Nakatundu</t>
  </si>
  <si>
    <t>S049/24</t>
  </si>
  <si>
    <t>Kawala Sarah</t>
  </si>
  <si>
    <t>0775-336939</t>
  </si>
  <si>
    <t>S050/24</t>
  </si>
  <si>
    <t>Nakatte Christine</t>
  </si>
  <si>
    <t>0759-484684</t>
  </si>
  <si>
    <t>S051/24</t>
  </si>
  <si>
    <t>Nandawula Elizabeth</t>
  </si>
  <si>
    <t>0772-311874</t>
  </si>
  <si>
    <t>S052/24</t>
  </si>
  <si>
    <t>Nabajjuko Aidah</t>
  </si>
  <si>
    <t>Nazigo</t>
  </si>
  <si>
    <t>0787-904999</t>
  </si>
  <si>
    <t>S053/24</t>
  </si>
  <si>
    <t>Naluzzi Suliaman</t>
  </si>
  <si>
    <t>0700-487330</t>
  </si>
  <si>
    <t>S054/24</t>
  </si>
  <si>
    <t>Namboila Mariam</t>
  </si>
  <si>
    <t>0700-754220</t>
  </si>
  <si>
    <t>S055/24</t>
  </si>
  <si>
    <t>Nankubwa Racheal</t>
  </si>
  <si>
    <t>0742-788270</t>
  </si>
  <si>
    <t>S056/24</t>
  </si>
  <si>
    <t>Nakyanzi Florence</t>
  </si>
  <si>
    <t>0772-862600</t>
  </si>
  <si>
    <t>S057/24</t>
  </si>
  <si>
    <t>Waswa Ruth</t>
  </si>
  <si>
    <t>0788-618892</t>
  </si>
  <si>
    <t>S058/24</t>
  </si>
  <si>
    <t>Namuyinga Perusi</t>
  </si>
  <si>
    <t>0759-161360</t>
  </si>
  <si>
    <t>S059/24</t>
  </si>
  <si>
    <t>Eva Babirye</t>
  </si>
  <si>
    <t>Lugazi</t>
  </si>
  <si>
    <t>0781-542557</t>
  </si>
  <si>
    <t>S060/24</t>
  </si>
  <si>
    <t>Namuyomba Saadah</t>
  </si>
  <si>
    <t>S061/24</t>
  </si>
  <si>
    <t>Nagguti Cissy</t>
  </si>
  <si>
    <t>Nsona</t>
  </si>
  <si>
    <t>0753-491742</t>
  </si>
  <si>
    <t>Mugwere</t>
  </si>
  <si>
    <t>S062/24</t>
  </si>
  <si>
    <t>Nabukeera Habiba</t>
  </si>
  <si>
    <t>Namakandwa</t>
  </si>
  <si>
    <t>0706-351185</t>
  </si>
  <si>
    <t>S167/24</t>
  </si>
  <si>
    <t>Namatovu Rose</t>
  </si>
  <si>
    <t>0700 646658</t>
  </si>
  <si>
    <t>S063/24</t>
  </si>
  <si>
    <t>Nansubuga Fatumah</t>
  </si>
  <si>
    <t>S064/24</t>
  </si>
  <si>
    <t>Namboozo Aidah</t>
  </si>
  <si>
    <t>0754-644022</t>
  </si>
  <si>
    <t>S065/24</t>
  </si>
  <si>
    <t>Muzaki Fatumah</t>
  </si>
  <si>
    <t>0708-359311</t>
  </si>
  <si>
    <t>S066/24</t>
  </si>
  <si>
    <t>Nankya Edith</t>
  </si>
  <si>
    <t>0709-334275</t>
  </si>
  <si>
    <t>S067/24</t>
  </si>
  <si>
    <t>Kakayi Madinah</t>
  </si>
  <si>
    <t>Age group</t>
  </si>
  <si>
    <t>HIV/AIDS STATUS</t>
  </si>
  <si>
    <t>VIA RESULTS</t>
  </si>
  <si>
    <t>Speculum Exam</t>
  </si>
  <si>
    <t>TREATMENT GIVEN</t>
  </si>
  <si>
    <t>REFERRALS</t>
  </si>
  <si>
    <t>BREAST EXAM</t>
  </si>
  <si>
    <t>NEG</t>
  </si>
  <si>
    <t>POS</t>
  </si>
  <si>
    <t>Unknown</t>
  </si>
  <si>
    <t>TOTAL</t>
  </si>
  <si>
    <t>Declined</t>
  </si>
  <si>
    <t>Antibiotic</t>
  </si>
  <si>
    <t>LEEP</t>
  </si>
  <si>
    <t>Biopys</t>
  </si>
  <si>
    <t>PAPsmear</t>
  </si>
  <si>
    <t>HISTOLOGY</t>
  </si>
  <si>
    <t>Suspicious lamp</t>
  </si>
  <si>
    <t>Total</t>
  </si>
  <si>
    <t>&lt;19 (3)</t>
  </si>
  <si>
    <t>20 – 30 (20)</t>
  </si>
  <si>
    <t>31– 40 (17)</t>
  </si>
  <si>
    <t>41– 50 (15)</t>
  </si>
  <si>
    <t>51-60 (8)</t>
  </si>
  <si>
    <t>&gt;61 (5)</t>
  </si>
  <si>
    <t>Totals</t>
  </si>
  <si>
    <t xml:space="preserve"> Date; 20/3/2024</t>
  </si>
  <si>
    <t>Place: IRINGA HCII</t>
  </si>
  <si>
    <t>BS001/24</t>
  </si>
  <si>
    <t>Naigaga Christine</t>
  </si>
  <si>
    <t>Nkondho</t>
  </si>
  <si>
    <t>BS002/24</t>
  </si>
  <si>
    <t>Naikoba Barbara</t>
  </si>
  <si>
    <t>Maani B</t>
  </si>
  <si>
    <t>BS003/24</t>
  </si>
  <si>
    <t>Akao Agnes</t>
  </si>
  <si>
    <t>Kabonge</t>
  </si>
  <si>
    <t>0777 335112</t>
  </si>
  <si>
    <t>Acholi</t>
  </si>
  <si>
    <t>BS004/24</t>
  </si>
  <si>
    <t>Kasubo Irene</t>
  </si>
  <si>
    <t>Kigezeire</t>
  </si>
  <si>
    <t>BS005/24</t>
  </si>
  <si>
    <t xml:space="preserve">Naigaga Sylvia </t>
  </si>
  <si>
    <t>Kasuku B</t>
  </si>
  <si>
    <t>BS006/24</t>
  </si>
  <si>
    <t xml:space="preserve">Nabwire Fatuma </t>
  </si>
  <si>
    <t>Iringa Maani B</t>
  </si>
  <si>
    <t>Mukenyi</t>
  </si>
  <si>
    <t>BS007/24</t>
  </si>
  <si>
    <t>Nangobi Francesca</t>
  </si>
  <si>
    <t>Kasuku A</t>
  </si>
  <si>
    <t>BS008/24</t>
  </si>
  <si>
    <t xml:space="preserve">Nakitende Florence </t>
  </si>
  <si>
    <t>Kigeizere</t>
  </si>
  <si>
    <t>BS009/24</t>
  </si>
  <si>
    <t>Akoli Esther</t>
  </si>
  <si>
    <t>BS010/24</t>
  </si>
  <si>
    <t>Abulo Esther</t>
  </si>
  <si>
    <t>Kalogoyi</t>
  </si>
  <si>
    <t>0788 597634</t>
  </si>
  <si>
    <t>BS011/24</t>
  </si>
  <si>
    <t>Kambudyu Brenda</t>
  </si>
  <si>
    <t>Iringa</t>
  </si>
  <si>
    <t xml:space="preserve">Musoga </t>
  </si>
  <si>
    <t>BS012/24</t>
  </si>
  <si>
    <t xml:space="preserve">Nansereko Teopista </t>
  </si>
  <si>
    <t xml:space="preserve">Nakakabala </t>
  </si>
  <si>
    <t>0776 001867</t>
  </si>
  <si>
    <t xml:space="preserve">Mukenyi </t>
  </si>
  <si>
    <t>BS013/24</t>
  </si>
  <si>
    <t>Nakachwa Scovia</t>
  </si>
  <si>
    <t>BS014/24</t>
  </si>
  <si>
    <t>Nakiganda Annet</t>
  </si>
  <si>
    <t>Nakakabala</t>
  </si>
  <si>
    <t>0786 311403</t>
  </si>
  <si>
    <t>BS015/24</t>
  </si>
  <si>
    <t>Asio Annet</t>
  </si>
  <si>
    <t>0779 540481</t>
  </si>
  <si>
    <t>BS016/24</t>
  </si>
  <si>
    <t>Mukoda Rose</t>
  </si>
  <si>
    <t>0775 364366</t>
  </si>
  <si>
    <t xml:space="preserve">Itesot </t>
  </si>
  <si>
    <t>BS017/24</t>
  </si>
  <si>
    <t>Naisanga Saumu</t>
  </si>
  <si>
    <t>BS018/24</t>
  </si>
  <si>
    <t>Mutoonyi Safina</t>
  </si>
  <si>
    <t>0762 043081</t>
  </si>
  <si>
    <t>BS019/24</t>
  </si>
  <si>
    <t>Babigumira Erivaida</t>
  </si>
  <si>
    <t>BS020/24</t>
  </si>
  <si>
    <t>Kyaitu Rose</t>
  </si>
  <si>
    <t>0758 957605</t>
  </si>
  <si>
    <t xml:space="preserve">Munyoro </t>
  </si>
  <si>
    <t>BS021/24</t>
  </si>
  <si>
    <t xml:space="preserve">Nambeya Elizabeth </t>
  </si>
  <si>
    <t xml:space="preserve">Kigeizere </t>
  </si>
  <si>
    <t>0781 965462</t>
  </si>
  <si>
    <t>BS022/24</t>
  </si>
  <si>
    <t xml:space="preserve">Namwase Josephine </t>
  </si>
  <si>
    <t>0706 086345</t>
  </si>
  <si>
    <t>BS023/24</t>
  </si>
  <si>
    <t xml:space="preserve">Nabayiga Immaculate </t>
  </si>
  <si>
    <t>0702 609390</t>
  </si>
  <si>
    <t xml:space="preserve">Muganda </t>
  </si>
  <si>
    <t>BS024/24</t>
  </si>
  <si>
    <t>Nabukeera Miria</t>
  </si>
  <si>
    <t>0707 168952</t>
  </si>
  <si>
    <t>BS025/24</t>
  </si>
  <si>
    <t>Agemo Mary</t>
  </si>
  <si>
    <t>BS026/24</t>
  </si>
  <si>
    <t>Namudope Eseza</t>
  </si>
  <si>
    <t xml:space="preserve">Kalogoyi </t>
  </si>
  <si>
    <t>0700 107138</t>
  </si>
  <si>
    <t>BS027/24</t>
  </si>
  <si>
    <t>Yatuwa Prossy</t>
  </si>
  <si>
    <t>0760 684934</t>
  </si>
  <si>
    <t>BS028/24</t>
  </si>
  <si>
    <t xml:space="preserve">Nakisige Rachel </t>
  </si>
  <si>
    <t>0783 496198</t>
  </si>
  <si>
    <t>BS029/24</t>
  </si>
  <si>
    <t>Bakulimya Jesca</t>
  </si>
  <si>
    <t>0760 279111</t>
  </si>
  <si>
    <t>BS030/24</t>
  </si>
  <si>
    <t xml:space="preserve">Mukyala Halima </t>
  </si>
  <si>
    <t>0780 293813</t>
  </si>
  <si>
    <t>Munyoro</t>
  </si>
  <si>
    <t>BS031/24</t>
  </si>
  <si>
    <t xml:space="preserve">Nankwanga Janet </t>
  </si>
  <si>
    <t>0757 403335</t>
  </si>
  <si>
    <t>BS032/24</t>
  </si>
  <si>
    <t xml:space="preserve">Baidi Elizabeth </t>
  </si>
  <si>
    <t>BS033/24</t>
  </si>
  <si>
    <t>Namwase Jane</t>
  </si>
  <si>
    <t>BS034/24</t>
  </si>
  <si>
    <t>Kasubo Agnes</t>
  </si>
  <si>
    <t>BS035/24</t>
  </si>
  <si>
    <t xml:space="preserve">Balidawa Topilista </t>
  </si>
  <si>
    <t>?</t>
  </si>
  <si>
    <t>BS036/24</t>
  </si>
  <si>
    <t>Nawoma Kadija</t>
  </si>
  <si>
    <t>0773 535488</t>
  </si>
  <si>
    <t>BS037/24</t>
  </si>
  <si>
    <t>Nakirya Rhoda</t>
  </si>
  <si>
    <t>BS038/24</t>
  </si>
  <si>
    <t>Kyakuwaire Tereza</t>
  </si>
  <si>
    <t>BS039/24</t>
  </si>
  <si>
    <t>Tibita Christine</t>
  </si>
  <si>
    <t>BS040/24</t>
  </si>
  <si>
    <t>Kirangi Janat</t>
  </si>
  <si>
    <t>BS041/24</t>
  </si>
  <si>
    <t>Naigaga Monica</t>
  </si>
  <si>
    <t xml:space="preserve">Imeeri </t>
  </si>
  <si>
    <t xml:space="preserve">Mulalo </t>
  </si>
  <si>
    <t>BS042/24</t>
  </si>
  <si>
    <t>Bilibawa Monica</t>
  </si>
  <si>
    <t>Kasuku</t>
  </si>
  <si>
    <t>BS043/24</t>
  </si>
  <si>
    <t>Kayesu Hellen</t>
  </si>
  <si>
    <t>0777 059210</t>
  </si>
  <si>
    <t>BS044/24</t>
  </si>
  <si>
    <t xml:space="preserve">Nalukwago Imelda </t>
  </si>
  <si>
    <t>Izungwe</t>
  </si>
  <si>
    <t>Munyoli</t>
  </si>
  <si>
    <t>BS045/24</t>
  </si>
  <si>
    <t>Namusabi Leonia</t>
  </si>
  <si>
    <t>0781 234217</t>
  </si>
  <si>
    <t>BS046/24</t>
  </si>
  <si>
    <t>Namugala Joyce</t>
  </si>
  <si>
    <t>Maani A</t>
  </si>
  <si>
    <t>0771 418345</t>
  </si>
  <si>
    <t>BS047/24</t>
  </si>
  <si>
    <t xml:space="preserve">Babiwemba Florence </t>
  </si>
  <si>
    <t>BS048/24</t>
  </si>
  <si>
    <t>Nakato Monica</t>
  </si>
  <si>
    <t>0776 617524</t>
  </si>
  <si>
    <t>BS049/24</t>
  </si>
  <si>
    <t>Nikiranda Betty</t>
  </si>
  <si>
    <t>0770 615272</t>
  </si>
  <si>
    <t>BS050/24</t>
  </si>
  <si>
    <t>Kisakye Mariam</t>
  </si>
  <si>
    <t>BS051/24</t>
  </si>
  <si>
    <t>Kaudha Aidha</t>
  </si>
  <si>
    <t>BS052/24</t>
  </si>
  <si>
    <t>Kasubo Rose</t>
  </si>
  <si>
    <t>BS053/24</t>
  </si>
  <si>
    <t xml:space="preserve">Mirembe Margaret </t>
  </si>
  <si>
    <t>BS054/24</t>
  </si>
  <si>
    <t>Nakaima Scovia</t>
  </si>
  <si>
    <t>0756 241117</t>
  </si>
  <si>
    <t>BS055/24</t>
  </si>
  <si>
    <t>Kaanyi Susan</t>
  </si>
  <si>
    <t>BS056/24</t>
  </si>
  <si>
    <t>Namwase Scovia</t>
  </si>
  <si>
    <t>0777 722198</t>
  </si>
  <si>
    <t xml:space="preserve">Munyara </t>
  </si>
  <si>
    <t>BS057/24</t>
  </si>
  <si>
    <t>Nakiduuli Annet</t>
  </si>
  <si>
    <t xml:space="preserve">Nambula </t>
  </si>
  <si>
    <t>0753 949693</t>
  </si>
  <si>
    <t>&lt;19 (02)</t>
  </si>
  <si>
    <t>20 – 30 (24)</t>
  </si>
  <si>
    <t>31– 40 (12)</t>
  </si>
  <si>
    <t>41– 50 (13)</t>
  </si>
  <si>
    <t>51-60 (5)</t>
  </si>
  <si>
    <t>&gt;61 (1)</t>
  </si>
  <si>
    <t xml:space="preserve"> Date; 16/4/2024</t>
  </si>
  <si>
    <t xml:space="preserve">Place: IYINGO PRIMARY SCHOOL </t>
  </si>
  <si>
    <t>BS058/24</t>
  </si>
  <si>
    <t>Nalumansi Annet</t>
  </si>
  <si>
    <t>Iyingo</t>
  </si>
  <si>
    <t>0783 964547</t>
  </si>
  <si>
    <t>BS059/24</t>
  </si>
  <si>
    <t>Nalwela Gladys</t>
  </si>
  <si>
    <t>Nagangama</t>
  </si>
  <si>
    <t>BS060/24</t>
  </si>
  <si>
    <t>Byogero Lydia</t>
  </si>
  <si>
    <t xml:space="preserve">Iyingo </t>
  </si>
  <si>
    <t>0786 114144</t>
  </si>
  <si>
    <t>BS061/24</t>
  </si>
  <si>
    <t>Mukanza Reginah</t>
  </si>
  <si>
    <t>BS062/24</t>
  </si>
  <si>
    <t>Nakisuyi Scovia</t>
  </si>
  <si>
    <t>Bulongoli</t>
  </si>
  <si>
    <t>0762 986973</t>
  </si>
  <si>
    <t>BS063/24</t>
  </si>
  <si>
    <t>Kyakuwa Merab</t>
  </si>
  <si>
    <t>0774 448923</t>
  </si>
  <si>
    <t>BS064/23</t>
  </si>
  <si>
    <t xml:space="preserve">Namulondo Rachel </t>
  </si>
  <si>
    <t xml:space="preserve">Lumuli </t>
  </si>
  <si>
    <t>BS065/24</t>
  </si>
  <si>
    <t>Nakiwate Justina</t>
  </si>
  <si>
    <t xml:space="preserve">Nagangama </t>
  </si>
  <si>
    <t>BS066/24</t>
  </si>
  <si>
    <t>Namusana Teddy</t>
  </si>
  <si>
    <t>BS067/24</t>
  </si>
  <si>
    <t>Tibiwato Ruth</t>
  </si>
  <si>
    <t>BS068/24</t>
  </si>
  <si>
    <t>Agyalo Model</t>
  </si>
  <si>
    <t>BS069/24</t>
  </si>
  <si>
    <t>Nankubuge Farida</t>
  </si>
  <si>
    <t>0789 318944</t>
  </si>
  <si>
    <t>Mululi</t>
  </si>
  <si>
    <t>BS070/24</t>
  </si>
  <si>
    <t>Abatuka Rukia</t>
  </si>
  <si>
    <t>BS071/24</t>
  </si>
  <si>
    <t>Wotali Irene</t>
  </si>
  <si>
    <t>BS072/24</t>
  </si>
  <si>
    <t>Namugere Monica</t>
  </si>
  <si>
    <t>BS073/24</t>
  </si>
  <si>
    <t>Namukose Janet</t>
  </si>
  <si>
    <t>0760 920413</t>
  </si>
  <si>
    <t>BS074/24</t>
  </si>
  <si>
    <t>Musasizi Rose</t>
  </si>
  <si>
    <t>0763 054124</t>
  </si>
  <si>
    <t>BS075/24</t>
  </si>
  <si>
    <t xml:space="preserve">Nankwanga Teopista </t>
  </si>
  <si>
    <t xml:space="preserve">Bumogoli </t>
  </si>
  <si>
    <t>0787 622753</t>
  </si>
  <si>
    <t>BS076/24</t>
  </si>
  <si>
    <t>Byali Irene</t>
  </si>
  <si>
    <t>Kasozi</t>
  </si>
  <si>
    <t>BS077/24</t>
  </si>
  <si>
    <t>Namukose Shadia</t>
  </si>
  <si>
    <t>0772 832510</t>
  </si>
  <si>
    <t>BS078/24</t>
  </si>
  <si>
    <t>Lovisa Nali</t>
  </si>
  <si>
    <t>0744 343043</t>
  </si>
  <si>
    <t>BS079/24</t>
  </si>
  <si>
    <t>Ninsiima Yusta</t>
  </si>
  <si>
    <t xml:space="preserve">Bulongoli </t>
  </si>
  <si>
    <t>0779 627021</t>
  </si>
  <si>
    <t>Munyankole</t>
  </si>
  <si>
    <t>BS080/24</t>
  </si>
  <si>
    <t>Nankwanga Rose</t>
  </si>
  <si>
    <t>BS081/24</t>
  </si>
  <si>
    <t>Akwatulira Anna</t>
  </si>
  <si>
    <t>BS082/24</t>
  </si>
  <si>
    <t xml:space="preserve">Nabirye Margaret </t>
  </si>
  <si>
    <t>0788 632042</t>
  </si>
  <si>
    <t>BS083/24</t>
  </si>
  <si>
    <t xml:space="preserve">Nabirye Florence </t>
  </si>
  <si>
    <t>BS084/24</t>
  </si>
  <si>
    <t>Namulinda Joy</t>
  </si>
  <si>
    <t>0786 173545</t>
  </si>
  <si>
    <t>BS085/24</t>
  </si>
  <si>
    <t>Nakisuyi Alice</t>
  </si>
  <si>
    <t>0784 389030</t>
  </si>
  <si>
    <t>BS086/24</t>
  </si>
  <si>
    <t>Namukoma Joy</t>
  </si>
  <si>
    <t>0776 231781</t>
  </si>
  <si>
    <t>BS087/24</t>
  </si>
  <si>
    <t>Nabirye Lydia</t>
  </si>
  <si>
    <t>0775 590039</t>
  </si>
  <si>
    <t>BS088/24</t>
  </si>
  <si>
    <t>Nakiwate Harriet</t>
  </si>
  <si>
    <t>0778 420540</t>
  </si>
  <si>
    <t>BS089/24</t>
  </si>
  <si>
    <t>Namaganda Juliet</t>
  </si>
  <si>
    <t>0773 604685</t>
  </si>
  <si>
    <t>BS090/24</t>
  </si>
  <si>
    <t xml:space="preserve">Nakisuyi Sylvia </t>
  </si>
  <si>
    <t>BS091/24</t>
  </si>
  <si>
    <t>Kaudha Irene</t>
  </si>
  <si>
    <t>0779 207464</t>
  </si>
  <si>
    <t>BS092/24</t>
  </si>
  <si>
    <t>Namuganza Rose</t>
  </si>
  <si>
    <t>BS093/24</t>
  </si>
  <si>
    <t>Nakayima Lovinsa</t>
  </si>
  <si>
    <t>0770 515220</t>
  </si>
  <si>
    <t>Mulamogi</t>
  </si>
  <si>
    <t>BS094/24</t>
  </si>
  <si>
    <t>Nakayima Bridget</t>
  </si>
  <si>
    <t>BS095/24</t>
  </si>
  <si>
    <t>Kyakuwaire Hanisha</t>
  </si>
  <si>
    <t>BS096/24</t>
  </si>
  <si>
    <t>Naigaga Veronica</t>
  </si>
  <si>
    <t>Itingo</t>
  </si>
  <si>
    <t>BS097/24</t>
  </si>
  <si>
    <t xml:space="preserve">Namugere Catherine </t>
  </si>
  <si>
    <t>Igwaya</t>
  </si>
  <si>
    <t>BS098/24</t>
  </si>
  <si>
    <t>Nante Joanita</t>
  </si>
  <si>
    <t>Nakatwe</t>
  </si>
  <si>
    <t>0760 147204</t>
  </si>
  <si>
    <t>BS099/24</t>
  </si>
  <si>
    <t>Nabirye Lilian</t>
  </si>
  <si>
    <t>0788 395245</t>
  </si>
  <si>
    <t>BS100/24</t>
  </si>
  <si>
    <t>Nakirizza Nasiimu</t>
  </si>
  <si>
    <t>0784 171230</t>
  </si>
  <si>
    <t>BS101/24</t>
  </si>
  <si>
    <t>Babirye Deziranta</t>
  </si>
  <si>
    <t>BS102/24</t>
  </si>
  <si>
    <t>Byawano Rose</t>
  </si>
  <si>
    <t xml:space="preserve">Kassanga </t>
  </si>
  <si>
    <t>BS103/24</t>
  </si>
  <si>
    <t>Yogero Zichi</t>
  </si>
  <si>
    <t>Nabuuku</t>
  </si>
  <si>
    <t xml:space="preserve">Mulamogi </t>
  </si>
  <si>
    <t>BS104/24</t>
  </si>
  <si>
    <t>Alitubera Sharon</t>
  </si>
  <si>
    <t>0762 542868</t>
  </si>
  <si>
    <t>BS105/24</t>
  </si>
  <si>
    <t>Namuganza Toffi</t>
  </si>
  <si>
    <t>0705 275280</t>
  </si>
  <si>
    <t>BS106/24</t>
  </si>
  <si>
    <t>Akiror Irene</t>
  </si>
  <si>
    <t>0775 758072</t>
  </si>
  <si>
    <t>Non detectable</t>
  </si>
  <si>
    <t>BS107/24</t>
  </si>
  <si>
    <t>Namugere Esther</t>
  </si>
  <si>
    <t xml:space="preserve">Nakawolo </t>
  </si>
  <si>
    <t>0706 311772</t>
  </si>
  <si>
    <t>BS108/24</t>
  </si>
  <si>
    <t>Namugere Prossie</t>
  </si>
  <si>
    <t>0763 420365</t>
  </si>
  <si>
    <t>BS109/24</t>
  </si>
  <si>
    <t>Namwase Brenda</t>
  </si>
  <si>
    <t>Kamagoya</t>
  </si>
  <si>
    <t>BS110/24</t>
  </si>
  <si>
    <t>Nabirye Fina</t>
  </si>
  <si>
    <t>BS111/24</t>
  </si>
  <si>
    <t>Namulindwa Mariam</t>
  </si>
  <si>
    <t>0771 771808</t>
  </si>
  <si>
    <t>BS112/24</t>
  </si>
  <si>
    <t>Naigaga Justine</t>
  </si>
  <si>
    <t>BS113/24</t>
  </si>
  <si>
    <t xml:space="preserve">Namulondo Beatrice </t>
  </si>
  <si>
    <t>Kassanga</t>
  </si>
  <si>
    <t>0765 232305</t>
  </si>
  <si>
    <t>BS114/24</t>
  </si>
  <si>
    <t xml:space="preserve">Tibenda Proscovia </t>
  </si>
  <si>
    <t>0778 307053</t>
  </si>
  <si>
    <t>BS115/24</t>
  </si>
  <si>
    <t>Taka Harriet</t>
  </si>
  <si>
    <t>BS116/24</t>
  </si>
  <si>
    <t>Nairuba Annet</t>
  </si>
  <si>
    <t>BS117/24</t>
  </si>
  <si>
    <t>Kyokali Jennifer</t>
  </si>
  <si>
    <t>0776 161953</t>
  </si>
  <si>
    <t>BS118/24</t>
  </si>
  <si>
    <t>Nabakooza Martha</t>
  </si>
  <si>
    <t>0763 838414</t>
  </si>
  <si>
    <t>suppressed</t>
  </si>
  <si>
    <t>January</t>
  </si>
  <si>
    <t>BS119/24</t>
  </si>
  <si>
    <t xml:space="preserve">Kafuko Maria </t>
  </si>
  <si>
    <t>BS120/24</t>
  </si>
  <si>
    <t>Mayinja Flavia</t>
  </si>
  <si>
    <t>0779 468829</t>
  </si>
  <si>
    <t>BS121/24</t>
  </si>
  <si>
    <t xml:space="preserve">Namukoma Margaret </t>
  </si>
  <si>
    <t>0764 406360</t>
  </si>
  <si>
    <t>BS122/24</t>
  </si>
  <si>
    <t xml:space="preserve">Amiti Rebecca </t>
  </si>
  <si>
    <t>Mukose</t>
  </si>
  <si>
    <t>BS123/24</t>
  </si>
  <si>
    <t>Sirina Scovia</t>
  </si>
  <si>
    <t>Isomba</t>
  </si>
  <si>
    <t>0751 274837</t>
  </si>
  <si>
    <t>BS124/24</t>
  </si>
  <si>
    <t>Agabo Judith</t>
  </si>
  <si>
    <t>0782 929069</t>
  </si>
  <si>
    <t xml:space="preserve">Acholi </t>
  </si>
  <si>
    <t>BS125/24</t>
  </si>
  <si>
    <t>Nabirye Amina</t>
  </si>
  <si>
    <t>BS126/24</t>
  </si>
  <si>
    <t>Kyabanaibwe Justina</t>
  </si>
  <si>
    <t>green</t>
  </si>
  <si>
    <t>january</t>
  </si>
  <si>
    <t>BS127/24</t>
  </si>
  <si>
    <t>Mukoda Safina</t>
  </si>
  <si>
    <t>0784 194442</t>
  </si>
  <si>
    <t>BS128/24</t>
  </si>
  <si>
    <t>Wotali Besi</t>
  </si>
  <si>
    <t>BS129/24</t>
  </si>
  <si>
    <t>Bamaniriza Elizabeth</t>
  </si>
  <si>
    <t>BS130/24</t>
  </si>
  <si>
    <t>Namugwano Zawulensi</t>
  </si>
  <si>
    <t>&lt;19 (05)</t>
  </si>
  <si>
    <t>20 – 30 (25)</t>
  </si>
  <si>
    <t>31– 40 (18)</t>
  </si>
  <si>
    <t>41– 50 (14)</t>
  </si>
  <si>
    <t>51-60 (4)</t>
  </si>
  <si>
    <t>&gt;61 (7)</t>
  </si>
  <si>
    <t xml:space="preserve"> Date; 17/4/2024</t>
  </si>
  <si>
    <t>Place: Bugonda Home</t>
  </si>
  <si>
    <t>BS131/24</t>
  </si>
  <si>
    <t xml:space="preserve">Alitwala Monic </t>
  </si>
  <si>
    <t xml:space="preserve">Bugonda </t>
  </si>
  <si>
    <t>0758 885330</t>
  </si>
  <si>
    <t>BS132/24</t>
  </si>
  <si>
    <t>Mbabazi Juliet</t>
  </si>
  <si>
    <t>0752 419988</t>
  </si>
  <si>
    <t>BS133/24</t>
  </si>
  <si>
    <t xml:space="preserve">Pamunduka Hajjura </t>
  </si>
  <si>
    <t>BS134/24</t>
  </si>
  <si>
    <t>Namugeye Edisa</t>
  </si>
  <si>
    <t>BS135/24</t>
  </si>
  <si>
    <t>Nabirye Safina</t>
  </si>
  <si>
    <t>0741 076896</t>
  </si>
  <si>
    <t>BS136/24</t>
  </si>
  <si>
    <t>Abenakyo Jalia</t>
  </si>
  <si>
    <t>0759 135014</t>
  </si>
  <si>
    <t>BS137/24</t>
  </si>
  <si>
    <t xml:space="preserve">Namubiru Florence </t>
  </si>
  <si>
    <t xml:space="preserve">Bukalu </t>
  </si>
  <si>
    <t>0789 551265</t>
  </si>
  <si>
    <t>BS138/24</t>
  </si>
  <si>
    <t>Namwase Masitula</t>
  </si>
  <si>
    <t>BS139/24</t>
  </si>
  <si>
    <t>Nambi Ngaobi Joy</t>
  </si>
  <si>
    <t>Bugonda</t>
  </si>
  <si>
    <t>BS140/24</t>
  </si>
  <si>
    <t>Nabuuma Perusi</t>
  </si>
  <si>
    <t>BS141/24</t>
  </si>
  <si>
    <t>Nalongo Edisa</t>
  </si>
  <si>
    <t>BS142/24</t>
  </si>
  <si>
    <t>Namuleme Esther</t>
  </si>
  <si>
    <t>0707 859949</t>
  </si>
  <si>
    <t>BS143/24</t>
  </si>
  <si>
    <t>Nakayima Shadia</t>
  </si>
  <si>
    <t xml:space="preserve">Buwonga </t>
  </si>
  <si>
    <t>BS144/24</t>
  </si>
  <si>
    <t>Mukoda Miria</t>
  </si>
  <si>
    <t>0700 621494</t>
  </si>
  <si>
    <t>BS145/24</t>
  </si>
  <si>
    <t>Nabirye Rehema</t>
  </si>
  <si>
    <t>BS146/24</t>
  </si>
  <si>
    <t>Babirye Justine</t>
  </si>
  <si>
    <t>BS147/24</t>
  </si>
  <si>
    <t>Takoba Betty</t>
  </si>
  <si>
    <t>0705 432861</t>
  </si>
  <si>
    <t>BS148/24</t>
  </si>
  <si>
    <t>Nairuba Loy</t>
  </si>
  <si>
    <t xml:space="preserve">Namwendwa </t>
  </si>
  <si>
    <t>0707 040034</t>
  </si>
  <si>
    <t>BS149/24</t>
  </si>
  <si>
    <t>Nambweira Irene</t>
  </si>
  <si>
    <t>BS150/24</t>
  </si>
  <si>
    <t>Biryeri Jesca</t>
  </si>
  <si>
    <t>0742 776076</t>
  </si>
  <si>
    <t>BS151/24</t>
  </si>
  <si>
    <t>Namuwaya Beatrice</t>
  </si>
  <si>
    <t>BS152/24</t>
  </si>
  <si>
    <t>Bafumba Oliver</t>
  </si>
  <si>
    <t>Namwendwa</t>
  </si>
  <si>
    <t>0702 740598</t>
  </si>
  <si>
    <t>BS153/24</t>
  </si>
  <si>
    <t>Kyebogeraku Anita</t>
  </si>
  <si>
    <t>BS154/24</t>
  </si>
  <si>
    <t>Kampi Mariam</t>
  </si>
  <si>
    <t>0775 302673</t>
  </si>
  <si>
    <t>BS155/24</t>
  </si>
  <si>
    <t>Nakabambwe Joyina</t>
  </si>
  <si>
    <t>BS156/24</t>
  </si>
  <si>
    <t>Mukyala Teddy</t>
  </si>
  <si>
    <t>0702 073053</t>
  </si>
  <si>
    <t>BS157/24</t>
  </si>
  <si>
    <t>Mukyala Safiat</t>
  </si>
  <si>
    <t>0700 319975</t>
  </si>
  <si>
    <t>BS158/24</t>
  </si>
  <si>
    <t>Wadawa Jamirah</t>
  </si>
  <si>
    <t>BS159/24</t>
  </si>
  <si>
    <t>Namuganza Habiba</t>
  </si>
  <si>
    <t>Nabirumba</t>
  </si>
  <si>
    <t>BS160/24</t>
  </si>
  <si>
    <t>0751 008563</t>
  </si>
  <si>
    <t>Mulalo</t>
  </si>
  <si>
    <t>BS161/24</t>
  </si>
  <si>
    <t xml:space="preserve">Wotali Nangobi </t>
  </si>
  <si>
    <t>BS162/24</t>
  </si>
  <si>
    <t>Naigaga Annet</t>
  </si>
  <si>
    <t>0742 807273</t>
  </si>
  <si>
    <t>BS163/24</t>
  </si>
  <si>
    <t>Nairuba Hasifa</t>
  </si>
  <si>
    <t>0753 505770</t>
  </si>
  <si>
    <t>BS164/24</t>
  </si>
  <si>
    <t>Namukose Aida</t>
  </si>
  <si>
    <t>0756 199130</t>
  </si>
  <si>
    <t>BS165/24</t>
  </si>
  <si>
    <t>Namutamba Sumaya</t>
  </si>
  <si>
    <t>0753 779444</t>
  </si>
  <si>
    <t>BS166/24</t>
  </si>
  <si>
    <t>Namukose Fatina</t>
  </si>
  <si>
    <t>BS167/24</t>
  </si>
  <si>
    <t xml:space="preserve">Nampina Prossy </t>
  </si>
  <si>
    <t>BS168/24</t>
  </si>
  <si>
    <t>Magoba Lucy</t>
  </si>
  <si>
    <t>Bubongo</t>
  </si>
  <si>
    <t>0702 375515</t>
  </si>
  <si>
    <t>BS169/24</t>
  </si>
  <si>
    <t xml:space="preserve">Hadijja Nakibogo </t>
  </si>
  <si>
    <t>0750 432861</t>
  </si>
  <si>
    <t>20 – 30 (12)</t>
  </si>
  <si>
    <t>31– 40 (11)</t>
  </si>
  <si>
    <t>41– 50 (07)</t>
  </si>
  <si>
    <t>51-60 (6)</t>
  </si>
  <si>
    <t xml:space="preserve"> Date;  February</t>
  </si>
  <si>
    <t>Place: Buyende Office</t>
  </si>
  <si>
    <t>Referral to</t>
  </si>
  <si>
    <t>HIV?</t>
  </si>
  <si>
    <t>1-3 part</t>
  </si>
  <si>
    <t>Result</t>
  </si>
  <si>
    <t>SB218/24</t>
  </si>
  <si>
    <t>Nairuba Jackline</t>
  </si>
  <si>
    <t>Butaasa</t>
  </si>
  <si>
    <t>0706 950750</t>
  </si>
  <si>
    <t>SB219/24</t>
  </si>
  <si>
    <t>Nalubanga Ashira</t>
  </si>
  <si>
    <t>Kibweri</t>
  </si>
  <si>
    <t>SB220/24</t>
  </si>
  <si>
    <t>Mukyala Ruth</t>
  </si>
  <si>
    <t>Bukalu</t>
  </si>
  <si>
    <t>0754 002430</t>
  </si>
  <si>
    <t>-</t>
  </si>
  <si>
    <t>SB221/24</t>
  </si>
  <si>
    <t>Kisakye Lydia</t>
  </si>
  <si>
    <t>Wozira</t>
  </si>
  <si>
    <t>0780 537234</t>
  </si>
  <si>
    <t>SB222/24</t>
  </si>
  <si>
    <t>Nankwanga Elizabeth</t>
  </si>
  <si>
    <t>Kagulu</t>
  </si>
  <si>
    <t>0751 923901</t>
  </si>
  <si>
    <t>SB223/24</t>
  </si>
  <si>
    <t>Nansereko Jennifer</t>
  </si>
  <si>
    <t>Ikanda</t>
  </si>
  <si>
    <t>0740 366683</t>
  </si>
  <si>
    <t>SB224/24</t>
  </si>
  <si>
    <t>Nambi Kamiyati</t>
  </si>
  <si>
    <t>Namusita</t>
  </si>
  <si>
    <t>20 – 30 (4)</t>
  </si>
  <si>
    <t>41– 50 (02)</t>
  </si>
  <si>
    <t>&gt;61 (01)</t>
  </si>
  <si>
    <t xml:space="preserve"> Date;  7/2/2024</t>
  </si>
  <si>
    <t>Place: Kikaramoja</t>
  </si>
  <si>
    <t>Not tested</t>
  </si>
  <si>
    <t>Not done</t>
  </si>
  <si>
    <t>S068/24</t>
  </si>
  <si>
    <t>Atim Regina</t>
  </si>
  <si>
    <t>Masese</t>
  </si>
  <si>
    <t>S069/24</t>
  </si>
  <si>
    <t>Kabejja Maureen</t>
  </si>
  <si>
    <t>Muyenga</t>
  </si>
  <si>
    <t>0753-576592</t>
  </si>
  <si>
    <t>5 mths ago</t>
  </si>
  <si>
    <t>S070/24</t>
  </si>
  <si>
    <t>Ishiyah Veronica</t>
  </si>
  <si>
    <t>Kikaramoja</t>
  </si>
  <si>
    <t>Karamajong</t>
  </si>
  <si>
    <t>After PAP</t>
  </si>
  <si>
    <t>S071/24</t>
  </si>
  <si>
    <t>Namusabi Kuluthum</t>
  </si>
  <si>
    <t>0786-376814</t>
  </si>
  <si>
    <t>Await results</t>
  </si>
  <si>
    <t>S072/24</t>
  </si>
  <si>
    <t>Nyinaneza Mariam</t>
  </si>
  <si>
    <t>0756-374854</t>
  </si>
  <si>
    <t>Rwandese</t>
  </si>
  <si>
    <t>JRRH</t>
  </si>
  <si>
    <t>S073/24</t>
  </si>
  <si>
    <t>Osiike Esther</t>
  </si>
  <si>
    <t>0708-897787</t>
  </si>
  <si>
    <t>S074/24</t>
  </si>
  <si>
    <t>Akito Scovia Mary</t>
  </si>
  <si>
    <t>0788-899097</t>
  </si>
  <si>
    <t>S075/24</t>
  </si>
  <si>
    <t>Hairat Mariam</t>
  </si>
  <si>
    <t>0702-824279</t>
  </si>
  <si>
    <t>S076/24</t>
  </si>
  <si>
    <t>Nabatazi Fatumah</t>
  </si>
  <si>
    <t>0789-561227</t>
  </si>
  <si>
    <t>S077/24</t>
  </si>
  <si>
    <t>Tapem Mercy</t>
  </si>
  <si>
    <t>S078/24</t>
  </si>
  <si>
    <t>Kiyonga Hellen</t>
  </si>
  <si>
    <t>S079/24</t>
  </si>
  <si>
    <t>Odong Betty</t>
  </si>
  <si>
    <t>0707-374728</t>
  </si>
  <si>
    <t>Mukuku</t>
  </si>
  <si>
    <t>S080/24</t>
  </si>
  <si>
    <t>Nasawi Sharon</t>
  </si>
  <si>
    <t>0781-928428</t>
  </si>
  <si>
    <t>S081/24</t>
  </si>
  <si>
    <t>Nakku Justine</t>
  </si>
  <si>
    <t>0753-947537</t>
  </si>
  <si>
    <t>S082/24</t>
  </si>
  <si>
    <t>Amiya Gloria</t>
  </si>
  <si>
    <t>0783-341495</t>
  </si>
  <si>
    <t>Alulu</t>
  </si>
  <si>
    <t>5 yrs ago</t>
  </si>
  <si>
    <t>S083/24</t>
  </si>
  <si>
    <t>Namutamba Janat</t>
  </si>
  <si>
    <t>0743-349416</t>
  </si>
  <si>
    <t>S084/24</t>
  </si>
  <si>
    <t>Naisikwe Oliver</t>
  </si>
  <si>
    <t>0776-131158</t>
  </si>
  <si>
    <t>S085/24</t>
  </si>
  <si>
    <t>Mutesi Betty</t>
  </si>
  <si>
    <t>S086/24</t>
  </si>
  <si>
    <t>Angella Alice</t>
  </si>
  <si>
    <t>S087/24</t>
  </si>
  <si>
    <t>Essoto Mary</t>
  </si>
  <si>
    <t>S088/24</t>
  </si>
  <si>
    <t>Atim Jessica</t>
  </si>
  <si>
    <t>S089/24</t>
  </si>
  <si>
    <t>Amuso Betty</t>
  </si>
  <si>
    <t>0701-787146</t>
  </si>
  <si>
    <t>S090/24</t>
  </si>
  <si>
    <t>Mutoni Veronica</t>
  </si>
  <si>
    <t>S091/24</t>
  </si>
  <si>
    <t>Lomok Hannah</t>
  </si>
  <si>
    <t>S092/24</t>
  </si>
  <si>
    <t>Alenga Goretti</t>
  </si>
  <si>
    <t>0752-731264</t>
  </si>
  <si>
    <t>S093/24</t>
  </si>
  <si>
    <t>Tibiwa Sophia</t>
  </si>
  <si>
    <t>0758-850350</t>
  </si>
  <si>
    <t>S094/24</t>
  </si>
  <si>
    <t>Lokori Margrethe</t>
  </si>
  <si>
    <t>S095/24</t>
  </si>
  <si>
    <t>Naur Shaurn</t>
  </si>
  <si>
    <t>S096/24</t>
  </si>
  <si>
    <t>Nanyiiro Esther</t>
  </si>
  <si>
    <t>0788-471988</t>
  </si>
  <si>
    <t>S097/24</t>
  </si>
  <si>
    <t>Molu Miriam</t>
  </si>
  <si>
    <t>0780-587600</t>
  </si>
  <si>
    <t>S098/24</t>
  </si>
  <si>
    <t>Naiboka Sarah</t>
  </si>
  <si>
    <t>0701-308669</t>
  </si>
  <si>
    <t>S099/24</t>
  </si>
  <si>
    <t>Aliat Grace</t>
  </si>
  <si>
    <t>0701-161038</t>
  </si>
  <si>
    <t>After infection</t>
  </si>
  <si>
    <t>S100/24</t>
  </si>
  <si>
    <t>Amayo Lucy</t>
  </si>
  <si>
    <t>S101/24</t>
  </si>
  <si>
    <t>Nalumu Ruth</t>
  </si>
  <si>
    <t>0755-172365</t>
  </si>
  <si>
    <t>S102/24</t>
  </si>
  <si>
    <t>Namuto Angella</t>
  </si>
  <si>
    <t>0780-966755</t>
  </si>
  <si>
    <t>S103/24</t>
  </si>
  <si>
    <t>Mutesi Rose</t>
  </si>
  <si>
    <t>0751-674511</t>
  </si>
  <si>
    <t>S104/23</t>
  </si>
  <si>
    <t>Naigaga Tracy</t>
  </si>
  <si>
    <t>0750-893024</t>
  </si>
  <si>
    <t>S105/24</t>
  </si>
  <si>
    <t>Eseren Hellen</t>
  </si>
  <si>
    <t>0779-871983</t>
  </si>
  <si>
    <t>Mudama</t>
  </si>
  <si>
    <t>S106/24</t>
  </si>
  <si>
    <t>Akwenyi Betty</t>
  </si>
  <si>
    <t>0701-467222</t>
  </si>
  <si>
    <t>S107/24</t>
  </si>
  <si>
    <t>Topista Birungi</t>
  </si>
  <si>
    <t>0703-317650</t>
  </si>
  <si>
    <t>S108/24</t>
  </si>
  <si>
    <t>Katoko Rosemary</t>
  </si>
  <si>
    <t>0777-513717</t>
  </si>
  <si>
    <t>S109/24</t>
  </si>
  <si>
    <t>Kantono Faridah</t>
  </si>
  <si>
    <t>0779-540640</t>
  </si>
  <si>
    <t>S110/24</t>
  </si>
  <si>
    <t>Apio Mary</t>
  </si>
  <si>
    <t>0785-640139</t>
  </si>
  <si>
    <t>S111/24</t>
  </si>
  <si>
    <t>Kagoya Mary</t>
  </si>
  <si>
    <t>0705-176772</t>
  </si>
  <si>
    <t>S112/24</t>
  </si>
  <si>
    <t>Naikosa Marion</t>
  </si>
  <si>
    <t>0707-899717</t>
  </si>
  <si>
    <t>S113/24</t>
  </si>
  <si>
    <t>Nabasirye Margret</t>
  </si>
  <si>
    <t>S114/24</t>
  </si>
  <si>
    <t>Tigawalana Madina</t>
  </si>
  <si>
    <t>0755-748689</t>
  </si>
  <si>
    <t>S115/24</t>
  </si>
  <si>
    <t>Akekiti Grace</t>
  </si>
  <si>
    <t>0777-069340</t>
  </si>
  <si>
    <t>S116/24</t>
  </si>
  <si>
    <t>Namulondo Jovia</t>
  </si>
  <si>
    <t>0705-596064</t>
  </si>
  <si>
    <t>S117/24</t>
  </si>
  <si>
    <t>Atim Esther</t>
  </si>
  <si>
    <t>S118/24</t>
  </si>
  <si>
    <t>Adapiya Joyce</t>
  </si>
  <si>
    <t>0705-896744</t>
  </si>
  <si>
    <t>Mululu</t>
  </si>
  <si>
    <t>S119/24</t>
  </si>
  <si>
    <t>Namuwaya Milly</t>
  </si>
  <si>
    <t>0744-845001</t>
  </si>
  <si>
    <t>S120/24</t>
  </si>
  <si>
    <t>Nabirye Maureen</t>
  </si>
  <si>
    <t>0770-456164</t>
  </si>
  <si>
    <t>S121/24</t>
  </si>
  <si>
    <t>Olana Kevin</t>
  </si>
  <si>
    <t>0756-389653</t>
  </si>
  <si>
    <t>&lt;19 (10)</t>
  </si>
  <si>
    <t>20 – 30 (32)</t>
  </si>
  <si>
    <t>31– 40 (6)</t>
  </si>
  <si>
    <t>41– 50 (4)</t>
  </si>
  <si>
    <t>51-60 (1)</t>
  </si>
  <si>
    <t xml:space="preserve"> Date;  13 &amp; 14/2/2024</t>
  </si>
  <si>
    <t>Place: NBS Station</t>
  </si>
  <si>
    <t>S122/24</t>
  </si>
  <si>
    <t>Nabirye Jennifer</t>
  </si>
  <si>
    <t>Railway Qrtrs</t>
  </si>
  <si>
    <t>0752-589222</t>
  </si>
  <si>
    <t>3 days ago</t>
  </si>
  <si>
    <t>S123/24</t>
  </si>
  <si>
    <t>Akullo Diana</t>
  </si>
  <si>
    <t>Jinja</t>
  </si>
  <si>
    <t>0785-057951</t>
  </si>
  <si>
    <t>Langi</t>
  </si>
  <si>
    <t>S124/24</t>
  </si>
  <si>
    <t>Namukoseb Maureen</t>
  </si>
  <si>
    <t>Walukuba</t>
  </si>
  <si>
    <t>2 yrs ago</t>
  </si>
  <si>
    <t>S125/24</t>
  </si>
  <si>
    <t>Naiwube Sylvia</t>
  </si>
  <si>
    <t>Bundwege</t>
  </si>
  <si>
    <t>0707-533946</t>
  </si>
  <si>
    <t>S126/24</t>
  </si>
  <si>
    <t>Kekimuli Annet</t>
  </si>
  <si>
    <t>Nakabango</t>
  </si>
  <si>
    <t>0753-850455</t>
  </si>
  <si>
    <t>S127/24</t>
  </si>
  <si>
    <t>Nyandera Christine</t>
  </si>
  <si>
    <t>0701-324755</t>
  </si>
  <si>
    <t>Mujaluo</t>
  </si>
  <si>
    <t>S128/24</t>
  </si>
  <si>
    <t>Lochoto Christine</t>
  </si>
  <si>
    <t>0780-592258</t>
  </si>
  <si>
    <t>S129/24</t>
  </si>
  <si>
    <t>Najjuma Rahuma</t>
  </si>
  <si>
    <t>Kimaka</t>
  </si>
  <si>
    <t>0757-734821</t>
  </si>
  <si>
    <t>Kyabirwa SC</t>
  </si>
  <si>
    <t>S130/24</t>
  </si>
  <si>
    <t>Nabirye Deziranta</t>
  </si>
  <si>
    <t>Kazigo</t>
  </si>
  <si>
    <t>S131/24</t>
  </si>
  <si>
    <t>Nabuduwa Gladys</t>
  </si>
  <si>
    <t>Bukaya</t>
  </si>
  <si>
    <t>0779-468637</t>
  </si>
  <si>
    <t>S132/24</t>
  </si>
  <si>
    <t>Muwumuza Kevin</t>
  </si>
  <si>
    <t>Najja</t>
  </si>
  <si>
    <t>0755-241411</t>
  </si>
  <si>
    <t>Mutoro</t>
  </si>
  <si>
    <t>After gyne</t>
  </si>
  <si>
    <t>S133/24</t>
  </si>
  <si>
    <t>Namabiro Fatuma</t>
  </si>
  <si>
    <t>Mafubira</t>
  </si>
  <si>
    <t>0743-228395</t>
  </si>
  <si>
    <t>S134/24</t>
  </si>
  <si>
    <t>Cissy Nassali</t>
  </si>
  <si>
    <t>Butiki</t>
  </si>
  <si>
    <t>0759-591303</t>
  </si>
  <si>
    <t>S135/24</t>
  </si>
  <si>
    <t>Bagamulunda Allen</t>
  </si>
  <si>
    <t>Police Barracks</t>
  </si>
  <si>
    <t>0783-935658</t>
  </si>
  <si>
    <t>W Uganda</t>
  </si>
  <si>
    <t>S136/24</t>
  </si>
  <si>
    <t>Nakiganda Salama</t>
  </si>
  <si>
    <t>Bugembe</t>
  </si>
  <si>
    <t>0753-086415</t>
  </si>
  <si>
    <t>S137/24</t>
  </si>
  <si>
    <t>Kandete Silista</t>
  </si>
  <si>
    <t>Kibuku</t>
  </si>
  <si>
    <t>0702-825059</t>
  </si>
  <si>
    <t>2 mths ago</t>
  </si>
  <si>
    <t>&lt;19 (0)</t>
  </si>
  <si>
    <t>31– 40 (9)</t>
  </si>
  <si>
    <t>41– 50 (1)</t>
  </si>
  <si>
    <t>&gt;61 (0)</t>
  </si>
  <si>
    <t xml:space="preserve"> Date;  14/2/2024</t>
  </si>
  <si>
    <t>Place: Nankoma HCIV</t>
  </si>
  <si>
    <t>S138/24</t>
  </si>
  <si>
    <t>Kadama Rehema</t>
  </si>
  <si>
    <t>Busoga</t>
  </si>
  <si>
    <t>S139/24</t>
  </si>
  <si>
    <t>Nakaziba Shakira</t>
  </si>
  <si>
    <t>Matovu</t>
  </si>
  <si>
    <t>0753-040092</t>
  </si>
  <si>
    <t>S140/24</t>
  </si>
  <si>
    <t>Namagunga Esther</t>
  </si>
  <si>
    <t>Masita</t>
  </si>
  <si>
    <t>0751-556831</t>
  </si>
  <si>
    <t>S141/24</t>
  </si>
  <si>
    <t>Nabwire Judith</t>
  </si>
  <si>
    <t>0701-314144</t>
  </si>
  <si>
    <t>19/01/2024</t>
  </si>
  <si>
    <t>S142/24</t>
  </si>
  <si>
    <t>Nabwire Janet</t>
  </si>
  <si>
    <t>Namakoko</t>
  </si>
  <si>
    <t>0704-753301</t>
  </si>
  <si>
    <t>S143/24</t>
  </si>
  <si>
    <t>Birungi Florence</t>
  </si>
  <si>
    <t>Nankoma</t>
  </si>
  <si>
    <t>0754-896758</t>
  </si>
  <si>
    <t>S144/24</t>
  </si>
  <si>
    <t>Nabukenya Maggie</t>
  </si>
  <si>
    <t>Kisawo</t>
  </si>
  <si>
    <t>0787-700259</t>
  </si>
  <si>
    <t>S145/24</t>
  </si>
  <si>
    <t>Baluka Teopista</t>
  </si>
  <si>
    <t>0706-107414</t>
  </si>
  <si>
    <t>S146/24</t>
  </si>
  <si>
    <t>Mutesi Shadia</t>
  </si>
  <si>
    <t>0781-339419</t>
  </si>
  <si>
    <t>S147/24</t>
  </si>
  <si>
    <t>Namukuve Rukia</t>
  </si>
  <si>
    <t>Nogo</t>
  </si>
  <si>
    <t>0781-650812</t>
  </si>
  <si>
    <t>S148/24</t>
  </si>
  <si>
    <t>Namwase Maria</t>
  </si>
  <si>
    <t>Kitooro</t>
  </si>
  <si>
    <t>S149/24</t>
  </si>
  <si>
    <t>Nangobi Madinah</t>
  </si>
  <si>
    <t>2 mths</t>
  </si>
  <si>
    <t>S150/24</t>
  </si>
  <si>
    <t>Namuganza Fatuma</t>
  </si>
  <si>
    <t>0786-252032</t>
  </si>
  <si>
    <t>Last month</t>
  </si>
  <si>
    <t>S151/24</t>
  </si>
  <si>
    <t>Nasabu Nanikodo</t>
  </si>
  <si>
    <t>Walugoma</t>
  </si>
  <si>
    <t>S152/24</t>
  </si>
  <si>
    <t>Namaganda Zubeda</t>
  </si>
  <si>
    <t>Mayuge</t>
  </si>
  <si>
    <t>0788-030248</t>
  </si>
  <si>
    <t>S153/24</t>
  </si>
  <si>
    <t>Katushabe Sylvia</t>
  </si>
  <si>
    <t>0751-677127</t>
  </si>
  <si>
    <t>Nyaranda</t>
  </si>
  <si>
    <t>S154/24</t>
  </si>
  <si>
    <t>Baluka Agnes</t>
  </si>
  <si>
    <t>0763-030935</t>
  </si>
  <si>
    <t>S155/24</t>
  </si>
  <si>
    <t>Mirembe Angella</t>
  </si>
  <si>
    <t>0741-025444</t>
  </si>
  <si>
    <t>S156/24</t>
  </si>
  <si>
    <t>Namugundo Jane</t>
  </si>
  <si>
    <t>0702-238018</t>
  </si>
  <si>
    <t>S157/24</t>
  </si>
  <si>
    <t>Kalabako Hawah</t>
  </si>
  <si>
    <t>Musita</t>
  </si>
  <si>
    <t>0778-956616</t>
  </si>
  <si>
    <t>S158/24</t>
  </si>
  <si>
    <t>Nabwire Margret</t>
  </si>
  <si>
    <t>Nsono</t>
  </si>
  <si>
    <t>0773-123136</t>
  </si>
  <si>
    <t>4 mths</t>
  </si>
  <si>
    <t>S159/24</t>
  </si>
  <si>
    <t>Nankanja Harriet</t>
  </si>
  <si>
    <t>0781-094580</t>
  </si>
  <si>
    <t>S160/24</t>
  </si>
  <si>
    <t>Naigaga Janiana</t>
  </si>
  <si>
    <t>0743-394557</t>
  </si>
  <si>
    <t>S161/24</t>
  </si>
  <si>
    <t>Nabaasa Esther</t>
  </si>
  <si>
    <t>0764-499957</t>
  </si>
  <si>
    <t>S162/24</t>
  </si>
  <si>
    <t>Nakibuuka Hamidah</t>
  </si>
  <si>
    <t>Namugolo</t>
  </si>
  <si>
    <t>S163/24</t>
  </si>
  <si>
    <t>Mutesi Madinah</t>
  </si>
  <si>
    <t>0702-368696</t>
  </si>
  <si>
    <t>3 mths</t>
  </si>
  <si>
    <t>AGE GROUPS</t>
  </si>
  <si>
    <t>&lt;19 (2)</t>
  </si>
  <si>
    <t>20 – 30 (09)</t>
  </si>
  <si>
    <t>31– 40 (5)</t>
  </si>
  <si>
    <t>41– 50 (6)</t>
  </si>
  <si>
    <t>51-60 (3)</t>
  </si>
  <si>
    <t xml:space="preserve"> Date;  21/2/2024</t>
  </si>
  <si>
    <t>Place: Kakooge HCIII</t>
  </si>
  <si>
    <t>When (months)</t>
  </si>
  <si>
    <t>Unkown</t>
  </si>
  <si>
    <t>Gamba Budesita</t>
  </si>
  <si>
    <t>Kakooge</t>
  </si>
  <si>
    <t>Mukenye</t>
  </si>
  <si>
    <t>S168/24</t>
  </si>
  <si>
    <t>Akello Christine</t>
  </si>
  <si>
    <t>S169/24</t>
  </si>
  <si>
    <t>Nangobi Fauziah</t>
  </si>
  <si>
    <t>Kiyunga</t>
  </si>
  <si>
    <t>0704-584592</t>
  </si>
  <si>
    <t>S170/24</t>
  </si>
  <si>
    <t>Kisakye Ndijja</t>
  </si>
  <si>
    <t>Mulamoji</t>
  </si>
  <si>
    <t>S171/24</t>
  </si>
  <si>
    <t>Namugaya Recheal</t>
  </si>
  <si>
    <t>0771-277400</t>
  </si>
  <si>
    <t>S172/24</t>
  </si>
  <si>
    <t>Kaguna Doreen</t>
  </si>
  <si>
    <t>0789-404376</t>
  </si>
  <si>
    <t>S173/24</t>
  </si>
  <si>
    <t>Twabona Violet</t>
  </si>
  <si>
    <t>0706-916343</t>
  </si>
  <si>
    <t>S174/24</t>
  </si>
  <si>
    <t>Namudope Mariam</t>
  </si>
  <si>
    <t>Kalaba</t>
  </si>
  <si>
    <t>0764-227472</t>
  </si>
  <si>
    <t>S175/24</t>
  </si>
  <si>
    <t>Nabirye Florence</t>
  </si>
  <si>
    <t>S176/24</t>
  </si>
  <si>
    <t>Nabukenya Erinah</t>
  </si>
  <si>
    <t>0770-468031</t>
  </si>
  <si>
    <t>S177/24</t>
  </si>
  <si>
    <t>Apio Esther</t>
  </si>
  <si>
    <t>S178/24</t>
  </si>
  <si>
    <t>Kyakwaire Elivaida</t>
  </si>
  <si>
    <t>0783-814600</t>
  </si>
  <si>
    <t>S179/24</t>
  </si>
  <si>
    <t>Kitalima Meridah Mbwali</t>
  </si>
  <si>
    <t>S180/24</t>
  </si>
  <si>
    <t>Nangobi Catherine</t>
  </si>
  <si>
    <t>0756-562910</t>
  </si>
  <si>
    <t>S181/24</t>
  </si>
  <si>
    <t>Nankya Sefoloza</t>
  </si>
  <si>
    <t>S182/24</t>
  </si>
  <si>
    <t>Namusana Jane</t>
  </si>
  <si>
    <t>Kalambo</t>
  </si>
  <si>
    <t>0779-403067</t>
  </si>
  <si>
    <t>S183/24</t>
  </si>
  <si>
    <t>Nangobi Irene</t>
  </si>
  <si>
    <t>Nabuula</t>
  </si>
  <si>
    <t>S184/24</t>
  </si>
  <si>
    <t>Mucheyaya Lovisa</t>
  </si>
  <si>
    <t>S185/24</t>
  </si>
  <si>
    <t>Kabogo Aminah</t>
  </si>
  <si>
    <t>0770-513916</t>
  </si>
  <si>
    <t>S186/24</t>
  </si>
  <si>
    <t>Nandhego Carolined</t>
  </si>
  <si>
    <t>0781-445219</t>
  </si>
  <si>
    <t>S187/24</t>
  </si>
  <si>
    <t>Namaganda Claire</t>
  </si>
  <si>
    <t>Kikaya</t>
  </si>
  <si>
    <t>0762-121481</t>
  </si>
  <si>
    <t>S188/24</t>
  </si>
  <si>
    <t>Abatuuka Merab</t>
  </si>
  <si>
    <t>0700-5414547</t>
  </si>
  <si>
    <t>S189/24</t>
  </si>
  <si>
    <t>Magoba Catherine</t>
  </si>
  <si>
    <t>0753-217754</t>
  </si>
  <si>
    <t>Not Screened</t>
  </si>
  <si>
    <t>S190/24</t>
  </si>
  <si>
    <t>Namwenge Nuru</t>
  </si>
  <si>
    <t>S191/24</t>
  </si>
  <si>
    <t>Namulondo Annet</t>
  </si>
  <si>
    <t>0752-390775</t>
  </si>
  <si>
    <t>S192/24</t>
  </si>
  <si>
    <t>Nangobi Norah</t>
  </si>
  <si>
    <t>S193/24</t>
  </si>
  <si>
    <t>Kyaliki Ruth</t>
  </si>
  <si>
    <t>0753-748819</t>
  </si>
  <si>
    <t>S194/24</t>
  </si>
  <si>
    <t>Namaganda Agnes</t>
  </si>
  <si>
    <t>0754-098404</t>
  </si>
  <si>
    <t>S195/24</t>
  </si>
  <si>
    <t>Namuganda Fatuma</t>
  </si>
  <si>
    <t>0743-677982</t>
  </si>
  <si>
    <t>&lt;19 (1)</t>
  </si>
  <si>
    <t>20 – 30 (11)</t>
  </si>
  <si>
    <t>31– 40 (7)</t>
  </si>
  <si>
    <t>&gt;61 (2)</t>
  </si>
  <si>
    <t xml:space="preserve"> Date;  22/2/2024</t>
  </si>
  <si>
    <t>Place: Kivejinja Hospital 22/2/2024</t>
  </si>
  <si>
    <t>S196/24</t>
  </si>
  <si>
    <t>Boneku Christine</t>
  </si>
  <si>
    <t>Kagoma</t>
  </si>
  <si>
    <t>0754-395562</t>
  </si>
  <si>
    <t>S197/24</t>
  </si>
  <si>
    <t>Kisakye Cissy</t>
  </si>
  <si>
    <t>Buwenge</t>
  </si>
  <si>
    <t>0758-450073</t>
  </si>
  <si>
    <t>S198/24</t>
  </si>
  <si>
    <t>Mukebezi Rosemary</t>
  </si>
  <si>
    <t>Kyelinda</t>
  </si>
  <si>
    <t>0753-887983</t>
  </si>
  <si>
    <t>S199/24</t>
  </si>
  <si>
    <t>Wanyana Regina</t>
  </si>
  <si>
    <t>Busia 2</t>
  </si>
  <si>
    <t>0705-198163</t>
  </si>
  <si>
    <t>S200/24</t>
  </si>
  <si>
    <t>Nabirye Resty</t>
  </si>
  <si>
    <t>0757-068993</t>
  </si>
  <si>
    <t>S201/24</t>
  </si>
  <si>
    <t>Namuganza Elizabeth</t>
  </si>
  <si>
    <t>Muwangi</t>
  </si>
  <si>
    <t>S202/24</t>
  </si>
  <si>
    <t>Kamida Kagoya</t>
  </si>
  <si>
    <t>0753-400666</t>
  </si>
  <si>
    <t>S203/24</t>
  </si>
  <si>
    <t>Mbabazi Sulia</t>
  </si>
  <si>
    <t>Kigenyi</t>
  </si>
  <si>
    <t>0703-777743</t>
  </si>
  <si>
    <t>S204/24</t>
  </si>
  <si>
    <t>Namutebi Gorret</t>
  </si>
  <si>
    <t>Kiti</t>
  </si>
  <si>
    <t>0750-965906</t>
  </si>
  <si>
    <t>S205/24</t>
  </si>
  <si>
    <t>Namugaya Betty</t>
  </si>
  <si>
    <t>0774-256987</t>
  </si>
  <si>
    <t>S206/24</t>
  </si>
  <si>
    <t>Ahebwa Josephine</t>
  </si>
  <si>
    <t>Wamukolo</t>
  </si>
  <si>
    <t>0743-914320</t>
  </si>
  <si>
    <t>S207/24</t>
  </si>
  <si>
    <t>Nangobi Tabitha</t>
  </si>
  <si>
    <t>Mpumudde</t>
  </si>
  <si>
    <t>0755-049104</t>
  </si>
  <si>
    <t>S208/24</t>
  </si>
  <si>
    <t>Naigaga Jesca</t>
  </si>
  <si>
    <t>Kabbi</t>
  </si>
  <si>
    <t>S209/24</t>
  </si>
  <si>
    <t>Esther Gaune</t>
  </si>
  <si>
    <t>Kitanaba</t>
  </si>
  <si>
    <t>S210/24</t>
  </si>
  <si>
    <t>Nakubulwa Jane</t>
  </si>
  <si>
    <t>0788-728062</t>
  </si>
  <si>
    <t>S211/24</t>
  </si>
  <si>
    <t>Namugaya Sofia</t>
  </si>
  <si>
    <t>0753-850402</t>
  </si>
  <si>
    <t>S212/24</t>
  </si>
  <si>
    <t>Konso Zaiyah</t>
  </si>
  <si>
    <t>0759-801742</t>
  </si>
  <si>
    <t>S213/24</t>
  </si>
  <si>
    <t>Nantambi Zahara</t>
  </si>
  <si>
    <t>0708-640674</t>
  </si>
  <si>
    <t>S214/24</t>
  </si>
  <si>
    <t>Kyakwaire Lydia</t>
  </si>
  <si>
    <t>Butaswa</t>
  </si>
  <si>
    <t>0757-858656</t>
  </si>
  <si>
    <t>S215/24</t>
  </si>
  <si>
    <t>Kirabo Hilda Faith</t>
  </si>
  <si>
    <t>0756-447464</t>
  </si>
  <si>
    <t>S216/24</t>
  </si>
  <si>
    <t>Nakato Rebecca</t>
  </si>
  <si>
    <t>Munyengera</t>
  </si>
  <si>
    <t>0704-001948</t>
  </si>
  <si>
    <t>S217/24</t>
  </si>
  <si>
    <t>Nangobi Shamina</t>
  </si>
  <si>
    <t>0743-885865</t>
  </si>
  <si>
    <t>20 – 30 (7)</t>
  </si>
  <si>
    <t>41– 50 (2)</t>
  </si>
  <si>
    <t>Place: RHHJ</t>
  </si>
  <si>
    <t>S164/24</t>
  </si>
  <si>
    <t>Nakisige Christine</t>
  </si>
  <si>
    <t>Buwenda</t>
  </si>
  <si>
    <t>0772-597516</t>
  </si>
  <si>
    <t>S165/24</t>
  </si>
  <si>
    <t>Takoberwa Alice</t>
  </si>
  <si>
    <t>0705-207474</t>
  </si>
  <si>
    <t>S218/24</t>
  </si>
  <si>
    <t>Anne Machara</t>
  </si>
  <si>
    <t>0783-926926</t>
  </si>
  <si>
    <t>24 months</t>
  </si>
  <si>
    <t>S166/24</t>
  </si>
  <si>
    <t>Nabwire Lilian</t>
  </si>
  <si>
    <t>Wanyange</t>
  </si>
  <si>
    <t>0742-939964</t>
  </si>
  <si>
    <t>&lt;19 ()</t>
  </si>
  <si>
    <t>20 – 30 (1)</t>
  </si>
  <si>
    <t>31– 40 (1)</t>
  </si>
  <si>
    <t>&gt;61 ()</t>
  </si>
  <si>
    <t xml:space="preserve"> Date;  5/3/2024</t>
  </si>
  <si>
    <t>Place: Ivukula HCIII</t>
  </si>
  <si>
    <t>S219/24</t>
  </si>
  <si>
    <t>Mirembe Aidah</t>
  </si>
  <si>
    <t>Mpande</t>
  </si>
  <si>
    <t>S220/24</t>
  </si>
  <si>
    <t>Namuganza Sylvia</t>
  </si>
  <si>
    <t>Buwalira</t>
  </si>
  <si>
    <t>0783 176213</t>
  </si>
  <si>
    <t>S221/24</t>
  </si>
  <si>
    <t>Ephras Namugabire</t>
  </si>
  <si>
    <t>S222/24</t>
  </si>
  <si>
    <t>Mutesi Maureen</t>
  </si>
  <si>
    <t>0764 917189</t>
  </si>
  <si>
    <t>S223/24</t>
  </si>
  <si>
    <t>Nangobi Lydia</t>
  </si>
  <si>
    <t>Bugumula</t>
  </si>
  <si>
    <t>S224/24</t>
  </si>
  <si>
    <t>Nanyanzi Florence</t>
  </si>
  <si>
    <t>Nabitula</t>
  </si>
  <si>
    <t>S225/24</t>
  </si>
  <si>
    <t>Namulega Roza</t>
  </si>
  <si>
    <t>0764 582768</t>
  </si>
  <si>
    <t>S226/24</t>
  </si>
  <si>
    <t>Nanswezya Marriam</t>
  </si>
  <si>
    <t>0771 925494</t>
  </si>
  <si>
    <t>S227/24</t>
  </si>
  <si>
    <t>Nakisita Kekulina</t>
  </si>
  <si>
    <t>Kiwanyi</t>
  </si>
  <si>
    <t>0706 263420</t>
  </si>
  <si>
    <t>Currently</t>
  </si>
  <si>
    <t>S228/24</t>
  </si>
  <si>
    <t>Loyos Ruth</t>
  </si>
  <si>
    <t>0765 679254</t>
  </si>
  <si>
    <t>S229/24</t>
  </si>
  <si>
    <t>Masitula Babirye</t>
  </si>
  <si>
    <t>Isohozi</t>
  </si>
  <si>
    <t>0774 949013</t>
  </si>
  <si>
    <t>S230/24</t>
  </si>
  <si>
    <t>Asio Hellen</t>
  </si>
  <si>
    <t>Kirongo</t>
  </si>
  <si>
    <t>S231/24</t>
  </si>
  <si>
    <t>Namukose Tope</t>
  </si>
  <si>
    <t>Bulwoya</t>
  </si>
  <si>
    <t>Musiki</t>
  </si>
  <si>
    <t>S232/24</t>
  </si>
  <si>
    <t>Namutumba Viola</t>
  </si>
  <si>
    <t>0701 580947</t>
  </si>
  <si>
    <t>6 Weeks</t>
  </si>
  <si>
    <t>S233/24</t>
  </si>
  <si>
    <t>Tereka Besi</t>
  </si>
  <si>
    <t>0783 414538</t>
  </si>
  <si>
    <t>S234/24</t>
  </si>
  <si>
    <t>Namudola Harufah</t>
  </si>
  <si>
    <t>0777 918753</t>
  </si>
  <si>
    <t>S235/24</t>
  </si>
  <si>
    <t>Namutibwa Justine</t>
  </si>
  <si>
    <t>Palisa</t>
  </si>
  <si>
    <t>0789 463808</t>
  </si>
  <si>
    <t>S236/24</t>
  </si>
  <si>
    <t>Kafuka Margret</t>
  </si>
  <si>
    <t>Namwenda</t>
  </si>
  <si>
    <t>0787 055185</t>
  </si>
  <si>
    <t>S237/24</t>
  </si>
  <si>
    <t>Namukose Veronica</t>
  </si>
  <si>
    <t>Naisamula</t>
  </si>
  <si>
    <t>S238/24</t>
  </si>
  <si>
    <t>Balinabyo Oliver</t>
  </si>
  <si>
    <t>0780 126951</t>
  </si>
  <si>
    <t>S239/24</t>
  </si>
  <si>
    <t>Nakaala Margret</t>
  </si>
  <si>
    <t>0779 184241</t>
  </si>
  <si>
    <t>S240/24</t>
  </si>
  <si>
    <t>Babirye Tape</t>
  </si>
  <si>
    <t>Idudi</t>
  </si>
  <si>
    <t>0753 222746</t>
  </si>
  <si>
    <t>S241/24</t>
  </si>
  <si>
    <t>Namuseta Lovisa</t>
  </si>
  <si>
    <t>S242/24</t>
  </si>
  <si>
    <t>Nangobi Caroline</t>
  </si>
  <si>
    <t>Budido</t>
  </si>
  <si>
    <t>0789 008416</t>
  </si>
  <si>
    <t>S243/24</t>
  </si>
  <si>
    <t>Namuswa Sarah</t>
  </si>
  <si>
    <t>Bwite</t>
  </si>
  <si>
    <t>S244/24</t>
  </si>
  <si>
    <t>Naula Scovia</t>
  </si>
  <si>
    <t>Nabweyo</t>
  </si>
  <si>
    <t>S245/24</t>
  </si>
  <si>
    <t>Naigaga Joy</t>
  </si>
  <si>
    <t>0778 756798</t>
  </si>
  <si>
    <t>S246/24</t>
  </si>
  <si>
    <t>Naigaga Hasifa</t>
  </si>
  <si>
    <t>S247/24</t>
  </si>
  <si>
    <t>Nandase Jesca</t>
  </si>
  <si>
    <t>0770 714899</t>
  </si>
  <si>
    <t>S248/24</t>
  </si>
  <si>
    <t>Biribawo Merab</t>
  </si>
  <si>
    <t>0787 729859</t>
  </si>
  <si>
    <t>S249/24</t>
  </si>
  <si>
    <t>Nabirye Ednas</t>
  </si>
  <si>
    <t>Kisoozi</t>
  </si>
  <si>
    <t>0788 616143</t>
  </si>
  <si>
    <t>S250/24</t>
  </si>
  <si>
    <t>Nawako Fiona</t>
  </si>
  <si>
    <t>0744 096970</t>
  </si>
  <si>
    <t>S251/24</t>
  </si>
  <si>
    <t>Bangi Teopista</t>
  </si>
  <si>
    <t>S252/24</t>
  </si>
  <si>
    <t>Kirabo Mercy</t>
  </si>
  <si>
    <t>Ivukula</t>
  </si>
  <si>
    <t>0744 762345</t>
  </si>
  <si>
    <t>S253/24</t>
  </si>
  <si>
    <t>0759 005191</t>
  </si>
  <si>
    <t>S254/24</t>
  </si>
  <si>
    <t>Naisanga Fauzah</t>
  </si>
  <si>
    <t>Kamudoke</t>
  </si>
  <si>
    <t>0704 4565647</t>
  </si>
  <si>
    <t>S255/24</t>
  </si>
  <si>
    <t>Namugamza Lazia</t>
  </si>
  <si>
    <t>0777 237203</t>
  </si>
  <si>
    <t>S256/24</t>
  </si>
  <si>
    <t>Maimuna Kamede</t>
  </si>
  <si>
    <t>S257/24</t>
  </si>
  <si>
    <t>Namusobya Aidah</t>
  </si>
  <si>
    <t>0773 846850</t>
  </si>
  <si>
    <t>S258/245</t>
  </si>
  <si>
    <t>Namulondo Janet</t>
  </si>
  <si>
    <t>0784 273301</t>
  </si>
  <si>
    <t>S259/24</t>
  </si>
  <si>
    <t>Kwagala Esther</t>
  </si>
  <si>
    <t>0784 215933</t>
  </si>
  <si>
    <t>S260/24</t>
  </si>
  <si>
    <t>Alaisa Nanzala</t>
  </si>
  <si>
    <t>0754 618281</t>
  </si>
  <si>
    <t>Not Known</t>
  </si>
  <si>
    <t>S261/24</t>
  </si>
  <si>
    <t>Nangobi Miria</t>
  </si>
  <si>
    <t>0760 668698</t>
  </si>
  <si>
    <t>S262/24</t>
  </si>
  <si>
    <t>Alitubeera Florence</t>
  </si>
  <si>
    <t>0765 303629</t>
  </si>
  <si>
    <t>S263/24</t>
  </si>
  <si>
    <t>Naigaga Sauya</t>
  </si>
  <si>
    <t>Kakolasi</t>
  </si>
  <si>
    <t>0789 100909</t>
  </si>
  <si>
    <t>S264/24</t>
  </si>
  <si>
    <t>Naigaga Eseza</t>
  </si>
  <si>
    <t>S265/24</t>
  </si>
  <si>
    <t>Alenyo Benna</t>
  </si>
  <si>
    <t>0771 481957</t>
  </si>
  <si>
    <t>S266/24</t>
  </si>
  <si>
    <t>Birungi Hadija</t>
  </si>
  <si>
    <t>S267/24</t>
  </si>
  <si>
    <t>Nampino Rose</t>
  </si>
  <si>
    <t>S268/24</t>
  </si>
  <si>
    <t>Nabaigwa Jackline</t>
  </si>
  <si>
    <t>0780 968085</t>
  </si>
  <si>
    <t>S269/24</t>
  </si>
  <si>
    <t>Tibagalika Kevina</t>
  </si>
  <si>
    <t>0783 600438</t>
  </si>
  <si>
    <t>Kybirwa SC</t>
  </si>
  <si>
    <t>S270/24</t>
  </si>
  <si>
    <t>Mutesi Asha</t>
  </si>
  <si>
    <t>0773 920833</t>
  </si>
  <si>
    <t>S271/24</t>
  </si>
  <si>
    <t>Nabirye Hellen</t>
  </si>
  <si>
    <t>Kabila</t>
  </si>
  <si>
    <t>0770 579227</t>
  </si>
  <si>
    <t>&lt;19 (5)</t>
  </si>
  <si>
    <t>20 – 30 (13)</t>
  </si>
  <si>
    <t>31– 40 (15)</t>
  </si>
  <si>
    <t>41– 50 (10)</t>
  </si>
  <si>
    <t xml:space="preserve"> Date;  12/3/2024</t>
  </si>
  <si>
    <t>Place: Kitukiro Township PS</t>
  </si>
  <si>
    <t>S272/24</t>
  </si>
  <si>
    <t>Nantono Justine</t>
  </si>
  <si>
    <t>Bususwa</t>
  </si>
  <si>
    <t>0752 792869</t>
  </si>
  <si>
    <t>S273/24</t>
  </si>
  <si>
    <t>Janepher Maganda</t>
  </si>
  <si>
    <t>Kituliro</t>
  </si>
  <si>
    <t>0705 201317</t>
  </si>
  <si>
    <t>S274/24</t>
  </si>
  <si>
    <t>Nangobi Sylvia</t>
  </si>
  <si>
    <t>Budoola</t>
  </si>
  <si>
    <t>0705 589958</t>
  </si>
  <si>
    <t>S275/24</t>
  </si>
  <si>
    <t>Ndiboogeza Sharifa</t>
  </si>
  <si>
    <t>0701 656274</t>
  </si>
  <si>
    <t>S276/24</t>
  </si>
  <si>
    <t>Nabirye Agnes</t>
  </si>
  <si>
    <t>0707 232434</t>
  </si>
  <si>
    <t>S277/24</t>
  </si>
  <si>
    <t>Nakayibale Veronica</t>
  </si>
  <si>
    <t>0785 532052</t>
  </si>
  <si>
    <t>S278/24</t>
  </si>
  <si>
    <t>Nankwanga Ruth</t>
  </si>
  <si>
    <t>0702 035296</t>
  </si>
  <si>
    <t>S279/24</t>
  </si>
  <si>
    <t>Dimintiria Gonza</t>
  </si>
  <si>
    <t>0701 145560</t>
  </si>
  <si>
    <t>S280/24</t>
  </si>
  <si>
    <t>Naisumba Aidah</t>
  </si>
  <si>
    <t>0708 051407</t>
  </si>
  <si>
    <t>S281/24</t>
  </si>
  <si>
    <t>Muyinze Catherine</t>
  </si>
  <si>
    <t>0750 595471</t>
  </si>
  <si>
    <t>S282/24</t>
  </si>
  <si>
    <t>Namukose Fidha</t>
  </si>
  <si>
    <t>0702 099925</t>
  </si>
  <si>
    <t>S283/24</t>
  </si>
  <si>
    <t>Tweweyo Jane</t>
  </si>
  <si>
    <t>Bunabala</t>
  </si>
  <si>
    <t>0752 788912</t>
  </si>
  <si>
    <t>S284/24</t>
  </si>
  <si>
    <t>0754 384127</t>
  </si>
  <si>
    <t>S285/24</t>
  </si>
  <si>
    <t>Nanangwe Cissy</t>
  </si>
  <si>
    <t>0704 610787</t>
  </si>
  <si>
    <t>S286/24</t>
  </si>
  <si>
    <t>Nairuba Kenenika</t>
  </si>
  <si>
    <t>Kisenge</t>
  </si>
  <si>
    <t>S287/24</t>
  </si>
  <si>
    <t>Brenda Namulondo</t>
  </si>
  <si>
    <t>Kyabagole</t>
  </si>
  <si>
    <t>0701 592435</t>
  </si>
  <si>
    <t>S288/24</t>
  </si>
  <si>
    <t>Nangobi Topitista</t>
  </si>
  <si>
    <t>Bukanobe</t>
  </si>
  <si>
    <t>S289/24</t>
  </si>
  <si>
    <t>Nangobi Annet</t>
  </si>
  <si>
    <t>0757 189443</t>
  </si>
  <si>
    <t>S290/24</t>
  </si>
  <si>
    <t>Namukose Sarah</t>
  </si>
  <si>
    <t>0741 067189</t>
  </si>
  <si>
    <t>S291/24</t>
  </si>
  <si>
    <t>Nangobi Pentu</t>
  </si>
  <si>
    <t>S292/24</t>
  </si>
  <si>
    <t>Mirembe Olive</t>
  </si>
  <si>
    <t>Kirango</t>
  </si>
  <si>
    <t>0755 410049</t>
  </si>
  <si>
    <t>S293/24</t>
  </si>
  <si>
    <t>Namugere Kamuyat</t>
  </si>
  <si>
    <t>0758 910501</t>
  </si>
  <si>
    <t>S294/24</t>
  </si>
  <si>
    <t>Biribawa Margarita</t>
  </si>
  <si>
    <t>0756 124796</t>
  </si>
  <si>
    <t>S295/24</t>
  </si>
  <si>
    <t>Namusoke Rose</t>
  </si>
  <si>
    <t>Butanswa</t>
  </si>
  <si>
    <t>0752 103726</t>
  </si>
  <si>
    <t>S296/24</t>
  </si>
  <si>
    <t>Kyebalyenda Sarah</t>
  </si>
  <si>
    <t>0757 184527</t>
  </si>
  <si>
    <t>S297/24</t>
  </si>
  <si>
    <t>Balyazava Iridah</t>
  </si>
  <si>
    <t>0786 867369</t>
  </si>
  <si>
    <t>S298/24</t>
  </si>
  <si>
    <t>Musajabu Takuwa</t>
  </si>
  <si>
    <t>0755 414566</t>
  </si>
  <si>
    <t>S299/24</t>
  </si>
  <si>
    <t>Kasulwa Lillian</t>
  </si>
  <si>
    <t>S300/24</t>
  </si>
  <si>
    <t>Namutasi Everline</t>
  </si>
  <si>
    <t>0765 252340</t>
  </si>
  <si>
    <t>S301/24</t>
  </si>
  <si>
    <t>Namugere Sofia</t>
  </si>
  <si>
    <t>0771 316154</t>
  </si>
  <si>
    <t>S302/24</t>
  </si>
  <si>
    <t>Mudondo Jesca</t>
  </si>
  <si>
    <t>S303/24</t>
  </si>
  <si>
    <t>Namaye Doreen</t>
  </si>
  <si>
    <t>Kisege</t>
  </si>
  <si>
    <t>Pregnant</t>
  </si>
  <si>
    <t>S304/24</t>
  </si>
  <si>
    <t>Nabirye Mirabu</t>
  </si>
  <si>
    <t>0756 908056</t>
  </si>
  <si>
    <t>S305/24</t>
  </si>
  <si>
    <t>Buwaibuga</t>
  </si>
  <si>
    <t>0763 369156</t>
  </si>
  <si>
    <t>S306/24</t>
  </si>
  <si>
    <t>Nabirye Mariam</t>
  </si>
  <si>
    <t>0755 160666</t>
  </si>
  <si>
    <t>S307/24</t>
  </si>
  <si>
    <t>Namabiro Madina</t>
  </si>
  <si>
    <t>0701 040554</t>
  </si>
  <si>
    <t>S308/24</t>
  </si>
  <si>
    <t>Naikoba Faith</t>
  </si>
  <si>
    <t>0753 839233</t>
  </si>
  <si>
    <t>S309/24</t>
  </si>
  <si>
    <t>Mbwali Harriet</t>
  </si>
  <si>
    <t>0702 723777</t>
  </si>
  <si>
    <t>S310/24</t>
  </si>
  <si>
    <t>Mirembe Jovia</t>
  </si>
  <si>
    <t>S311/24</t>
  </si>
  <si>
    <t>Mangalita Aliba</t>
  </si>
  <si>
    <t>kituliro</t>
  </si>
  <si>
    <t>0753 802710</t>
  </si>
  <si>
    <t>S312/24</t>
  </si>
  <si>
    <t>Namulondo Hellen</t>
  </si>
  <si>
    <t>0788 067161</t>
  </si>
  <si>
    <t>S313/24</t>
  </si>
  <si>
    <t>Joyce Kirikumwino</t>
  </si>
  <si>
    <t>S314/24</t>
  </si>
  <si>
    <t>Kwagala Oliver</t>
  </si>
  <si>
    <t>0702 265758</t>
  </si>
  <si>
    <t>S315/24</t>
  </si>
  <si>
    <t>Naigaga Federesi</t>
  </si>
  <si>
    <t>0701 352520</t>
  </si>
  <si>
    <t>S316/24</t>
  </si>
  <si>
    <t>Nakaima Gladys</t>
  </si>
  <si>
    <t>0742 150130</t>
  </si>
  <si>
    <t>S317/24</t>
  </si>
  <si>
    <t>Namabiro Monica</t>
  </si>
  <si>
    <t>Bulangiro</t>
  </si>
  <si>
    <t>0753 841461</t>
  </si>
  <si>
    <t>S318/24</t>
  </si>
  <si>
    <t>Namaganda Rebecca</t>
  </si>
  <si>
    <t>0751 251874</t>
  </si>
  <si>
    <t>Undetected</t>
  </si>
  <si>
    <t>June</t>
  </si>
  <si>
    <t>S319/24</t>
  </si>
  <si>
    <t>Nakisuyi Mariam</t>
  </si>
  <si>
    <t>0752 32535</t>
  </si>
  <si>
    <t>S320/24</t>
  </si>
  <si>
    <t>Nantale Shamina</t>
  </si>
  <si>
    <t>0757 069708</t>
  </si>
  <si>
    <t>S321/24</t>
  </si>
  <si>
    <t>suspicious lump</t>
  </si>
  <si>
    <t>S322/24</t>
  </si>
  <si>
    <t>Tushabe Josephine</t>
  </si>
  <si>
    <t>Busaabi</t>
  </si>
  <si>
    <t>0753 097491</t>
  </si>
  <si>
    <t>S323/24</t>
  </si>
  <si>
    <t>Naigaga Jephine</t>
  </si>
  <si>
    <t>S324/24</t>
  </si>
  <si>
    <t>Kyakuwaire Oliver</t>
  </si>
  <si>
    <t>0743 643344</t>
  </si>
  <si>
    <t xml:space="preserve"> </t>
  </si>
  <si>
    <t>S325/24</t>
  </si>
  <si>
    <t>Nabirye Teddy</t>
  </si>
  <si>
    <t>0706 072313</t>
  </si>
  <si>
    <t>S326/24</t>
  </si>
  <si>
    <t>Naigaga Rose</t>
  </si>
  <si>
    <t>S327/24</t>
  </si>
  <si>
    <t>Kipanda Lovisa</t>
  </si>
  <si>
    <t>S328/24</t>
  </si>
  <si>
    <t>Hadija Nabiyo</t>
  </si>
  <si>
    <t>0757 429823</t>
  </si>
  <si>
    <t>S329/24</t>
  </si>
  <si>
    <t>Akalimwene Rose</t>
  </si>
  <si>
    <t>Waibuga</t>
  </si>
  <si>
    <t>0742 874005</t>
  </si>
  <si>
    <t>S330/24</t>
  </si>
  <si>
    <t>Baseka Faima</t>
  </si>
  <si>
    <t>0771 295399</t>
  </si>
  <si>
    <t>20 – 30 (18)</t>
  </si>
  <si>
    <t>31– 40 (14)</t>
  </si>
  <si>
    <t>41– 50 (11)</t>
  </si>
  <si>
    <t>&gt;61 (4)</t>
  </si>
  <si>
    <t xml:space="preserve"> Date;  14th March</t>
  </si>
  <si>
    <t>Place: New Life Baptist</t>
  </si>
  <si>
    <t>S331/24</t>
  </si>
  <si>
    <t>Nabiryo Noro</t>
  </si>
  <si>
    <t>Bujowali</t>
  </si>
  <si>
    <t>0774 305603</t>
  </si>
  <si>
    <t>As required</t>
  </si>
  <si>
    <t>S332/24</t>
  </si>
  <si>
    <t>Akello Patricia</t>
  </si>
  <si>
    <t>0781 546168</t>
  </si>
  <si>
    <t>S333/24</t>
  </si>
  <si>
    <t>Kisakye Mary</t>
  </si>
  <si>
    <t>0770 498926</t>
  </si>
  <si>
    <t>S334/24</t>
  </si>
  <si>
    <t>Namayanja Christine</t>
  </si>
  <si>
    <t>0786 561844</t>
  </si>
  <si>
    <t>S335/24</t>
  </si>
  <si>
    <t>Akwango Irene</t>
  </si>
  <si>
    <t>0788 711522</t>
  </si>
  <si>
    <t>S336/24</t>
  </si>
  <si>
    <t>Nabuma Linda</t>
  </si>
  <si>
    <t>Naminya</t>
  </si>
  <si>
    <t>0757 567464</t>
  </si>
  <si>
    <t>S337/24</t>
  </si>
  <si>
    <t>Natka Nuru</t>
  </si>
  <si>
    <t>0741 898607</t>
  </si>
  <si>
    <t>S338/24</t>
  </si>
  <si>
    <t>Nabukwasi Scovia</t>
  </si>
  <si>
    <t>0701 835643</t>
  </si>
  <si>
    <t>S339/24</t>
  </si>
  <si>
    <t>Babirye Eseza</t>
  </si>
  <si>
    <t>Nkokonjeru</t>
  </si>
  <si>
    <t>0753 731418</t>
  </si>
  <si>
    <t>S340/24</t>
  </si>
  <si>
    <t>Kyabifa Madina</t>
  </si>
  <si>
    <t>0781 453965</t>
  </si>
  <si>
    <t>S341/24</t>
  </si>
  <si>
    <t>Pia Nubu</t>
  </si>
  <si>
    <t>0759 609905</t>
  </si>
  <si>
    <t>S342/24</t>
  </si>
  <si>
    <t xml:space="preserve">Asio Hellon </t>
  </si>
  <si>
    <t>0779 629401</t>
  </si>
  <si>
    <t>S343/24</t>
  </si>
  <si>
    <t>Kwambuka Margaret</t>
  </si>
  <si>
    <t>0758 357225</t>
  </si>
  <si>
    <t>S344/24</t>
  </si>
  <si>
    <t>Mbabazi Jane</t>
  </si>
  <si>
    <t>0754 991004</t>
  </si>
  <si>
    <t>S345/24</t>
  </si>
  <si>
    <t>Logose Hanifa</t>
  </si>
  <si>
    <t>0703 655432</t>
  </si>
  <si>
    <t>S346/24</t>
  </si>
  <si>
    <t>Likaru Doreen</t>
  </si>
  <si>
    <t>0782 077380</t>
  </si>
  <si>
    <t>S347/24</t>
  </si>
  <si>
    <t>Akello Rakella</t>
  </si>
  <si>
    <t>0783 302203</t>
  </si>
  <si>
    <t>S348/24</t>
  </si>
  <si>
    <t>Basilika Halima</t>
  </si>
  <si>
    <t>7 yrs</t>
  </si>
  <si>
    <t>S349/24</t>
  </si>
  <si>
    <t>Naisikwe Rose</t>
  </si>
  <si>
    <t>0767 475553</t>
  </si>
  <si>
    <t>S350/24</t>
  </si>
  <si>
    <t>Naiguru Teddy</t>
  </si>
  <si>
    <t>0751 737647</t>
  </si>
  <si>
    <t>S351/24</t>
  </si>
  <si>
    <t>Nansubuga Nusula</t>
  </si>
  <si>
    <t>0774 522093</t>
  </si>
  <si>
    <t>S352/24</t>
  </si>
  <si>
    <t>0751 461243</t>
  </si>
  <si>
    <t>S353/24</t>
  </si>
  <si>
    <t>Nakate Silvia</t>
  </si>
  <si>
    <t>0706 688261</t>
  </si>
  <si>
    <t>S354/24</t>
  </si>
  <si>
    <t>Mausiyata Nuru</t>
  </si>
  <si>
    <t>0782 318124</t>
  </si>
  <si>
    <t>S355/24</t>
  </si>
  <si>
    <t>Naigaga Sarah</t>
  </si>
  <si>
    <t>Triangle</t>
  </si>
  <si>
    <t>0758 668943</t>
  </si>
  <si>
    <t>S356/24</t>
  </si>
  <si>
    <t>Nalwadda Justine</t>
  </si>
  <si>
    <t>Wakisi</t>
  </si>
  <si>
    <t>0757 634953</t>
  </si>
  <si>
    <t>S357/24</t>
  </si>
  <si>
    <t>Anaayika Josephine</t>
  </si>
  <si>
    <t>0759 077947</t>
  </si>
  <si>
    <t>S358/24</t>
  </si>
  <si>
    <t>Namaganda Alisati</t>
  </si>
  <si>
    <t>0742 918169</t>
  </si>
  <si>
    <t>S359/24</t>
  </si>
  <si>
    <t>Ssemanda Jesca</t>
  </si>
  <si>
    <t>Bulungu</t>
  </si>
  <si>
    <t>0779 359402</t>
  </si>
  <si>
    <t>S360/24</t>
  </si>
  <si>
    <t>Musuya Barbra</t>
  </si>
  <si>
    <t>0757 846308</t>
  </si>
  <si>
    <t>S361/24</t>
  </si>
  <si>
    <t>Namuyonga Jamila</t>
  </si>
  <si>
    <t>0787 013363</t>
  </si>
  <si>
    <t>S362/24</t>
  </si>
  <si>
    <t>Kawala Aisha</t>
  </si>
  <si>
    <t>0772 833482</t>
  </si>
  <si>
    <t>S363/24</t>
  </si>
  <si>
    <t>Kwagala Eunice</t>
  </si>
  <si>
    <t>Natuwelele</t>
  </si>
  <si>
    <t>0743 015111</t>
  </si>
  <si>
    <t>S364/24</t>
  </si>
  <si>
    <t>Namugawe Ziporah</t>
  </si>
  <si>
    <t>0700 562482</t>
  </si>
  <si>
    <t>Re screen later</t>
  </si>
  <si>
    <t>S365/24</t>
  </si>
  <si>
    <t>Kagoya Elizabeth</t>
  </si>
  <si>
    <t>0776 247206</t>
  </si>
  <si>
    <t>S366/24</t>
  </si>
  <si>
    <t>Nansamba Rose</t>
  </si>
  <si>
    <t>0700 759554</t>
  </si>
  <si>
    <t>S367/24</t>
  </si>
  <si>
    <t>Oroma Coney</t>
  </si>
  <si>
    <t>0785 702024</t>
  </si>
  <si>
    <t>S368/24</t>
  </si>
  <si>
    <t>Nalubega Halima</t>
  </si>
  <si>
    <t>0761 876653</t>
  </si>
  <si>
    <t>S369/24</t>
  </si>
  <si>
    <t>Bakaidha Joy</t>
  </si>
  <si>
    <t>0700 178992</t>
  </si>
  <si>
    <t>S370/24</t>
  </si>
  <si>
    <t>Alezuyo Sarah</t>
  </si>
  <si>
    <t>0782 918806</t>
  </si>
  <si>
    <t>Mugwara</t>
  </si>
  <si>
    <t>S371/24</t>
  </si>
  <si>
    <t>Amaniyo Winny</t>
  </si>
  <si>
    <t>0742 046128</t>
  </si>
  <si>
    <t>Lugbara</t>
  </si>
  <si>
    <t>S372/24</t>
  </si>
  <si>
    <t>Kukirizza Rebecca</t>
  </si>
  <si>
    <t>0750 133053</t>
  </si>
  <si>
    <t>S373/24</t>
  </si>
  <si>
    <t>Nambuya Patience</t>
  </si>
  <si>
    <t>0776 982295</t>
  </si>
  <si>
    <t>S374/24</t>
  </si>
  <si>
    <t>Nanangu Sharifu</t>
  </si>
  <si>
    <t>0755 228163</t>
  </si>
  <si>
    <t>S375/24</t>
  </si>
  <si>
    <t>S376/24</t>
  </si>
  <si>
    <t>Magumba Beatrice</t>
  </si>
  <si>
    <t>0704 122488</t>
  </si>
  <si>
    <t>S377/24</t>
  </si>
  <si>
    <t>Kemigisha Immaculate</t>
  </si>
  <si>
    <t>0783 119514</t>
  </si>
  <si>
    <t>S378/24</t>
  </si>
  <si>
    <t>Namataka Esther</t>
  </si>
  <si>
    <t>0773 190606</t>
  </si>
  <si>
    <t>S379/24</t>
  </si>
  <si>
    <t>Amogin Sylvia</t>
  </si>
  <si>
    <t>0779 447948</t>
  </si>
  <si>
    <t>S380/24</t>
  </si>
  <si>
    <t>Adeke Margret</t>
  </si>
  <si>
    <t>0788 179189</t>
  </si>
  <si>
    <t>S381/24</t>
  </si>
  <si>
    <t>Ntibakunze Beatrice</t>
  </si>
  <si>
    <t>0781 557195</t>
  </si>
  <si>
    <t>Mufumbila</t>
  </si>
  <si>
    <t>S382/24</t>
  </si>
  <si>
    <t>Apio Edith</t>
  </si>
  <si>
    <t>0741 930276</t>
  </si>
  <si>
    <t>S383/24</t>
  </si>
  <si>
    <t>Mukemsi Sofie</t>
  </si>
  <si>
    <t>0755 545295</t>
  </si>
  <si>
    <t>S384/24</t>
  </si>
  <si>
    <t>Nangobi Phiona</t>
  </si>
  <si>
    <t>0774 742964</t>
  </si>
  <si>
    <t>S385/24</t>
  </si>
  <si>
    <t>Adony Doreen</t>
  </si>
  <si>
    <t>0784 540618</t>
  </si>
  <si>
    <t>S386/24</t>
  </si>
  <si>
    <t>Nakayi Anna</t>
  </si>
  <si>
    <t>Mbiiko</t>
  </si>
  <si>
    <t>0771 466921</t>
  </si>
  <si>
    <t xml:space="preserve"> Date;  18th March</t>
  </si>
  <si>
    <t>Place: Busuyi HCII</t>
  </si>
  <si>
    <t>S387/24</t>
  </si>
  <si>
    <t>Naigaga Zaina</t>
  </si>
  <si>
    <t>Busuyi</t>
  </si>
  <si>
    <t>0753 701585</t>
  </si>
  <si>
    <t>S388/24</t>
  </si>
  <si>
    <t>Trinu Grace</t>
  </si>
  <si>
    <t>Buyemba</t>
  </si>
  <si>
    <t>0700 776501</t>
  </si>
  <si>
    <t>Nyankole</t>
  </si>
  <si>
    <t>S389/24</t>
  </si>
  <si>
    <t>Mudondo Suzan</t>
  </si>
  <si>
    <t>Bugabwe</t>
  </si>
  <si>
    <t>0776 434269</t>
  </si>
  <si>
    <t>S390/24</t>
  </si>
  <si>
    <t>Nandase Nuulu</t>
  </si>
  <si>
    <t>Samya</t>
  </si>
  <si>
    <t>S391/24</t>
  </si>
  <si>
    <t>Mugala Alice</t>
  </si>
  <si>
    <t>0756 397323</t>
  </si>
  <si>
    <t>S392/24</t>
  </si>
  <si>
    <t>Mugeni Evaline</t>
  </si>
  <si>
    <t>Kasita</t>
  </si>
  <si>
    <t>0703 369597</t>
  </si>
  <si>
    <t>S393/24</t>
  </si>
  <si>
    <t>Athieno Rosemary</t>
  </si>
  <si>
    <t>Iguluibi</t>
  </si>
  <si>
    <t>0787 114962</t>
  </si>
  <si>
    <t>Mudana</t>
  </si>
  <si>
    <t>S394/24</t>
  </si>
  <si>
    <t>Bagume Fatuma</t>
  </si>
  <si>
    <t>Namtuba Magada</t>
  </si>
  <si>
    <t>0774 666654</t>
  </si>
  <si>
    <t>S395/24</t>
  </si>
  <si>
    <t>Nakabugo Annet Amina</t>
  </si>
  <si>
    <t>0788 764444</t>
  </si>
  <si>
    <t>S396/24</t>
  </si>
  <si>
    <t>Nakayima Fauza</t>
  </si>
  <si>
    <t>0701 271014</t>
  </si>
  <si>
    <t>S397/24</t>
  </si>
  <si>
    <t>Kizire Mariam</t>
  </si>
  <si>
    <t>0778 032926</t>
  </si>
  <si>
    <t>S398/24</t>
  </si>
  <si>
    <t>Mutesi Janet</t>
  </si>
  <si>
    <t>0740 205937</t>
  </si>
  <si>
    <t>S399/24</t>
  </si>
  <si>
    <t>Nguna Scovia</t>
  </si>
  <si>
    <t>0750 743935</t>
  </si>
  <si>
    <t>S400/24</t>
  </si>
  <si>
    <t>Kagoyo Getrude</t>
  </si>
  <si>
    <t>0776 884193</t>
  </si>
  <si>
    <t>S401/24</t>
  </si>
  <si>
    <t>Namuganza Miria</t>
  </si>
  <si>
    <t>0779 545337</t>
  </si>
  <si>
    <t>3 yrs ago</t>
  </si>
  <si>
    <t>Afri Egypt</t>
  </si>
  <si>
    <t>S402/24</t>
  </si>
  <si>
    <t>Namulondo Getu</t>
  </si>
  <si>
    <t>0776 304871</t>
  </si>
  <si>
    <t>Iamoji</t>
  </si>
  <si>
    <t>S403/24</t>
  </si>
  <si>
    <t>Anyango Christine</t>
  </si>
  <si>
    <t>0776 607042</t>
  </si>
  <si>
    <t>Japadola</t>
  </si>
  <si>
    <t>S404/24</t>
  </si>
  <si>
    <t>Nalubega Passy</t>
  </si>
  <si>
    <t>0744 839657</t>
  </si>
  <si>
    <t>S405/24</t>
  </si>
  <si>
    <t>Aboth Everlyene</t>
  </si>
  <si>
    <t>0781 910979</t>
  </si>
  <si>
    <t>S406/24</t>
  </si>
  <si>
    <t>Kyakuwaire Juliana</t>
  </si>
  <si>
    <t>0772 293507</t>
  </si>
  <si>
    <t>S407/24</t>
  </si>
  <si>
    <t>Birungi Justine</t>
  </si>
  <si>
    <t>0788 935973</t>
  </si>
  <si>
    <t>S408/24</t>
  </si>
  <si>
    <t>Anyango Ruth</t>
  </si>
  <si>
    <t>0775 976870</t>
  </si>
  <si>
    <t>S409/24</t>
  </si>
  <si>
    <t>Tibelowoza Susan</t>
  </si>
  <si>
    <t>Wairasa</t>
  </si>
  <si>
    <t>0706 817721</t>
  </si>
  <si>
    <t>S410/24</t>
  </si>
  <si>
    <t>Nguwa Spetorosa</t>
  </si>
  <si>
    <t>S411/24</t>
  </si>
  <si>
    <t>Takuwa Christine</t>
  </si>
  <si>
    <t>0784 193341</t>
  </si>
  <si>
    <t>S412/24</t>
  </si>
  <si>
    <t>Namulundhu Rose</t>
  </si>
  <si>
    <t>0778 745950</t>
  </si>
  <si>
    <t>S413/24</t>
  </si>
  <si>
    <t>Biwembwaku Miriosi</t>
  </si>
  <si>
    <t>0752 693117</t>
  </si>
  <si>
    <t>S414/24</t>
  </si>
  <si>
    <t>Namukose Moreen</t>
  </si>
  <si>
    <t>Misori</t>
  </si>
  <si>
    <t>0755 477395</t>
  </si>
  <si>
    <t>S415/24</t>
  </si>
  <si>
    <t>Basoga Rosemary</t>
  </si>
  <si>
    <t>Busowaire</t>
  </si>
  <si>
    <t>0788 727056</t>
  </si>
  <si>
    <t>S416/24</t>
  </si>
  <si>
    <t>Namatende Minina</t>
  </si>
  <si>
    <t>0750 521990</t>
  </si>
  <si>
    <t>S417/24</t>
  </si>
  <si>
    <t>Namukobe Norah</t>
  </si>
  <si>
    <t>S418/24</t>
  </si>
  <si>
    <t>Namuyomba Resty</t>
  </si>
  <si>
    <t>0776 556465</t>
  </si>
  <si>
    <t>S419/24</t>
  </si>
  <si>
    <t>Nakagolo Sarama</t>
  </si>
  <si>
    <t>0778 243867</t>
  </si>
  <si>
    <t>S420/24</t>
  </si>
  <si>
    <t>Lyaka Evaline</t>
  </si>
  <si>
    <t>0779 270760</t>
  </si>
  <si>
    <t>S421/24</t>
  </si>
  <si>
    <t>Namusobya Zainabu</t>
  </si>
  <si>
    <t>S422/24</t>
  </si>
  <si>
    <t>Katindi Angella</t>
  </si>
  <si>
    <t>0789 851435</t>
  </si>
  <si>
    <t>S423/24</t>
  </si>
  <si>
    <t>Naigembe Resty</t>
  </si>
  <si>
    <t>0700 403642</t>
  </si>
  <si>
    <t>S424/24</t>
  </si>
  <si>
    <t>Nabusebi Penina</t>
  </si>
  <si>
    <t>Namalire</t>
  </si>
  <si>
    <t>0780 429219</t>
  </si>
  <si>
    <t>S425/24</t>
  </si>
  <si>
    <t>Mbeiza Sylvia</t>
  </si>
  <si>
    <t>0701 955197</t>
  </si>
  <si>
    <t>S426/24</t>
  </si>
  <si>
    <t>Logose Winfred Susan</t>
  </si>
  <si>
    <t>0753 106523</t>
  </si>
  <si>
    <t>S427/24</t>
  </si>
  <si>
    <t>Namulondo Fetia</t>
  </si>
  <si>
    <t>0743 983868</t>
  </si>
  <si>
    <t>S428/24</t>
  </si>
  <si>
    <t>Mutesi Azizia</t>
  </si>
  <si>
    <t>0755 743615</t>
  </si>
  <si>
    <t>S429/24</t>
  </si>
  <si>
    <t>Namulawa Sylvia</t>
  </si>
  <si>
    <t>0743 882408</t>
  </si>
  <si>
    <t>S430/24</t>
  </si>
  <si>
    <t>Akware Rhoda</t>
  </si>
  <si>
    <t>0777 291525</t>
  </si>
  <si>
    <t>S431/24</t>
  </si>
  <si>
    <t>Nassali Alisat</t>
  </si>
  <si>
    <t>0778 172059</t>
  </si>
  <si>
    <t>S432/24</t>
  </si>
  <si>
    <t>Nakagolo Lukia</t>
  </si>
  <si>
    <t>0759 662165</t>
  </si>
  <si>
    <t>S433/24</t>
  </si>
  <si>
    <t>Kiyuba Hudaya</t>
  </si>
  <si>
    <t>0753 227998</t>
  </si>
  <si>
    <t>S434/24</t>
  </si>
  <si>
    <t>Aimo Immaculate</t>
  </si>
  <si>
    <t>0786 673257</t>
  </si>
  <si>
    <t>S435/24</t>
  </si>
  <si>
    <t>Nabukenya Rehema</t>
  </si>
  <si>
    <t>0753 353728</t>
  </si>
  <si>
    <t>S436/24</t>
  </si>
  <si>
    <t>Bwenene Betty</t>
  </si>
  <si>
    <t>0703 385586</t>
  </si>
  <si>
    <t>S437/24</t>
  </si>
  <si>
    <t>Akello Grace</t>
  </si>
  <si>
    <t>Gulibi</t>
  </si>
  <si>
    <t>S438/24</t>
  </si>
  <si>
    <t>Nakirya Aisha</t>
  </si>
  <si>
    <t>0783 312871</t>
  </si>
  <si>
    <t>S439/24</t>
  </si>
  <si>
    <t>Amoiti Justine</t>
  </si>
  <si>
    <t>0783 726871</t>
  </si>
  <si>
    <t>S440/24</t>
  </si>
  <si>
    <t>Juliana Owuda</t>
  </si>
  <si>
    <t>S441/24</t>
  </si>
  <si>
    <t>Nantabo Lilian</t>
  </si>
  <si>
    <t>S442/24</t>
  </si>
  <si>
    <t>Babirye Rose</t>
  </si>
  <si>
    <t>0777 721585</t>
  </si>
  <si>
    <t>S443/24</t>
  </si>
  <si>
    <t>Alomu Faliza</t>
  </si>
  <si>
    <t>0742 199742</t>
  </si>
  <si>
    <t>S444/24</t>
  </si>
  <si>
    <t>Ajambo Resty</t>
  </si>
  <si>
    <t>S445/24</t>
  </si>
  <si>
    <t>Namubira Justine</t>
  </si>
  <si>
    <t>0753 367576</t>
  </si>
  <si>
    <t>S446/24</t>
  </si>
  <si>
    <t>Nyaketcho Esther</t>
  </si>
  <si>
    <t>0754 346622</t>
  </si>
  <si>
    <t>S447/24</t>
  </si>
  <si>
    <t>Mukyeyaya Janet</t>
  </si>
  <si>
    <t>0707 428455</t>
  </si>
  <si>
    <t>S448/24</t>
  </si>
  <si>
    <t>Asio Mary</t>
  </si>
  <si>
    <t>0750 230644</t>
  </si>
  <si>
    <t>S449/24</t>
  </si>
  <si>
    <t>Acheng Roman</t>
  </si>
  <si>
    <t>0775 254279</t>
  </si>
  <si>
    <t>S450/24</t>
  </si>
  <si>
    <t>Nansamba Christine</t>
  </si>
  <si>
    <t>0701 824461</t>
  </si>
  <si>
    <t>S451/24</t>
  </si>
  <si>
    <t>Biribawa Rosemary</t>
  </si>
  <si>
    <t>0763 956598</t>
  </si>
  <si>
    <t>S452/24</t>
  </si>
  <si>
    <t>Nanagwe Rebecca</t>
  </si>
  <si>
    <t>0760 887679</t>
  </si>
  <si>
    <t>S453/24</t>
  </si>
  <si>
    <t>Nakatema Mary</t>
  </si>
  <si>
    <t>0774 264414</t>
  </si>
  <si>
    <t>S454/24</t>
  </si>
  <si>
    <t>Tumusiime Jane</t>
  </si>
  <si>
    <t>0774 563996</t>
  </si>
  <si>
    <t>S455/24</t>
  </si>
  <si>
    <t>Nekesa Topistor</t>
  </si>
  <si>
    <t>S456/24</t>
  </si>
  <si>
    <t>Awori Tereza</t>
  </si>
  <si>
    <t>0762 763832</t>
  </si>
  <si>
    <t>S457/24</t>
  </si>
  <si>
    <t>Makoha Joyce</t>
  </si>
  <si>
    <t>S458/24</t>
  </si>
  <si>
    <t>S459/24</t>
  </si>
  <si>
    <t>Kubita Rebecca</t>
  </si>
  <si>
    <t>0705 489831</t>
  </si>
  <si>
    <t>S460/24</t>
  </si>
  <si>
    <t>Nabwire Falida</t>
  </si>
  <si>
    <t>0783 229966</t>
  </si>
  <si>
    <t>S461/24</t>
  </si>
  <si>
    <t>Namuganza Lydia</t>
  </si>
  <si>
    <t>0789 213675</t>
  </si>
  <si>
    <t>S462/24</t>
  </si>
  <si>
    <t>Babwona Sarah</t>
  </si>
  <si>
    <t>S463/24</t>
  </si>
  <si>
    <t>Kakune Maria Goretti</t>
  </si>
  <si>
    <t>0705 813937</t>
  </si>
  <si>
    <t>Mukakwa</t>
  </si>
  <si>
    <t>S464/24</t>
  </si>
  <si>
    <t>Mutibwa Justina</t>
  </si>
  <si>
    <t>0701 039123</t>
  </si>
  <si>
    <t>&lt;19 (8)</t>
  </si>
  <si>
    <t>20 – 30 (29)</t>
  </si>
  <si>
    <t>31– 40 (22)</t>
  </si>
  <si>
    <t xml:space="preserve"> Date;  20/21 March</t>
  </si>
  <si>
    <t>Place: Jinja Taxi Park</t>
  </si>
  <si>
    <t>S465/24</t>
  </si>
  <si>
    <t>Nakisuyi Florence</t>
  </si>
  <si>
    <t>Wakitaka</t>
  </si>
  <si>
    <t>0751 998422</t>
  </si>
  <si>
    <t>After treatment</t>
  </si>
  <si>
    <t>S466/24</t>
  </si>
  <si>
    <t>Nangobi Zainabu</t>
  </si>
  <si>
    <t>0759 304458</t>
  </si>
  <si>
    <t>After PAP smear</t>
  </si>
  <si>
    <t>S467/24</t>
  </si>
  <si>
    <t>Nabuluma Joy</t>
  </si>
  <si>
    <t>0750 647982</t>
  </si>
  <si>
    <t>S468/24</t>
  </si>
  <si>
    <t>Sanyu Thereza</t>
  </si>
  <si>
    <t>0705 512207</t>
  </si>
  <si>
    <t>S469/24</t>
  </si>
  <si>
    <t>Kakai Lydia</t>
  </si>
  <si>
    <t>Napia</t>
  </si>
  <si>
    <t>0773 344408</t>
  </si>
  <si>
    <t>S470/24</t>
  </si>
  <si>
    <t>Nabirye Sarah</t>
  </si>
  <si>
    <t>0759 212637</t>
  </si>
  <si>
    <t>S471/24</t>
  </si>
  <si>
    <t>Namusobya Zalika</t>
  </si>
  <si>
    <t>0752 076200</t>
  </si>
  <si>
    <t>S472/24</t>
  </si>
  <si>
    <t>Kataike Harriet</t>
  </si>
  <si>
    <t>0751 701262</t>
  </si>
  <si>
    <t>S473/24</t>
  </si>
  <si>
    <t>Nakimumwe Florence</t>
  </si>
  <si>
    <t>Busagazi</t>
  </si>
  <si>
    <t>0759 927534</t>
  </si>
  <si>
    <t>Mukene</t>
  </si>
  <si>
    <t>S474/24</t>
  </si>
  <si>
    <t>Nakiwala Brenda Kizza</t>
  </si>
  <si>
    <t>Njeru</t>
  </si>
  <si>
    <t>0707 448946</t>
  </si>
  <si>
    <t>S475/24</t>
  </si>
  <si>
    <t>Nabirye Aidah</t>
  </si>
  <si>
    <t>0751 416761</t>
  </si>
  <si>
    <t>S476/24</t>
  </si>
  <si>
    <t>Nalubega Mary Sylvia</t>
  </si>
  <si>
    <t>0751 990734</t>
  </si>
  <si>
    <t>S477/24</t>
  </si>
  <si>
    <t>Kagoya Sanula</t>
  </si>
  <si>
    <t>0707 463629</t>
  </si>
  <si>
    <t>S478/24</t>
  </si>
  <si>
    <t>Namwase Viola</t>
  </si>
  <si>
    <t>0705 553232</t>
  </si>
  <si>
    <t>S479/24</t>
  </si>
  <si>
    <t>Babirye Veronica</t>
  </si>
  <si>
    <t>0702 214823</t>
  </si>
  <si>
    <t>S480/24</t>
  </si>
  <si>
    <t>Kagoya Joan</t>
  </si>
  <si>
    <t>0752 068878</t>
  </si>
  <si>
    <t>S481/24</t>
  </si>
  <si>
    <t>Kisakye Catherine</t>
  </si>
  <si>
    <t>Lubas Rd</t>
  </si>
  <si>
    <t>0700 328852</t>
  </si>
  <si>
    <t>S482/24</t>
  </si>
  <si>
    <t>Mutesi Faridah</t>
  </si>
  <si>
    <t>0780 876031</t>
  </si>
  <si>
    <t>S483/24</t>
  </si>
  <si>
    <t>Nantabu Raziah</t>
  </si>
  <si>
    <t>Iganga Rd</t>
  </si>
  <si>
    <t>0752 261168</t>
  </si>
  <si>
    <t>S484/24</t>
  </si>
  <si>
    <t>Nakabazi Florence</t>
  </si>
  <si>
    <t>0752 428919</t>
  </si>
  <si>
    <t>S485/24</t>
  </si>
  <si>
    <t>Mugambe Rose Asiimwe</t>
  </si>
  <si>
    <t>0700 702217</t>
  </si>
  <si>
    <t>S486/24</t>
  </si>
  <si>
    <t>Kagoya Florence</t>
  </si>
  <si>
    <t>Amber Court</t>
  </si>
  <si>
    <t>0784 685058</t>
  </si>
  <si>
    <t>S487/24</t>
  </si>
  <si>
    <t>Namuteba Florence</t>
  </si>
  <si>
    <t>0757 671331</t>
  </si>
  <si>
    <t>S488/24</t>
  </si>
  <si>
    <t>Nansubuga Sauda</t>
  </si>
  <si>
    <t>0704 944482</t>
  </si>
  <si>
    <t>S489/24</t>
  </si>
  <si>
    <t>Kasiira Aminah</t>
  </si>
  <si>
    <t>Gomba</t>
  </si>
  <si>
    <t>0774 659290</t>
  </si>
  <si>
    <t>S490/24</t>
  </si>
  <si>
    <t>Byobona Hawa</t>
  </si>
  <si>
    <t>0784 234478</t>
  </si>
  <si>
    <t>S491/24</t>
  </si>
  <si>
    <t>Namata Olivia</t>
  </si>
  <si>
    <t>0754 543541</t>
  </si>
  <si>
    <t>S492/24</t>
  </si>
  <si>
    <t>Naigaga Maureen</t>
  </si>
  <si>
    <t>0753 839536</t>
  </si>
  <si>
    <t>S493/24</t>
  </si>
  <si>
    <t>Tibitondwe Prossy</t>
  </si>
  <si>
    <t>Namulesa</t>
  </si>
  <si>
    <t>0781 601726</t>
  </si>
  <si>
    <t>S494/24</t>
  </si>
  <si>
    <t>Nakisuyi Sarah</t>
  </si>
  <si>
    <t>Danida</t>
  </si>
  <si>
    <t>S495/24</t>
  </si>
  <si>
    <t>Nangobi Rose</t>
  </si>
  <si>
    <t>0706 409054</t>
  </si>
  <si>
    <t>S496/24</t>
  </si>
  <si>
    <t>Achogea Sharifa</t>
  </si>
  <si>
    <t>Buwekula</t>
  </si>
  <si>
    <t>0750 144401</t>
  </si>
  <si>
    <t>12 mths</t>
  </si>
  <si>
    <t>S497/24</t>
  </si>
  <si>
    <t>Sumaya Abdul Hakim</t>
  </si>
  <si>
    <t>Wanyama</t>
  </si>
  <si>
    <t>0757 648644</t>
  </si>
  <si>
    <t>6 mths ago</t>
  </si>
  <si>
    <t>This year</t>
  </si>
  <si>
    <t>With results</t>
  </si>
  <si>
    <t>S498/24</t>
  </si>
  <si>
    <t>Nantale Hasifah</t>
  </si>
  <si>
    <t>0782 757313</t>
  </si>
  <si>
    <t>S499/24</t>
  </si>
  <si>
    <t>Katushabe Sandra</t>
  </si>
  <si>
    <t>Nakibizzi</t>
  </si>
  <si>
    <t>S500/24</t>
  </si>
  <si>
    <t>Namutosi Miria</t>
  </si>
  <si>
    <t>0703 458995</t>
  </si>
  <si>
    <t>S501/24</t>
  </si>
  <si>
    <t>Kwikiriza Esther</t>
  </si>
  <si>
    <t>0703 133784</t>
  </si>
  <si>
    <t>S502/24</t>
  </si>
  <si>
    <t>Namulondo Habiba</t>
  </si>
  <si>
    <t>0706 181209</t>
  </si>
  <si>
    <t>S503/24</t>
  </si>
  <si>
    <t>Nakisuyi Tapenesi</t>
  </si>
  <si>
    <t>0757 375592</t>
  </si>
  <si>
    <t>S504/24</t>
  </si>
  <si>
    <t>Rhona Ngobi</t>
  </si>
  <si>
    <t>Nalufenya B</t>
  </si>
  <si>
    <t>0783 632288</t>
  </si>
  <si>
    <t>S505/24</t>
  </si>
  <si>
    <t>Nakilayi Regina</t>
  </si>
  <si>
    <t xml:space="preserve">Jinja </t>
  </si>
  <si>
    <t>0758 869669</t>
  </si>
  <si>
    <t>S506/24</t>
  </si>
  <si>
    <t>Kawala Aminah</t>
  </si>
  <si>
    <t>0702 978908</t>
  </si>
  <si>
    <t>S507/24</t>
  </si>
  <si>
    <t>Nabirye Monica</t>
  </si>
  <si>
    <t>0770 452777</t>
  </si>
  <si>
    <t>Suspicious</t>
  </si>
  <si>
    <t>41– 50 (5)</t>
  </si>
  <si>
    <t xml:space="preserve"> Date;  25th March 2024</t>
  </si>
  <si>
    <t>Place: Kasubi HCIII</t>
  </si>
  <si>
    <t>S508/24</t>
  </si>
  <si>
    <t>Alitwala Florence</t>
  </si>
  <si>
    <t>Kobba</t>
  </si>
  <si>
    <t>0705 407081</t>
  </si>
  <si>
    <t>S509/24</t>
  </si>
  <si>
    <t>Nakalema Ritah</t>
  </si>
  <si>
    <t>Matale</t>
  </si>
  <si>
    <t>0753 040160</t>
  </si>
  <si>
    <t>S510/24</t>
  </si>
  <si>
    <t>Namulindwa Jackline</t>
  </si>
  <si>
    <t>0705 256832</t>
  </si>
  <si>
    <t>S511/24</t>
  </si>
  <si>
    <t>Babireba Harriet</t>
  </si>
  <si>
    <t>Kasubi</t>
  </si>
  <si>
    <t>0700 995334</t>
  </si>
  <si>
    <t>S512/24</t>
  </si>
  <si>
    <t>Nyakwezi Muluhatih</t>
  </si>
  <si>
    <t>0702 106003</t>
  </si>
  <si>
    <t>Muziba</t>
  </si>
  <si>
    <t>S513/24</t>
  </si>
  <si>
    <t>Namalwa Proscovia</t>
  </si>
  <si>
    <t>S514/24</t>
  </si>
  <si>
    <t>Nandudu Prossy</t>
  </si>
  <si>
    <t>0708 601403</t>
  </si>
  <si>
    <t>S515/24</t>
  </si>
  <si>
    <t>Namukasa Jenipher</t>
  </si>
  <si>
    <t>0775 631982</t>
  </si>
  <si>
    <t>S516/24</t>
  </si>
  <si>
    <t>Nakityo Prossy</t>
  </si>
  <si>
    <t>0701 631980</t>
  </si>
  <si>
    <t>S517/24</t>
  </si>
  <si>
    <t>Nabaka Rose</t>
  </si>
  <si>
    <t>Busasula</t>
  </si>
  <si>
    <t>0708 607247</t>
  </si>
  <si>
    <t>S518/24</t>
  </si>
  <si>
    <t>Namutebi Sylvia</t>
  </si>
  <si>
    <t>20 – 30 (6)</t>
  </si>
  <si>
    <t>31– 40 (3)</t>
  </si>
  <si>
    <t xml:space="preserve"> Date;  March</t>
  </si>
  <si>
    <t>Natsiko Tabitha</t>
  </si>
  <si>
    <t>0772 616718</t>
  </si>
  <si>
    <t>Nabankema Shamimu</t>
  </si>
  <si>
    <t>0753 525334</t>
  </si>
  <si>
    <t>Nadongo Lydia</t>
  </si>
  <si>
    <t>0755 186974</t>
  </si>
  <si>
    <t>Baluka Zubeda</t>
  </si>
  <si>
    <t>Muwunguzi Martha</t>
  </si>
  <si>
    <t>0707 481799</t>
  </si>
  <si>
    <t>Nawire Agnes Cotilda</t>
  </si>
  <si>
    <t>Banda</t>
  </si>
  <si>
    <t>0787 335735</t>
  </si>
  <si>
    <t>Kauma Fazira</t>
  </si>
  <si>
    <t>0702 755212</t>
  </si>
  <si>
    <t>Kasubo Jane</t>
  </si>
  <si>
    <t>0701 336657</t>
  </si>
  <si>
    <t>Nakibuka Amina</t>
  </si>
  <si>
    <t>Buloba</t>
  </si>
  <si>
    <t>0782 976983</t>
  </si>
  <si>
    <t>Lydia Naimankye</t>
  </si>
  <si>
    <t>0754 514195</t>
  </si>
  <si>
    <t>20 – 30 (02)</t>
  </si>
  <si>
    <t>31– 40 (4)</t>
  </si>
  <si>
    <t xml:space="preserve"> Date;  4th April 2024</t>
  </si>
  <si>
    <t>Place: Kikalu HCII</t>
  </si>
  <si>
    <t>Nyango Rose</t>
  </si>
  <si>
    <t>Bugwe</t>
  </si>
  <si>
    <t>Sogie</t>
  </si>
  <si>
    <t>Cervical Polyp</t>
  </si>
  <si>
    <t>Mirembe Christine</t>
  </si>
  <si>
    <t>Mangafu</t>
  </si>
  <si>
    <t>0784 187676</t>
  </si>
  <si>
    <t>Comecitis</t>
  </si>
  <si>
    <t>Namugosa Lydia</t>
  </si>
  <si>
    <t>Kikalu</t>
  </si>
  <si>
    <t>0784 682877</t>
  </si>
  <si>
    <t>Namuhoye Barbrah</t>
  </si>
  <si>
    <t>Bumami</t>
  </si>
  <si>
    <t>0758 948250</t>
  </si>
  <si>
    <t>sogie</t>
  </si>
  <si>
    <t>Nabaigwa Jesica</t>
  </si>
  <si>
    <t>Ikwizi</t>
  </si>
  <si>
    <t>0750 147552</t>
  </si>
  <si>
    <t>Naigaga Angel</t>
  </si>
  <si>
    <t>After 6 Weeks</t>
  </si>
  <si>
    <t>Kwatulira Mirabu</t>
  </si>
  <si>
    <t>0764 179653</t>
  </si>
  <si>
    <t>`</t>
  </si>
  <si>
    <t>Namulondo Edith</t>
  </si>
  <si>
    <t>Bunagwe</t>
  </si>
  <si>
    <t>0772 605631</t>
  </si>
  <si>
    <t>Namuganza Efulansi</t>
  </si>
  <si>
    <t>Izinga</t>
  </si>
  <si>
    <t>0780 976258</t>
  </si>
  <si>
    <t>Namugosa Harriet</t>
  </si>
  <si>
    <t>0772 012480</t>
  </si>
  <si>
    <t>Namukose Safina</t>
  </si>
  <si>
    <t>Kisakye Olivia</t>
  </si>
  <si>
    <t>Nangodde</t>
  </si>
  <si>
    <t>0787 940467</t>
  </si>
  <si>
    <t>Afri Egypt for Mamogram</t>
  </si>
  <si>
    <t>Gwere</t>
  </si>
  <si>
    <t>Kafuko Teopista</t>
  </si>
  <si>
    <t>Zagila</t>
  </si>
  <si>
    <t xml:space="preserve">Isiga Annet </t>
  </si>
  <si>
    <t>07732 08683</t>
  </si>
  <si>
    <t>Namukose Leah</t>
  </si>
  <si>
    <t>0780 135050</t>
  </si>
  <si>
    <t>Kasana Veronica</t>
  </si>
  <si>
    <t>Makwi</t>
  </si>
  <si>
    <t>0779 534482</t>
  </si>
  <si>
    <t>Nakiminyi Beatrice</t>
  </si>
  <si>
    <t>Munaba Irene</t>
  </si>
  <si>
    <t>Mwoya</t>
  </si>
  <si>
    <t>Walusansa Catherine</t>
  </si>
  <si>
    <t>Munyore</t>
  </si>
  <si>
    <t>Nankya Tapenesi</t>
  </si>
  <si>
    <t>0785 964796</t>
  </si>
  <si>
    <t>Ganda</t>
  </si>
  <si>
    <t>Katono Racheal Biryeri</t>
  </si>
  <si>
    <t>0780 293045</t>
  </si>
  <si>
    <t>Nasete Susan</t>
  </si>
  <si>
    <t>0762 686058</t>
  </si>
  <si>
    <t>Namukose Scovia</t>
  </si>
  <si>
    <t>Guyenda Faisi</t>
  </si>
  <si>
    <t>0787 426224</t>
  </si>
  <si>
    <t>Naigaga Bayati</t>
  </si>
  <si>
    <t>0789 144425</t>
  </si>
  <si>
    <t>Namulinda Getrude</t>
  </si>
  <si>
    <t>kisega</t>
  </si>
  <si>
    <t>07777 64950</t>
  </si>
  <si>
    <t>Nanzala Alice</t>
  </si>
  <si>
    <t>Iwagilo</t>
  </si>
  <si>
    <t>0761 154619</t>
  </si>
  <si>
    <t>Asia Tibitondwa</t>
  </si>
  <si>
    <t>S258/24</t>
  </si>
  <si>
    <t>NamulindaFlorence</t>
  </si>
  <si>
    <t>Naiguro Fatina</t>
  </si>
  <si>
    <t>0762 462560</t>
  </si>
  <si>
    <t>Kawala Annet</t>
  </si>
  <si>
    <t>Nakiranda Jesca</t>
  </si>
  <si>
    <t>0773 855660</t>
  </si>
  <si>
    <t>Nandase Kevin</t>
  </si>
  <si>
    <t>0780 857643</t>
  </si>
  <si>
    <t>Mirembe Kaana</t>
  </si>
  <si>
    <t>0782 162934</t>
  </si>
  <si>
    <t>Jatema Jenifer</t>
  </si>
  <si>
    <t>0788 072078</t>
  </si>
  <si>
    <t>Muyugo Mary</t>
  </si>
  <si>
    <t>Kaudha Jennifer</t>
  </si>
  <si>
    <t>0779 789469</t>
  </si>
  <si>
    <t>Buluba</t>
  </si>
  <si>
    <t>Iwungiro</t>
  </si>
  <si>
    <t>0776 897680</t>
  </si>
  <si>
    <t>Fumba Jenifer</t>
  </si>
  <si>
    <t>Namugambwe Petu</t>
  </si>
  <si>
    <t>Mukono</t>
  </si>
  <si>
    <t>Nakaija Mwamini</t>
  </si>
  <si>
    <t>0706 966189</t>
  </si>
  <si>
    <t>Namugwere Harriet</t>
  </si>
  <si>
    <t>Kakunyu</t>
  </si>
  <si>
    <t>0757 859367</t>
  </si>
  <si>
    <t>8 Years back</t>
  </si>
  <si>
    <t>Namugabwe Agnes</t>
  </si>
  <si>
    <t>Buligo</t>
  </si>
  <si>
    <t>0784 683305</t>
  </si>
  <si>
    <t>S26624</t>
  </si>
  <si>
    <t>Nabwire Betty</t>
  </si>
  <si>
    <t>0760 687803</t>
  </si>
  <si>
    <t>Samia</t>
  </si>
  <si>
    <t>Namwase Esther</t>
  </si>
  <si>
    <t>kisege</t>
  </si>
  <si>
    <t>Namuhanga Annet</t>
  </si>
  <si>
    <t>07877 43544</t>
  </si>
  <si>
    <t>Namuwoya Nairuba</t>
  </si>
  <si>
    <t>0784 482242</t>
  </si>
  <si>
    <t>Namutibwa Loy</t>
  </si>
  <si>
    <t>Nabirye Alice</t>
  </si>
  <si>
    <t>Mutesi Naume</t>
  </si>
  <si>
    <t>Naigaga Aisha</t>
  </si>
  <si>
    <t>0787 258376</t>
  </si>
  <si>
    <t>Aplot Robinnah</t>
  </si>
  <si>
    <t>0787 500734</t>
  </si>
  <si>
    <t>Nimwere Cecilia</t>
  </si>
  <si>
    <t>0787 086796</t>
  </si>
  <si>
    <t>Nakalimo Lydia</t>
  </si>
  <si>
    <t>0777 138852</t>
  </si>
  <si>
    <t>Mbasala Ewunike</t>
  </si>
  <si>
    <t>Mutesi Justine</t>
  </si>
  <si>
    <t>0787 908247</t>
  </si>
  <si>
    <t>US abdomen</t>
  </si>
  <si>
    <t>Namulondo Mirabu</t>
  </si>
  <si>
    <t>0778 786084</t>
  </si>
  <si>
    <t>Mamogram</t>
  </si>
  <si>
    <t>20 – 30 (15)</t>
  </si>
  <si>
    <t>31– 40 (16)</t>
  </si>
  <si>
    <t>41– 50 (17)</t>
  </si>
  <si>
    <t>51-60 (7)</t>
  </si>
  <si>
    <t>&gt;61 (6)</t>
  </si>
  <si>
    <t xml:space="preserve"> Date;  5th April 2024</t>
  </si>
  <si>
    <t>Place: Hosana Faith Centre</t>
  </si>
  <si>
    <t>Naisanga Lydia</t>
  </si>
  <si>
    <t>Ntinda</t>
  </si>
  <si>
    <t>0753 260708</t>
  </si>
  <si>
    <t>Kaudha Olivia</t>
  </si>
  <si>
    <t>07566 07138</t>
  </si>
  <si>
    <t>Manghate Robinah</t>
  </si>
  <si>
    <t>0751 131334</t>
  </si>
  <si>
    <t>Nawakofu</t>
  </si>
  <si>
    <t>07054 82628</t>
  </si>
  <si>
    <t>Mirembe Damali</t>
  </si>
  <si>
    <t>0776 158601</t>
  </si>
  <si>
    <t>Kawala Ivon</t>
  </si>
  <si>
    <t>Kiiza Petrina</t>
  </si>
  <si>
    <t>Regulary</t>
  </si>
  <si>
    <t>Bagume Florence</t>
  </si>
  <si>
    <t>0757 565859</t>
  </si>
  <si>
    <t>Byogero Maria</t>
  </si>
  <si>
    <t xml:space="preserve">Iganga Hospital for Gyn </t>
  </si>
  <si>
    <t>Sibita Christine Mary</t>
  </si>
  <si>
    <t>Busia</t>
  </si>
  <si>
    <t>0775 134850</t>
  </si>
  <si>
    <t>Nabanda Maurice</t>
  </si>
  <si>
    <t>Namutumba</t>
  </si>
  <si>
    <t>0703 875745</t>
  </si>
  <si>
    <t>Namulondo Mariam</t>
  </si>
  <si>
    <t>0740 623576</t>
  </si>
  <si>
    <t>Bakulama Rose</t>
  </si>
  <si>
    <t>0754 821754</t>
  </si>
  <si>
    <t>Namagnda Margret</t>
  </si>
  <si>
    <t>0771 809290</t>
  </si>
  <si>
    <t>Takwetanga Janet</t>
  </si>
  <si>
    <t>0700 130616</t>
  </si>
  <si>
    <t>Iganga Hospt for Gym</t>
  </si>
  <si>
    <t>Kisakye Juliet</t>
  </si>
  <si>
    <t>0778 404723</t>
  </si>
  <si>
    <t>Namukose Maureen</t>
  </si>
  <si>
    <t>Wairaka</t>
  </si>
  <si>
    <t>0751 197126</t>
  </si>
  <si>
    <t>Mugala Zam</t>
  </si>
  <si>
    <t>0740 257442</t>
  </si>
  <si>
    <t>Fatuma Mubuliki</t>
  </si>
  <si>
    <t>Swahil</t>
  </si>
  <si>
    <t>Mutesi Florence</t>
  </si>
  <si>
    <t>Namigga Cissy</t>
  </si>
  <si>
    <t>Kasangati</t>
  </si>
  <si>
    <t>0706 311748</t>
  </si>
  <si>
    <t>Gimbo Ritah</t>
  </si>
  <si>
    <t xml:space="preserve">Nsubwe </t>
  </si>
  <si>
    <t>0703 824429</t>
  </si>
  <si>
    <t>Nyoli</t>
  </si>
  <si>
    <t>Nakabugo Aminah</t>
  </si>
  <si>
    <t>Ikonko</t>
  </si>
  <si>
    <t>0741 691572</t>
  </si>
  <si>
    <t>Kabasa Rebecca</t>
  </si>
  <si>
    <t>0759 809247</t>
  </si>
  <si>
    <t>Faisi Nzimuli</t>
  </si>
  <si>
    <t>SOgie</t>
  </si>
  <si>
    <t>Namukwaya Victoria</t>
  </si>
  <si>
    <t>0752 960139</t>
  </si>
  <si>
    <t>0701 397508</t>
  </si>
  <si>
    <t>Namuwaya Amina</t>
  </si>
  <si>
    <t>07031897 26</t>
  </si>
  <si>
    <t>Kauma Joyce</t>
  </si>
  <si>
    <t>07794 84647</t>
  </si>
  <si>
    <t>Naigaga Sophie</t>
  </si>
  <si>
    <t>0757 622947</t>
  </si>
  <si>
    <t>Mukhaye Bella</t>
  </si>
  <si>
    <t>Manafa</t>
  </si>
  <si>
    <t>0778 743300</t>
  </si>
  <si>
    <t>Gishu</t>
  </si>
  <si>
    <t>Nangobi Fatuma</t>
  </si>
  <si>
    <t>0703 643703</t>
  </si>
  <si>
    <t>Mugala Madina</t>
  </si>
  <si>
    <t>CMS</t>
  </si>
  <si>
    <t>0753 309159</t>
  </si>
  <si>
    <t>Nagayi Esther</t>
  </si>
  <si>
    <t>Bulubandi</t>
  </si>
  <si>
    <t>0742 642583</t>
  </si>
  <si>
    <t>Nankwanga Olivia</t>
  </si>
  <si>
    <t>Luyira</t>
  </si>
  <si>
    <t>0758 071379</t>
  </si>
  <si>
    <t>Nankya Hoshi</t>
  </si>
  <si>
    <t>0788 309642</t>
  </si>
  <si>
    <t>Namwebya Sophiat</t>
  </si>
  <si>
    <t>0766 018750</t>
  </si>
  <si>
    <t>Nampumo Vivian</t>
  </si>
  <si>
    <t>0750 275564</t>
  </si>
  <si>
    <t>Nangobi Shanita</t>
  </si>
  <si>
    <t>0753 109948</t>
  </si>
  <si>
    <t>not done</t>
  </si>
  <si>
    <t>Naminsi Samantha</t>
  </si>
  <si>
    <t>Lwawu</t>
  </si>
  <si>
    <t>0762 114778</t>
  </si>
  <si>
    <t>Nanyanga Sarah</t>
  </si>
  <si>
    <t>07071 92327</t>
  </si>
  <si>
    <t>Kasubo Betty</t>
  </si>
  <si>
    <t>0702 755435</t>
  </si>
  <si>
    <t>Not eligible</t>
  </si>
  <si>
    <t>After Periods</t>
  </si>
  <si>
    <t>31– 40 (05)</t>
  </si>
  <si>
    <t>&gt;61 (3)</t>
  </si>
  <si>
    <t xml:space="preserve"> Date;  11th April 2024</t>
  </si>
  <si>
    <t>Place: ST. JOSEPH H/C</t>
  </si>
  <si>
    <t>Namwase Asia</t>
  </si>
  <si>
    <t>Kyamagwa</t>
  </si>
  <si>
    <t>070200 8992</t>
  </si>
  <si>
    <t>Mutesi Halima</t>
  </si>
  <si>
    <t>07045 63925</t>
  </si>
  <si>
    <t>Mutesi Amura</t>
  </si>
  <si>
    <t>Nankwanga Miria</t>
  </si>
  <si>
    <t>0755 419489</t>
  </si>
  <si>
    <t>Mutesi Shamim</t>
  </si>
  <si>
    <t>0705 961284</t>
  </si>
  <si>
    <t>Namugombe Juliana</t>
  </si>
  <si>
    <t>0701 043066</t>
  </si>
  <si>
    <t>Nabagala Doreen</t>
  </si>
  <si>
    <t>Lwanda</t>
  </si>
  <si>
    <t>0755 814241</t>
  </si>
  <si>
    <t>Alupo Shairih</t>
  </si>
  <si>
    <t>0758 332370</t>
  </si>
  <si>
    <t>Kisakye Christine</t>
  </si>
  <si>
    <t>0757 039260</t>
  </si>
  <si>
    <t>Nakayenga Mariam</t>
  </si>
  <si>
    <t>077 9884056</t>
  </si>
  <si>
    <t xml:space="preserve">JRRH </t>
  </si>
  <si>
    <t>15/4/2024</t>
  </si>
  <si>
    <t>Babirye Joy</t>
  </si>
  <si>
    <t>0771 853532</t>
  </si>
  <si>
    <t>Nakiranda Maliza</t>
  </si>
  <si>
    <t>0783 105523</t>
  </si>
  <si>
    <t>Referred to see a gynocology</t>
  </si>
  <si>
    <t>Namunana Joan</t>
  </si>
  <si>
    <t>Wabulenga</t>
  </si>
  <si>
    <t>0708 977913</t>
  </si>
  <si>
    <t>Kawala Mirabu</t>
  </si>
  <si>
    <t>07033 22677</t>
  </si>
  <si>
    <t>Nabirye Recheal</t>
  </si>
  <si>
    <t>0782 280343</t>
  </si>
  <si>
    <t>Izimba Moureen</t>
  </si>
  <si>
    <t>0706 911928</t>
  </si>
  <si>
    <t>Tibesigwa Irene</t>
  </si>
  <si>
    <t>0764 388087</t>
  </si>
  <si>
    <t>Alyawawe Maureen</t>
  </si>
  <si>
    <t>0702 557080</t>
  </si>
  <si>
    <t>Nabirye Shakira</t>
  </si>
  <si>
    <t>0742 505765</t>
  </si>
  <si>
    <t>Namusobya Sumin</t>
  </si>
  <si>
    <t>0758 193995</t>
  </si>
  <si>
    <t>Nantabo Latifah</t>
  </si>
  <si>
    <t>0740 333725</t>
  </si>
  <si>
    <t>Namusinda Shadia</t>
  </si>
  <si>
    <t>0758 629237</t>
  </si>
  <si>
    <t>Nakaziba Robinah</t>
  </si>
  <si>
    <t>0741 377913</t>
  </si>
  <si>
    <t>S345/27</t>
  </si>
  <si>
    <t>Musubika Amina</t>
  </si>
  <si>
    <t>0707 979199</t>
  </si>
  <si>
    <t>Kwagala Racheal</t>
  </si>
  <si>
    <t>07011 15074</t>
  </si>
  <si>
    <t>Biribawa Sharifa</t>
  </si>
  <si>
    <t>Ivunamba</t>
  </si>
  <si>
    <t>0700 473971</t>
  </si>
  <si>
    <t>Babirye Sarah</t>
  </si>
  <si>
    <t>0783 295355</t>
  </si>
  <si>
    <t>Naigulu Sarah</t>
  </si>
  <si>
    <t>075 5268159</t>
  </si>
  <si>
    <t>Kisakye Elizabeth</t>
  </si>
  <si>
    <t>Kalungami</t>
  </si>
  <si>
    <t>0744 356097</t>
  </si>
  <si>
    <t>Severe infection not screened</t>
  </si>
  <si>
    <t>Bazanya Sylvia</t>
  </si>
  <si>
    <t>0756 207169</t>
  </si>
  <si>
    <t>Mammogram</t>
  </si>
  <si>
    <t>Sanya Hellen</t>
  </si>
  <si>
    <t>0758 998278</t>
  </si>
  <si>
    <t>Nambi Joyce</t>
  </si>
  <si>
    <t>Kabembe</t>
  </si>
  <si>
    <t>0705 080384</t>
  </si>
  <si>
    <t>Uterine Prolapse</t>
  </si>
  <si>
    <t>Hysterectomy at JRRH</t>
  </si>
  <si>
    <t>Lukolo</t>
  </si>
  <si>
    <t>0702 008992</t>
  </si>
  <si>
    <t>Alitwala Betty</t>
  </si>
  <si>
    <t>0754 244048</t>
  </si>
  <si>
    <t>Katono Sarah</t>
  </si>
  <si>
    <t>Karungami</t>
  </si>
  <si>
    <t>0702 090379</t>
  </si>
  <si>
    <t>Kalembe Sumaya</t>
  </si>
  <si>
    <t>Nsumbe</t>
  </si>
  <si>
    <t>Nabirye Aisha</t>
  </si>
  <si>
    <t>0751 864170</t>
  </si>
  <si>
    <t>Kisambila Sarah</t>
  </si>
  <si>
    <t>0701 981333</t>
  </si>
  <si>
    <t>Mukodi Rebecca</t>
  </si>
  <si>
    <t>Kisozi</t>
  </si>
  <si>
    <t>0759 085655</t>
  </si>
  <si>
    <t>Akoth Cotrida</t>
  </si>
  <si>
    <t>0754 172313</t>
  </si>
  <si>
    <t>Menya Fatuma</t>
  </si>
  <si>
    <t>0777 534445</t>
  </si>
  <si>
    <t>Kwebali Maulesia</t>
  </si>
  <si>
    <t>Iganga</t>
  </si>
  <si>
    <t>0700 124669</t>
  </si>
  <si>
    <t>Kwagala Ritah</t>
  </si>
  <si>
    <t>0788 046917</t>
  </si>
  <si>
    <t>Babirye Agnes</t>
  </si>
  <si>
    <t>0752 330677</t>
  </si>
  <si>
    <t>S36/24</t>
  </si>
  <si>
    <t>Babirye Harriet</t>
  </si>
  <si>
    <t>0758 698879</t>
  </si>
  <si>
    <t>In Menestral periods</t>
  </si>
  <si>
    <t>Nantongo Aisha</t>
  </si>
  <si>
    <t>0750 320472</t>
  </si>
  <si>
    <t>Namukose Gladys</t>
  </si>
  <si>
    <t>0750 539195</t>
  </si>
  <si>
    <t>Tusambomu Gladys</t>
  </si>
  <si>
    <t>0705795 315</t>
  </si>
  <si>
    <t>Nekesa Miria</t>
  </si>
  <si>
    <t>0774 271903</t>
  </si>
  <si>
    <t>Not examined</t>
  </si>
  <si>
    <t>Nandego Mary</t>
  </si>
  <si>
    <t>0704 971172</t>
  </si>
  <si>
    <t>Naigaga Irene</t>
  </si>
  <si>
    <t>0754 169769</t>
  </si>
  <si>
    <t>Namenya Brenda</t>
  </si>
  <si>
    <t>0755 935659</t>
  </si>
  <si>
    <t>Nakasi Madina</t>
  </si>
  <si>
    <t>Ibanda Saida</t>
  </si>
  <si>
    <t>Abenakyo Bridget</t>
  </si>
  <si>
    <t>0741 484181</t>
  </si>
  <si>
    <t>After Delivery</t>
  </si>
  <si>
    <t>Luba Irene</t>
  </si>
  <si>
    <t>0765 994616</t>
  </si>
  <si>
    <t>Naikesa Jackline</t>
  </si>
  <si>
    <t>Nandegho Cissy</t>
  </si>
  <si>
    <t>07050 75590</t>
  </si>
  <si>
    <t>NB, From S380/24 TO S389/24   thses IPNs are given out to ladies in Kikalu H/C 11</t>
  </si>
  <si>
    <t>20 – 30 (22)</t>
  </si>
  <si>
    <t xml:space="preserve"> Date;  12th April 2024</t>
  </si>
  <si>
    <t>Place: Vision Of Africa</t>
  </si>
  <si>
    <t>Namuganza Madina</t>
  </si>
  <si>
    <t>Itukuru</t>
  </si>
  <si>
    <t>0753 510672</t>
  </si>
  <si>
    <t>Namulinda Nulu</t>
  </si>
  <si>
    <t>Nabirye Edith</t>
  </si>
  <si>
    <t>0705 523022</t>
  </si>
  <si>
    <t>Magoba Joy</t>
  </si>
  <si>
    <t>0703 423439</t>
  </si>
  <si>
    <t>Kyokali Jalia</t>
  </si>
  <si>
    <t>Walusansa Margret Kitakule</t>
  </si>
  <si>
    <t>After Pap smear</t>
  </si>
  <si>
    <t>Naigulu Florence</t>
  </si>
  <si>
    <t>When there is abnormal bleeding</t>
  </si>
  <si>
    <t>Namulinda Monica</t>
  </si>
  <si>
    <t>0756 682502</t>
  </si>
  <si>
    <t>Namulinda Besi</t>
  </si>
  <si>
    <t>0742 255157</t>
  </si>
  <si>
    <t>Babirye Scovia</t>
  </si>
  <si>
    <t>Nangobi Topista</t>
  </si>
  <si>
    <t>0752 748651</t>
  </si>
  <si>
    <t>Nambi Percy</t>
  </si>
  <si>
    <t>0706 168948</t>
  </si>
  <si>
    <t>Kadongo Beatrice</t>
  </si>
  <si>
    <t>0753 608007</t>
  </si>
  <si>
    <t>To first talk to the husband</t>
  </si>
  <si>
    <t>Bwize Racheal</t>
  </si>
  <si>
    <t>Nakisige Suzan</t>
  </si>
  <si>
    <t>0751 139719</t>
  </si>
  <si>
    <t>Kumam</t>
  </si>
  <si>
    <t>Nambi Agnes</t>
  </si>
  <si>
    <t>Bwali Magada</t>
  </si>
  <si>
    <t>Nakabuuza Manvuwa</t>
  </si>
  <si>
    <t>07055 62270</t>
  </si>
  <si>
    <t>Abnormal veins on cervix</t>
  </si>
  <si>
    <t>JRRH for further evaluation</t>
  </si>
  <si>
    <t>Tumwesigye Maimuna</t>
  </si>
  <si>
    <t>0758 461089</t>
  </si>
  <si>
    <t>Mbonye Susan</t>
  </si>
  <si>
    <t>0744 916435</t>
  </si>
  <si>
    <t>Nandase Justine</t>
  </si>
  <si>
    <t>0750 878179</t>
  </si>
  <si>
    <t>Nakisuyi Eseza</t>
  </si>
  <si>
    <t>070700 4475</t>
  </si>
  <si>
    <t>Nangobi Ruth</t>
  </si>
  <si>
    <t>Namaganda Lovisa</t>
  </si>
  <si>
    <t>0706 431226</t>
  </si>
  <si>
    <t>0750 924232</t>
  </si>
  <si>
    <t>Namaganda Hadijah</t>
  </si>
  <si>
    <t>0702 463937</t>
  </si>
  <si>
    <t>S416/27</t>
  </si>
  <si>
    <t>Namusobya Sarah</t>
  </si>
  <si>
    <t>0742 994769</t>
  </si>
  <si>
    <t>Namulinda Martha</t>
  </si>
  <si>
    <t>Kizinga</t>
  </si>
  <si>
    <t>0705 885539</t>
  </si>
  <si>
    <t>Namugaya Brendah</t>
  </si>
  <si>
    <t>0741 031220</t>
  </si>
  <si>
    <t>Nakilija Aisha</t>
  </si>
  <si>
    <t>0750 818993</t>
  </si>
  <si>
    <t>Nabirye Jane</t>
  </si>
  <si>
    <t>Kako</t>
  </si>
  <si>
    <t>Kyazike Hadija</t>
  </si>
  <si>
    <t>0706 305190</t>
  </si>
  <si>
    <t>Nandego Sarah</t>
  </si>
  <si>
    <t>0754 673583</t>
  </si>
  <si>
    <t>Mutesi Joweri</t>
  </si>
  <si>
    <t>0702 649201</t>
  </si>
  <si>
    <t>Mukyala Jesca</t>
  </si>
  <si>
    <t>Dambya Aida</t>
  </si>
  <si>
    <t>Bukyonda</t>
  </si>
  <si>
    <t>0704 992214</t>
  </si>
  <si>
    <t>Nakayima Getrude</t>
  </si>
  <si>
    <t>Gwadaye Jennifer</t>
  </si>
  <si>
    <t>0758 414476</t>
  </si>
  <si>
    <t>Nabirye Specioza</t>
  </si>
  <si>
    <t>Namukasa Thereza</t>
  </si>
  <si>
    <t>Namboila Lovisa</t>
  </si>
  <si>
    <t>Mpatanduka Maria</t>
  </si>
  <si>
    <t>Bwali Eseza</t>
  </si>
  <si>
    <t>Tibulya Mary</t>
  </si>
  <si>
    <t>Nankwanga Catherine</t>
  </si>
  <si>
    <t>0753 580654</t>
  </si>
  <si>
    <t>Namuyomba Sanula</t>
  </si>
  <si>
    <t>Busabo</t>
  </si>
  <si>
    <t>0757 783914</t>
  </si>
  <si>
    <t>Namugere Florence</t>
  </si>
  <si>
    <t>0744 726818</t>
  </si>
  <si>
    <t>Katongole Irene</t>
  </si>
  <si>
    <t>Naisanga Edith</t>
  </si>
  <si>
    <t>07034 65002</t>
  </si>
  <si>
    <t>Tibelowoza Janet</t>
  </si>
  <si>
    <t>Muwase Edinansi</t>
  </si>
  <si>
    <t>Waiswa Leah</t>
  </si>
  <si>
    <t>Kagoya Robinah</t>
  </si>
  <si>
    <t>Kateme Eseza</t>
  </si>
  <si>
    <t>Kalalu</t>
  </si>
  <si>
    <t>20 – 30 (5)</t>
  </si>
  <si>
    <t>51-60 (12)</t>
  </si>
  <si>
    <t>&gt;61 (14)</t>
  </si>
  <si>
    <t xml:space="preserve"> Date;  19th April 2024</t>
  </si>
  <si>
    <t>Place: Buwenge H/C 1V</t>
  </si>
  <si>
    <t>Bwase</t>
  </si>
  <si>
    <t>0779 188313</t>
  </si>
  <si>
    <t>Kawala Susan</t>
  </si>
  <si>
    <t>07051 98252/ 07823638988</t>
  </si>
  <si>
    <t>Namulondo Teopista</t>
  </si>
  <si>
    <t>Buwolelo</t>
  </si>
  <si>
    <t>0700 458437</t>
  </si>
  <si>
    <t>Supressed</t>
  </si>
  <si>
    <t>Sept/2023</t>
  </si>
  <si>
    <t>19/4/2027</t>
  </si>
  <si>
    <t>Namaganda</t>
  </si>
  <si>
    <t>Namulinda Aidah</t>
  </si>
  <si>
    <t>Kadiba</t>
  </si>
  <si>
    <t>0754 418748</t>
  </si>
  <si>
    <t>Ilima Scovia</t>
  </si>
  <si>
    <t>Namulele</t>
  </si>
  <si>
    <t>0759 627723</t>
  </si>
  <si>
    <t>19/4/2025</t>
  </si>
  <si>
    <t>Wotange Margret</t>
  </si>
  <si>
    <t>Magamaga East</t>
  </si>
  <si>
    <t>0757 808141</t>
  </si>
  <si>
    <t>Kyozira Jane</t>
  </si>
  <si>
    <t>0758 698709</t>
  </si>
  <si>
    <t>Kyomuhangi Juliet</t>
  </si>
  <si>
    <t>Hospital Zone</t>
  </si>
  <si>
    <t>0755 564407</t>
  </si>
  <si>
    <t>Ankole</t>
  </si>
  <si>
    <t>Biwaye Bess</t>
  </si>
  <si>
    <t>Luzinga</t>
  </si>
  <si>
    <t>0700 679178</t>
  </si>
  <si>
    <t>JRRH for investigations</t>
  </si>
  <si>
    <t>with results</t>
  </si>
  <si>
    <t>Namukaya Mercy</t>
  </si>
  <si>
    <t>0757 864063</t>
  </si>
  <si>
    <t>Tusubira Sandra</t>
  </si>
  <si>
    <t>0756 728361</t>
  </si>
  <si>
    <t>Nyakyekyo Josephine</t>
  </si>
  <si>
    <t>Mukwaya Zone</t>
  </si>
  <si>
    <t>Dama</t>
  </si>
  <si>
    <t>Nakisinda Ruth Diana</t>
  </si>
  <si>
    <t>Market Zone</t>
  </si>
  <si>
    <t>07753 57247</t>
  </si>
  <si>
    <t>Kaguna Cissy</t>
  </si>
  <si>
    <t>Busiya</t>
  </si>
  <si>
    <t>0757 790076</t>
  </si>
  <si>
    <t>Naigaga Miria</t>
  </si>
  <si>
    <t>0758  248469</t>
  </si>
  <si>
    <t>Naigaga Halima</t>
  </si>
  <si>
    <t>Naikoba Getrude</t>
  </si>
  <si>
    <t>Bubale</t>
  </si>
  <si>
    <t>0761 910308</t>
  </si>
  <si>
    <t>Bwosanga Agnes</t>
  </si>
  <si>
    <t>Buwenge west</t>
  </si>
  <si>
    <t>0787 454374</t>
  </si>
  <si>
    <t>Mutonyi Catherine</t>
  </si>
  <si>
    <t>0743 259279</t>
  </si>
  <si>
    <t>Akiteng Magada</t>
  </si>
  <si>
    <t>Kabbi zone</t>
  </si>
  <si>
    <t>0743 812989</t>
  </si>
  <si>
    <t>Kasubo Annet</t>
  </si>
  <si>
    <t>0742 255212</t>
  </si>
  <si>
    <t>Nabukeera Shadia</t>
  </si>
  <si>
    <t>Buwenge town</t>
  </si>
  <si>
    <t>0759 165919</t>
  </si>
  <si>
    <t xml:space="preserve"> S368/24</t>
  </si>
  <si>
    <t>Kakaire Mebra</t>
  </si>
  <si>
    <t>Hukulu</t>
  </si>
  <si>
    <t>0756 206227</t>
  </si>
  <si>
    <t>0744 671982</t>
  </si>
  <si>
    <t>Nambala Florence</t>
  </si>
  <si>
    <t>0777 671065</t>
  </si>
  <si>
    <t>Kasalina Suzan</t>
  </si>
  <si>
    <t>Nabirye Madina</t>
  </si>
  <si>
    <t>S373/27</t>
  </si>
  <si>
    <t>Naiga Shamim</t>
  </si>
  <si>
    <t>0753 219738</t>
  </si>
  <si>
    <t>&gt;2000</t>
  </si>
  <si>
    <t>9 month ago</t>
  </si>
  <si>
    <t>Nakisuyi Annet</t>
  </si>
  <si>
    <t>Butagana</t>
  </si>
  <si>
    <t>0785 198811</t>
  </si>
  <si>
    <t>Kauma Zulaika</t>
  </si>
  <si>
    <t>0755 176747</t>
  </si>
  <si>
    <t>Mukyala Winfred</t>
  </si>
  <si>
    <t>0754 391878</t>
  </si>
  <si>
    <t>Nabidde Hajara</t>
  </si>
  <si>
    <t>Kyelidda</t>
  </si>
  <si>
    <t>0754 565162</t>
  </si>
  <si>
    <t>Babiyemba Lydia</t>
  </si>
  <si>
    <t>070 3308989</t>
  </si>
  <si>
    <t>Namwase Shamira</t>
  </si>
  <si>
    <t>0755 002055</t>
  </si>
  <si>
    <t>Tusubira Sharon</t>
  </si>
  <si>
    <t>busia</t>
  </si>
  <si>
    <t>0752 288202</t>
  </si>
  <si>
    <t>Mirembe Jaria</t>
  </si>
  <si>
    <t>07007 73462</t>
  </si>
  <si>
    <t>Kampi Joan</t>
  </si>
  <si>
    <t>Wamukola</t>
  </si>
  <si>
    <t>0755 368481</t>
  </si>
  <si>
    <t>Tumwebaza Resty</t>
  </si>
  <si>
    <t>07022 80203</t>
  </si>
  <si>
    <t>Mumbezi Sharon</t>
  </si>
  <si>
    <t>0700 552873</t>
  </si>
  <si>
    <t>Nankya Janat</t>
  </si>
  <si>
    <t>0755 732616</t>
  </si>
  <si>
    <t>S386/27</t>
  </si>
  <si>
    <t>Matama Susan</t>
  </si>
  <si>
    <t>0740 215932</t>
  </si>
  <si>
    <t>Musoke Ruth</t>
  </si>
  <si>
    <t>0743 812676</t>
  </si>
  <si>
    <t>musoga</t>
  </si>
  <si>
    <t>Babirye Shamim</t>
  </si>
  <si>
    <t>0755 758291</t>
  </si>
  <si>
    <t>Tibiwa Alice</t>
  </si>
  <si>
    <t>07544 19848</t>
  </si>
  <si>
    <t>Babirye Aidah</t>
  </si>
  <si>
    <t>0744 952004</t>
  </si>
  <si>
    <t>Asaba Florence</t>
  </si>
  <si>
    <t>07811 64800</t>
  </si>
  <si>
    <t>Mukiga</t>
  </si>
  <si>
    <t>Kabanda Florence</t>
  </si>
  <si>
    <t>0750 771174</t>
  </si>
  <si>
    <t>Namukasa Justine</t>
  </si>
  <si>
    <t>0755 815752</t>
  </si>
  <si>
    <t>Babirye Zalika</t>
  </si>
  <si>
    <t>0755 707941</t>
  </si>
  <si>
    <t>Ntano Maureen</t>
  </si>
  <si>
    <t>0757 629402</t>
  </si>
  <si>
    <t>Nakato Shamim</t>
  </si>
  <si>
    <t>0777 980628</t>
  </si>
  <si>
    <t>Nasazi Margret</t>
  </si>
  <si>
    <t>0752 442125</t>
  </si>
  <si>
    <t>Nakiryowa Rehema</t>
  </si>
  <si>
    <t>0757 778371</t>
  </si>
  <si>
    <t>Namuyodi Shamim</t>
  </si>
  <si>
    <t>07052 25681</t>
  </si>
  <si>
    <t>Isiri</t>
  </si>
  <si>
    <t>07429 22063</t>
  </si>
  <si>
    <t>Kagoya Justine</t>
  </si>
  <si>
    <t>0744 709352</t>
  </si>
  <si>
    <t>Nangobi Jennifer</t>
  </si>
  <si>
    <t>0741 069509</t>
  </si>
  <si>
    <t>Nangobi Rebecca</t>
  </si>
  <si>
    <t>0756 918931</t>
  </si>
  <si>
    <t>Mbalabe Betty</t>
  </si>
  <si>
    <t>Church Zone</t>
  </si>
  <si>
    <t>0702 569146</t>
  </si>
  <si>
    <t>Naluwoza Annet</t>
  </si>
  <si>
    <t>Bamwagala Madina</t>
  </si>
  <si>
    <t>Nawatumbi</t>
  </si>
  <si>
    <t>0744 942664</t>
  </si>
  <si>
    <t>Nabwonso Joan</t>
  </si>
  <si>
    <t>Lambala</t>
  </si>
  <si>
    <t>0777 095663</t>
  </si>
  <si>
    <t>575 cl</t>
  </si>
  <si>
    <t>Nakawoma Juliet</t>
  </si>
  <si>
    <t>Hospital zone</t>
  </si>
  <si>
    <t>0755 871109</t>
  </si>
  <si>
    <t>VIA POS</t>
  </si>
  <si>
    <t>HPV POS</t>
  </si>
  <si>
    <t>41– 50 (19)</t>
  </si>
  <si>
    <t>51-60 (04)</t>
  </si>
  <si>
    <t xml:space="preserve"> Date;  24th April 2024</t>
  </si>
  <si>
    <t>Place: SCLBH</t>
  </si>
  <si>
    <t>Nakamya Phiona</t>
  </si>
  <si>
    <t>Misindye</t>
  </si>
  <si>
    <t>07078 55870</t>
  </si>
  <si>
    <t>24/4/2027</t>
  </si>
  <si>
    <t>Asiimwe Everlyne</t>
  </si>
  <si>
    <t>Nalubabwe</t>
  </si>
  <si>
    <t>0774 231698</t>
  </si>
  <si>
    <t>Nabiddo Josephine</t>
  </si>
  <si>
    <t>Buikwe</t>
  </si>
  <si>
    <t>0751 491692</t>
  </si>
  <si>
    <t>Nalubega Winnie</t>
  </si>
  <si>
    <t>Lweru</t>
  </si>
  <si>
    <t>0743 470797</t>
  </si>
  <si>
    <t>Namutebi Sharifa</t>
  </si>
  <si>
    <t>0782 371170</t>
  </si>
  <si>
    <t>Vaginal polyp</t>
  </si>
  <si>
    <t>Nawamanya Olivia</t>
  </si>
  <si>
    <t>0782 571873</t>
  </si>
  <si>
    <t>ankole</t>
  </si>
  <si>
    <t>Luzze Grace</t>
  </si>
  <si>
    <t>Kyamabale</t>
  </si>
  <si>
    <t>07758 82930</t>
  </si>
  <si>
    <t>Kasiri Esther</t>
  </si>
  <si>
    <t>Bulere</t>
  </si>
  <si>
    <t>0754 518095</t>
  </si>
  <si>
    <t>Nalubega Salima</t>
  </si>
  <si>
    <t>Bulega</t>
  </si>
  <si>
    <t>07080 74700</t>
  </si>
  <si>
    <t>Nantongo Hadijja</t>
  </si>
  <si>
    <t>Vulga</t>
  </si>
  <si>
    <t>07043 94169</t>
  </si>
  <si>
    <t>Nakityo Hadija</t>
  </si>
  <si>
    <t>bulere</t>
  </si>
  <si>
    <t>0743 457364</t>
  </si>
  <si>
    <t>Nakigundu Berna</t>
  </si>
  <si>
    <t>0751 579242</t>
  </si>
  <si>
    <t>Nantongo Edith</t>
  </si>
  <si>
    <t>0704 967125</t>
  </si>
  <si>
    <t>Namagembe Resty</t>
  </si>
  <si>
    <t>0753 015166</t>
  </si>
  <si>
    <t>Namiiro Rose Mary</t>
  </si>
  <si>
    <t>Namutebi Rossetti</t>
  </si>
  <si>
    <t>0755 976160</t>
  </si>
  <si>
    <t>S425/25</t>
  </si>
  <si>
    <t>Nakayenga Lydia</t>
  </si>
  <si>
    <t>Makonge</t>
  </si>
  <si>
    <t>0744 696263</t>
  </si>
  <si>
    <t>Asaba Damali</t>
  </si>
  <si>
    <t>0741 029594</t>
  </si>
  <si>
    <t>Nanyonjo Mariam</t>
  </si>
  <si>
    <t>0755 624881</t>
  </si>
  <si>
    <t>Namubiru Margret</t>
  </si>
  <si>
    <t>Bulele</t>
  </si>
  <si>
    <t>0786 943969</t>
  </si>
  <si>
    <t>Namuddu Mastula</t>
  </si>
  <si>
    <t>0742 172987</t>
  </si>
  <si>
    <t>Nankabirwa Eve</t>
  </si>
  <si>
    <t>0771 478796</t>
  </si>
  <si>
    <t>Babirye Suzan</t>
  </si>
  <si>
    <t>Seruti</t>
  </si>
  <si>
    <t>0743 485163</t>
  </si>
  <si>
    <t>Nyarwanda</t>
  </si>
  <si>
    <t>Ajambo Gorret</t>
  </si>
  <si>
    <t>Buwanga</t>
  </si>
  <si>
    <t>0758 707979</t>
  </si>
  <si>
    <t>Nabukalu Elizabeth</t>
  </si>
  <si>
    <t>Nantwala</t>
  </si>
  <si>
    <t>0754 993569</t>
  </si>
  <si>
    <t>Kiiza Florence</t>
  </si>
  <si>
    <t>0783 827530</t>
  </si>
  <si>
    <t>Birungi Betty Grace</t>
  </si>
  <si>
    <t>musindye</t>
  </si>
  <si>
    <t>0751 925074</t>
  </si>
  <si>
    <t>Nakanabi Rebecca</t>
  </si>
  <si>
    <t>0773 858290</t>
  </si>
  <si>
    <t>Kemirembe Olivia</t>
  </si>
  <si>
    <t>Nassana</t>
  </si>
  <si>
    <t>0704 617934</t>
  </si>
  <si>
    <t>Nakabuye Farida</t>
  </si>
  <si>
    <t>0759 186669</t>
  </si>
  <si>
    <t>Nabukenya Harriet</t>
  </si>
  <si>
    <t>Lubanyi</t>
  </si>
  <si>
    <t>0765 911949</t>
  </si>
  <si>
    <t>Eyesuru Francerca</t>
  </si>
  <si>
    <t>Malongwe</t>
  </si>
  <si>
    <t>0766 433450</t>
  </si>
  <si>
    <t>Lugwara</t>
  </si>
  <si>
    <t>Namutebi Aisha</t>
  </si>
  <si>
    <t>074 3840112</t>
  </si>
  <si>
    <t>Kirabo Aisha</t>
  </si>
  <si>
    <t>0767 13971</t>
  </si>
  <si>
    <t>Namuwaya Samalie</t>
  </si>
  <si>
    <t>0705 240153</t>
  </si>
  <si>
    <t>Nakalule Sauya</t>
  </si>
  <si>
    <t>Nakauma</t>
  </si>
  <si>
    <t>07796 49133</t>
  </si>
  <si>
    <t>S445/25</t>
  </si>
  <si>
    <t>Babirye Sharifa</t>
  </si>
  <si>
    <t>0709 886373</t>
  </si>
  <si>
    <t>Namanada Grace</t>
  </si>
  <si>
    <t>Kiyindi</t>
  </si>
  <si>
    <t>0742 889911</t>
  </si>
  <si>
    <t>Nakibuule Juliet</t>
  </si>
  <si>
    <t>0757 454883</t>
  </si>
  <si>
    <t>Namaganda Phiona</t>
  </si>
  <si>
    <t>0742 718166</t>
  </si>
  <si>
    <t>Namugerwa Rose</t>
  </si>
  <si>
    <t>0758 017752</t>
  </si>
  <si>
    <t>Namudiira Zerida</t>
  </si>
  <si>
    <t>0756 764707</t>
  </si>
  <si>
    <t>Nyori</t>
  </si>
  <si>
    <t>Muyingo Latifah</t>
  </si>
  <si>
    <t>0789 307332</t>
  </si>
  <si>
    <t>Nakimera Sylvia Olivia</t>
  </si>
  <si>
    <t>0750 957928</t>
  </si>
  <si>
    <t>Nandawula Eva</t>
  </si>
  <si>
    <t>07052 73049</t>
  </si>
  <si>
    <t>Alitubeera Hasifa</t>
  </si>
  <si>
    <t>Misibo</t>
  </si>
  <si>
    <t>0755 013168</t>
  </si>
  <si>
    <t>Mirembe Lydia</t>
  </si>
  <si>
    <t>Natete</t>
  </si>
  <si>
    <t>07577 54333</t>
  </si>
  <si>
    <t>Napijjah Stella</t>
  </si>
  <si>
    <t>07003 30008</t>
  </si>
  <si>
    <t>Aigaru Teddy</t>
  </si>
  <si>
    <t>Mulugwara</t>
  </si>
  <si>
    <t>Agunduru Harriet</t>
  </si>
  <si>
    <t>0777 014410</t>
  </si>
  <si>
    <t>Naiwubwe Ruth</t>
  </si>
  <si>
    <t>0706 858824</t>
  </si>
  <si>
    <t>24/4/2025</t>
  </si>
  <si>
    <t>Nakalema Firida</t>
  </si>
  <si>
    <t>bulele</t>
  </si>
  <si>
    <t>0759 806502</t>
  </si>
  <si>
    <t>Namayanja Gladys</t>
  </si>
  <si>
    <t>0740 881222</t>
  </si>
  <si>
    <t>Namikondo Resty</t>
  </si>
  <si>
    <t>Perineal Examination</t>
  </si>
  <si>
    <t>Reffered for I&amp;D</t>
  </si>
  <si>
    <t>ASAP</t>
  </si>
  <si>
    <t>Nyadoi Gorreti</t>
  </si>
  <si>
    <t>Tega</t>
  </si>
  <si>
    <t>0756 918026</t>
  </si>
  <si>
    <t xml:space="preserve">Suppressed </t>
  </si>
  <si>
    <t>26/4/2024</t>
  </si>
  <si>
    <t>Namatovu Fauza</t>
  </si>
  <si>
    <t>0751 607715</t>
  </si>
  <si>
    <t>Profuse bleeding from cerviacl OS</t>
  </si>
  <si>
    <t>Namukasa Betty</t>
  </si>
  <si>
    <t>07033 5651</t>
  </si>
  <si>
    <t>26/4/2027</t>
  </si>
  <si>
    <t>0775 972007</t>
  </si>
  <si>
    <t>Kibirango Maria</t>
  </si>
  <si>
    <t>Bugoya</t>
  </si>
  <si>
    <t>0795 445559</t>
  </si>
  <si>
    <t>Tumusabe Esther</t>
  </si>
  <si>
    <t>0753 384796</t>
  </si>
  <si>
    <t>Nabatenza Elizabeth</t>
  </si>
  <si>
    <t>Nsavu</t>
  </si>
  <si>
    <t>0763 484031</t>
  </si>
  <si>
    <t>Mulundi</t>
  </si>
  <si>
    <t>Nabujewa Harriet</t>
  </si>
  <si>
    <t>0759 838694</t>
  </si>
  <si>
    <t>Namulindwa Justine</t>
  </si>
  <si>
    <t>Namale Rose</t>
  </si>
  <si>
    <t>Misindi</t>
  </si>
  <si>
    <t>0758 835371</t>
  </si>
  <si>
    <t>Lujja Rose</t>
  </si>
  <si>
    <t>0752 233483</t>
  </si>
  <si>
    <t xml:space="preserve">Nantale Zabekyi </t>
  </si>
  <si>
    <t>nyarwanda</t>
  </si>
  <si>
    <t>Nakumisu Samali</t>
  </si>
  <si>
    <t>0744 374835</t>
  </si>
  <si>
    <t>Bukuwa Federesi</t>
  </si>
  <si>
    <t>0754 636974</t>
  </si>
  <si>
    <t>Kizito Annet</t>
  </si>
  <si>
    <t>Kyambale</t>
  </si>
  <si>
    <t>0753 898962</t>
  </si>
  <si>
    <t>Abnormal vaginal yellowish</t>
  </si>
  <si>
    <t>Namuta Scovia</t>
  </si>
  <si>
    <t>0701 436751</t>
  </si>
  <si>
    <t>Mufumbira</t>
  </si>
  <si>
    <t>Tumusime Eva</t>
  </si>
  <si>
    <t>Kindusu</t>
  </si>
  <si>
    <t>0785 601918</t>
  </si>
  <si>
    <t>Cervicits SCJ</t>
  </si>
  <si>
    <t>Kashabe Patricia</t>
  </si>
  <si>
    <t>0755 298718</t>
  </si>
  <si>
    <t>Discharge too afrorid</t>
  </si>
  <si>
    <t>Nafula Racheal</t>
  </si>
  <si>
    <t>Kiiza Justine</t>
  </si>
  <si>
    <t>Kikoli</t>
  </si>
  <si>
    <t>0700 766971</t>
  </si>
  <si>
    <t>In menestral periods</t>
  </si>
  <si>
    <t>After periods</t>
  </si>
  <si>
    <t>Buyinza Rose</t>
  </si>
  <si>
    <t>0772 752572</t>
  </si>
  <si>
    <t>6 months after delivery</t>
  </si>
  <si>
    <t>Nakyanze Night</t>
  </si>
  <si>
    <t>0759 846484</t>
  </si>
  <si>
    <t>Ainebyano Fiona</t>
  </si>
  <si>
    <t>07583 18764</t>
  </si>
  <si>
    <t>Cracked nipple</t>
  </si>
  <si>
    <t>PRN</t>
  </si>
  <si>
    <t>Kauma Mariam</t>
  </si>
  <si>
    <t>Kawulu</t>
  </si>
  <si>
    <t>0708 912456</t>
  </si>
  <si>
    <t>Surgical clinic</t>
  </si>
  <si>
    <t>20 – 30 (27)</t>
  </si>
  <si>
    <t>51-60 (10)</t>
  </si>
  <si>
    <t xml:space="preserve"> Date;  30th April 2024</t>
  </si>
  <si>
    <t>Place: Nazigo H/C 111</t>
  </si>
  <si>
    <t>Ddamulira Madalena</t>
  </si>
  <si>
    <t>0754 702534</t>
  </si>
  <si>
    <t>30/4/2027</t>
  </si>
  <si>
    <t>Kakai Rita</t>
  </si>
  <si>
    <t>0707 293094</t>
  </si>
  <si>
    <t>Namwarye Jackline</t>
  </si>
  <si>
    <t>Ngagama</t>
  </si>
  <si>
    <t>07055 84169</t>
  </si>
  <si>
    <t>Nabukeera Rukia</t>
  </si>
  <si>
    <t>Kawonawo</t>
  </si>
  <si>
    <t>07090 68616</t>
  </si>
  <si>
    <t>Namuli Shinat</t>
  </si>
  <si>
    <t>074 2591082</t>
  </si>
  <si>
    <t>Namata Jane</t>
  </si>
  <si>
    <t>Bukambi</t>
  </si>
  <si>
    <t>07049 06584</t>
  </si>
  <si>
    <t>JRRH for second opnion</t>
  </si>
  <si>
    <t>Nalwanga Juliet</t>
  </si>
  <si>
    <t>Kilindi</t>
  </si>
  <si>
    <t>0753 730182</t>
  </si>
  <si>
    <t>Kyeswa Irene</t>
  </si>
  <si>
    <t>Kirebeda</t>
  </si>
  <si>
    <t>0752 463483</t>
  </si>
  <si>
    <t>Nantongo Margret</t>
  </si>
  <si>
    <t>070813 0624</t>
  </si>
  <si>
    <t>Kiiza Aisha</t>
  </si>
  <si>
    <t>0759 607775</t>
  </si>
  <si>
    <t>Muwando Moureen</t>
  </si>
  <si>
    <t>0766 145617</t>
  </si>
  <si>
    <t>Nakayiza Hajjara</t>
  </si>
  <si>
    <t>Nsotoka</t>
  </si>
  <si>
    <t>070080 0232</t>
  </si>
  <si>
    <t>Kutesakwe Marion</t>
  </si>
  <si>
    <t>Buyugilizi</t>
  </si>
  <si>
    <t>0756 133297</t>
  </si>
  <si>
    <t>Nakalyowa Jalia</t>
  </si>
  <si>
    <t>Kinyala</t>
  </si>
  <si>
    <t>0755 603608</t>
  </si>
  <si>
    <t>Nyoro</t>
  </si>
  <si>
    <t>Nulubega Faridah</t>
  </si>
  <si>
    <t>0709 838027</t>
  </si>
  <si>
    <t>Namarome Edith</t>
  </si>
  <si>
    <t>0740 864854</t>
  </si>
  <si>
    <t>With severe infections</t>
  </si>
  <si>
    <t>After 2 weeks</t>
  </si>
  <si>
    <t>&lt;19 (01)</t>
  </si>
  <si>
    <t xml:space="preserve"> Date;   April 2024</t>
  </si>
  <si>
    <t>Nakate Shifah</t>
  </si>
  <si>
    <t>Kikondo</t>
  </si>
  <si>
    <t>0784 341770</t>
  </si>
  <si>
    <t>Tibikoma Justine</t>
  </si>
  <si>
    <t>Waibale</t>
  </si>
  <si>
    <t>0757 098106</t>
  </si>
  <si>
    <t>S506/27</t>
  </si>
  <si>
    <t>Mukoda Saida</t>
  </si>
  <si>
    <t>0740 631484</t>
  </si>
  <si>
    <t>Kivubuka</t>
  </si>
  <si>
    <t>07057 81762</t>
  </si>
  <si>
    <t>Nambasa Babra</t>
  </si>
  <si>
    <t>Mpuge</t>
  </si>
  <si>
    <t>0752 745863</t>
  </si>
  <si>
    <t>Tibagaa Olivia</t>
  </si>
  <si>
    <t>Mupumbwe</t>
  </si>
  <si>
    <t>After 3 Months</t>
  </si>
  <si>
    <t>Nakasasi</t>
  </si>
  <si>
    <t>0754 748816</t>
  </si>
  <si>
    <t>31– 40 (2)</t>
  </si>
  <si>
    <t xml:space="preserve">Place: </t>
  </si>
  <si>
    <t>BS170/24</t>
  </si>
  <si>
    <t>Tibulwa Esther</t>
  </si>
  <si>
    <t xml:space="preserve">Idaala </t>
  </si>
  <si>
    <t>0701 195528</t>
  </si>
  <si>
    <t xml:space="preserve"> Date; 29/5/2024</t>
  </si>
  <si>
    <t>Place: Bugaya H/C 4</t>
  </si>
  <si>
    <t>BS224/24</t>
  </si>
  <si>
    <t>Nairuba Mariam</t>
  </si>
  <si>
    <t xml:space="preserve">Irapa </t>
  </si>
  <si>
    <t>0755-309932</t>
  </si>
  <si>
    <t>BS225/24</t>
  </si>
  <si>
    <t xml:space="preserve">Igoola </t>
  </si>
  <si>
    <t>0754-433912</t>
  </si>
  <si>
    <t>BS226/24</t>
  </si>
  <si>
    <t>Tutashaba Rehema</t>
  </si>
  <si>
    <t xml:space="preserve">Namulikya </t>
  </si>
  <si>
    <t>0761-909937</t>
  </si>
  <si>
    <t>BS227/24</t>
  </si>
  <si>
    <t>Kalembe Harriet</t>
  </si>
  <si>
    <t>Buswankama</t>
  </si>
  <si>
    <t xml:space="preserve">Not suppressed </t>
  </si>
  <si>
    <t>BS228/24</t>
  </si>
  <si>
    <t>Nakiganda Amina</t>
  </si>
  <si>
    <t xml:space="preserve">Nabitula </t>
  </si>
  <si>
    <t>0785-885776</t>
  </si>
  <si>
    <t xml:space="preserve">Muluri </t>
  </si>
  <si>
    <t>BS229/24</t>
  </si>
  <si>
    <t>Akumina Leticia</t>
  </si>
  <si>
    <t>Igoola</t>
  </si>
  <si>
    <t>0781-709735</t>
  </si>
  <si>
    <t>BS230/24</t>
  </si>
  <si>
    <t xml:space="preserve">Nabirye Catherine </t>
  </si>
  <si>
    <t>0752-968926</t>
  </si>
  <si>
    <t>BS231/24</t>
  </si>
  <si>
    <t>Namuyomba Fidah</t>
  </si>
  <si>
    <t>0702-970681</t>
  </si>
  <si>
    <t>HPV Pos</t>
  </si>
  <si>
    <t>MAMOGRAM</t>
  </si>
  <si>
    <t>20 – 30 (01)</t>
  </si>
  <si>
    <t>41– 50 (01)</t>
  </si>
  <si>
    <t xml:space="preserve"> Date;  22/5/2024</t>
  </si>
  <si>
    <t>Place:  Namaganda P/S</t>
  </si>
  <si>
    <t>BS187/24</t>
  </si>
  <si>
    <t>Namulondo Christine</t>
  </si>
  <si>
    <t>Namisambya</t>
  </si>
  <si>
    <t>0758-110361</t>
  </si>
  <si>
    <t>BS188/24</t>
  </si>
  <si>
    <t>Naigaga Lovinsa</t>
  </si>
  <si>
    <t>Nawogo</t>
  </si>
  <si>
    <t>0753-662833</t>
  </si>
  <si>
    <t>BS189/24</t>
  </si>
  <si>
    <t>Nabirye Maria</t>
  </si>
  <si>
    <t xml:space="preserve">Nawango </t>
  </si>
  <si>
    <t>0701-045172</t>
  </si>
  <si>
    <t>BS190/24</t>
  </si>
  <si>
    <t>Mboko Esther</t>
  </si>
  <si>
    <t xml:space="preserve">Namaganda </t>
  </si>
  <si>
    <t>BS191/24</t>
  </si>
  <si>
    <t>Mukyeyaya Biitu</t>
  </si>
  <si>
    <t>Nawango</t>
  </si>
  <si>
    <t>BS192/24</t>
  </si>
  <si>
    <t>Kutamuwa Sarah</t>
  </si>
  <si>
    <t>0759-475821</t>
  </si>
  <si>
    <t>BS193/24</t>
  </si>
  <si>
    <t>Sumini Biyinzika</t>
  </si>
  <si>
    <t>BS194/24</t>
  </si>
  <si>
    <t>Kawala Mariam</t>
  </si>
  <si>
    <t>0773-329696</t>
  </si>
  <si>
    <t>BS195/24</t>
  </si>
  <si>
    <t>Naikula Halima</t>
  </si>
  <si>
    <t>BS196/24</t>
  </si>
  <si>
    <t xml:space="preserve">Okello Florence </t>
  </si>
  <si>
    <t>0759-092073</t>
  </si>
  <si>
    <t>BS197/24</t>
  </si>
  <si>
    <t>Naigaga Joyce</t>
  </si>
  <si>
    <t>BS198/24</t>
  </si>
  <si>
    <t xml:space="preserve">Tibenda Harriet </t>
  </si>
  <si>
    <t>0751-401358</t>
  </si>
  <si>
    <t>BS199/24</t>
  </si>
  <si>
    <t xml:space="preserve">Nabirye Harriet </t>
  </si>
  <si>
    <t>BS200/24</t>
  </si>
  <si>
    <t>Nanangwe Aida</t>
  </si>
  <si>
    <t>BS201/24</t>
  </si>
  <si>
    <t>Namulawa Ramula</t>
  </si>
  <si>
    <t>BS202/24</t>
  </si>
  <si>
    <t>Mukyala Mary</t>
  </si>
  <si>
    <t>0744-194989</t>
  </si>
  <si>
    <t>BS203/24</t>
  </si>
  <si>
    <t>Kyozira Susan</t>
  </si>
  <si>
    <t>BS204/24</t>
  </si>
  <si>
    <t>Bulwana Moreen</t>
  </si>
  <si>
    <t>BS205/24</t>
  </si>
  <si>
    <t>0759-849090</t>
  </si>
  <si>
    <t>BS206/24</t>
  </si>
  <si>
    <t>Nabirye Hajirah</t>
  </si>
  <si>
    <t>0773-354782</t>
  </si>
  <si>
    <t>BS207/24</t>
  </si>
  <si>
    <t>Namwase Annet</t>
  </si>
  <si>
    <t>0759-562999</t>
  </si>
  <si>
    <t>BS208/24</t>
  </si>
  <si>
    <t>Mbakire Justine</t>
  </si>
  <si>
    <t>0701-067412</t>
  </si>
  <si>
    <t>BS209/24</t>
  </si>
  <si>
    <t>Nairuba Zerensi</t>
  </si>
  <si>
    <t>0702-863730</t>
  </si>
  <si>
    <t>BS210/24</t>
  </si>
  <si>
    <t>Mukyala Mirembe</t>
  </si>
  <si>
    <t>0706-976284</t>
  </si>
  <si>
    <t>BS211/24</t>
  </si>
  <si>
    <t xml:space="preserve">Bangi Deborah </t>
  </si>
  <si>
    <t>0751-736315</t>
  </si>
  <si>
    <t>BS212/24</t>
  </si>
  <si>
    <t>Karungi Salama</t>
  </si>
  <si>
    <t>BS213/24</t>
  </si>
  <si>
    <t>Nantongo Esther</t>
  </si>
  <si>
    <t>0758-301242</t>
  </si>
  <si>
    <t>3years</t>
  </si>
  <si>
    <t>BS214/24</t>
  </si>
  <si>
    <t>Nabirye Alitonsi</t>
  </si>
  <si>
    <t>0778-338575</t>
  </si>
  <si>
    <t>BS215/24</t>
  </si>
  <si>
    <t>Talyona Maria</t>
  </si>
  <si>
    <t>BS216/24</t>
  </si>
  <si>
    <t>Mukyala Binanti</t>
  </si>
  <si>
    <t>0754-479463</t>
  </si>
  <si>
    <t>BS217/24</t>
  </si>
  <si>
    <t>Kyabawaire Shabra</t>
  </si>
  <si>
    <t>0751-500561</t>
  </si>
  <si>
    <t>BS218/24</t>
  </si>
  <si>
    <t>Namugaya Rose</t>
  </si>
  <si>
    <t>0752-921670</t>
  </si>
  <si>
    <t>BS219/24</t>
  </si>
  <si>
    <t>Zimba Safiat</t>
  </si>
  <si>
    <t>0759-703947</t>
  </si>
  <si>
    <t>BS220/24</t>
  </si>
  <si>
    <t>Ngona Justine</t>
  </si>
  <si>
    <t>0752-204802</t>
  </si>
  <si>
    <t>BS221/24</t>
  </si>
  <si>
    <t>Nalugonda Amina</t>
  </si>
  <si>
    <t>BS222/24</t>
  </si>
  <si>
    <t>Namuganza Christine</t>
  </si>
  <si>
    <t>0756-548501</t>
  </si>
  <si>
    <t>BS223/24</t>
  </si>
  <si>
    <t>Namulinda Saida</t>
  </si>
  <si>
    <t>0759-064454</t>
  </si>
  <si>
    <t>20 – 30 (08)</t>
  </si>
  <si>
    <t>41– 50 (09)</t>
  </si>
  <si>
    <t xml:space="preserve"> Date; 21/5/2024</t>
  </si>
  <si>
    <t>Place: Iyingo P/S 2024</t>
  </si>
  <si>
    <t>Referal</t>
  </si>
  <si>
    <t>BS174/24</t>
  </si>
  <si>
    <t xml:space="preserve">Namukose Carolyn </t>
  </si>
  <si>
    <t>0755-785175</t>
  </si>
  <si>
    <t>BS175/24</t>
  </si>
  <si>
    <t>Mbwali Scovia</t>
  </si>
  <si>
    <t xml:space="preserve">Nsoba </t>
  </si>
  <si>
    <t>0750-841639</t>
  </si>
  <si>
    <t>BS176/24</t>
  </si>
  <si>
    <t xml:space="preserve">Nankya Elizabeth </t>
  </si>
  <si>
    <t>0764-110908</t>
  </si>
  <si>
    <t>BS177/24</t>
  </si>
  <si>
    <t>Namugaya Hadijja</t>
  </si>
  <si>
    <t>0784-281442</t>
  </si>
  <si>
    <t>BS178/24</t>
  </si>
  <si>
    <t>Namuli Sepiranza</t>
  </si>
  <si>
    <t>0762-292863</t>
  </si>
  <si>
    <t>BS179/24</t>
  </si>
  <si>
    <t>Nabirye Betty</t>
  </si>
  <si>
    <t>0779-092553</t>
  </si>
  <si>
    <t>BS180/24</t>
  </si>
  <si>
    <t>Kolosi Nayibira</t>
  </si>
  <si>
    <t>0765-546864</t>
  </si>
  <si>
    <t>BS181/24</t>
  </si>
  <si>
    <t>Bakhita Sarah</t>
  </si>
  <si>
    <t>0783-461589</t>
  </si>
  <si>
    <t>BS182/24</t>
  </si>
  <si>
    <t>Namuwaya Jane</t>
  </si>
  <si>
    <t>Busalwa</t>
  </si>
  <si>
    <t>Kidera</t>
  </si>
  <si>
    <t>BS183/24</t>
  </si>
  <si>
    <t xml:space="preserve">Nangobi Rachel </t>
  </si>
  <si>
    <t>BS184/24</t>
  </si>
  <si>
    <t>Namusoko Harriet</t>
  </si>
  <si>
    <t>0776 959085</t>
  </si>
  <si>
    <t xml:space="preserve">Mukene </t>
  </si>
  <si>
    <t>BS185/24</t>
  </si>
  <si>
    <t>Nankya Sylvia</t>
  </si>
  <si>
    <t>0763 238915</t>
  </si>
  <si>
    <t>BS186/24</t>
  </si>
  <si>
    <t>Kasili Nazerana</t>
  </si>
  <si>
    <t xml:space="preserve">Bulogoli </t>
  </si>
  <si>
    <t>20 – 30 (04)</t>
  </si>
  <si>
    <t>BS171/24</t>
  </si>
  <si>
    <t xml:space="preserve">Naikoba Florence </t>
  </si>
  <si>
    <t>BS172/24</t>
  </si>
  <si>
    <t>Mutukula</t>
  </si>
  <si>
    <t>BS173/24</t>
  </si>
  <si>
    <t>Kinaawa Milly</t>
  </si>
  <si>
    <t xml:space="preserve">Buyende </t>
  </si>
  <si>
    <t>0779 024313</t>
  </si>
  <si>
    <t>Nali Mwajuma</t>
  </si>
  <si>
    <t>Nangobi Monica</t>
  </si>
  <si>
    <t>Babirye Tofu</t>
  </si>
  <si>
    <t>Mpunde</t>
  </si>
  <si>
    <t>0702-792780</t>
  </si>
  <si>
    <t xml:space="preserve">July </t>
  </si>
  <si>
    <t>B219/24</t>
  </si>
  <si>
    <t>Kirabo Zaina</t>
  </si>
  <si>
    <t>0760-131923</t>
  </si>
  <si>
    <t>B220/24</t>
  </si>
  <si>
    <t>Naikoba Kotilda</t>
  </si>
  <si>
    <t>Itanyi</t>
  </si>
  <si>
    <t>B221/24</t>
  </si>
  <si>
    <t>Nambi Edisa</t>
  </si>
  <si>
    <t>Bukwaya</t>
  </si>
  <si>
    <t>B222/24</t>
  </si>
  <si>
    <t xml:space="preserve">Namwase Florence </t>
  </si>
  <si>
    <t xml:space="preserve">Nkondo </t>
  </si>
  <si>
    <t>0779-812083</t>
  </si>
  <si>
    <t xml:space="preserve">August </t>
  </si>
  <si>
    <t>BS252/24</t>
  </si>
  <si>
    <t>Birungi Spioza</t>
  </si>
  <si>
    <t xml:space="preserve">Namusita </t>
  </si>
  <si>
    <t>0750-900540</t>
  </si>
  <si>
    <t>BS253/24</t>
  </si>
  <si>
    <t>Namboila Kevina</t>
  </si>
  <si>
    <t>Buyumba</t>
  </si>
  <si>
    <t>0782-888673</t>
  </si>
  <si>
    <t>Scan</t>
  </si>
  <si>
    <t xml:space="preserve">20 – 30(1) </t>
  </si>
  <si>
    <t>31– 40 (01)</t>
  </si>
  <si>
    <t>27/8/2024</t>
  </si>
  <si>
    <t>BS254/24</t>
  </si>
  <si>
    <t>Namulondo Joyce</t>
  </si>
  <si>
    <t>Nanvunaano</t>
  </si>
  <si>
    <t>0779-670943</t>
  </si>
  <si>
    <t>BS255/24</t>
  </si>
  <si>
    <t>Kagobe Angella</t>
  </si>
  <si>
    <t>0754-463690</t>
  </si>
  <si>
    <t>BS256/24</t>
  </si>
  <si>
    <t>Mudondo Cissy</t>
  </si>
  <si>
    <t>Kikubi</t>
  </si>
  <si>
    <t>0754-848492</t>
  </si>
  <si>
    <t>BS257/24</t>
  </si>
  <si>
    <t>0783-260224</t>
  </si>
  <si>
    <t xml:space="preserve">Munyore </t>
  </si>
  <si>
    <t>BS258/24</t>
  </si>
  <si>
    <t>Nabirye Nusula</t>
  </si>
  <si>
    <t>0783-693252</t>
  </si>
  <si>
    <t>BS259/24</t>
  </si>
  <si>
    <t>Namulinda Joyce</t>
  </si>
  <si>
    <t>0789-075327</t>
  </si>
  <si>
    <t>BS260/24</t>
  </si>
  <si>
    <t>Nakirijja Shadia</t>
  </si>
  <si>
    <t>0745-888686</t>
  </si>
  <si>
    <t>BS261/24</t>
  </si>
  <si>
    <t>Nanyonga Susan</t>
  </si>
  <si>
    <t>0786-012391</t>
  </si>
  <si>
    <t>BS262/24</t>
  </si>
  <si>
    <t>Kwagala Betty</t>
  </si>
  <si>
    <t>Imeri</t>
  </si>
  <si>
    <t>0776-202244</t>
  </si>
  <si>
    <t>G/RV</t>
  </si>
  <si>
    <t>BS263/24</t>
  </si>
  <si>
    <t>Namulondo Sarah</t>
  </si>
  <si>
    <t>0775-844803</t>
  </si>
  <si>
    <t>BS264/24</t>
  </si>
  <si>
    <t>Namuginga Irene</t>
  </si>
  <si>
    <t>0750-508713</t>
  </si>
  <si>
    <t>BS265/24</t>
  </si>
  <si>
    <t>Naigaga Esther</t>
  </si>
  <si>
    <t>0787-123389</t>
  </si>
  <si>
    <t>BS266/24</t>
  </si>
  <si>
    <t>Babirye Viola</t>
  </si>
  <si>
    <t>0744-590490</t>
  </si>
  <si>
    <t>Mukenge</t>
  </si>
  <si>
    <t>BS267/24</t>
  </si>
  <si>
    <t>Nakato Awunike</t>
  </si>
  <si>
    <t>BS268/24</t>
  </si>
  <si>
    <t>Badaaza Scovia</t>
  </si>
  <si>
    <t>BS269/24</t>
  </si>
  <si>
    <t>Naibira Annet</t>
  </si>
  <si>
    <t>0788-182789</t>
  </si>
  <si>
    <t>BS270/24</t>
  </si>
  <si>
    <t>0776-757679</t>
  </si>
  <si>
    <t>BS271/24</t>
  </si>
  <si>
    <t>Namboira Rose</t>
  </si>
  <si>
    <t>0772-401565</t>
  </si>
  <si>
    <t>BS272/24</t>
  </si>
  <si>
    <t>Yatuwa Edinansi</t>
  </si>
  <si>
    <t>0783-826971</t>
  </si>
  <si>
    <t>BS273/24</t>
  </si>
  <si>
    <t>Kasubo Kamuyat</t>
  </si>
  <si>
    <t>BS274/24</t>
  </si>
  <si>
    <t>Banangaki Meria</t>
  </si>
  <si>
    <t>BS275/24</t>
  </si>
  <si>
    <t>Kagoya Loy</t>
  </si>
  <si>
    <t>0758-508965</t>
  </si>
  <si>
    <t>BS276/24</t>
  </si>
  <si>
    <t>Namabiro Betty</t>
  </si>
  <si>
    <t>BS277/24</t>
  </si>
  <si>
    <t>Kiyai Lydia</t>
  </si>
  <si>
    <t>0788-513260</t>
  </si>
  <si>
    <t>BS278/24</t>
  </si>
  <si>
    <t>Naperinza Immaculate</t>
  </si>
  <si>
    <t xml:space="preserve">Munyankole </t>
  </si>
  <si>
    <t>BS279/24</t>
  </si>
  <si>
    <t>Kagoya Aula</t>
  </si>
  <si>
    <t>0780-717528</t>
  </si>
  <si>
    <t>BS280/24</t>
  </si>
  <si>
    <t>Nalweyiso Elizabeth</t>
  </si>
  <si>
    <t>0780-720023</t>
  </si>
  <si>
    <t>BS281/24</t>
  </si>
  <si>
    <t>Lovisa Alice</t>
  </si>
  <si>
    <t>0772-030625</t>
  </si>
  <si>
    <t>BS282/24</t>
  </si>
  <si>
    <t>Namukose Monica</t>
  </si>
  <si>
    <t>BS283/24</t>
  </si>
  <si>
    <t>BS284/24</t>
  </si>
  <si>
    <t>Namugerwa Mary</t>
  </si>
  <si>
    <t>0785-913236</t>
  </si>
  <si>
    <t>BS285/24</t>
  </si>
  <si>
    <t>Biwooye Florence</t>
  </si>
  <si>
    <t>0778-745051</t>
  </si>
  <si>
    <t>BS286/24</t>
  </si>
  <si>
    <t>Kansiime Janet</t>
  </si>
  <si>
    <t>0770-862247</t>
  </si>
  <si>
    <t>BS287/24</t>
  </si>
  <si>
    <t>Kasubo Harriet</t>
  </si>
  <si>
    <t>0772-916467</t>
  </si>
  <si>
    <t>BS288/24</t>
  </si>
  <si>
    <t>Nabirye Oliva</t>
  </si>
  <si>
    <t xml:space="preserve">20 – 30(12) </t>
  </si>
  <si>
    <t>31– 40 (04)</t>
  </si>
  <si>
    <t>51– 60 (06)</t>
  </si>
  <si>
    <t>29/8/2024</t>
  </si>
  <si>
    <t>BS289/24</t>
  </si>
  <si>
    <t>0700-495304</t>
  </si>
  <si>
    <t xml:space="preserve">Kyabirwa </t>
  </si>
  <si>
    <t>BS290/24</t>
  </si>
  <si>
    <t>Kako Esther</t>
  </si>
  <si>
    <t>BS291/24</t>
  </si>
  <si>
    <t>Bitali Fatuma</t>
  </si>
  <si>
    <t>0705-375837</t>
  </si>
  <si>
    <t>BS292/24</t>
  </si>
  <si>
    <t xml:space="preserve">Lubuga Erivaida </t>
  </si>
  <si>
    <t>BS293/25</t>
  </si>
  <si>
    <t>Namusisi Perusi</t>
  </si>
  <si>
    <t>0757-682850</t>
  </si>
  <si>
    <t>BS294/24</t>
  </si>
  <si>
    <t>Kikwida Jamawa</t>
  </si>
  <si>
    <t>BS295/24</t>
  </si>
  <si>
    <t>Bogere Janet</t>
  </si>
  <si>
    <t>BS296/24</t>
  </si>
  <si>
    <t xml:space="preserve">Nangobi Catherine </t>
  </si>
  <si>
    <t>BS297/24</t>
  </si>
  <si>
    <t>Namukobe Rose</t>
  </si>
  <si>
    <t xml:space="preserve">Buwate </t>
  </si>
  <si>
    <t>0751-679992</t>
  </si>
  <si>
    <t>BS298/24</t>
  </si>
  <si>
    <t>Bamuwereyire Joy</t>
  </si>
  <si>
    <t>0758-217444</t>
  </si>
  <si>
    <t>BS299/24</t>
  </si>
  <si>
    <t xml:space="preserve">Wagabaza Elizabeth </t>
  </si>
  <si>
    <t>0773-560069</t>
  </si>
  <si>
    <t>BS300/24</t>
  </si>
  <si>
    <t>Namwebya Merab</t>
  </si>
  <si>
    <t>BS301/24</t>
  </si>
  <si>
    <t xml:space="preserve">Byogero Margaret </t>
  </si>
  <si>
    <t>Bukosia</t>
  </si>
  <si>
    <t>BS302/24</t>
  </si>
  <si>
    <t>Nakalanzi Justine</t>
  </si>
  <si>
    <t>0751-753918</t>
  </si>
  <si>
    <t>BS303/24</t>
  </si>
  <si>
    <t xml:space="preserve">Nabirye Jennifer </t>
  </si>
  <si>
    <t>BS304/24</t>
  </si>
  <si>
    <t>Babigumira Jesca</t>
  </si>
  <si>
    <t>BS305/25</t>
  </si>
  <si>
    <t>Nambogwe Asa</t>
  </si>
  <si>
    <t>BS306/24</t>
  </si>
  <si>
    <t>Nakayima Ruth</t>
  </si>
  <si>
    <t>0706-413027</t>
  </si>
  <si>
    <t>BS307/24</t>
  </si>
  <si>
    <t>Namwase Scholastica</t>
  </si>
  <si>
    <t>BS308/24</t>
  </si>
  <si>
    <t>Isandha Maliza</t>
  </si>
  <si>
    <t>BS309/24</t>
  </si>
  <si>
    <t>Wabawuwe Jane</t>
  </si>
  <si>
    <t>0753-421952</t>
  </si>
  <si>
    <t>BS310/24</t>
  </si>
  <si>
    <t>Kyazike Jane</t>
  </si>
  <si>
    <t>BS311/24</t>
  </si>
  <si>
    <t>Nangobi Mariam</t>
  </si>
  <si>
    <t>0751-963945</t>
  </si>
  <si>
    <t>BS312/24</t>
  </si>
  <si>
    <t>BS313/24</t>
  </si>
  <si>
    <t>Musoga Eseza</t>
  </si>
  <si>
    <t>0754-225366</t>
  </si>
  <si>
    <t>BS314/24</t>
  </si>
  <si>
    <t xml:space="preserve">Nangobi Sylvia </t>
  </si>
  <si>
    <t>0758-822323</t>
  </si>
  <si>
    <t>BS315/24</t>
  </si>
  <si>
    <t>Nabirye Rose</t>
  </si>
  <si>
    <t>0751-058267</t>
  </si>
  <si>
    <t>BS316/24</t>
  </si>
  <si>
    <t>Kwikiriza Mariam</t>
  </si>
  <si>
    <t>BS317/24</t>
  </si>
  <si>
    <t>Nambi Milly</t>
  </si>
  <si>
    <t xml:space="preserve">Budhumbula </t>
  </si>
  <si>
    <t>0706-624329</t>
  </si>
  <si>
    <t>BS318/24</t>
  </si>
  <si>
    <t>Namugaya Cissy</t>
  </si>
  <si>
    <t>0701-211368</t>
  </si>
  <si>
    <t>BS319/24</t>
  </si>
  <si>
    <t>0704-595693</t>
  </si>
  <si>
    <t>BS320/24</t>
  </si>
  <si>
    <t>BS321/24</t>
  </si>
  <si>
    <t>Nandego Dorcas</t>
  </si>
  <si>
    <t>BS322/24</t>
  </si>
  <si>
    <t>Babirye Jane</t>
  </si>
  <si>
    <t>0700-160941</t>
  </si>
  <si>
    <t>BS323/24</t>
  </si>
  <si>
    <t>0754-595693</t>
  </si>
  <si>
    <t xml:space="preserve">Gynecologist </t>
  </si>
  <si>
    <t>BS324/24</t>
  </si>
  <si>
    <t>Nabirye Besi</t>
  </si>
  <si>
    <t>Irwaniro</t>
  </si>
  <si>
    <t>0702-248337</t>
  </si>
  <si>
    <t>BS325/24</t>
  </si>
  <si>
    <t>Nabirye Justine</t>
  </si>
  <si>
    <t xml:space="preserve">Lwanyama </t>
  </si>
  <si>
    <t>19/4/2024</t>
  </si>
  <si>
    <t>BS326/24</t>
  </si>
  <si>
    <t>Namagwe Miriam</t>
  </si>
  <si>
    <t xml:space="preserve">Kamuli </t>
  </si>
  <si>
    <t>BS327/24</t>
  </si>
  <si>
    <t>Nambi Farida</t>
  </si>
  <si>
    <t>BS328/24</t>
  </si>
  <si>
    <t>Namulondo Ruth</t>
  </si>
  <si>
    <t>0752-190364</t>
  </si>
  <si>
    <t>BS329/24</t>
  </si>
  <si>
    <t>Namulondo Rose</t>
  </si>
  <si>
    <t>BS330/24</t>
  </si>
  <si>
    <t>Nakayima Edisa</t>
  </si>
  <si>
    <t>BS331/24</t>
  </si>
  <si>
    <t>Namusobya Oliver</t>
  </si>
  <si>
    <t xml:space="preserve">Namuningi </t>
  </si>
  <si>
    <t>0705-319155</t>
  </si>
  <si>
    <t xml:space="preserve">20 – 30(04) </t>
  </si>
  <si>
    <t>31– 40 (07)</t>
  </si>
  <si>
    <t>51– 60 (10)</t>
  </si>
  <si>
    <t>&gt;61 (10)</t>
  </si>
  <si>
    <t>18/6/2024</t>
  </si>
  <si>
    <t>Balikagirabata Prossy</t>
  </si>
  <si>
    <t>Lukutaimye</t>
  </si>
  <si>
    <t>0773-839220</t>
  </si>
  <si>
    <t>Nabukenya Fazirah</t>
  </si>
  <si>
    <t>0775-452564</t>
  </si>
  <si>
    <t>Nanyombi Cissy</t>
  </si>
  <si>
    <t>Ndwedwe</t>
  </si>
  <si>
    <t>0788-042732</t>
  </si>
  <si>
    <t>Nakiwate Cissy</t>
  </si>
  <si>
    <t>Kalanga</t>
  </si>
  <si>
    <t>Namugaya Janet</t>
  </si>
  <si>
    <t>0779-671652</t>
  </si>
  <si>
    <t xml:space="preserve">Namukaya Florence </t>
  </si>
  <si>
    <t xml:space="preserve">Kiwaba </t>
  </si>
  <si>
    <t>Tabizanga Annet</t>
  </si>
  <si>
    <t>Kiwaba</t>
  </si>
  <si>
    <t>0777-203927</t>
  </si>
  <si>
    <t>Nakaibale Agnes</t>
  </si>
  <si>
    <t>0761-541466</t>
  </si>
  <si>
    <t>Naiboka Hanifa</t>
  </si>
  <si>
    <t>Namatovu Esther</t>
  </si>
  <si>
    <t>Nakisuyi Faith</t>
  </si>
  <si>
    <t xml:space="preserve">Namulanda </t>
  </si>
  <si>
    <t xml:space="preserve">Mukyala Deborah </t>
  </si>
  <si>
    <t>0759-749868</t>
  </si>
  <si>
    <t>Tibiwa Rose</t>
  </si>
  <si>
    <t xml:space="preserve">Kyangundu </t>
  </si>
  <si>
    <t>0775-344739</t>
  </si>
  <si>
    <t>BS232/24</t>
  </si>
  <si>
    <t>Nakisuyi Mary</t>
  </si>
  <si>
    <t>Kirangira</t>
  </si>
  <si>
    <t>BS233/24</t>
  </si>
  <si>
    <t>Nakimbugwe Ziada</t>
  </si>
  <si>
    <t>BS234/24</t>
  </si>
  <si>
    <t xml:space="preserve">Naigaga Margaret </t>
  </si>
  <si>
    <t>Nalima</t>
  </si>
  <si>
    <t>0788-831782</t>
  </si>
  <si>
    <t>BS235/24</t>
  </si>
  <si>
    <t xml:space="preserve">Lyebu Jennifer </t>
  </si>
  <si>
    <t>Nanvunano</t>
  </si>
  <si>
    <t>BS236/24</t>
  </si>
  <si>
    <t xml:space="preserve">Namulondo Evelyn </t>
  </si>
  <si>
    <t xml:space="preserve">Kirimira </t>
  </si>
  <si>
    <t>BS237/24</t>
  </si>
  <si>
    <t>Namuyomba Harriet</t>
  </si>
  <si>
    <t>BS238/24</t>
  </si>
  <si>
    <t xml:space="preserve">Nakawooma Jackline </t>
  </si>
  <si>
    <t xml:space="preserve">Ndwedwe </t>
  </si>
  <si>
    <t>BS239/24</t>
  </si>
  <si>
    <t xml:space="preserve">Busige </t>
  </si>
  <si>
    <t>BS240/24</t>
  </si>
  <si>
    <t>Naigaga Resty</t>
  </si>
  <si>
    <t xml:space="preserve">Ndalike </t>
  </si>
  <si>
    <t>BS241/24</t>
  </si>
  <si>
    <t>Nakigwajjo Diana</t>
  </si>
  <si>
    <t>Nsekaseka</t>
  </si>
  <si>
    <t>0751-831256</t>
  </si>
  <si>
    <t>BS242/24</t>
  </si>
  <si>
    <t>Mugweri Edisa</t>
  </si>
  <si>
    <t>BS243/24</t>
  </si>
  <si>
    <t>Timujibwa</t>
  </si>
  <si>
    <t>0776-239333</t>
  </si>
  <si>
    <t>BS244/24</t>
  </si>
  <si>
    <t>Nakitende Mary</t>
  </si>
  <si>
    <t>Namulanda</t>
  </si>
  <si>
    <t>BS245/24</t>
  </si>
  <si>
    <t>Nangobi Brenda</t>
  </si>
  <si>
    <t>Ndulya</t>
  </si>
  <si>
    <t>BS246/24</t>
  </si>
  <si>
    <t>Gumikiriza Loy</t>
  </si>
  <si>
    <t>0771-022447</t>
  </si>
  <si>
    <t>BS247/24</t>
  </si>
  <si>
    <t>Nabutono Amina</t>
  </si>
  <si>
    <t>0775-605447</t>
  </si>
  <si>
    <t>BS248/24</t>
  </si>
  <si>
    <t xml:space="preserve">Kambedha Sylvia </t>
  </si>
  <si>
    <t>0788-168853</t>
  </si>
  <si>
    <t>BS249/24</t>
  </si>
  <si>
    <t>Namusitwe Scovia</t>
  </si>
  <si>
    <t xml:space="preserve">Nanvunano </t>
  </si>
  <si>
    <t>0782-417441</t>
  </si>
  <si>
    <t>BS250/24</t>
  </si>
  <si>
    <t>Akola Scovia</t>
  </si>
  <si>
    <t>BS251/24</t>
  </si>
  <si>
    <t>Kwiza Teddy</t>
  </si>
  <si>
    <t>0764-634867</t>
  </si>
  <si>
    <t xml:space="preserve"> Date: 16/05/2024</t>
  </si>
  <si>
    <t>Place: BUSAANA HCIII</t>
  </si>
  <si>
    <t>Akoth Vicky</t>
  </si>
  <si>
    <t>Luseke</t>
  </si>
  <si>
    <t>16/05/2027</t>
  </si>
  <si>
    <t>Babirye Rith</t>
  </si>
  <si>
    <t>Kasana</t>
  </si>
  <si>
    <t>3mnth after delivery</t>
  </si>
  <si>
    <t>Abbo Jesephine</t>
  </si>
  <si>
    <t>0756 561489</t>
  </si>
  <si>
    <t>Sagule Joan</t>
  </si>
  <si>
    <t>Namatogonya</t>
  </si>
  <si>
    <t>0745 972077</t>
  </si>
  <si>
    <t xml:space="preserve">       Mukuku</t>
  </si>
  <si>
    <t>Nyakecho Florence</t>
  </si>
  <si>
    <t>Magolo</t>
  </si>
  <si>
    <t>0709 920772</t>
  </si>
  <si>
    <t>Namwirya Safina</t>
  </si>
  <si>
    <t>Busaana</t>
  </si>
  <si>
    <t>0708 579625</t>
  </si>
  <si>
    <t>Munyori</t>
  </si>
  <si>
    <t>27/06/2024</t>
  </si>
  <si>
    <t>Yesita Anna</t>
  </si>
  <si>
    <t>Kayonjo</t>
  </si>
  <si>
    <t>0703 59069</t>
  </si>
  <si>
    <t>Bagume Birabwa</t>
  </si>
  <si>
    <t>Bugadu</t>
  </si>
  <si>
    <t>S519/24</t>
  </si>
  <si>
    <t>Akoth Grace</t>
  </si>
  <si>
    <t>1/012/2020</t>
  </si>
  <si>
    <t>S520/24</t>
  </si>
  <si>
    <t>Nabukeere Nastanziya</t>
  </si>
  <si>
    <t>S521/24</t>
  </si>
  <si>
    <t>Beyirukira Sylvia</t>
  </si>
  <si>
    <t>Kuffu</t>
  </si>
  <si>
    <t>S522/24</t>
  </si>
  <si>
    <t>Ondoru Janet</t>
  </si>
  <si>
    <t>Mulungwara</t>
  </si>
  <si>
    <t>S523/24</t>
  </si>
  <si>
    <t>Mpulu Joyce</t>
  </si>
  <si>
    <t>Kawuku Busaana</t>
  </si>
  <si>
    <t>0758 070275</t>
  </si>
  <si>
    <t>S524/24</t>
  </si>
  <si>
    <t>Nabaweesi Mariam</t>
  </si>
  <si>
    <t>0750 285520</t>
  </si>
  <si>
    <t>S525/24</t>
  </si>
  <si>
    <t>Namatovu Hajara</t>
  </si>
  <si>
    <t xml:space="preserve">Buyuki </t>
  </si>
  <si>
    <t>0708 130116</t>
  </si>
  <si>
    <t>S526/24</t>
  </si>
  <si>
    <t>Auma Margret</t>
  </si>
  <si>
    <t>S527/24</t>
  </si>
  <si>
    <t>Aremi Christine</t>
  </si>
  <si>
    <t>Bukungulu</t>
  </si>
  <si>
    <t>0778 875777</t>
  </si>
  <si>
    <t>S528/24</t>
  </si>
  <si>
    <t>Ndibogezza Annet</t>
  </si>
  <si>
    <t>0700 213544</t>
  </si>
  <si>
    <t>S529/24</t>
  </si>
  <si>
    <t>Nalukuma Faridah</t>
  </si>
  <si>
    <t>0708 567879</t>
  </si>
  <si>
    <t>S530/24</t>
  </si>
  <si>
    <t>Nalwoga Viola</t>
  </si>
  <si>
    <t>0759 761667</t>
  </si>
  <si>
    <t>S531/24</t>
  </si>
  <si>
    <t>Nalubega Aisha</t>
  </si>
  <si>
    <t>Cervical Prolapse</t>
  </si>
  <si>
    <t>S532/24</t>
  </si>
  <si>
    <t>Nyamwenge Rose</t>
  </si>
  <si>
    <t>S533/24</t>
  </si>
  <si>
    <t>Nabukenya Betty</t>
  </si>
  <si>
    <t>Kiwangula</t>
  </si>
  <si>
    <t>0779 699869</t>
  </si>
  <si>
    <t>S534/24</t>
  </si>
  <si>
    <t>Naikula Norah</t>
  </si>
  <si>
    <t>S535/24</t>
  </si>
  <si>
    <t>Nambaya Sherina</t>
  </si>
  <si>
    <t>0706 947830</t>
  </si>
  <si>
    <t>S536/24</t>
  </si>
  <si>
    <t>Nabisenke Shakira</t>
  </si>
  <si>
    <t>0754 194650</t>
  </si>
  <si>
    <t>S537/24</t>
  </si>
  <si>
    <t>Athieno Josephine</t>
  </si>
  <si>
    <t>Namirebe</t>
  </si>
  <si>
    <t>0702 456222</t>
  </si>
  <si>
    <t>S538/24</t>
  </si>
  <si>
    <t>Kiden Rose</t>
  </si>
  <si>
    <t>0751 848215</t>
  </si>
  <si>
    <t>S539/24</t>
  </si>
  <si>
    <t>Poni Deborah</t>
  </si>
  <si>
    <t>Mpapologoma</t>
  </si>
  <si>
    <t>S540/24</t>
  </si>
  <si>
    <t>Mudondo Elizabeth</t>
  </si>
  <si>
    <t>0756 793565</t>
  </si>
  <si>
    <t>S541/24</t>
  </si>
  <si>
    <t>Nangobi Salama</t>
  </si>
  <si>
    <t>Najuki</t>
  </si>
  <si>
    <t>S542/24</t>
  </si>
  <si>
    <t>Yangi Mary</t>
  </si>
  <si>
    <t>S543/24</t>
  </si>
  <si>
    <t>Matulu Jesca</t>
  </si>
  <si>
    <t>0754 120181</t>
  </si>
  <si>
    <t>S544/24</t>
  </si>
  <si>
    <t>Nakizza Angel</t>
  </si>
  <si>
    <t>0745 827676</t>
  </si>
  <si>
    <t>S545/24</t>
  </si>
  <si>
    <t>Nyamwanga Anamaria</t>
  </si>
  <si>
    <t>0753 647195</t>
  </si>
  <si>
    <t>S546/24</t>
  </si>
  <si>
    <t>Kyaliki Scovia</t>
  </si>
  <si>
    <t>Bisaka</t>
  </si>
  <si>
    <t>0779 42673</t>
  </si>
  <si>
    <t>S547/24</t>
  </si>
  <si>
    <t>Nalubega Christine</t>
  </si>
  <si>
    <t>Nekowedde</t>
  </si>
  <si>
    <t>0752 463779</t>
  </si>
  <si>
    <t>S548/24</t>
  </si>
  <si>
    <t>Namatovu Jamira</t>
  </si>
  <si>
    <t>0700 365978</t>
  </si>
  <si>
    <t>S549/24</t>
  </si>
  <si>
    <t>Nerima Aidah</t>
  </si>
  <si>
    <t>Watente</t>
  </si>
  <si>
    <t>S550/24</t>
  </si>
  <si>
    <t>Nalugwa Josephine</t>
  </si>
  <si>
    <t>S551/24</t>
  </si>
  <si>
    <t>Nabirye Janet</t>
  </si>
  <si>
    <t>0759 68658</t>
  </si>
  <si>
    <t>S552/24</t>
  </si>
  <si>
    <t>Poni Betty</t>
  </si>
  <si>
    <t>Kileku</t>
  </si>
  <si>
    <t>S553/24</t>
  </si>
  <si>
    <t>Nakatehele Mariam</t>
  </si>
  <si>
    <t>0756 968898</t>
  </si>
  <si>
    <t>S554/24</t>
  </si>
  <si>
    <t>Anyango Alice</t>
  </si>
  <si>
    <t>0757 870440</t>
  </si>
  <si>
    <t>S555/24</t>
  </si>
  <si>
    <t>Akeno Scola</t>
  </si>
  <si>
    <t>0787 868375</t>
  </si>
  <si>
    <t>S556/24</t>
  </si>
  <si>
    <t>Nyayuki Esther</t>
  </si>
  <si>
    <t>0751 054412</t>
  </si>
  <si>
    <t>S557/24</t>
  </si>
  <si>
    <t>Nabawanuka Fatuma</t>
  </si>
  <si>
    <t>0754 406254</t>
  </si>
  <si>
    <t>S558/24</t>
  </si>
  <si>
    <t>Ikilai Annet</t>
  </si>
  <si>
    <t>0759 274898</t>
  </si>
  <si>
    <t>S559/24</t>
  </si>
  <si>
    <t>Mado Wasi</t>
  </si>
  <si>
    <t>Congolese</t>
  </si>
  <si>
    <t>S560/24</t>
  </si>
  <si>
    <t>Ichulanga Jacinta</t>
  </si>
  <si>
    <t>S561/24</t>
  </si>
  <si>
    <t>Amale Florence</t>
  </si>
  <si>
    <t>&lt;19 (4)</t>
  </si>
  <si>
    <t>20 – 30 (14)</t>
  </si>
  <si>
    <t xml:space="preserve"> Date: 23/05/2024</t>
  </si>
  <si>
    <t>Place: Buwenge  HCIII</t>
  </si>
  <si>
    <t>JINJA DISTRICT</t>
  </si>
  <si>
    <t>S562/24</t>
  </si>
  <si>
    <t>Nabirye Malita</t>
  </si>
  <si>
    <t>0742 938060</t>
  </si>
  <si>
    <t>S563/24</t>
  </si>
  <si>
    <t>Ntono Maria</t>
  </si>
  <si>
    <t>0755 073387</t>
  </si>
  <si>
    <t>S564/24</t>
  </si>
  <si>
    <t>Ntimi Agnes</t>
  </si>
  <si>
    <t>Buwera</t>
  </si>
  <si>
    <t>S565/24</t>
  </si>
  <si>
    <t>Nabirye Sulaina</t>
  </si>
  <si>
    <t>Yuuka</t>
  </si>
  <si>
    <t>S566/24</t>
  </si>
  <si>
    <t>Nangobi Petu</t>
  </si>
  <si>
    <t>Buweela west</t>
  </si>
  <si>
    <t>0784 042529</t>
  </si>
  <si>
    <t>S567/24</t>
  </si>
  <si>
    <t>Mirembe Faith</t>
  </si>
  <si>
    <t>Kibugaile</t>
  </si>
  <si>
    <t>0706 145288</t>
  </si>
  <si>
    <t>S568/24</t>
  </si>
  <si>
    <t>Namwebya Sarah</t>
  </si>
  <si>
    <t>Buwanji</t>
  </si>
  <si>
    <t>0701 159653</t>
  </si>
  <si>
    <t>S569/24</t>
  </si>
  <si>
    <t>Namukose Top</t>
  </si>
  <si>
    <t>Museta</t>
  </si>
  <si>
    <t>S570/24</t>
  </si>
  <si>
    <t>Namulinda Aisha</t>
  </si>
  <si>
    <t>0771 562683</t>
  </si>
  <si>
    <t>S571/24</t>
  </si>
  <si>
    <t>Nangobi Fazira</t>
  </si>
  <si>
    <t>0702 761269</t>
  </si>
  <si>
    <t>S572/24</t>
  </si>
  <si>
    <t>Namuyamba Juliet</t>
  </si>
  <si>
    <t>Mutai</t>
  </si>
  <si>
    <t>0758 591919</t>
  </si>
  <si>
    <t>S573/24</t>
  </si>
  <si>
    <t>Nabirye Farida</t>
  </si>
  <si>
    <t>Wamukole Zone</t>
  </si>
  <si>
    <t>0775 158642</t>
  </si>
  <si>
    <t>S574/24</t>
  </si>
  <si>
    <t>Katumwebaze Joan</t>
  </si>
  <si>
    <t>Kibodeile</t>
  </si>
  <si>
    <t>0758 075540</t>
  </si>
  <si>
    <t>S575/24</t>
  </si>
  <si>
    <t>Babire Zaamu</t>
  </si>
  <si>
    <t>Church zone Buwenge</t>
  </si>
  <si>
    <t>0700 516759</t>
  </si>
  <si>
    <t>S576/24</t>
  </si>
  <si>
    <t>Kyaziike Betty</t>
  </si>
  <si>
    <t>S577/24</t>
  </si>
  <si>
    <t>Mwete Natasha Eva</t>
  </si>
  <si>
    <t>Muwofa Zone</t>
  </si>
  <si>
    <t>0742 921940</t>
  </si>
  <si>
    <t>S578/24</t>
  </si>
  <si>
    <t>Namugaye Harriet</t>
  </si>
  <si>
    <t>0750 619588</t>
  </si>
  <si>
    <t>S579/24</t>
  </si>
  <si>
    <t>Nabuye Susan</t>
  </si>
  <si>
    <t>Bukolobozza</t>
  </si>
  <si>
    <t>0703 117455</t>
  </si>
  <si>
    <t>S580/24</t>
  </si>
  <si>
    <t>Namulwa Fatina</t>
  </si>
  <si>
    <t>0742 741914</t>
  </si>
  <si>
    <t>S581/24</t>
  </si>
  <si>
    <t>Babirye Irene</t>
  </si>
  <si>
    <t>Jinja City</t>
  </si>
  <si>
    <t>0708 322034</t>
  </si>
  <si>
    <t>S582/24</t>
  </si>
  <si>
    <t>Namaganda Edith</t>
  </si>
  <si>
    <t>Bweyogere</t>
  </si>
  <si>
    <t>0757 236486</t>
  </si>
  <si>
    <t>S583/24</t>
  </si>
  <si>
    <t>Naigaga Agnes</t>
  </si>
  <si>
    <t>Muwanyi</t>
  </si>
  <si>
    <t>0756 010020</t>
  </si>
  <si>
    <t>S584/24</t>
  </si>
  <si>
    <t>Kasambila</t>
  </si>
  <si>
    <t>0752 054039</t>
  </si>
  <si>
    <t>S585/24</t>
  </si>
  <si>
    <t>Kyotalimye Agnes</t>
  </si>
  <si>
    <t>0705 758525</t>
  </si>
  <si>
    <t>S586/24</t>
  </si>
  <si>
    <t>Naigulu Rose</t>
  </si>
  <si>
    <t>Buwolero</t>
  </si>
  <si>
    <t>0777 539898</t>
  </si>
  <si>
    <t>S587/24</t>
  </si>
  <si>
    <t>Namugere Hazida</t>
  </si>
  <si>
    <t>Idoma</t>
  </si>
  <si>
    <t>0702 665794</t>
  </si>
  <si>
    <t>not treated</t>
  </si>
  <si>
    <t>S588/24</t>
  </si>
  <si>
    <t>Namayanja Rose</t>
  </si>
  <si>
    <t>Kimanto</t>
  </si>
  <si>
    <t>0751 422001</t>
  </si>
  <si>
    <t>S589/24</t>
  </si>
  <si>
    <t>Babiweba Betty</t>
  </si>
  <si>
    <t>Kibeto</t>
  </si>
  <si>
    <t>0755 038719</t>
  </si>
  <si>
    <t>S590/24</t>
  </si>
  <si>
    <t>Nyangoma Jenifer</t>
  </si>
  <si>
    <t>0744 671768</t>
  </si>
  <si>
    <t>Mukonjo</t>
  </si>
  <si>
    <t>S591/24</t>
  </si>
  <si>
    <t>Kakai Harriet</t>
  </si>
  <si>
    <t>Nswano</t>
  </si>
  <si>
    <t>0740 165875</t>
  </si>
  <si>
    <t>S592/24</t>
  </si>
  <si>
    <t>Kaudha Racheal</t>
  </si>
  <si>
    <t>Nakasengete</t>
  </si>
  <si>
    <t>0756 684037</t>
  </si>
  <si>
    <t>S593/24</t>
  </si>
  <si>
    <t>Mutesi Catherine</t>
  </si>
  <si>
    <t>Maweito</t>
  </si>
  <si>
    <t>0783 880403</t>
  </si>
  <si>
    <t>S594/24</t>
  </si>
  <si>
    <t>Naigaga Jennifer</t>
  </si>
  <si>
    <t>0705 303215</t>
  </si>
  <si>
    <t>S595/24</t>
  </si>
  <si>
    <t>Namuwaya Faima</t>
  </si>
  <si>
    <t>0785 154039</t>
  </si>
  <si>
    <t>S596/24</t>
  </si>
  <si>
    <t>Namukambi Susan</t>
  </si>
  <si>
    <t>0741 875320</t>
  </si>
  <si>
    <t>S597/24</t>
  </si>
  <si>
    <t>Mugala Eseza</t>
  </si>
  <si>
    <t>0700 965416</t>
  </si>
  <si>
    <t>S598/24</t>
  </si>
  <si>
    <t>Namulondo Zahara</t>
  </si>
  <si>
    <t>Nakiyuka</t>
  </si>
  <si>
    <t>0758 079343</t>
  </si>
  <si>
    <t>20 – 30 (17)</t>
  </si>
  <si>
    <t>41– 50 (7)</t>
  </si>
  <si>
    <t xml:space="preserve"> Date: 29/05/2024</t>
  </si>
  <si>
    <t>Place: Baale  HCIV</t>
  </si>
  <si>
    <t>KAYUNGA DISTRICT</t>
  </si>
  <si>
    <t>S599/24</t>
  </si>
  <si>
    <t>Nakanywanji Hadijjah</t>
  </si>
  <si>
    <t>Kabaku</t>
  </si>
  <si>
    <t>0750 237130</t>
  </si>
  <si>
    <t>Lugubar</t>
  </si>
  <si>
    <t>29/5/2027</t>
  </si>
  <si>
    <t>S600/24</t>
  </si>
  <si>
    <t>Naiga Rose</t>
  </si>
  <si>
    <t>07054 96536</t>
  </si>
  <si>
    <t>in periods</t>
  </si>
  <si>
    <t>29/5/2025</t>
  </si>
  <si>
    <t>S601/24</t>
  </si>
  <si>
    <t>Nakisukwe Deborah</t>
  </si>
  <si>
    <t>Misanga</t>
  </si>
  <si>
    <t>0782 703543</t>
  </si>
  <si>
    <t>S602/24</t>
  </si>
  <si>
    <t>Nantale Janet</t>
  </si>
  <si>
    <t>07081 38062</t>
  </si>
  <si>
    <t>Chronic cervicitis</t>
  </si>
  <si>
    <t>S603/24</t>
  </si>
  <si>
    <t>Gonza Victo</t>
  </si>
  <si>
    <t>Kasowoke</t>
  </si>
  <si>
    <t>0754 782285</t>
  </si>
  <si>
    <t>S604/24</t>
  </si>
  <si>
    <t>Kembabazi Jannie</t>
  </si>
  <si>
    <t>Kigoti</t>
  </si>
  <si>
    <t>0742 163638</t>
  </si>
  <si>
    <t>S605/24</t>
  </si>
  <si>
    <t>Namasaba Eseza</t>
  </si>
  <si>
    <t>S606/24</t>
  </si>
  <si>
    <t>Kembabazi Phiona</t>
  </si>
  <si>
    <t>Kabira</t>
  </si>
  <si>
    <t>0789 218492</t>
  </si>
  <si>
    <t>S607/24</t>
  </si>
  <si>
    <t>Nakijjoba Mayimuna</t>
  </si>
  <si>
    <t>Nakatuli</t>
  </si>
  <si>
    <t>0779 543896</t>
  </si>
  <si>
    <t>29/5//2027</t>
  </si>
  <si>
    <t>S608/24</t>
  </si>
  <si>
    <t>Mukodo</t>
  </si>
  <si>
    <t>07752 19363</t>
  </si>
  <si>
    <t>S609/24</t>
  </si>
  <si>
    <t>Nakiwala Susan</t>
  </si>
  <si>
    <t>Kasokwe</t>
  </si>
  <si>
    <t>0778 990747</t>
  </si>
  <si>
    <t>S610/24</t>
  </si>
  <si>
    <t>Namaganda Sarah</t>
  </si>
  <si>
    <t>Baala west</t>
  </si>
  <si>
    <t>0777 667008</t>
  </si>
  <si>
    <t>munyala</t>
  </si>
  <si>
    <t>S611/24</t>
  </si>
  <si>
    <t>Katalina Sumaya</t>
  </si>
  <si>
    <t>07513 96261</t>
  </si>
  <si>
    <t>S612/24</t>
  </si>
  <si>
    <t>Nakisige Fatuma</t>
  </si>
  <si>
    <t>0787 657070</t>
  </si>
  <si>
    <t>S613/24</t>
  </si>
  <si>
    <t>Namulindwa Betty</t>
  </si>
  <si>
    <t>Namirembe</t>
  </si>
  <si>
    <t>0757 902837</t>
  </si>
  <si>
    <t>S614/24</t>
  </si>
  <si>
    <t>Khaselele Besi</t>
  </si>
  <si>
    <t>0783 290731</t>
  </si>
  <si>
    <t>S615/24</t>
  </si>
  <si>
    <t>Nandawula Sarah</t>
  </si>
  <si>
    <t>07750 40638</t>
  </si>
  <si>
    <t>S616/24</t>
  </si>
  <si>
    <t>Wamala Harriet</t>
  </si>
  <si>
    <t>S617/24</t>
  </si>
  <si>
    <t>Awooli Damali</t>
  </si>
  <si>
    <t>07088 33182</t>
  </si>
  <si>
    <t>29/5/2026</t>
  </si>
  <si>
    <t>S618/24</t>
  </si>
  <si>
    <t>Mbwali Nassimu</t>
  </si>
  <si>
    <t>07032 68500</t>
  </si>
  <si>
    <t>S619/24</t>
  </si>
  <si>
    <t>Nahasule Stella</t>
  </si>
  <si>
    <t>070149 5322</t>
  </si>
  <si>
    <t>S620/24</t>
  </si>
  <si>
    <t>Nalumansi Zaituna</t>
  </si>
  <si>
    <t>Kitwe</t>
  </si>
  <si>
    <t>0757 441528</t>
  </si>
  <si>
    <t>S621/24</t>
  </si>
  <si>
    <t>Kakai Scholastica</t>
  </si>
  <si>
    <t>0787 341390</t>
  </si>
  <si>
    <t>Mukesu</t>
  </si>
  <si>
    <t>S622/24</t>
  </si>
  <si>
    <t>Nakato Sylvia</t>
  </si>
  <si>
    <t>29/05/2027</t>
  </si>
  <si>
    <t xml:space="preserve"> Date: May 2024</t>
  </si>
  <si>
    <t>Place: Hospice clinic</t>
  </si>
  <si>
    <t>KAYUNGA Jinja</t>
  </si>
  <si>
    <t>Nasali Faridah</t>
  </si>
  <si>
    <t>Busowa</t>
  </si>
  <si>
    <t>0782 437534</t>
  </si>
  <si>
    <t>S623/24</t>
  </si>
  <si>
    <t>Nabirye Fatuma</t>
  </si>
  <si>
    <t>Kigezi Zone</t>
  </si>
  <si>
    <t>0774 534044</t>
  </si>
  <si>
    <t>S624/24</t>
  </si>
  <si>
    <t>Kataike Lovisa</t>
  </si>
  <si>
    <t>Buluba Beach</t>
  </si>
  <si>
    <t>0700 548955</t>
  </si>
  <si>
    <t>Nyole</t>
  </si>
  <si>
    <t>S625/24</t>
  </si>
  <si>
    <t>Mutebi Juliet</t>
  </si>
  <si>
    <t>Maga Maga</t>
  </si>
  <si>
    <t>0779 642400</t>
  </si>
  <si>
    <t>S626/24</t>
  </si>
  <si>
    <t>Naigembe Juliet</t>
  </si>
  <si>
    <t>Busembatia</t>
  </si>
  <si>
    <t>0780 322887</t>
  </si>
  <si>
    <t>S627/24</t>
  </si>
  <si>
    <t>Wangana Susan</t>
  </si>
  <si>
    <t>0750 648337</t>
  </si>
  <si>
    <t xml:space="preserve"> Date; 4/6/2024  and 5/6/2024</t>
  </si>
  <si>
    <t>Place: Project Yesu Musiima</t>
  </si>
  <si>
    <t>S628/24</t>
  </si>
  <si>
    <t>Tibesigwa Salima</t>
  </si>
  <si>
    <t>07500 127190</t>
  </si>
  <si>
    <t>JRRH Cervical polyp</t>
  </si>
  <si>
    <t>S629/24</t>
  </si>
  <si>
    <t>Namusobya Lukia</t>
  </si>
  <si>
    <t>Musiima</t>
  </si>
  <si>
    <t>0757 084434</t>
  </si>
  <si>
    <t>S630/24</t>
  </si>
  <si>
    <t>Nangobi Salima</t>
  </si>
  <si>
    <t>0756 340549</t>
  </si>
  <si>
    <t>S631/24</t>
  </si>
  <si>
    <t>Namumaye Christine</t>
  </si>
  <si>
    <t>Kainogoga</t>
  </si>
  <si>
    <t>0753 692299</t>
  </si>
  <si>
    <t>S632/24</t>
  </si>
  <si>
    <t>Asire Christine</t>
  </si>
  <si>
    <t>0753 065173</t>
  </si>
  <si>
    <t>S633/24</t>
  </si>
  <si>
    <t>Baweeza Sirina</t>
  </si>
  <si>
    <t>0706 529979</t>
  </si>
  <si>
    <t>S634/24</t>
  </si>
  <si>
    <t>Namwase Dinah</t>
  </si>
  <si>
    <t>0759 615895</t>
  </si>
  <si>
    <t>S635/24</t>
  </si>
  <si>
    <t>Namuluta Zaijah</t>
  </si>
  <si>
    <t>0754 637271</t>
  </si>
  <si>
    <t>S636/24</t>
  </si>
  <si>
    <t>Kukiriza Shamim</t>
  </si>
  <si>
    <t>0756 403190</t>
  </si>
  <si>
    <t>S637/24</t>
  </si>
  <si>
    <t>Nakisuyi Peruth</t>
  </si>
  <si>
    <t>0754 268001</t>
  </si>
  <si>
    <t>S638/24</t>
  </si>
  <si>
    <t>Kiyayi Susan</t>
  </si>
  <si>
    <t>0779 329301</t>
  </si>
  <si>
    <t>Yellowish smelly discharge</t>
  </si>
  <si>
    <t>S639/24</t>
  </si>
  <si>
    <t>Namuhenge Esther Ruth</t>
  </si>
  <si>
    <t>0751 455186</t>
  </si>
  <si>
    <t>S640/24</t>
  </si>
  <si>
    <t>Namataka Ritah</t>
  </si>
  <si>
    <t>070 3422832</t>
  </si>
  <si>
    <t>S641/24</t>
  </si>
  <si>
    <t>Nakirya Rahma</t>
  </si>
  <si>
    <t>0758 378782</t>
  </si>
  <si>
    <t>Peperial period</t>
  </si>
  <si>
    <t>S642/24</t>
  </si>
  <si>
    <t>Nalubega Mastula</t>
  </si>
  <si>
    <t>0701 932697</t>
  </si>
  <si>
    <t>S643/24</t>
  </si>
  <si>
    <t>Ntoono Doreen</t>
  </si>
  <si>
    <t>0708 146796</t>
  </si>
  <si>
    <t>S644/24</t>
  </si>
  <si>
    <t>0758 738782</t>
  </si>
  <si>
    <t>S645/24</t>
  </si>
  <si>
    <t>Mutesi Madina</t>
  </si>
  <si>
    <t>0755 189579</t>
  </si>
  <si>
    <t>Severe infection</t>
  </si>
  <si>
    <t>S646/24</t>
  </si>
  <si>
    <t>Nankwanga Mariam</t>
  </si>
  <si>
    <t>07052 93512</t>
  </si>
  <si>
    <t>S647/24</t>
  </si>
  <si>
    <t>Kyaterekera Alice</t>
  </si>
  <si>
    <t>S648/24</t>
  </si>
  <si>
    <t>Babirye Shamina</t>
  </si>
  <si>
    <t>07065 29979</t>
  </si>
  <si>
    <t>S649/24</t>
  </si>
  <si>
    <t>Kweidhusa Winnie</t>
  </si>
  <si>
    <t>0703 917504</t>
  </si>
  <si>
    <t>S650/24</t>
  </si>
  <si>
    <t>Nabirye Sylvia</t>
  </si>
  <si>
    <t>0773 542480</t>
  </si>
  <si>
    <t>S651/24</t>
  </si>
  <si>
    <t>Akumu Jennifer</t>
  </si>
  <si>
    <t>0784 135057</t>
  </si>
  <si>
    <t>S652/24</t>
  </si>
  <si>
    <t>Namulondo Sumini</t>
  </si>
  <si>
    <t>0758 432100</t>
  </si>
  <si>
    <t>S653/24</t>
  </si>
  <si>
    <t>Isabirye Jamila</t>
  </si>
  <si>
    <t>S654/24</t>
  </si>
  <si>
    <t>Namusubo Shadia</t>
  </si>
  <si>
    <t>S655/24</t>
  </si>
  <si>
    <t>Wandera Elizabeth</t>
  </si>
  <si>
    <t>07843 76274</t>
  </si>
  <si>
    <t>S656/24</t>
  </si>
  <si>
    <t>Kyakuwaire Saida</t>
  </si>
  <si>
    <t>0750 841302</t>
  </si>
  <si>
    <t>Cervicitis</t>
  </si>
  <si>
    <t>S657/24</t>
  </si>
  <si>
    <t>Naiga Prosy</t>
  </si>
  <si>
    <t>Kalugami</t>
  </si>
  <si>
    <t>0757 149309</t>
  </si>
  <si>
    <t>S658/24</t>
  </si>
  <si>
    <t>Naziwa Sarah</t>
  </si>
  <si>
    <t>0700 630130</t>
  </si>
  <si>
    <t>S659/24</t>
  </si>
  <si>
    <t>Namugaya Sarah</t>
  </si>
  <si>
    <t>0750 866812</t>
  </si>
  <si>
    <t>S660/24</t>
  </si>
  <si>
    <t>Mirembe Loy</t>
  </si>
  <si>
    <t>0753 614435</t>
  </si>
  <si>
    <t>S661/24</t>
  </si>
  <si>
    <t>Nabwire Mariam</t>
  </si>
  <si>
    <t>0700 930708</t>
  </si>
  <si>
    <t>S662/24</t>
  </si>
  <si>
    <t>070 5606051</t>
  </si>
  <si>
    <t>S663/24</t>
  </si>
  <si>
    <t>Naigaga Saniya</t>
  </si>
  <si>
    <t>07042 26585</t>
  </si>
  <si>
    <t>S664/24</t>
  </si>
  <si>
    <t>Nanfula Getrude</t>
  </si>
  <si>
    <t>0754 650573</t>
  </si>
  <si>
    <t>S665/24</t>
  </si>
  <si>
    <t>Sidamwebyo Margret</t>
  </si>
  <si>
    <t>0754 659520</t>
  </si>
  <si>
    <t>S666/24</t>
  </si>
  <si>
    <t>Nanagwe Fahima</t>
  </si>
  <si>
    <t>07062 39103</t>
  </si>
  <si>
    <t>S667/24</t>
  </si>
  <si>
    <t>Namusoke Maimuna</t>
  </si>
  <si>
    <t>0740 486689</t>
  </si>
  <si>
    <t>S668/24</t>
  </si>
  <si>
    <t>Nangobi Dinah</t>
  </si>
  <si>
    <t>0759 676057</t>
  </si>
  <si>
    <t>S669/24</t>
  </si>
  <si>
    <t>Akello Eunice</t>
  </si>
  <si>
    <t>07035 82003</t>
  </si>
  <si>
    <t>Lango</t>
  </si>
  <si>
    <t>S670/24</t>
  </si>
  <si>
    <t>Naisikwe Jenifer</t>
  </si>
  <si>
    <t>0744 828765</t>
  </si>
  <si>
    <t>S671/24</t>
  </si>
  <si>
    <t>Namuyomba Erina</t>
  </si>
  <si>
    <t>0757 861541</t>
  </si>
  <si>
    <t>S672/24</t>
  </si>
  <si>
    <t>Nanagwe Monica</t>
  </si>
  <si>
    <t>0700 191145</t>
  </si>
  <si>
    <t>S673/24</t>
  </si>
  <si>
    <t>Mutesi Safina</t>
  </si>
  <si>
    <t>0751 875614</t>
  </si>
  <si>
    <t>S674/24</t>
  </si>
  <si>
    <t>Kalegele Joy</t>
  </si>
  <si>
    <t>0740 858344</t>
  </si>
  <si>
    <t>S675/24</t>
  </si>
  <si>
    <t>Mukanza Mackline</t>
  </si>
  <si>
    <t>0757 459779</t>
  </si>
  <si>
    <t>Lamogi</t>
  </si>
  <si>
    <t>S676/24</t>
  </si>
  <si>
    <t>Abekani Magret</t>
  </si>
  <si>
    <t>Karugami</t>
  </si>
  <si>
    <t>0781 472835</t>
  </si>
  <si>
    <t>Muluri</t>
  </si>
  <si>
    <t>S677/24</t>
  </si>
  <si>
    <t>Nankwanga Proscovia</t>
  </si>
  <si>
    <t>07025 19036</t>
  </si>
  <si>
    <t>S678/24</t>
  </si>
  <si>
    <t>Muleterwa Hellen</t>
  </si>
  <si>
    <t>0759 353363</t>
  </si>
  <si>
    <t>S679/24</t>
  </si>
  <si>
    <t>07001 09248</t>
  </si>
  <si>
    <t>S680/24</t>
  </si>
  <si>
    <t>Mutesi Nuru</t>
  </si>
  <si>
    <t>07044 18378</t>
  </si>
  <si>
    <t>S681/24</t>
  </si>
  <si>
    <t>Namirimu Evelyn</t>
  </si>
  <si>
    <t>07025 37152</t>
  </si>
  <si>
    <t>S682/24</t>
  </si>
  <si>
    <t>Makoha Josephine</t>
  </si>
  <si>
    <t>0751 120949</t>
  </si>
  <si>
    <t>S683/24</t>
  </si>
  <si>
    <t>Namuganza Edisa</t>
  </si>
  <si>
    <t>0771 494420</t>
  </si>
  <si>
    <t>S684/24</t>
  </si>
  <si>
    <t>070 2090379</t>
  </si>
  <si>
    <t>S685/24</t>
  </si>
  <si>
    <t>Babirye Mallisa</t>
  </si>
  <si>
    <t>0751 590114</t>
  </si>
  <si>
    <t xml:space="preserve">20 – 30 (19) </t>
  </si>
  <si>
    <t>31– 40 (20)</t>
  </si>
  <si>
    <t>41– 50 (12)</t>
  </si>
  <si>
    <t>51-60 (02)</t>
  </si>
  <si>
    <t xml:space="preserve"> Date; 06/06/2024</t>
  </si>
  <si>
    <t>Place: JCTK CLINIC</t>
  </si>
  <si>
    <t>S686/24</t>
  </si>
  <si>
    <t>Bakyekose Christine</t>
  </si>
  <si>
    <t>0751 115348</t>
  </si>
  <si>
    <t>Not done (pregnant)</t>
  </si>
  <si>
    <t>S687/24</t>
  </si>
  <si>
    <t>Nangobi Edith</t>
  </si>
  <si>
    <t>0705 733618</t>
  </si>
  <si>
    <t>S688/24</t>
  </si>
  <si>
    <t>Banwagal Alice</t>
  </si>
  <si>
    <t>Nsuube</t>
  </si>
  <si>
    <t>0782 950228</t>
  </si>
  <si>
    <t>Mild blood observed</t>
  </si>
  <si>
    <t>S689/24</t>
  </si>
  <si>
    <t>Shadia Babirye</t>
  </si>
  <si>
    <t>0754 384892</t>
  </si>
  <si>
    <t>S690/24</t>
  </si>
  <si>
    <t>Namuduba Peace</t>
  </si>
  <si>
    <t>0703 330006</t>
  </si>
  <si>
    <t>Virgin</t>
  </si>
  <si>
    <t>S691/24</t>
  </si>
  <si>
    <t>Kateme Faridah</t>
  </si>
  <si>
    <t>0752 773183</t>
  </si>
  <si>
    <t>Inflammed Cervix</t>
  </si>
  <si>
    <t>S692/24</t>
  </si>
  <si>
    <t>Namwase Zalikah</t>
  </si>
  <si>
    <t>0753 085976/0772456068</t>
  </si>
  <si>
    <t>Highly Vascularised</t>
  </si>
  <si>
    <t>S693/24</t>
  </si>
  <si>
    <t>Nalongo Betty Nanziri</t>
  </si>
  <si>
    <t>0782 809212</t>
  </si>
  <si>
    <t>S694/24</t>
  </si>
  <si>
    <t>Kategge Getrude</t>
  </si>
  <si>
    <t>0757 864709</t>
  </si>
  <si>
    <t>S695/24</t>
  </si>
  <si>
    <t>Zipporah Christine Hasabya</t>
  </si>
  <si>
    <t>Wakitaka - Mawuta Zone</t>
  </si>
  <si>
    <t>0776 480404/0752480404</t>
  </si>
  <si>
    <t>Cervical poyp</t>
  </si>
  <si>
    <t>S696/24</t>
  </si>
  <si>
    <t>Lukonge Fatuma</t>
  </si>
  <si>
    <t>0754 935008</t>
  </si>
  <si>
    <t>S697/24</t>
  </si>
  <si>
    <t>Namulondo Alice</t>
  </si>
  <si>
    <t>0774 654104</t>
  </si>
  <si>
    <t>S698/24</t>
  </si>
  <si>
    <t>Muzira Doreen</t>
  </si>
  <si>
    <t>0704 028831</t>
  </si>
  <si>
    <t>S</t>
  </si>
  <si>
    <t>S699/24</t>
  </si>
  <si>
    <t>Kawala Taibah</t>
  </si>
  <si>
    <t>07054 31661</t>
  </si>
  <si>
    <t>S700/24</t>
  </si>
  <si>
    <t>Namwase Ruth</t>
  </si>
  <si>
    <t>0757 650979</t>
  </si>
  <si>
    <t>S701/24</t>
  </si>
  <si>
    <t>Nawangwe Juliet</t>
  </si>
  <si>
    <t xml:space="preserve">07052 69528 </t>
  </si>
  <si>
    <t>S702/24</t>
  </si>
  <si>
    <t>Baaka Hajira</t>
  </si>
  <si>
    <t>07055 05075</t>
  </si>
  <si>
    <t>S703/24</t>
  </si>
  <si>
    <t>Nabirye Rebecca</t>
  </si>
  <si>
    <t>0752 193958</t>
  </si>
  <si>
    <t>S704/24</t>
  </si>
  <si>
    <t>Namakula Justine</t>
  </si>
  <si>
    <t>0759 596045</t>
  </si>
  <si>
    <t>S705/24</t>
  </si>
  <si>
    <t>Namukose Irene</t>
  </si>
  <si>
    <t>0704 621505</t>
  </si>
  <si>
    <t>S706/24</t>
  </si>
  <si>
    <t>Mugala Florence</t>
  </si>
  <si>
    <t>wakitaka</t>
  </si>
  <si>
    <t>0759 728184</t>
  </si>
  <si>
    <t>S707/24</t>
  </si>
  <si>
    <t>Namukose Damali</t>
  </si>
  <si>
    <t>07014 74864</t>
  </si>
  <si>
    <t>S708/24</t>
  </si>
  <si>
    <t>Nalongo Sande</t>
  </si>
  <si>
    <t>0753 155096</t>
  </si>
  <si>
    <t>S709/24</t>
  </si>
  <si>
    <t>Kisakye Phiona</t>
  </si>
  <si>
    <t>Wakiataka</t>
  </si>
  <si>
    <t>S710/24</t>
  </si>
  <si>
    <t>Nakigudde Bintijuma</t>
  </si>
  <si>
    <t>0753 235159</t>
  </si>
  <si>
    <t xml:space="preserve">20 – 30 (05) </t>
  </si>
  <si>
    <t>31– 40 (06)</t>
  </si>
  <si>
    <t>41– 50 (08)</t>
  </si>
  <si>
    <t xml:space="preserve"> Date; 07/06/2024</t>
  </si>
  <si>
    <t>Place: Kyabirwa P/S</t>
  </si>
  <si>
    <t>S711/24</t>
  </si>
  <si>
    <t>Mutesi Hanifa</t>
  </si>
  <si>
    <t>Kyabirwa</t>
  </si>
  <si>
    <t>0753 546582</t>
  </si>
  <si>
    <t>S712/24</t>
  </si>
  <si>
    <t>Nakalema Venna</t>
  </si>
  <si>
    <t>070 6357981</t>
  </si>
  <si>
    <t>S713/24</t>
  </si>
  <si>
    <t>Namukose Lillian</t>
  </si>
  <si>
    <t>0759 520125</t>
  </si>
  <si>
    <t>S714/24</t>
  </si>
  <si>
    <t>Mudondo Joy</t>
  </si>
  <si>
    <t>0745 750514</t>
  </si>
  <si>
    <t>S715/24</t>
  </si>
  <si>
    <t>Kyomukama Sofie</t>
  </si>
  <si>
    <t>0776 501195</t>
  </si>
  <si>
    <t>S716/24</t>
  </si>
  <si>
    <t>Namukobe Claire</t>
  </si>
  <si>
    <t>0743 122031</t>
  </si>
  <si>
    <t>S717/24</t>
  </si>
  <si>
    <t>Basalirwa Aisha</t>
  </si>
  <si>
    <t>0757 326910</t>
  </si>
  <si>
    <t>S718/24</t>
  </si>
  <si>
    <t>Nakato Aminah</t>
  </si>
  <si>
    <t>0756 683773</t>
  </si>
  <si>
    <t>S719/24</t>
  </si>
  <si>
    <t>Kwagala Ruth</t>
  </si>
  <si>
    <t>0755 635498</t>
  </si>
  <si>
    <t>S720/24</t>
  </si>
  <si>
    <t>Nankwanga Merab</t>
  </si>
  <si>
    <t>S721/24</t>
  </si>
  <si>
    <t>0777 628408</t>
  </si>
  <si>
    <t>S722/24</t>
  </si>
  <si>
    <t>Namaganda Christine</t>
  </si>
  <si>
    <t>Magwa</t>
  </si>
  <si>
    <t>0774 856137</t>
  </si>
  <si>
    <t>5 months pregnant</t>
  </si>
  <si>
    <t>after delivery</t>
  </si>
  <si>
    <t>S723/24</t>
  </si>
  <si>
    <t>Namulondo Wuulbenah</t>
  </si>
  <si>
    <t>0755 181738</t>
  </si>
  <si>
    <t>S724/24</t>
  </si>
  <si>
    <t>Namulondo Hadija</t>
  </si>
  <si>
    <t>0758 866958</t>
  </si>
  <si>
    <t>Declined examination</t>
  </si>
  <si>
    <t>S725/24</t>
  </si>
  <si>
    <t>Namukose Mebra</t>
  </si>
  <si>
    <t>0754 110884</t>
  </si>
  <si>
    <t>Viginal polyp</t>
  </si>
  <si>
    <t>S726/24</t>
  </si>
  <si>
    <t>Babirye Joseline</t>
  </si>
  <si>
    <t>Bujagali</t>
  </si>
  <si>
    <t>0752 012045</t>
  </si>
  <si>
    <t>S727/24</t>
  </si>
  <si>
    <t>Nambi Hasifa</t>
  </si>
  <si>
    <t>07041 25128</t>
  </si>
  <si>
    <t>S728/24</t>
  </si>
  <si>
    <t>Mbwali Shalima</t>
  </si>
  <si>
    <t>S729/24</t>
  </si>
  <si>
    <t>Namwase Juliet</t>
  </si>
  <si>
    <t>Bujagaali</t>
  </si>
  <si>
    <t>0757 936735</t>
  </si>
  <si>
    <t>S730/24</t>
  </si>
  <si>
    <t>Tangaba Florence</t>
  </si>
  <si>
    <t>0758 792503</t>
  </si>
  <si>
    <t>S731/24</t>
  </si>
  <si>
    <t>Achiro Berna</t>
  </si>
  <si>
    <t>0785 759276</t>
  </si>
  <si>
    <t>S732/24</t>
  </si>
  <si>
    <t>Mbabazi Halima</t>
  </si>
  <si>
    <t>07066 53810</t>
  </si>
  <si>
    <t>S733/24</t>
  </si>
  <si>
    <t>0755 491901</t>
  </si>
  <si>
    <t>S734/24</t>
  </si>
  <si>
    <t>Ssanyu Prima</t>
  </si>
  <si>
    <t>0753 683238</t>
  </si>
  <si>
    <t>S735/24</t>
  </si>
  <si>
    <t>Nalwoga Aisha</t>
  </si>
  <si>
    <t>0752 239100</t>
  </si>
  <si>
    <t>S736/24</t>
  </si>
  <si>
    <t>Mirembe Beatrice</t>
  </si>
  <si>
    <t>0745 778637</t>
  </si>
  <si>
    <t>Breast Scan</t>
  </si>
  <si>
    <t xml:space="preserve">20 – 30 (16) </t>
  </si>
  <si>
    <t>51-60 (03)</t>
  </si>
  <si>
    <t xml:space="preserve"> Date; 09/06/2024</t>
  </si>
  <si>
    <t>Place: SD PALLIATIVE CARE CENTRE</t>
  </si>
  <si>
    <t>S737/24</t>
  </si>
  <si>
    <t>Iluca Margret</t>
  </si>
  <si>
    <t>0784 346780</t>
  </si>
  <si>
    <t>S738/24</t>
  </si>
  <si>
    <t>Ibila Florence</t>
  </si>
  <si>
    <t>School cell</t>
  </si>
  <si>
    <t>0775 360903</t>
  </si>
  <si>
    <t>S739/24</t>
  </si>
  <si>
    <t>Amuge Teddy</t>
  </si>
  <si>
    <t>0758 693448</t>
  </si>
  <si>
    <t>S740/24</t>
  </si>
  <si>
    <t>Namubanda Sarah</t>
  </si>
  <si>
    <t>0750 684602</t>
  </si>
  <si>
    <t>Cervical polyp</t>
  </si>
  <si>
    <t>S741/24</t>
  </si>
  <si>
    <t>Amogin Catherine</t>
  </si>
  <si>
    <t>S742/24</t>
  </si>
  <si>
    <t>Kagoda Mariam</t>
  </si>
  <si>
    <t>0777 059171</t>
  </si>
  <si>
    <t>S743/24</t>
  </si>
  <si>
    <t>Buwade Annet</t>
  </si>
  <si>
    <t>Police wing</t>
  </si>
  <si>
    <t>0752 194048</t>
  </si>
  <si>
    <t>S744/24</t>
  </si>
  <si>
    <t>Kisima Ritah</t>
  </si>
  <si>
    <t>Kisiima</t>
  </si>
  <si>
    <t>S745/24</t>
  </si>
  <si>
    <t>Kikoromojo</t>
  </si>
  <si>
    <t>07478 2337</t>
  </si>
  <si>
    <t>S746/24</t>
  </si>
  <si>
    <t>Among Agnes</t>
  </si>
  <si>
    <t>0775 298998</t>
  </si>
  <si>
    <t>S747/24</t>
  </si>
  <si>
    <t>Nambozo Martha</t>
  </si>
  <si>
    <t>0777 641942</t>
  </si>
  <si>
    <t>S748/24</t>
  </si>
  <si>
    <t>Natal Gladys</t>
  </si>
  <si>
    <t>0786 517369</t>
  </si>
  <si>
    <t>Mali</t>
  </si>
  <si>
    <t>S749/24</t>
  </si>
  <si>
    <t>Namulondo Salima</t>
  </si>
  <si>
    <t>0755 266320</t>
  </si>
  <si>
    <t>S750/24</t>
  </si>
  <si>
    <t>Mutoni Agnes</t>
  </si>
  <si>
    <t>0782 950089</t>
  </si>
  <si>
    <t>Mastitis</t>
  </si>
  <si>
    <t>S751/24</t>
  </si>
  <si>
    <t>Nkabelema Juliet</t>
  </si>
  <si>
    <t>0752 250059</t>
  </si>
  <si>
    <t>S752/24</t>
  </si>
  <si>
    <t>Naigaga Janet</t>
  </si>
  <si>
    <t>0772 622210</t>
  </si>
  <si>
    <t>S753/24</t>
  </si>
  <si>
    <t>Namboozo Nuru</t>
  </si>
  <si>
    <t>0704 107445</t>
  </si>
  <si>
    <t>S754/24</t>
  </si>
  <si>
    <t>Amon Alice</t>
  </si>
  <si>
    <t>0774 648248</t>
  </si>
  <si>
    <t>Madi</t>
  </si>
  <si>
    <t>S755/24</t>
  </si>
  <si>
    <t>Atima Beatrice</t>
  </si>
  <si>
    <t>0786 811174</t>
  </si>
  <si>
    <t>S756/24</t>
  </si>
  <si>
    <t>Akini Jennifer</t>
  </si>
  <si>
    <t>0754 694151</t>
  </si>
  <si>
    <t>Luo</t>
  </si>
  <si>
    <t>S757/24</t>
  </si>
  <si>
    <t>Icabai Josephine</t>
  </si>
  <si>
    <t>0774 382986</t>
  </si>
  <si>
    <t>S758/24</t>
  </si>
  <si>
    <t>Nangamya Rose</t>
  </si>
  <si>
    <t>S759/24</t>
  </si>
  <si>
    <t>Abalo Jesca</t>
  </si>
  <si>
    <t>0701 382971</t>
  </si>
  <si>
    <t>S760/24</t>
  </si>
  <si>
    <t>Akot Florence</t>
  </si>
  <si>
    <t>07052 83997</t>
  </si>
  <si>
    <t>S761/24</t>
  </si>
  <si>
    <t>Kagoya Ritah</t>
  </si>
  <si>
    <t>0759 306282</t>
  </si>
  <si>
    <t>S762/24</t>
  </si>
  <si>
    <t>Nakamya Precious</t>
  </si>
  <si>
    <t xml:space="preserve"> Masese</t>
  </si>
  <si>
    <t>0780 589426</t>
  </si>
  <si>
    <t>S763/24</t>
  </si>
  <si>
    <t>Zinunula Sarah</t>
  </si>
  <si>
    <t>0775 926877</t>
  </si>
  <si>
    <t>S764/24</t>
  </si>
  <si>
    <t>Biira Jane</t>
  </si>
  <si>
    <t>0781 584576</t>
  </si>
  <si>
    <t>S765/24</t>
  </si>
  <si>
    <t>Nairuba Grace</t>
  </si>
  <si>
    <t>0771 307977</t>
  </si>
  <si>
    <t>S766/24</t>
  </si>
  <si>
    <t>Akayo Susan</t>
  </si>
  <si>
    <t>Kilembe</t>
  </si>
  <si>
    <t>0783 006019</t>
  </si>
  <si>
    <t>S767/24</t>
  </si>
  <si>
    <t>Asio Christine</t>
  </si>
  <si>
    <t>Serere</t>
  </si>
  <si>
    <t>0777 284055</t>
  </si>
  <si>
    <t>S768/24</t>
  </si>
  <si>
    <t>Namakula Sarah</t>
  </si>
  <si>
    <t>S769/24</t>
  </si>
  <si>
    <t>Nachwe Daisy</t>
  </si>
  <si>
    <t>0759 667044</t>
  </si>
  <si>
    <t xml:space="preserve">20 – 30 (07) </t>
  </si>
  <si>
    <t>51-60 (07)</t>
  </si>
  <si>
    <t>&gt;61 (03)</t>
  </si>
  <si>
    <t xml:space="preserve"> Date; 20/06/2024</t>
  </si>
  <si>
    <t>Place: LWATAM H/C 11</t>
  </si>
  <si>
    <t>S770/24</t>
  </si>
  <si>
    <t>Nampiina Monica</t>
  </si>
  <si>
    <t>Naluwelele</t>
  </si>
  <si>
    <t>0774 930933</t>
  </si>
  <si>
    <t>Kyabirwa Gyno R/V</t>
  </si>
  <si>
    <t>S771/24</t>
  </si>
  <si>
    <t>Namakula Gladys</t>
  </si>
  <si>
    <t>Kakoola</t>
  </si>
  <si>
    <t>0783 218106</t>
  </si>
  <si>
    <t>S772/24</t>
  </si>
  <si>
    <t>Katono Janet</t>
  </si>
  <si>
    <t>Lwatama</t>
  </si>
  <si>
    <t>0758 153175</t>
  </si>
  <si>
    <t>Breast U/S</t>
  </si>
  <si>
    <t>S773/24</t>
  </si>
  <si>
    <t>Nankwanga Petu</t>
  </si>
  <si>
    <t>S774/24</t>
  </si>
  <si>
    <t>Mutesi Shamira</t>
  </si>
  <si>
    <t>S775/24</t>
  </si>
  <si>
    <t>Nabirye Irene Sharon</t>
  </si>
  <si>
    <t>0772 243609</t>
  </si>
  <si>
    <t>S776/24</t>
  </si>
  <si>
    <t>Bakulimya Loy</t>
  </si>
  <si>
    <t>0782 618446</t>
  </si>
  <si>
    <t>S777/24</t>
  </si>
  <si>
    <t>Namusobya Ruth</t>
  </si>
  <si>
    <t>0745 852934</t>
  </si>
  <si>
    <t>S778/24</t>
  </si>
  <si>
    <t>Namuwaya Scovia</t>
  </si>
  <si>
    <t>Bupaluka</t>
  </si>
  <si>
    <t>0787 958775</t>
  </si>
  <si>
    <t>S779/24</t>
  </si>
  <si>
    <t>Namukuta Nanzelena</t>
  </si>
  <si>
    <t>S780/24</t>
  </si>
  <si>
    <t>Apolot Angela</t>
  </si>
  <si>
    <t>Mahembe</t>
  </si>
  <si>
    <t>S781/24</t>
  </si>
  <si>
    <t>Nabaigwa Sania</t>
  </si>
  <si>
    <t>Namasimba</t>
  </si>
  <si>
    <t>S782/24</t>
  </si>
  <si>
    <t>Npindi Mirabu</t>
  </si>
  <si>
    <t>Bulembo</t>
  </si>
  <si>
    <t>0773 839283</t>
  </si>
  <si>
    <t>S783/24</t>
  </si>
  <si>
    <t>Nangobi Mary</t>
  </si>
  <si>
    <t>Mpaluka</t>
  </si>
  <si>
    <t>07710 65970</t>
  </si>
  <si>
    <t>S784/24</t>
  </si>
  <si>
    <t>Katengeke Phida</t>
  </si>
  <si>
    <t>Bugabula</t>
  </si>
  <si>
    <t>S785/24</t>
  </si>
  <si>
    <t>Nambala Lydia</t>
  </si>
  <si>
    <t>Nawambili</t>
  </si>
  <si>
    <t>0779 324527</t>
  </si>
  <si>
    <t>S786/24</t>
  </si>
  <si>
    <t>Wakilaza Aidah</t>
  </si>
  <si>
    <t>0784 911974</t>
  </si>
  <si>
    <t>S787/24</t>
  </si>
  <si>
    <t>Kaita Miriyonsi</t>
  </si>
  <si>
    <t>S788/24</t>
  </si>
  <si>
    <t>Waako Fauza</t>
  </si>
  <si>
    <t>S789/24</t>
  </si>
  <si>
    <t>Mutesi Jovia</t>
  </si>
  <si>
    <t>0789 669303</t>
  </si>
  <si>
    <t>S790/24</t>
  </si>
  <si>
    <t>0789 619127</t>
  </si>
  <si>
    <t>S791/24</t>
  </si>
  <si>
    <t>Namajja Annet</t>
  </si>
  <si>
    <t>S792/24</t>
  </si>
  <si>
    <t>Nabirye Sharon</t>
  </si>
  <si>
    <t>S793/24</t>
  </si>
  <si>
    <t>Namaganda Penina</t>
  </si>
  <si>
    <t>0758 701640</t>
  </si>
  <si>
    <t>S794/24</t>
  </si>
  <si>
    <t>Namulemo Lovisa</t>
  </si>
  <si>
    <t>S795/24</t>
  </si>
  <si>
    <t>Namusobya Lovisa</t>
  </si>
  <si>
    <t>0771 561997</t>
  </si>
  <si>
    <t>S796/24</t>
  </si>
  <si>
    <t>Namudope Florence</t>
  </si>
  <si>
    <t>0763 537767</t>
  </si>
  <si>
    <t>S797/24</t>
  </si>
  <si>
    <t>Naibolya Florence</t>
  </si>
  <si>
    <t>Kilanga</t>
  </si>
  <si>
    <t>0770 524351</t>
  </si>
  <si>
    <t>S798/24</t>
  </si>
  <si>
    <t>Namuwoya Irene</t>
  </si>
  <si>
    <t>S799/24</t>
  </si>
  <si>
    <t>Agwang Oliver</t>
  </si>
  <si>
    <t>0766 623317</t>
  </si>
  <si>
    <t>S800/24</t>
  </si>
  <si>
    <t>Kyazike Esther</t>
  </si>
  <si>
    <t>0787 190807</t>
  </si>
  <si>
    <t>S801/24</t>
  </si>
  <si>
    <t>Tusabe Gloria</t>
  </si>
  <si>
    <t>S802/24</t>
  </si>
  <si>
    <t>Musene Christine</t>
  </si>
  <si>
    <t>0742 631096</t>
  </si>
  <si>
    <t>S803/24</t>
  </si>
  <si>
    <t>Tibiwa Benaleta</t>
  </si>
  <si>
    <t>0761 270486</t>
  </si>
  <si>
    <t>S804/24</t>
  </si>
  <si>
    <t>Aliba Justine</t>
  </si>
  <si>
    <t>0770 524388</t>
  </si>
  <si>
    <t>S805/24</t>
  </si>
  <si>
    <t>Nyomera Eunice</t>
  </si>
  <si>
    <t>0787 034449</t>
  </si>
  <si>
    <t>S806/24</t>
  </si>
  <si>
    <t>Nabirye Miria</t>
  </si>
  <si>
    <t>Nabinyonye</t>
  </si>
  <si>
    <t>07077 26988</t>
  </si>
  <si>
    <t>S807/24</t>
  </si>
  <si>
    <t>Kanyango Zuwena</t>
  </si>
  <si>
    <t>0771 321608</t>
  </si>
  <si>
    <t>S808/24</t>
  </si>
  <si>
    <t>S809/24</t>
  </si>
  <si>
    <t>Auma Rose Mary</t>
  </si>
  <si>
    <t>0742 271361</t>
  </si>
  <si>
    <t>S810/24</t>
  </si>
  <si>
    <t>Kyoyagala Merida</t>
  </si>
  <si>
    <t>Nawakima</t>
  </si>
  <si>
    <t>S811/24</t>
  </si>
  <si>
    <t>Kiire Budesta</t>
  </si>
  <si>
    <t>S812/24</t>
  </si>
  <si>
    <t>Talikaza Janet</t>
  </si>
  <si>
    <t>Nawasimbi</t>
  </si>
  <si>
    <t>S813/24</t>
  </si>
  <si>
    <t>Munaba Chlostica</t>
  </si>
  <si>
    <t>0780 489371</t>
  </si>
  <si>
    <t>S814/24</t>
  </si>
  <si>
    <t>Mudodo Saida</t>
  </si>
  <si>
    <t>S815/24</t>
  </si>
  <si>
    <t>Nandigobi Racheal</t>
  </si>
  <si>
    <t>0787 320179</t>
  </si>
  <si>
    <t>S816/24</t>
  </si>
  <si>
    <t>Bwitabingi Sarah</t>
  </si>
  <si>
    <t>Nawansimbi</t>
  </si>
  <si>
    <t>0771 975350</t>
  </si>
  <si>
    <t>S817/24</t>
  </si>
  <si>
    <t>Nabulumba Rebecca</t>
  </si>
  <si>
    <t>0774 513339</t>
  </si>
  <si>
    <t>S818/24</t>
  </si>
  <si>
    <t>Mirembe Harriet</t>
  </si>
  <si>
    <t>0785 982722</t>
  </si>
  <si>
    <t>S819/24</t>
  </si>
  <si>
    <t>Nansubuga Tolofania</t>
  </si>
  <si>
    <t>S820/24</t>
  </si>
  <si>
    <t>Ishaka Kevin</t>
  </si>
  <si>
    <t>0782 731040</t>
  </si>
  <si>
    <t>S821/24</t>
  </si>
  <si>
    <t>Namukose Esereda</t>
  </si>
  <si>
    <t>S822/24</t>
  </si>
  <si>
    <t>Kaudha Naume</t>
  </si>
  <si>
    <t>0780 668980</t>
  </si>
  <si>
    <t>S823/24</t>
  </si>
  <si>
    <t>Mutesi Aisha</t>
  </si>
  <si>
    <t>0776 474513</t>
  </si>
  <si>
    <t>S824/24</t>
  </si>
  <si>
    <t>Mugala Katilin</t>
  </si>
  <si>
    <t>S826/24</t>
  </si>
  <si>
    <t>Kiwala Farida</t>
  </si>
  <si>
    <t>0786 570400</t>
  </si>
  <si>
    <t>S827/24</t>
  </si>
  <si>
    <t>Nandigobe Beatrice</t>
  </si>
  <si>
    <t>0778 8750049</t>
  </si>
  <si>
    <t>S828/24</t>
  </si>
  <si>
    <t>Namuwanga Teddy</t>
  </si>
  <si>
    <t>0781 402207</t>
  </si>
  <si>
    <t>S829/24</t>
  </si>
  <si>
    <t>Namulondo Madina</t>
  </si>
  <si>
    <t>0782 866597</t>
  </si>
  <si>
    <t>Munyolo</t>
  </si>
  <si>
    <t>S830/24</t>
  </si>
  <si>
    <t>Mbeiza Mary</t>
  </si>
  <si>
    <t>S831/24</t>
  </si>
  <si>
    <t>S832/24</t>
  </si>
  <si>
    <t>Nangobi Elizabeth</t>
  </si>
  <si>
    <t>S833/24</t>
  </si>
  <si>
    <t>Nakato Beatrice</t>
  </si>
  <si>
    <t>0776 90572</t>
  </si>
  <si>
    <t>S834/24</t>
  </si>
  <si>
    <t>Katooko Tapenensi</t>
  </si>
  <si>
    <t>07886 92314</t>
  </si>
  <si>
    <t>S835/24</t>
  </si>
  <si>
    <t>Nalubega Cissy</t>
  </si>
  <si>
    <t>07577 61649</t>
  </si>
  <si>
    <t>S836/24</t>
  </si>
  <si>
    <t>Nakyesa Monica</t>
  </si>
  <si>
    <t>07820 38781</t>
  </si>
  <si>
    <t>S837/24</t>
  </si>
  <si>
    <t>Sano Jesca</t>
  </si>
  <si>
    <t>S838/24</t>
  </si>
  <si>
    <t>Mbaiza Joan</t>
  </si>
  <si>
    <t>S839/24</t>
  </si>
  <si>
    <t>Nakitandwe Erina</t>
  </si>
  <si>
    <t>0762 58561</t>
  </si>
  <si>
    <t>S840/24</t>
  </si>
  <si>
    <t>Mutegeza Ruth</t>
  </si>
  <si>
    <t>Kimenyelo</t>
  </si>
  <si>
    <t>0788 191678</t>
  </si>
  <si>
    <t>S841/24</t>
  </si>
  <si>
    <t>Byobona Faith</t>
  </si>
  <si>
    <t>S842/24</t>
  </si>
  <si>
    <t>S843/24</t>
  </si>
  <si>
    <t>Jungu Elizabeth</t>
  </si>
  <si>
    <t>naisamula</t>
  </si>
  <si>
    <t>0777 809394</t>
  </si>
  <si>
    <t>S844/24</t>
  </si>
  <si>
    <t>Naisanga Rose</t>
  </si>
  <si>
    <t>S845/24</t>
  </si>
  <si>
    <t>Enfulanci Naula</t>
  </si>
  <si>
    <t>Kamutonke</t>
  </si>
  <si>
    <t>S846/24</t>
  </si>
  <si>
    <t>Nabirye Zabina</t>
  </si>
  <si>
    <t>S847/24</t>
  </si>
  <si>
    <t>Aliyinza Catiline</t>
  </si>
  <si>
    <t>Nawankima</t>
  </si>
  <si>
    <t>S848/24</t>
  </si>
  <si>
    <t>Kafuko Jane</t>
  </si>
  <si>
    <t>S849/24</t>
  </si>
  <si>
    <t>Nambi Aidah</t>
  </si>
  <si>
    <t>0741 989815</t>
  </si>
  <si>
    <t>S850/24</t>
  </si>
  <si>
    <t>Naigaga Lakeli</t>
  </si>
  <si>
    <t>Kalinga</t>
  </si>
  <si>
    <t>07834 33350</t>
  </si>
  <si>
    <t>S851/24</t>
  </si>
  <si>
    <t>Kadondi Catiline</t>
  </si>
  <si>
    <t>S852/24</t>
  </si>
  <si>
    <t>Naigaga Loy</t>
  </si>
  <si>
    <t>077 2228082</t>
  </si>
  <si>
    <t>S853/24</t>
  </si>
  <si>
    <t>Namwase Flavia</t>
  </si>
  <si>
    <t>0776 233200</t>
  </si>
  <si>
    <t>S854/24</t>
  </si>
  <si>
    <t>Musubika Edinansi</t>
  </si>
  <si>
    <t>0745 299970</t>
  </si>
  <si>
    <t>S855/24</t>
  </si>
  <si>
    <t>Katenga Jane</t>
  </si>
  <si>
    <t>0761 417689</t>
  </si>
  <si>
    <t>S856/24</t>
  </si>
  <si>
    <t>Nangobi Perudasi</t>
  </si>
  <si>
    <t>07744 75855</t>
  </si>
  <si>
    <t>S857/24</t>
  </si>
  <si>
    <t>Musampalidu Jane</t>
  </si>
  <si>
    <t>S858/24</t>
  </si>
  <si>
    <t>Tibiwa Annet</t>
  </si>
  <si>
    <t>S859/24</t>
  </si>
  <si>
    <t>Namukose Sylista</t>
  </si>
  <si>
    <t>S860/24</t>
  </si>
  <si>
    <t>Tibawayika Magret</t>
  </si>
  <si>
    <t>0773 788336</t>
  </si>
  <si>
    <t>Booked for vaginal investiagtion at Surgical camp</t>
  </si>
  <si>
    <t>Kyabira surgical camp</t>
  </si>
  <si>
    <t>S861/24</t>
  </si>
  <si>
    <t>Kwikiriza Jennifer</t>
  </si>
  <si>
    <t>Uterine prolapse</t>
  </si>
  <si>
    <t>S862/24</t>
  </si>
  <si>
    <t>Biryeri Zaituna</t>
  </si>
  <si>
    <t>Naisawo</t>
  </si>
  <si>
    <t>0785 813687</t>
  </si>
  <si>
    <t>In periods</t>
  </si>
  <si>
    <t>S863/24</t>
  </si>
  <si>
    <t>Namukose Edith</t>
  </si>
  <si>
    <t>Declained examination</t>
  </si>
  <si>
    <t>S864/24</t>
  </si>
  <si>
    <t>Naisikwe Beth</t>
  </si>
  <si>
    <t>Kirungo</t>
  </si>
  <si>
    <t>After birth</t>
  </si>
  <si>
    <t>S987/24</t>
  </si>
  <si>
    <t>Nabirye Shadia</t>
  </si>
  <si>
    <t>0775  104831</t>
  </si>
  <si>
    <t>S865/24</t>
  </si>
  <si>
    <t>0766 893508</t>
  </si>
  <si>
    <t>S866/24</t>
  </si>
  <si>
    <t>&lt;19 (03)</t>
  </si>
  <si>
    <t xml:space="preserve">20 – 30(23) </t>
  </si>
  <si>
    <t>31– 40 (29)</t>
  </si>
  <si>
    <t>41– 50 (21)</t>
  </si>
  <si>
    <t>&gt;61 (09)</t>
  </si>
  <si>
    <t xml:space="preserve"> Date; 12/06/2024</t>
  </si>
  <si>
    <t>Place: BUWANGALA</t>
  </si>
  <si>
    <t>S867/24</t>
  </si>
  <si>
    <t>Akot Cecilia</t>
  </si>
  <si>
    <t>Buwangala</t>
  </si>
  <si>
    <t>0706 836456</t>
  </si>
  <si>
    <t>S868/24</t>
  </si>
  <si>
    <t>Ngobi Sarah</t>
  </si>
  <si>
    <t>0755 302977</t>
  </si>
  <si>
    <t>To do scan</t>
  </si>
  <si>
    <t>Seek medical help</t>
  </si>
  <si>
    <t>S869/24</t>
  </si>
  <si>
    <t>Nabirye Fauza</t>
  </si>
  <si>
    <t>0762 204381</t>
  </si>
  <si>
    <t>Screened 3 months back</t>
  </si>
  <si>
    <t>S870/24</t>
  </si>
  <si>
    <t>Namulondo Kutesa</t>
  </si>
  <si>
    <t>0754 103348</t>
  </si>
  <si>
    <t>S871/24</t>
  </si>
  <si>
    <t>Namulondo Nyensi</t>
  </si>
  <si>
    <t>Nyolo</t>
  </si>
  <si>
    <t>Screened last week</t>
  </si>
  <si>
    <t>S872/24</t>
  </si>
  <si>
    <t>Naigaga Madina</t>
  </si>
  <si>
    <t>Lukotaime</t>
  </si>
  <si>
    <t>S873/24</t>
  </si>
  <si>
    <t>Namugere Mariam</t>
  </si>
  <si>
    <t>0752 074166</t>
  </si>
  <si>
    <t>S874/24</t>
  </si>
  <si>
    <t>Nairuba Monica</t>
  </si>
  <si>
    <t>S875/24</t>
  </si>
  <si>
    <t>S876/24</t>
  </si>
  <si>
    <t>Amulen Diana Hellen</t>
  </si>
  <si>
    <t>0770 596119</t>
  </si>
  <si>
    <t>S877/24</t>
  </si>
  <si>
    <t>Mbeiza Christine</t>
  </si>
  <si>
    <t>0743 689069</t>
  </si>
  <si>
    <t>S878/24</t>
  </si>
  <si>
    <t>Namuwaya Madina</t>
  </si>
  <si>
    <t>0753 667729</t>
  </si>
  <si>
    <t>S879/24</t>
  </si>
  <si>
    <t>Kasuswa Lakeri</t>
  </si>
  <si>
    <t>0752 378893</t>
  </si>
  <si>
    <t>S880/24</t>
  </si>
  <si>
    <t>Namusobya Sophia</t>
  </si>
  <si>
    <t>0706 573818</t>
  </si>
  <si>
    <t>S881/24</t>
  </si>
  <si>
    <t>Namusobya Martha</t>
  </si>
  <si>
    <t>0751 092129</t>
  </si>
  <si>
    <t>S882/24</t>
  </si>
  <si>
    <t>Babirye Faridah</t>
  </si>
  <si>
    <t>0756 179345</t>
  </si>
  <si>
    <t>S883/24</t>
  </si>
  <si>
    <t>Naigaga Edinansi</t>
  </si>
  <si>
    <t>S884/24</t>
  </si>
  <si>
    <t>S885/24</t>
  </si>
  <si>
    <t>Nakato Salome</t>
  </si>
  <si>
    <t>S886/24</t>
  </si>
  <si>
    <t>Kafuko Margret</t>
  </si>
  <si>
    <t>Igalaza</t>
  </si>
  <si>
    <t>S887/24</t>
  </si>
  <si>
    <t>S888/24</t>
  </si>
  <si>
    <t>Nangobi Ritah</t>
  </si>
  <si>
    <t>Bumpeni</t>
  </si>
  <si>
    <t>0744 259161</t>
  </si>
  <si>
    <t>S889/24</t>
  </si>
  <si>
    <t>Namugwano Robinah</t>
  </si>
  <si>
    <t>07036 79469</t>
  </si>
  <si>
    <t>S890/24</t>
  </si>
  <si>
    <t>Namaganda Janet</t>
  </si>
  <si>
    <t>0755 545691</t>
  </si>
  <si>
    <t>S891/24</t>
  </si>
  <si>
    <t>Bikuweraki Amina</t>
  </si>
  <si>
    <t>0754 916518</t>
  </si>
  <si>
    <t>S892/24</t>
  </si>
  <si>
    <t>Jago Oliver</t>
  </si>
  <si>
    <t>07716 70136</t>
  </si>
  <si>
    <t>S893/24</t>
  </si>
  <si>
    <t>Nakirya Madina</t>
  </si>
  <si>
    <t>07789 56435</t>
  </si>
  <si>
    <t>S894/24</t>
  </si>
  <si>
    <t>Namuswa Esther</t>
  </si>
  <si>
    <t>S895/24</t>
  </si>
  <si>
    <t>Namulemo Asanansi</t>
  </si>
  <si>
    <t>0753 534719</t>
  </si>
  <si>
    <t>S896/24</t>
  </si>
  <si>
    <t>Nakiyemba Elizabeth</t>
  </si>
  <si>
    <t>0777 062951</t>
  </si>
  <si>
    <t>S897/24</t>
  </si>
  <si>
    <t>Namuyomba Joy</t>
  </si>
  <si>
    <t>0756 752479</t>
  </si>
  <si>
    <t>S898/24</t>
  </si>
  <si>
    <t>Kadondi Olivia</t>
  </si>
  <si>
    <t>Butayube</t>
  </si>
  <si>
    <t>S899/24</t>
  </si>
  <si>
    <t>Bazirakisa Sarah</t>
  </si>
  <si>
    <t>31– 40 (08)</t>
  </si>
  <si>
    <t>41– 50 (05)</t>
  </si>
  <si>
    <t>51-60 (05)</t>
  </si>
  <si>
    <t>&gt;61 (02)</t>
  </si>
  <si>
    <t xml:space="preserve"> Date; 21/06/2024</t>
  </si>
  <si>
    <t>Place: International Institute of Health Science</t>
  </si>
  <si>
    <t>S900/24</t>
  </si>
  <si>
    <t>Namugwano Moureen</t>
  </si>
  <si>
    <t>0741 386821</t>
  </si>
  <si>
    <t>Kyabirwa Doctor review</t>
  </si>
  <si>
    <t>S901/24</t>
  </si>
  <si>
    <t>Afaayo Winnie</t>
  </si>
  <si>
    <t>Mailo bili</t>
  </si>
  <si>
    <t>0777 577232</t>
  </si>
  <si>
    <t>S902/24</t>
  </si>
  <si>
    <t>Basuku Matildah</t>
  </si>
  <si>
    <t>0753 399294</t>
  </si>
  <si>
    <t>S903/24</t>
  </si>
  <si>
    <t>Kayenyparwoth Winnie</t>
  </si>
  <si>
    <t>0789 671987</t>
  </si>
  <si>
    <t>Alur</t>
  </si>
  <si>
    <t>S904/24</t>
  </si>
  <si>
    <t>Nakaiza Brenda</t>
  </si>
  <si>
    <t>mailo bili</t>
  </si>
  <si>
    <t>07559 43724</t>
  </si>
  <si>
    <t>S905/24</t>
  </si>
  <si>
    <t>Sanyu Vivian</t>
  </si>
  <si>
    <t>Mbale</t>
  </si>
  <si>
    <t>0754 229808</t>
  </si>
  <si>
    <t>S906/24</t>
  </si>
  <si>
    <t>Akia Veronica</t>
  </si>
  <si>
    <t>Pallisa</t>
  </si>
  <si>
    <t>0779 538028</t>
  </si>
  <si>
    <t>S907/24</t>
  </si>
  <si>
    <t>Aboth Linda Immaculate</t>
  </si>
  <si>
    <t>0759 052310</t>
  </si>
  <si>
    <t>S908/24</t>
  </si>
  <si>
    <t>Mirembe Racheal</t>
  </si>
  <si>
    <t>0740 497296</t>
  </si>
  <si>
    <t>S909/24</t>
  </si>
  <si>
    <t>Mbabu Shillah</t>
  </si>
  <si>
    <t>Milo mbili</t>
  </si>
  <si>
    <t>0754 434898</t>
  </si>
  <si>
    <t>Mukojo</t>
  </si>
  <si>
    <t>S910/24</t>
  </si>
  <si>
    <t>Kisakye Pretty Ritah</t>
  </si>
  <si>
    <t>076 4895722</t>
  </si>
  <si>
    <t>Severe cervitis</t>
  </si>
  <si>
    <t>S911/24</t>
  </si>
  <si>
    <t>Nalwoga Betty</t>
  </si>
  <si>
    <t>Lwanyama</t>
  </si>
  <si>
    <t>0754 909428</t>
  </si>
  <si>
    <t>S912/24</t>
  </si>
  <si>
    <t>Makaima Bridget</t>
  </si>
  <si>
    <t>0740 318400</t>
  </si>
  <si>
    <t>S913/24</t>
  </si>
  <si>
    <t>Okochwe Getrude</t>
  </si>
  <si>
    <t>Kumi</t>
  </si>
  <si>
    <t>0765 919445</t>
  </si>
  <si>
    <t>S914/24</t>
  </si>
  <si>
    <t>Namuganza Shakira</t>
  </si>
  <si>
    <t>0755 086128</t>
  </si>
  <si>
    <t>S915/24</t>
  </si>
  <si>
    <t>Nakirembeka Joan</t>
  </si>
  <si>
    <t>Masaka</t>
  </si>
  <si>
    <t>07031 17165</t>
  </si>
  <si>
    <t>S916/24</t>
  </si>
  <si>
    <t>Jamila Shaban</t>
  </si>
  <si>
    <t>Kakira</t>
  </si>
  <si>
    <t>0759 307057</t>
  </si>
  <si>
    <t>Kakwa</t>
  </si>
  <si>
    <t>S917/24</t>
  </si>
  <si>
    <t>Jakwemaza Jackilne</t>
  </si>
  <si>
    <t>Bukose</t>
  </si>
  <si>
    <t>0755 943984</t>
  </si>
  <si>
    <t>S918/24</t>
  </si>
  <si>
    <t>Naboyera Christine</t>
  </si>
  <si>
    <t>Masulita</t>
  </si>
  <si>
    <t>0763 859755</t>
  </si>
  <si>
    <t>S919/24</t>
  </si>
  <si>
    <t>Alako Sharon Winnie</t>
  </si>
  <si>
    <t>07654 82367</t>
  </si>
  <si>
    <t>Severe infections</t>
  </si>
  <si>
    <t>After treatmant</t>
  </si>
  <si>
    <t xml:space="preserve">20 – 30(19) </t>
  </si>
  <si>
    <t xml:space="preserve"> Date; 2/07/2024</t>
  </si>
  <si>
    <t>Place: CANAAN H/C 11</t>
  </si>
  <si>
    <t>S920/24</t>
  </si>
  <si>
    <t>Namubiru Hamida</t>
  </si>
  <si>
    <t>Buziika</t>
  </si>
  <si>
    <t>0755 323587</t>
  </si>
  <si>
    <t>S921/24</t>
  </si>
  <si>
    <t>Mary Asiimwe</t>
  </si>
  <si>
    <t>07080 50234</t>
  </si>
  <si>
    <t>S922/24</t>
  </si>
  <si>
    <t>Nakagolo Shamira</t>
  </si>
  <si>
    <t>0753 995087</t>
  </si>
  <si>
    <t>S923/24</t>
  </si>
  <si>
    <t>Kadondi Esther</t>
  </si>
  <si>
    <t>Butema</t>
  </si>
  <si>
    <t>0706 526947</t>
  </si>
  <si>
    <t>No cervix</t>
  </si>
  <si>
    <t>S924/24</t>
  </si>
  <si>
    <t>Kirabo Juliet</t>
  </si>
  <si>
    <t>0700 724859</t>
  </si>
  <si>
    <t>S925/24</t>
  </si>
  <si>
    <t>Nanteza Halima</t>
  </si>
  <si>
    <t>S926/24</t>
  </si>
  <si>
    <t>Luyiza Agnes</t>
  </si>
  <si>
    <t>0742 523265</t>
  </si>
  <si>
    <t>S927/24</t>
  </si>
  <si>
    <t>Catherine Kusasira</t>
  </si>
  <si>
    <t>0754 830027</t>
  </si>
  <si>
    <t>S928/24</t>
  </si>
  <si>
    <t>Gandiri Aisha</t>
  </si>
  <si>
    <t>Nyenga</t>
  </si>
  <si>
    <t>07511 85484</t>
  </si>
  <si>
    <t>S929/24</t>
  </si>
  <si>
    <t>Namawejje Sauda</t>
  </si>
  <si>
    <t>S930/24</t>
  </si>
  <si>
    <t>Nakalumba Evelyn</t>
  </si>
  <si>
    <t>0756 750161</t>
  </si>
  <si>
    <t>S931/24</t>
  </si>
  <si>
    <t>Namukwaya Sarah</t>
  </si>
  <si>
    <t>07007 08737</t>
  </si>
  <si>
    <t>S932/24</t>
  </si>
  <si>
    <t>Mwajuma Nalwada</t>
  </si>
  <si>
    <t>S933/24</t>
  </si>
  <si>
    <t>Naiwumbwe Dinah</t>
  </si>
  <si>
    <t>Kiryowa</t>
  </si>
  <si>
    <t>0745 665363</t>
  </si>
  <si>
    <t>S934/24</t>
  </si>
  <si>
    <t>Mukiite Amina</t>
  </si>
  <si>
    <t>0788 501287</t>
  </si>
  <si>
    <t>S935/24</t>
  </si>
  <si>
    <t>Nakato Veronica</t>
  </si>
  <si>
    <t>07022 78657</t>
  </si>
  <si>
    <t>S936/24</t>
  </si>
  <si>
    <t>Rashida Nabwesa</t>
  </si>
  <si>
    <t>0702 567128</t>
  </si>
  <si>
    <t>S937/24</t>
  </si>
  <si>
    <t>07559 77095</t>
  </si>
  <si>
    <t>S938/24</t>
  </si>
  <si>
    <t>Katongole Esther</t>
  </si>
  <si>
    <t>0740 317762</t>
  </si>
  <si>
    <t>S939/24</t>
  </si>
  <si>
    <t>Nankula Naomi</t>
  </si>
  <si>
    <t>0775 868360</t>
  </si>
  <si>
    <t>S940/24</t>
  </si>
  <si>
    <t>Nasolo Rebecca Stella</t>
  </si>
  <si>
    <t>0753 297171</t>
  </si>
  <si>
    <t>Small lynodes rt breast</t>
  </si>
  <si>
    <t>S941/24</t>
  </si>
  <si>
    <t>Nabirye Sumaya</t>
  </si>
  <si>
    <t>0741 008584</t>
  </si>
  <si>
    <t>S942/24</t>
  </si>
  <si>
    <t>Namayanja Mary</t>
  </si>
  <si>
    <t>41– 50 (03)</t>
  </si>
  <si>
    <t xml:space="preserve"> Date; 10/07/2024</t>
  </si>
  <si>
    <t>Place: BUSEDDE H/C 111</t>
  </si>
  <si>
    <t>S943/24</t>
  </si>
  <si>
    <t>Nakagolo Fauza</t>
  </si>
  <si>
    <t>Nakabale</t>
  </si>
  <si>
    <t>0771077278/0703256558</t>
  </si>
  <si>
    <t>After review JRRH</t>
  </si>
  <si>
    <t>S944/24</t>
  </si>
  <si>
    <t>Kateme Aisha</t>
  </si>
  <si>
    <t>Namazingili</t>
  </si>
  <si>
    <t>0775 316216</t>
  </si>
  <si>
    <t>S945/24</t>
  </si>
  <si>
    <t>Nansasi Regina</t>
  </si>
  <si>
    <t>Bulondo</t>
  </si>
  <si>
    <t>0755 641318</t>
  </si>
  <si>
    <t>S946/24</t>
  </si>
  <si>
    <t>Nangobi Farida</t>
  </si>
  <si>
    <t>Bussede</t>
  </si>
  <si>
    <t>0751 979218</t>
  </si>
  <si>
    <t>S947/24</t>
  </si>
  <si>
    <t>Nabirye Joyida</t>
  </si>
  <si>
    <t>Bugobya</t>
  </si>
  <si>
    <t>Had TAH</t>
  </si>
  <si>
    <t xml:space="preserve">20 – 30(01) </t>
  </si>
  <si>
    <t>31– 40 (02)</t>
  </si>
  <si>
    <t xml:space="preserve"> Date; 17/07/2024</t>
  </si>
  <si>
    <t>Place: NAZIGO  H/C 111</t>
  </si>
  <si>
    <t>S948/24</t>
  </si>
  <si>
    <t>Nambi Jalia</t>
  </si>
  <si>
    <t>0759 892953</t>
  </si>
  <si>
    <t>S949/24</t>
  </si>
  <si>
    <t>Nanyonjo Zaituna</t>
  </si>
  <si>
    <t>07054 44990</t>
  </si>
  <si>
    <t>S950/24</t>
  </si>
  <si>
    <t>Nagujja Hamida</t>
  </si>
  <si>
    <t>0756 498796</t>
  </si>
  <si>
    <t>S951/24</t>
  </si>
  <si>
    <t>Nakayima Lovoisa</t>
  </si>
  <si>
    <t>0778 5892573</t>
  </si>
  <si>
    <t>S952/24</t>
  </si>
  <si>
    <t>Tibajukira Mary</t>
  </si>
  <si>
    <t>Kyampisi</t>
  </si>
  <si>
    <t>Straw berry cervix</t>
  </si>
  <si>
    <t>S953/24</t>
  </si>
  <si>
    <t>Nakachwa Jesca</t>
  </si>
  <si>
    <t>Magala</t>
  </si>
  <si>
    <t>S954/24</t>
  </si>
  <si>
    <t>Nakate Prossy</t>
  </si>
  <si>
    <t>Wakiso</t>
  </si>
  <si>
    <t>S955/24</t>
  </si>
  <si>
    <t>Rahman Namatende</t>
  </si>
  <si>
    <t>Senda</t>
  </si>
  <si>
    <t>07032 55530</t>
  </si>
  <si>
    <t>S956/24</t>
  </si>
  <si>
    <t>Nalubega Milly</t>
  </si>
  <si>
    <t>Kigobela</t>
  </si>
  <si>
    <t>07051 72962</t>
  </si>
  <si>
    <t>S957/24</t>
  </si>
  <si>
    <t>Nalweyiso Catherine</t>
  </si>
  <si>
    <t>Nsuka</t>
  </si>
  <si>
    <t>0740 66896</t>
  </si>
  <si>
    <t>S958/24</t>
  </si>
  <si>
    <t>Biribawa Mariam</t>
  </si>
  <si>
    <t>Nsoyoka</t>
  </si>
  <si>
    <t>S959/24</t>
  </si>
  <si>
    <t>Nakiranda Fatuma</t>
  </si>
  <si>
    <t>Kyetume</t>
  </si>
  <si>
    <t>0755 879212</t>
  </si>
  <si>
    <t>S960/24</t>
  </si>
  <si>
    <t>Nakato Rose</t>
  </si>
  <si>
    <t>Kilibeda</t>
  </si>
  <si>
    <t>0760 752139</t>
  </si>
  <si>
    <t>S961/24</t>
  </si>
  <si>
    <t>Muhange Hawa</t>
  </si>
  <si>
    <t>Nateta</t>
  </si>
  <si>
    <t>07043 30935</t>
  </si>
  <si>
    <t>S962/24</t>
  </si>
  <si>
    <t>Nakaziba Edith</t>
  </si>
  <si>
    <t>0786 610304</t>
  </si>
  <si>
    <t>S963/24</t>
  </si>
  <si>
    <t>Kyakuwaire Rahmat</t>
  </si>
  <si>
    <t>Gobolola</t>
  </si>
  <si>
    <t>0759 777020</t>
  </si>
  <si>
    <t>S964/24</t>
  </si>
  <si>
    <t>Kauma Esther</t>
  </si>
  <si>
    <t>Kangulumira</t>
  </si>
  <si>
    <t>07050 57918</t>
  </si>
  <si>
    <t>S965/24</t>
  </si>
  <si>
    <t>Namawejje Sylvia</t>
  </si>
  <si>
    <t>0743 398330</t>
  </si>
  <si>
    <t>S966/24</t>
  </si>
  <si>
    <t>Nakibugwe Rahuma</t>
  </si>
  <si>
    <t>0757 126197</t>
  </si>
  <si>
    <t>S967/24</t>
  </si>
  <si>
    <t>Sayum Zam</t>
  </si>
  <si>
    <t>Kisoga</t>
  </si>
  <si>
    <t>0741 969304</t>
  </si>
  <si>
    <t>S968/24</t>
  </si>
  <si>
    <t>Wembabazi Patience</t>
  </si>
  <si>
    <t>0755 084936</t>
  </si>
  <si>
    <t>S969/24</t>
  </si>
  <si>
    <t>Nangobi Aisha</t>
  </si>
  <si>
    <t>0740 530860</t>
  </si>
  <si>
    <t>S970/24</t>
  </si>
  <si>
    <t>Kiiza Sumaya</t>
  </si>
  <si>
    <t>Kilemezi</t>
  </si>
  <si>
    <t>07033 7957</t>
  </si>
  <si>
    <t>S971/24</t>
  </si>
  <si>
    <t>Nabwire Fatuma</t>
  </si>
  <si>
    <t>S972/24</t>
  </si>
  <si>
    <t>Nakayima Ziriya</t>
  </si>
  <si>
    <t>Bukoloto</t>
  </si>
  <si>
    <t>0743 515270</t>
  </si>
  <si>
    <t>S973/24</t>
  </si>
  <si>
    <t>Kibowa Kotilda</t>
  </si>
  <si>
    <t>0706 499098</t>
  </si>
  <si>
    <t>S974/24</t>
  </si>
  <si>
    <t>Namwajje Sumaya</t>
  </si>
  <si>
    <t>07083 315720</t>
  </si>
  <si>
    <t xml:space="preserve">20 – 30(13) </t>
  </si>
  <si>
    <t>51-60 (01)</t>
  </si>
  <si>
    <t xml:space="preserve"> Date: 24/7/2024</t>
  </si>
  <si>
    <t>Place: BUWENGE H/C 1V</t>
  </si>
  <si>
    <t>Nalongo Smaya</t>
  </si>
  <si>
    <t>Buwololo</t>
  </si>
  <si>
    <t>0701 593517</t>
  </si>
  <si>
    <t>24/7/2025</t>
  </si>
  <si>
    <t>Mirembe Viola</t>
  </si>
  <si>
    <t>Church zone</t>
  </si>
  <si>
    <t>0741 568740</t>
  </si>
  <si>
    <t>Gonza Sumaya</t>
  </si>
  <si>
    <t>Busia Buwenge</t>
  </si>
  <si>
    <t>0750 004912</t>
  </si>
  <si>
    <t>Kampi Lucy</t>
  </si>
  <si>
    <t>Kiwangama</t>
  </si>
  <si>
    <t>0707 833988</t>
  </si>
  <si>
    <t>Nyadoi Sarah</t>
  </si>
  <si>
    <t>0753 981325</t>
  </si>
  <si>
    <t>JRRH Leep</t>
  </si>
  <si>
    <t>Kyaterekera Aidah</t>
  </si>
  <si>
    <t>Busegula</t>
  </si>
  <si>
    <t>0701 122920</t>
  </si>
  <si>
    <t>Muwadeka Joyce</t>
  </si>
  <si>
    <t>Kayaka</t>
  </si>
  <si>
    <t>0754 588032</t>
  </si>
  <si>
    <t>Kawala Teopista</t>
  </si>
  <si>
    <t>0706 280334</t>
  </si>
  <si>
    <t>Eseza Irene</t>
  </si>
  <si>
    <t>0757 582114</t>
  </si>
  <si>
    <t>Nabatanzi Aisha</t>
  </si>
  <si>
    <t>0755 667046</t>
  </si>
  <si>
    <t>24/7/2027</t>
  </si>
  <si>
    <t>Tibasiima Jesca</t>
  </si>
  <si>
    <t>0743 172387</t>
  </si>
  <si>
    <t>Namuwaya Miria</t>
  </si>
  <si>
    <t>Maga maga</t>
  </si>
  <si>
    <t>Nakagolo Sarah</t>
  </si>
  <si>
    <t>0706 599372</t>
  </si>
  <si>
    <t>Mwanguzi Rachael</t>
  </si>
  <si>
    <t>Kadeba</t>
  </si>
  <si>
    <t>0751 829810</t>
  </si>
  <si>
    <t>Mudola Hellen</t>
  </si>
  <si>
    <t>Kalamoya</t>
  </si>
  <si>
    <t>Adonge Getrude</t>
  </si>
  <si>
    <t>Mpungwe</t>
  </si>
  <si>
    <t>0789 526995</t>
  </si>
  <si>
    <t>Kungumikiriza Monica</t>
  </si>
  <si>
    <t>Kilinga</t>
  </si>
  <si>
    <t>0766 212598</t>
  </si>
  <si>
    <t>Nekesa Milly Merab</t>
  </si>
  <si>
    <t>0789 606966</t>
  </si>
  <si>
    <t>Kalyango Sheilah</t>
  </si>
  <si>
    <t>0701 337995</t>
  </si>
  <si>
    <t>Kwagala Prossy</t>
  </si>
  <si>
    <t>Luban Central</t>
  </si>
  <si>
    <t>0751 570044</t>
  </si>
  <si>
    <t>Namuhoya Norah</t>
  </si>
  <si>
    <t>Mulali Buyende</t>
  </si>
  <si>
    <t>0788 363084</t>
  </si>
  <si>
    <t>Kisakye Resty</t>
  </si>
  <si>
    <t>0755 025063</t>
  </si>
  <si>
    <t>Tibagalika Scovia</t>
  </si>
  <si>
    <t>Wamukolo zone</t>
  </si>
  <si>
    <t>0758 078765</t>
  </si>
  <si>
    <t>S975/24</t>
  </si>
  <si>
    <t>Nandase Hajira</t>
  </si>
  <si>
    <t>Kadiba Buwenge</t>
  </si>
  <si>
    <t>0756 646186</t>
  </si>
  <si>
    <t>S976/24</t>
  </si>
  <si>
    <t>Mutesi Sumaya</t>
  </si>
  <si>
    <t>0760 009409</t>
  </si>
  <si>
    <t>S977/24</t>
  </si>
  <si>
    <t>Bilike Aidah</t>
  </si>
  <si>
    <t>Butangera</t>
  </si>
  <si>
    <t>S978/24</t>
  </si>
  <si>
    <t>Kyazike Faridah</t>
  </si>
  <si>
    <t>Kyelinda zone</t>
  </si>
  <si>
    <t>0750 326459</t>
  </si>
  <si>
    <t>S979/24</t>
  </si>
  <si>
    <t>Aliziki Nalongo</t>
  </si>
  <si>
    <t>Buwenge church zone</t>
  </si>
  <si>
    <t>0782 764874</t>
  </si>
  <si>
    <t>S980/24</t>
  </si>
  <si>
    <t>Namagobwe Scovia</t>
  </si>
  <si>
    <t>Idome</t>
  </si>
  <si>
    <t>0783 524423</t>
  </si>
  <si>
    <t>S981/24</t>
  </si>
  <si>
    <t>Ziwa Joy</t>
  </si>
  <si>
    <t>0788 441037</t>
  </si>
  <si>
    <t>S982/24</t>
  </si>
  <si>
    <t>Bikobele Susan</t>
  </si>
  <si>
    <t>0755 348487</t>
  </si>
  <si>
    <t>S983/24</t>
  </si>
  <si>
    <t>Mwayiduma Gimbo</t>
  </si>
  <si>
    <t xml:space="preserve">Kamigo </t>
  </si>
  <si>
    <t>0750 837099</t>
  </si>
  <si>
    <t>S984/24</t>
  </si>
  <si>
    <t xml:space="preserve">Kibudhaire </t>
  </si>
  <si>
    <t>0753 333500</t>
  </si>
  <si>
    <t>24/1/2025</t>
  </si>
  <si>
    <t>S985/24</t>
  </si>
  <si>
    <t>Nakato Zainabu</t>
  </si>
  <si>
    <t>Nawanyago</t>
  </si>
  <si>
    <t>0705 556918</t>
  </si>
  <si>
    <t>S986/24</t>
  </si>
  <si>
    <t xml:space="preserve">Bukirwa Florence </t>
  </si>
  <si>
    <t>31– 40 (09)</t>
  </si>
  <si>
    <t xml:space="preserve"> Date; 31/07/2024</t>
  </si>
  <si>
    <t>Place: WANGOBO H/C 11</t>
  </si>
  <si>
    <t>HPV</t>
  </si>
  <si>
    <t>S988/24</t>
  </si>
  <si>
    <t>Nekesa Scovia</t>
  </si>
  <si>
    <t>Naigaga</t>
  </si>
  <si>
    <t>31/7/2027</t>
  </si>
  <si>
    <t>S989/24</t>
  </si>
  <si>
    <t>Namulondo Eseza</t>
  </si>
  <si>
    <t>Itetente</t>
  </si>
  <si>
    <t>0751 987342</t>
  </si>
  <si>
    <t>S990/24</t>
  </si>
  <si>
    <t>Nakiranda Sada</t>
  </si>
  <si>
    <t>0771 022149</t>
  </si>
  <si>
    <t>S991/24</t>
  </si>
  <si>
    <t>Kalembe Betty</t>
  </si>
  <si>
    <t>Bukubasili</t>
  </si>
  <si>
    <t>0757 506477</t>
  </si>
  <si>
    <t>S992/24</t>
  </si>
  <si>
    <t>Nasirubi Evarine</t>
  </si>
  <si>
    <t>Buziiba</t>
  </si>
  <si>
    <t>S993/24</t>
  </si>
  <si>
    <t>Buswiriri</t>
  </si>
  <si>
    <t>S994/24</t>
  </si>
  <si>
    <t>Nalulunji Esther</t>
  </si>
  <si>
    <t>S995/24</t>
  </si>
  <si>
    <t>Nabwire Phionah</t>
  </si>
  <si>
    <t>0700 954024</t>
  </si>
  <si>
    <t>S996/24</t>
  </si>
  <si>
    <t>Naigaga Mary</t>
  </si>
  <si>
    <t>0781 145750</t>
  </si>
  <si>
    <t>S997/24</t>
  </si>
  <si>
    <t>Nakalema Shamusi</t>
  </si>
  <si>
    <t>Wangobo</t>
  </si>
  <si>
    <t>0770 789108</t>
  </si>
  <si>
    <t>S998/24</t>
  </si>
  <si>
    <t>Abalyongera Fatina</t>
  </si>
  <si>
    <t>Nabukalu</t>
  </si>
  <si>
    <t>0762 494626</t>
  </si>
  <si>
    <t>S999/24</t>
  </si>
  <si>
    <t>Ndiwayoki Peninah</t>
  </si>
  <si>
    <t>0788 083832</t>
  </si>
  <si>
    <t>S1000/24</t>
  </si>
  <si>
    <t>Namago Kasifah</t>
  </si>
  <si>
    <t>0743 648806</t>
  </si>
  <si>
    <t>S1001/24</t>
  </si>
  <si>
    <t>Kansiime Esther</t>
  </si>
  <si>
    <t>0751 039807</t>
  </si>
  <si>
    <t>S1002/24</t>
  </si>
  <si>
    <t>Kaasa Jackline</t>
  </si>
  <si>
    <t>Butuka</t>
  </si>
  <si>
    <t>0742 714012</t>
  </si>
  <si>
    <t>S1003/24</t>
  </si>
  <si>
    <t>Mudondo Sylvia</t>
  </si>
  <si>
    <t>0765 999590</t>
  </si>
  <si>
    <t>S1004/24</t>
  </si>
  <si>
    <t>Logose Manjeri</t>
  </si>
  <si>
    <t>0758 386121</t>
  </si>
  <si>
    <t xml:space="preserve">Mugwere </t>
  </si>
  <si>
    <t>S1005/24</t>
  </si>
  <si>
    <t>Namukose Saidah</t>
  </si>
  <si>
    <t>0759 705613</t>
  </si>
  <si>
    <t>S1006/24</t>
  </si>
  <si>
    <t>Nambuya Mariam</t>
  </si>
  <si>
    <t>Nakivamba</t>
  </si>
  <si>
    <t>0704 822898</t>
  </si>
  <si>
    <t>S1007/24</t>
  </si>
  <si>
    <t>Nabuluba Mariam</t>
  </si>
  <si>
    <t>0759 476704</t>
  </si>
  <si>
    <t>S1008/24</t>
  </si>
  <si>
    <t>Nakisige Esther</t>
  </si>
  <si>
    <t xml:space="preserve">Busala </t>
  </si>
  <si>
    <t>0700 513242</t>
  </si>
  <si>
    <t>S1009/24</t>
  </si>
  <si>
    <t>Muwanguzi Faith</t>
  </si>
  <si>
    <t>Insokwe</t>
  </si>
  <si>
    <t>0741 623289</t>
  </si>
  <si>
    <t>S1010/24</t>
  </si>
  <si>
    <t>Nanagwe Aminah</t>
  </si>
  <si>
    <t>Kabasala</t>
  </si>
  <si>
    <t>0755 553249</t>
  </si>
  <si>
    <t>S1011/24</t>
  </si>
  <si>
    <t>Akinyi Sylvia</t>
  </si>
  <si>
    <t>S1012/24</t>
  </si>
  <si>
    <t>Namukunve Faridah</t>
  </si>
  <si>
    <t>0703 741158</t>
  </si>
  <si>
    <t>S1013/24</t>
  </si>
  <si>
    <t>Wotali Teopista</t>
  </si>
  <si>
    <t>0773 379000</t>
  </si>
  <si>
    <t>S1014/24</t>
  </si>
  <si>
    <t>0757 278567</t>
  </si>
  <si>
    <t>S1015/24</t>
  </si>
  <si>
    <t>Kakaire</t>
  </si>
  <si>
    <t>S1016/24</t>
  </si>
  <si>
    <t>Mwatumu Namabwe</t>
  </si>
  <si>
    <t>S1017/24</t>
  </si>
  <si>
    <t>Bakulinya Rose</t>
  </si>
  <si>
    <t>Bakakaire</t>
  </si>
  <si>
    <t>0780 884864</t>
  </si>
  <si>
    <t>S1018/24</t>
  </si>
  <si>
    <t>S1019/24</t>
  </si>
  <si>
    <t>Mutesi Robinah</t>
  </si>
  <si>
    <t>0764 191662</t>
  </si>
  <si>
    <t>S1020/24</t>
  </si>
  <si>
    <t>Nabirye Halima</t>
  </si>
  <si>
    <t>Busaala</t>
  </si>
  <si>
    <t>0751 847113</t>
  </si>
  <si>
    <t>S1021/24</t>
  </si>
  <si>
    <t>Maladi Fatina</t>
  </si>
  <si>
    <t>0756 776871</t>
  </si>
  <si>
    <t>S1022/24</t>
  </si>
  <si>
    <t>S1023/24</t>
  </si>
  <si>
    <t>Namukuve Saluwah</t>
  </si>
  <si>
    <t>0752 381385</t>
  </si>
  <si>
    <t>S1024/24</t>
  </si>
  <si>
    <t>Nampiina Jesca</t>
  </si>
  <si>
    <t>S1025/24</t>
  </si>
  <si>
    <t>Namaganda Fatuma</t>
  </si>
  <si>
    <t>0780 853278</t>
  </si>
  <si>
    <t>S1026/24</t>
  </si>
  <si>
    <t>Namusosa Monica</t>
  </si>
  <si>
    <t>0778 709426</t>
  </si>
  <si>
    <t>31– 40 (13)</t>
  </si>
  <si>
    <t xml:space="preserve"> Date; JUNE 2024 </t>
  </si>
  <si>
    <t>S1027/24</t>
  </si>
  <si>
    <t>Mutesi Aidah</t>
  </si>
  <si>
    <t>Nalufenya</t>
  </si>
  <si>
    <t>0785 751007</t>
  </si>
  <si>
    <t>S1028/24</t>
  </si>
  <si>
    <t>Nandudu Safina</t>
  </si>
  <si>
    <t>Buwendo</t>
  </si>
  <si>
    <t>0789 372880</t>
  </si>
  <si>
    <t>S1029/24</t>
  </si>
  <si>
    <t>Kayuki Ruth Abigali</t>
  </si>
  <si>
    <t>0741 755605</t>
  </si>
  <si>
    <t>S1030/24</t>
  </si>
  <si>
    <t>Rakhee Visavadia</t>
  </si>
  <si>
    <t>Kiira road</t>
  </si>
  <si>
    <t>0773 436701</t>
  </si>
  <si>
    <t xml:space="preserve"> Date; JULY 2024 </t>
  </si>
  <si>
    <t>S1031/24</t>
  </si>
  <si>
    <t>Amulen Joyce</t>
  </si>
  <si>
    <t>0787 700942</t>
  </si>
  <si>
    <t>S1032/24</t>
  </si>
  <si>
    <t>Kakaire Esther</t>
  </si>
  <si>
    <t>0753 561850</t>
  </si>
  <si>
    <t>S1033/24</t>
  </si>
  <si>
    <t>Kyakuwaire Sarah</t>
  </si>
  <si>
    <t>Not detected</t>
  </si>
  <si>
    <t>S1034/24</t>
  </si>
  <si>
    <t>Ayinza Christine</t>
  </si>
  <si>
    <t>07030 93440</t>
  </si>
  <si>
    <t>S1035/24</t>
  </si>
  <si>
    <t>Nacho Esther Ruth</t>
  </si>
  <si>
    <t>Lubaga</t>
  </si>
  <si>
    <t>0785 441876</t>
  </si>
  <si>
    <t>Jap</t>
  </si>
  <si>
    <t>S1036/24</t>
  </si>
  <si>
    <t>Nangobi Lillian</t>
  </si>
  <si>
    <t>Kaluba</t>
  </si>
  <si>
    <t>0784 902259</t>
  </si>
  <si>
    <t>S1037/24</t>
  </si>
  <si>
    <t>Nabirye Juliana</t>
  </si>
  <si>
    <t>0755 538116</t>
  </si>
  <si>
    <t>S1038/24</t>
  </si>
  <si>
    <t>Rakhee</t>
  </si>
  <si>
    <t>Vaginal cervicitis</t>
  </si>
  <si>
    <t xml:space="preserve">20 – 30(03) </t>
  </si>
  <si>
    <t xml:space="preserve"> Date; 2/8/2024 </t>
  </si>
  <si>
    <t>Place: BUSOGA FORESRTY</t>
  </si>
  <si>
    <t>S1039/24</t>
  </si>
  <si>
    <t>Naigebe Elizabeth</t>
  </si>
  <si>
    <t>Buika</t>
  </si>
  <si>
    <t>074383 9248</t>
  </si>
  <si>
    <t>S1040/24</t>
  </si>
  <si>
    <t>Charlotte Karungi</t>
  </si>
  <si>
    <t>0780 841847</t>
  </si>
  <si>
    <t>S1041/24</t>
  </si>
  <si>
    <t>Namagembe Sharifah</t>
  </si>
  <si>
    <t>Nkombe</t>
  </si>
  <si>
    <t>07017 22355</t>
  </si>
  <si>
    <t>S1042/24</t>
  </si>
  <si>
    <t>Naiwumbwe Rose</t>
  </si>
  <si>
    <t>07009 50505</t>
  </si>
  <si>
    <t>S1043/24</t>
  </si>
  <si>
    <t>Adong Kevin Oliver</t>
  </si>
  <si>
    <t>Kasali</t>
  </si>
  <si>
    <t>07070 62552</t>
  </si>
  <si>
    <t>S1044/24</t>
  </si>
  <si>
    <t>Mirembe Shakira</t>
  </si>
  <si>
    <t>07008 87733</t>
  </si>
  <si>
    <t>S1045/24</t>
  </si>
  <si>
    <t>Mucenero Joyce</t>
  </si>
  <si>
    <t>Buwelele</t>
  </si>
  <si>
    <t>0754 525664</t>
  </si>
  <si>
    <t>S1046/24</t>
  </si>
  <si>
    <t>Achen Zulaika</t>
  </si>
  <si>
    <t>0750 559294</t>
  </si>
  <si>
    <t>S1047/24</t>
  </si>
  <si>
    <t>Namuyomba Scovia</t>
  </si>
  <si>
    <t>07049 62974</t>
  </si>
  <si>
    <t>S1048/24</t>
  </si>
  <si>
    <t>Amodoi Godilive</t>
  </si>
  <si>
    <t>0772 775593</t>
  </si>
  <si>
    <t>S1049/24</t>
  </si>
  <si>
    <t>Aceno Brenda</t>
  </si>
  <si>
    <t>0763 169572</t>
  </si>
  <si>
    <t>S1050/24</t>
  </si>
  <si>
    <t>Anyadwe Flavia</t>
  </si>
  <si>
    <t>07818 21711</t>
  </si>
  <si>
    <t>S1051/24</t>
  </si>
  <si>
    <t>Nangobi Susan</t>
  </si>
  <si>
    <t>Milabila</t>
  </si>
  <si>
    <t>0743 722171</t>
  </si>
  <si>
    <t>S1052/24</t>
  </si>
  <si>
    <t>Amanya Esther</t>
  </si>
  <si>
    <t>0788 197115</t>
  </si>
  <si>
    <t>S1053/24</t>
  </si>
  <si>
    <t>Babirye Zamu</t>
  </si>
  <si>
    <t>Magamaga</t>
  </si>
  <si>
    <t>0754 424050</t>
  </si>
  <si>
    <t>S1054/24</t>
  </si>
  <si>
    <t>Nanyonjo Prossy Chloe</t>
  </si>
  <si>
    <t>Bukaleba</t>
  </si>
  <si>
    <t>07010 73961</t>
  </si>
  <si>
    <t>S1055/24</t>
  </si>
  <si>
    <t>Tibesigwa Phionah</t>
  </si>
  <si>
    <t>0756 809761</t>
  </si>
  <si>
    <t>Siki</t>
  </si>
  <si>
    <t>S1056/24</t>
  </si>
  <si>
    <t>Nafuna Benitah</t>
  </si>
  <si>
    <t>0750 552436</t>
  </si>
  <si>
    <t>S1057/24</t>
  </si>
  <si>
    <t>Namukose Fazirah</t>
  </si>
  <si>
    <t>07030 30473</t>
  </si>
  <si>
    <t>S1058/24</t>
  </si>
  <si>
    <t>Katusabila Janet</t>
  </si>
  <si>
    <t>07008 41915</t>
  </si>
  <si>
    <t>S1059/24</t>
  </si>
  <si>
    <t>Kagoya Zaituna</t>
  </si>
  <si>
    <t>0702 326507</t>
  </si>
  <si>
    <t>S1060/24</t>
  </si>
  <si>
    <t>0758 025653</t>
  </si>
  <si>
    <t>S1061/24</t>
  </si>
  <si>
    <t>Namususwa Hadija</t>
  </si>
  <si>
    <t>Buyuka</t>
  </si>
  <si>
    <t>0754 494845</t>
  </si>
  <si>
    <t>S1062/24</t>
  </si>
  <si>
    <t>Athieno Juliet</t>
  </si>
  <si>
    <t>0751 502413</t>
  </si>
  <si>
    <t>S1063/24</t>
  </si>
  <si>
    <t>Namaganda Shadia</t>
  </si>
  <si>
    <t>0753 656130</t>
  </si>
  <si>
    <t>S1064/24</t>
  </si>
  <si>
    <t>Ayikoru Edith</t>
  </si>
  <si>
    <t>07006 47322</t>
  </si>
  <si>
    <t>Lugubara</t>
  </si>
  <si>
    <t>S1065/24</t>
  </si>
  <si>
    <t>Apio Eunice</t>
  </si>
  <si>
    <t>0785 919383</t>
  </si>
  <si>
    <t>S1066/24</t>
  </si>
  <si>
    <t>0750 805673</t>
  </si>
  <si>
    <t>Resently screened</t>
  </si>
  <si>
    <t>Mayuge H/C IV for scan</t>
  </si>
  <si>
    <t>S1067/24</t>
  </si>
  <si>
    <t>Akello Irene</t>
  </si>
  <si>
    <t>07064 31103</t>
  </si>
  <si>
    <t>S1068/24</t>
  </si>
  <si>
    <t>Mukyala Nziran</t>
  </si>
  <si>
    <t>0702 004783</t>
  </si>
  <si>
    <t>S1069/24</t>
  </si>
  <si>
    <t>Akoli Miriam Stella</t>
  </si>
  <si>
    <t>0783 247834</t>
  </si>
  <si>
    <t>S1070/24</t>
  </si>
  <si>
    <t>Molly Ejang</t>
  </si>
  <si>
    <t>0783 643961</t>
  </si>
  <si>
    <t>S1071/24</t>
  </si>
  <si>
    <t>Apio Harriet</t>
  </si>
  <si>
    <t>0759 704401</t>
  </si>
  <si>
    <t>S1072/24</t>
  </si>
  <si>
    <t>Lira</t>
  </si>
  <si>
    <t>07040 18356</t>
  </si>
  <si>
    <t>S1073/24</t>
  </si>
  <si>
    <t>Namudola Zahara</t>
  </si>
  <si>
    <t>07030 41366</t>
  </si>
  <si>
    <t>S1074/24</t>
  </si>
  <si>
    <t>Nangobi Janet</t>
  </si>
  <si>
    <t>0702 578968</t>
  </si>
  <si>
    <t>S1075/24</t>
  </si>
  <si>
    <t>0753 080969</t>
  </si>
  <si>
    <t>S1076/24</t>
  </si>
  <si>
    <t>Aujo Gloria</t>
  </si>
  <si>
    <t>0754 194641</t>
  </si>
  <si>
    <t>S1077/24</t>
  </si>
  <si>
    <t>Akello Flavia</t>
  </si>
  <si>
    <t>0783 507457</t>
  </si>
  <si>
    <t>S1078/24</t>
  </si>
  <si>
    <t>Mbeiza Eva</t>
  </si>
  <si>
    <t>0756 206416</t>
  </si>
  <si>
    <t>S1079/24</t>
  </si>
  <si>
    <t>Kusmererwa Christine</t>
  </si>
  <si>
    <t>076 2874685</t>
  </si>
  <si>
    <t>S1210/24</t>
  </si>
  <si>
    <t>Kagoya Aisha</t>
  </si>
  <si>
    <t>0745 039216</t>
  </si>
  <si>
    <t>S1080/24</t>
  </si>
  <si>
    <t>Namaganda Aisha</t>
  </si>
  <si>
    <t>0754 345894</t>
  </si>
  <si>
    <t>S1081/24</t>
  </si>
  <si>
    <t>Nangobi Rukia</t>
  </si>
  <si>
    <t>0744 123168</t>
  </si>
  <si>
    <t>TAH</t>
  </si>
  <si>
    <r>
      <rPr>
        <b/>
        <sz val="9"/>
        <color rgb="FF1F1F1F"/>
        <rFont val="Calibri"/>
        <family val="2"/>
        <scheme val="minor"/>
      </rPr>
      <t>&lt;19 (01)</t>
    </r>
  </si>
  <si>
    <t xml:space="preserve">20 – 30(27) </t>
  </si>
  <si>
    <t xml:space="preserve"> Date; 3/8/2024 </t>
  </si>
  <si>
    <t>Place: BUGWERI</t>
  </si>
  <si>
    <t>S1082/24</t>
  </si>
  <si>
    <t>Nekesa Sarah</t>
  </si>
  <si>
    <t>0789 681898</t>
  </si>
  <si>
    <t>S1083/24</t>
  </si>
  <si>
    <t>Nabiryo Caterina</t>
  </si>
  <si>
    <t>Kitabi</t>
  </si>
  <si>
    <t>0702 414892</t>
  </si>
  <si>
    <t>S1084/24</t>
  </si>
  <si>
    <t>Mutesi Noor</t>
  </si>
  <si>
    <t>Kisoni</t>
  </si>
  <si>
    <t>0789 991821</t>
  </si>
  <si>
    <t>S1085/24</t>
  </si>
  <si>
    <t>Namuzi Annet</t>
  </si>
  <si>
    <t>0774 395095</t>
  </si>
  <si>
    <t>S1086/24</t>
  </si>
  <si>
    <t>Nakadama Joy</t>
  </si>
  <si>
    <t>Bugweri</t>
  </si>
  <si>
    <t>0774 961825</t>
  </si>
  <si>
    <t>S1087/24</t>
  </si>
  <si>
    <t>Kwikiriza Betty</t>
  </si>
  <si>
    <t>0700 1824921</t>
  </si>
  <si>
    <t>S1088/24</t>
  </si>
  <si>
    <t>Mwajjuma Zaitun</t>
  </si>
  <si>
    <t>0781 011822</t>
  </si>
  <si>
    <t>S1089/24</t>
  </si>
  <si>
    <t>Nakato Aisha</t>
  </si>
  <si>
    <t>Nambilizi</t>
  </si>
  <si>
    <t>0743 555785</t>
  </si>
  <si>
    <t>S1090/24</t>
  </si>
  <si>
    <t>Kagoya Lukia</t>
  </si>
  <si>
    <t>Butende</t>
  </si>
  <si>
    <t>S1091/24</t>
  </si>
  <si>
    <t>Namukombe Fidah</t>
  </si>
  <si>
    <t>Ibaako</t>
  </si>
  <si>
    <t>0782 203600</t>
  </si>
  <si>
    <t>41– 50 (04)</t>
  </si>
  <si>
    <t xml:space="preserve"> Date; 9/8/2024 </t>
  </si>
  <si>
    <t>Place: IGENGE</t>
  </si>
  <si>
    <t>S1092/24</t>
  </si>
  <si>
    <t>Kizza Rebecca</t>
  </si>
  <si>
    <t>Igenge</t>
  </si>
  <si>
    <t>0763 837885</t>
  </si>
  <si>
    <t>S1093/24</t>
  </si>
  <si>
    <t>Nankwanga Ziyada</t>
  </si>
  <si>
    <t>Katende</t>
  </si>
  <si>
    <t>0771 448651</t>
  </si>
  <si>
    <t>S1094/24</t>
  </si>
  <si>
    <t>Nyachwo Sylvia</t>
  </si>
  <si>
    <t>Nakanyonyi</t>
  </si>
  <si>
    <t>0781 947692</t>
  </si>
  <si>
    <t>Japadhola</t>
  </si>
  <si>
    <t>S1095/24</t>
  </si>
  <si>
    <t>Namata Halima</t>
  </si>
  <si>
    <t>0753 945310</t>
  </si>
  <si>
    <t>S1096/24</t>
  </si>
  <si>
    <t>Budhubuli</t>
  </si>
  <si>
    <t>0758 857938</t>
  </si>
  <si>
    <t>S1097/24</t>
  </si>
  <si>
    <t>Katono Rebecca</t>
  </si>
  <si>
    <t>0700 422351</t>
  </si>
  <si>
    <t>S1098/24</t>
  </si>
  <si>
    <t>Kuteesa Harriet</t>
  </si>
  <si>
    <t>Kainogonga</t>
  </si>
  <si>
    <t>0703 023637</t>
  </si>
  <si>
    <t>S1099/24</t>
  </si>
  <si>
    <t>Kwagala Joan</t>
  </si>
  <si>
    <t>0742 805759</t>
  </si>
  <si>
    <t>S1100/24</t>
  </si>
  <si>
    <t>Musana Sophie</t>
  </si>
  <si>
    <t>0752 042277</t>
  </si>
  <si>
    <t>S1101/24</t>
  </si>
  <si>
    <t>Afaayo Birungi Hawa</t>
  </si>
  <si>
    <t>0754 235577</t>
  </si>
  <si>
    <t>S1102/24</t>
  </si>
  <si>
    <t>Namuwaya Rahuma</t>
  </si>
  <si>
    <t>0752 067232</t>
  </si>
  <si>
    <t>S1103/24</t>
  </si>
  <si>
    <t>Nakisige Jamila</t>
  </si>
  <si>
    <t>0704 310682</t>
  </si>
  <si>
    <t>S1104/24</t>
  </si>
  <si>
    <t>Kisakye Joy</t>
  </si>
  <si>
    <t>S1105/24</t>
  </si>
  <si>
    <t>Musubika Jalia</t>
  </si>
  <si>
    <t>0754 152985</t>
  </si>
  <si>
    <t>S1106/24</t>
  </si>
  <si>
    <t>Namatovu Shadia</t>
  </si>
  <si>
    <t>0753 844298</t>
  </si>
  <si>
    <t>S1107/24</t>
  </si>
  <si>
    <t>Naitebe Faridah</t>
  </si>
  <si>
    <t>0753 068895</t>
  </si>
  <si>
    <t>S1108/24</t>
  </si>
  <si>
    <t>Namwase Resty</t>
  </si>
  <si>
    <t>0755 249016</t>
  </si>
  <si>
    <t>S1109/24</t>
  </si>
  <si>
    <t>Byobona Mariam</t>
  </si>
  <si>
    <t>0753 537100</t>
  </si>
  <si>
    <t>S1110/24</t>
  </si>
  <si>
    <t>Gambeya Saphia</t>
  </si>
  <si>
    <t>0741 149026</t>
  </si>
  <si>
    <t>S1111/24</t>
  </si>
  <si>
    <t>Nabakooza Fatuma</t>
  </si>
  <si>
    <t>0752 549282</t>
  </si>
  <si>
    <t>S1112/24</t>
  </si>
  <si>
    <t>Tukahira Allen</t>
  </si>
  <si>
    <t>0760 492774</t>
  </si>
  <si>
    <t>S1113/24</t>
  </si>
  <si>
    <t>Namukasa Monica</t>
  </si>
  <si>
    <t>0743 814928</t>
  </si>
  <si>
    <t>S1114/24</t>
  </si>
  <si>
    <t>Naigaga Mwajuma</t>
  </si>
  <si>
    <t>0704 179165</t>
  </si>
  <si>
    <t>S1115/24</t>
  </si>
  <si>
    <t>Nakirya Sumaya</t>
  </si>
  <si>
    <t>0745 510708</t>
  </si>
  <si>
    <t>S1116/24</t>
  </si>
  <si>
    <t>Namawejje Phiona</t>
  </si>
  <si>
    <t>Katwe</t>
  </si>
  <si>
    <t>0754 573357</t>
  </si>
  <si>
    <r>
      <rPr>
        <b/>
        <sz val="11"/>
        <color rgb="FF1F1F1F"/>
        <rFont val="Calibri"/>
        <family val="2"/>
        <scheme val="minor"/>
      </rPr>
      <t>&gt;61 (01)</t>
    </r>
  </si>
  <si>
    <t xml:space="preserve"> Date; 15/8/2024 </t>
  </si>
  <si>
    <t>Place: JINJA CENTRAL MARKET</t>
  </si>
  <si>
    <t>S1117/24</t>
  </si>
  <si>
    <t>Kwagala Mable</t>
  </si>
  <si>
    <t>Wanyange lake</t>
  </si>
  <si>
    <t>0744 022319</t>
  </si>
  <si>
    <t>15/8/2027</t>
  </si>
  <si>
    <t>S1118/24</t>
  </si>
  <si>
    <t>Isabirye Robinah</t>
  </si>
  <si>
    <t>Wallukuba East</t>
  </si>
  <si>
    <t>0752 528717</t>
  </si>
  <si>
    <t>S1119/24</t>
  </si>
  <si>
    <t>Nakachwa Ruth</t>
  </si>
  <si>
    <t>0704 302763</t>
  </si>
  <si>
    <t>S1120/24</t>
  </si>
  <si>
    <t>Nangobi Esther</t>
  </si>
  <si>
    <t>Kubili</t>
  </si>
  <si>
    <t>0744 097327</t>
  </si>
  <si>
    <t>S1121/24</t>
  </si>
  <si>
    <t>Nabirye Annet</t>
  </si>
  <si>
    <t>0756 761930</t>
  </si>
  <si>
    <t>S1122/24</t>
  </si>
  <si>
    <t>Mutesi Fazirah</t>
  </si>
  <si>
    <t>0779 735287</t>
  </si>
  <si>
    <t>S1123/24</t>
  </si>
  <si>
    <t>Mirembe Sherry</t>
  </si>
  <si>
    <t xml:space="preserve">Wanyange </t>
  </si>
  <si>
    <t>0704 438005</t>
  </si>
  <si>
    <t>S1124/24</t>
  </si>
  <si>
    <t>Isiko Susan</t>
  </si>
  <si>
    <t>0788 941404</t>
  </si>
  <si>
    <t>S1125/24</t>
  </si>
  <si>
    <t>Nanfuka Sulaina</t>
  </si>
  <si>
    <t>0774 691835</t>
  </si>
  <si>
    <t>S1126/24</t>
  </si>
  <si>
    <t>Namuwaya Lukia</t>
  </si>
  <si>
    <t>0772 059126</t>
  </si>
  <si>
    <t>S1127/24</t>
  </si>
  <si>
    <t>Nalwanga Prisca</t>
  </si>
  <si>
    <t>0753 388010</t>
  </si>
  <si>
    <t>S1128/24</t>
  </si>
  <si>
    <t>Nakku Suzan</t>
  </si>
  <si>
    <t>0701 367407</t>
  </si>
  <si>
    <t>S1129/24</t>
  </si>
  <si>
    <t>Babirye Juliet</t>
  </si>
  <si>
    <t>0753 226787</t>
  </si>
  <si>
    <t>S1130/24</t>
  </si>
  <si>
    <t>Nabirye Esther</t>
  </si>
  <si>
    <t>0756 282741</t>
  </si>
  <si>
    <t>S1131/24</t>
  </si>
  <si>
    <t>Ajambo Immaculate</t>
  </si>
  <si>
    <t>0757 975607</t>
  </si>
  <si>
    <t>Musamia</t>
  </si>
  <si>
    <t>S1132/24</t>
  </si>
  <si>
    <t>0755 298112</t>
  </si>
  <si>
    <t>4 months ago</t>
  </si>
  <si>
    <t>S1133/24</t>
  </si>
  <si>
    <t>Cole Salma</t>
  </si>
  <si>
    <t>0781 728749</t>
  </si>
  <si>
    <t>S1134/24</t>
  </si>
  <si>
    <t>Nangobi Ediisa</t>
  </si>
  <si>
    <t>0750 997492</t>
  </si>
  <si>
    <t>S1135/24</t>
  </si>
  <si>
    <t>Namukose Dorothy</t>
  </si>
  <si>
    <t>Bugembe -Katwe</t>
  </si>
  <si>
    <t>0751 915254</t>
  </si>
  <si>
    <t>S1136/24</t>
  </si>
  <si>
    <t>Nantale Aminah</t>
  </si>
  <si>
    <t>0703 969088</t>
  </si>
  <si>
    <t>S1137/24</t>
  </si>
  <si>
    <t>Baruka Prossy</t>
  </si>
  <si>
    <t>0705 910776</t>
  </si>
  <si>
    <t>S1138/24</t>
  </si>
  <si>
    <t>Kadondo Jackline</t>
  </si>
  <si>
    <t>0753 244736</t>
  </si>
  <si>
    <t>S1139/24</t>
  </si>
  <si>
    <t>0785 009283</t>
  </si>
  <si>
    <t>S1140/24</t>
  </si>
  <si>
    <t>Nabirye Irene</t>
  </si>
  <si>
    <t>0702 668583</t>
  </si>
  <si>
    <t>S1141/24</t>
  </si>
  <si>
    <t>Namatovu Agnes</t>
  </si>
  <si>
    <t>Musima</t>
  </si>
  <si>
    <t>0759 241761</t>
  </si>
  <si>
    <t>S1142/24</t>
  </si>
  <si>
    <t>Nansamba Winfred</t>
  </si>
  <si>
    <t>0753 563277</t>
  </si>
  <si>
    <t>S1143/24</t>
  </si>
  <si>
    <t>Nafuna Shadia</t>
  </si>
  <si>
    <t>0753 560266</t>
  </si>
  <si>
    <t>S1144/24</t>
  </si>
  <si>
    <t>Ainomugisha Aidah</t>
  </si>
  <si>
    <t>0700 251071</t>
  </si>
  <si>
    <t>S1145/24</t>
  </si>
  <si>
    <t>Namugaya Asina</t>
  </si>
  <si>
    <t>0705 201559</t>
  </si>
  <si>
    <t>S1146/24</t>
  </si>
  <si>
    <t>Namususwa Hawa</t>
  </si>
  <si>
    <t>0745 905614</t>
  </si>
  <si>
    <t>S1147/24</t>
  </si>
  <si>
    <t>Namuganga Salima</t>
  </si>
  <si>
    <t>Bugembe- Wanyama</t>
  </si>
  <si>
    <t>0703 945490</t>
  </si>
  <si>
    <t>S1148/24</t>
  </si>
  <si>
    <t>Namugaya Christine</t>
  </si>
  <si>
    <t>Soweto</t>
  </si>
  <si>
    <t>0757 605392</t>
  </si>
  <si>
    <t>S1149/24</t>
  </si>
  <si>
    <t>Bugembe- Wanyange</t>
  </si>
  <si>
    <t>0707 622983</t>
  </si>
  <si>
    <t>S1150/24</t>
  </si>
  <si>
    <t>Namulinda Halima</t>
  </si>
  <si>
    <t>0740 537720</t>
  </si>
  <si>
    <t>S1151/24</t>
  </si>
  <si>
    <t>Kagoya Christine</t>
  </si>
  <si>
    <t>Buyala</t>
  </si>
  <si>
    <t>0777 412620</t>
  </si>
  <si>
    <t>S1152/24</t>
  </si>
  <si>
    <t>Naigaga Mariam</t>
  </si>
  <si>
    <t>0752 720569</t>
  </si>
  <si>
    <t>S1153/24</t>
  </si>
  <si>
    <t>Budhumbuli</t>
  </si>
  <si>
    <t>0779 222258</t>
  </si>
  <si>
    <t>15/8/2025</t>
  </si>
  <si>
    <t>S1154/24</t>
  </si>
  <si>
    <t>Mukebezi Annet</t>
  </si>
  <si>
    <t>Obojja Road</t>
  </si>
  <si>
    <t>0740 656300</t>
  </si>
  <si>
    <t>S1155/24</t>
  </si>
  <si>
    <t>Aliyinza Monica</t>
  </si>
  <si>
    <t>0703 001220</t>
  </si>
  <si>
    <t>S1156/24</t>
  </si>
  <si>
    <t>Namulondo Zabuna</t>
  </si>
  <si>
    <t>Bugembe- Budhumbuli</t>
  </si>
  <si>
    <t>0775 294775</t>
  </si>
  <si>
    <t>S1157/24</t>
  </si>
  <si>
    <t>Mbabazi Maria</t>
  </si>
  <si>
    <t>0701 292888</t>
  </si>
  <si>
    <t>S1158/24</t>
  </si>
  <si>
    <t>0755 570108</t>
  </si>
  <si>
    <t>S1159/24</t>
  </si>
  <si>
    <t>Nagawa Jamira</t>
  </si>
  <si>
    <t>Bukaaya</t>
  </si>
  <si>
    <t>0751 500768</t>
  </si>
  <si>
    <t>S1160/24</t>
  </si>
  <si>
    <t>Mutesi Mariam</t>
  </si>
  <si>
    <t>0700 740411</t>
  </si>
  <si>
    <t>S1161/24</t>
  </si>
  <si>
    <t>Nabirye Peruth</t>
  </si>
  <si>
    <t>0752 615943</t>
  </si>
  <si>
    <t>S1162/24</t>
  </si>
  <si>
    <t>Namuwaya Lovis</t>
  </si>
  <si>
    <t>Mafubira Kayunga</t>
  </si>
  <si>
    <t>0751 143916</t>
  </si>
  <si>
    <t>S1163/24</t>
  </si>
  <si>
    <t>Nakku Martha</t>
  </si>
  <si>
    <t>0783 313859</t>
  </si>
  <si>
    <t>S1164/24</t>
  </si>
  <si>
    <t>Nakachwa Rosemary</t>
  </si>
  <si>
    <t>0757 613018</t>
  </si>
  <si>
    <t>S1165/24</t>
  </si>
  <si>
    <t>Mirembe Amina</t>
  </si>
  <si>
    <t>Mafubira B</t>
  </si>
  <si>
    <t>0744 097871</t>
  </si>
  <si>
    <t>S1166/24</t>
  </si>
  <si>
    <t>Babiwemba Lydia</t>
  </si>
  <si>
    <t>0774 415260</t>
  </si>
  <si>
    <t>S1167/24</t>
  </si>
  <si>
    <t>Kemigisha Hope</t>
  </si>
  <si>
    <t>Hospital quarter- Jinja</t>
  </si>
  <si>
    <t>0758 651590</t>
  </si>
  <si>
    <t>S1168/24</t>
  </si>
  <si>
    <t>0701 164381</t>
  </si>
  <si>
    <t>15/10/2024</t>
  </si>
  <si>
    <t>S1169/24</t>
  </si>
  <si>
    <t>Nambi Harriet</t>
  </si>
  <si>
    <t>0756 198556</t>
  </si>
  <si>
    <t>S1170/24</t>
  </si>
  <si>
    <t>Nakawuka Sauda</t>
  </si>
  <si>
    <t>0705 429559</t>
  </si>
  <si>
    <t>S1171/24</t>
  </si>
  <si>
    <t>Nakagolo Evelyn</t>
  </si>
  <si>
    <t>0755 898774</t>
  </si>
  <si>
    <t>S1172/24</t>
  </si>
  <si>
    <t>S1173/24</t>
  </si>
  <si>
    <t>Nakangu Rashida</t>
  </si>
  <si>
    <t>0776 313157</t>
  </si>
  <si>
    <t>S1174/24</t>
  </si>
  <si>
    <t>Buwande Annet</t>
  </si>
  <si>
    <t>Police Wing</t>
  </si>
  <si>
    <t>S1175/24</t>
  </si>
  <si>
    <t>Kwagala Susan</t>
  </si>
  <si>
    <t>0755 425609</t>
  </si>
  <si>
    <t xml:space="preserve">20 – 30(16) </t>
  </si>
  <si>
    <t>31– 40 (24)</t>
  </si>
  <si>
    <t xml:space="preserve"> Date; 16/8/2024</t>
  </si>
  <si>
    <t>Place: Mulama HC II</t>
  </si>
  <si>
    <t>S1176/24</t>
  </si>
  <si>
    <t>Musubika Fauza</t>
  </si>
  <si>
    <t>Buwindi</t>
  </si>
  <si>
    <t>0780 643637</t>
  </si>
  <si>
    <t>16/8/2027</t>
  </si>
  <si>
    <t>S1177/24</t>
  </si>
  <si>
    <t xml:space="preserve">Naigaga Oliver </t>
  </si>
  <si>
    <t>Nabinyonyi</t>
  </si>
  <si>
    <t>0755 258563</t>
  </si>
  <si>
    <t>S1178/24</t>
  </si>
  <si>
    <t>Adeka Immaculate</t>
  </si>
  <si>
    <t>0743 952047</t>
  </si>
  <si>
    <t>S1179/24</t>
  </si>
  <si>
    <t>Amito Zewulensi</t>
  </si>
  <si>
    <t>Ilongo</t>
  </si>
  <si>
    <t>0705 820068</t>
  </si>
  <si>
    <t>S1180/24</t>
  </si>
  <si>
    <t>Kiwani</t>
  </si>
  <si>
    <t>S1181/24</t>
  </si>
  <si>
    <t>Athieno Doreen</t>
  </si>
  <si>
    <t>Mulama</t>
  </si>
  <si>
    <t>0766 334521</t>
  </si>
  <si>
    <t>S1182/24</t>
  </si>
  <si>
    <t>Nakiranda Resty</t>
  </si>
  <si>
    <t>0709 557786</t>
  </si>
  <si>
    <t>S1183/24</t>
  </si>
  <si>
    <t>Namukose Ruth</t>
  </si>
  <si>
    <t>0772 729284</t>
  </si>
  <si>
    <t>S1184/24</t>
  </si>
  <si>
    <t>Nabirye Tape</t>
  </si>
  <si>
    <t>0763 492688</t>
  </si>
  <si>
    <t>S1185/24</t>
  </si>
  <si>
    <t>Nankya Rose</t>
  </si>
  <si>
    <t>Buwidi</t>
  </si>
  <si>
    <t>0781 7 61674</t>
  </si>
  <si>
    <t>S1186/24</t>
  </si>
  <si>
    <t>Nandudu Amiida</t>
  </si>
  <si>
    <t>0774 287088</t>
  </si>
  <si>
    <t>S1187/24</t>
  </si>
  <si>
    <t>Nakisita Mary</t>
  </si>
  <si>
    <t>0782 748986</t>
  </si>
  <si>
    <t>S1188/24</t>
  </si>
  <si>
    <t>0707 420023</t>
  </si>
  <si>
    <t>10 yrs</t>
  </si>
  <si>
    <t>S1189/24</t>
  </si>
  <si>
    <t>Logose Zaina</t>
  </si>
  <si>
    <t>0785 615360</t>
  </si>
  <si>
    <t>16/8/2025</t>
  </si>
  <si>
    <t>S1190/24</t>
  </si>
  <si>
    <t>Naigembe Scovia</t>
  </si>
  <si>
    <t>Bukaba</t>
  </si>
  <si>
    <t>Sept 2024</t>
  </si>
  <si>
    <t>S1191/24</t>
  </si>
  <si>
    <t>Naigaga Mwasiti</t>
  </si>
  <si>
    <t>S1192/24</t>
  </si>
  <si>
    <t>Mudondo Monica</t>
  </si>
  <si>
    <t>Bwindi</t>
  </si>
  <si>
    <t>0781 49538</t>
  </si>
  <si>
    <t>S1193/24</t>
  </si>
  <si>
    <t>Tibenda Hawa</t>
  </si>
  <si>
    <t>S1194/24</t>
  </si>
  <si>
    <t>S1195/24</t>
  </si>
  <si>
    <t>Naisanga Anastasia</t>
  </si>
  <si>
    <t>Nabisaka</t>
  </si>
  <si>
    <t>0784 114580</t>
  </si>
  <si>
    <t>S1196/24</t>
  </si>
  <si>
    <t>Mbalira Ellen</t>
  </si>
  <si>
    <t>0779 748053</t>
  </si>
  <si>
    <t>S1197/24</t>
  </si>
  <si>
    <t>Mugala Merab</t>
  </si>
  <si>
    <t>S1198/24</t>
  </si>
  <si>
    <t>Mbeiza Hasifa</t>
  </si>
  <si>
    <t>Mulama Central</t>
  </si>
  <si>
    <t>0781 202214</t>
  </si>
  <si>
    <t>S1199/24</t>
  </si>
  <si>
    <t>Nabirye Ediisa</t>
  </si>
  <si>
    <t>Mulama- Nabisaka</t>
  </si>
  <si>
    <t>S1200/24</t>
  </si>
  <si>
    <t>Awori Thereza</t>
  </si>
  <si>
    <t>0778 583131</t>
  </si>
  <si>
    <t>S1201/24</t>
  </si>
  <si>
    <t>Namulondo Fatina</t>
  </si>
  <si>
    <t>0784 216644</t>
  </si>
  <si>
    <t>S1202/24</t>
  </si>
  <si>
    <t>Zulufa Nabirye</t>
  </si>
  <si>
    <t>S1203/24</t>
  </si>
  <si>
    <t>Byogero Susan</t>
  </si>
  <si>
    <t>0783 300354</t>
  </si>
  <si>
    <t>S1204/24</t>
  </si>
  <si>
    <t>Mukoda Janet</t>
  </si>
  <si>
    <t>Detectable</t>
  </si>
  <si>
    <t>S1205/24</t>
  </si>
  <si>
    <t>Kwatulira Pulikeria</t>
  </si>
  <si>
    <t>S1206/24</t>
  </si>
  <si>
    <t>Melida Kafuuko</t>
  </si>
  <si>
    <t>S1207/24</t>
  </si>
  <si>
    <t>Byawano Juliet</t>
  </si>
  <si>
    <t>Kumulama</t>
  </si>
  <si>
    <t>S1208/24</t>
  </si>
  <si>
    <t>S1209/24</t>
  </si>
  <si>
    <t>Buwala Zainabu</t>
  </si>
  <si>
    <t xml:space="preserve">20 – 30(07) </t>
  </si>
  <si>
    <t>41– 50 (8)</t>
  </si>
  <si>
    <t>&gt;61 (06)</t>
  </si>
  <si>
    <t>S1211/24</t>
  </si>
  <si>
    <t>Nangobi Asina</t>
  </si>
  <si>
    <t>Nawaikona</t>
  </si>
  <si>
    <t>0754 272964</t>
  </si>
  <si>
    <t>S1212/24</t>
  </si>
  <si>
    <t>Nabayigwa Justine Racheal</t>
  </si>
  <si>
    <t>0755 023235</t>
  </si>
  <si>
    <t>S1213/24</t>
  </si>
  <si>
    <t>Kaudha Sylvia</t>
  </si>
  <si>
    <t>Butagaya</t>
  </si>
  <si>
    <t>S1214/24</t>
  </si>
  <si>
    <t>Naisaza Edisa</t>
  </si>
  <si>
    <t>Nakibizi</t>
  </si>
  <si>
    <t>0707 692482</t>
  </si>
  <si>
    <t>S1215/24</t>
  </si>
  <si>
    <t>Nabirye Matha</t>
  </si>
  <si>
    <t>Nawandala</t>
  </si>
  <si>
    <t>0764 729533</t>
  </si>
  <si>
    <t>S1216/24</t>
  </si>
  <si>
    <t>Nakamad Harriet</t>
  </si>
  <si>
    <t>0752 885069</t>
  </si>
  <si>
    <t xml:space="preserve">20 – 30(02) </t>
  </si>
  <si>
    <t>31– 40 (03)</t>
  </si>
  <si>
    <t xml:space="preserve"> Date; 05/9/2024 </t>
  </si>
  <si>
    <t>Place: Namagera P/S LUUKA</t>
  </si>
  <si>
    <t>S1217/24</t>
  </si>
  <si>
    <t>Namugaya Jemimah</t>
  </si>
  <si>
    <t>Namagera</t>
  </si>
  <si>
    <t>07030 40479</t>
  </si>
  <si>
    <t>ULSS</t>
  </si>
  <si>
    <t>Sept 2027</t>
  </si>
  <si>
    <t>S1218/24</t>
  </si>
  <si>
    <t>Kyotalimye Peruth</t>
  </si>
  <si>
    <t>0770 777626</t>
  </si>
  <si>
    <t>S1219/24</t>
  </si>
  <si>
    <t>Nairuba Ruth</t>
  </si>
  <si>
    <t>0777 025666</t>
  </si>
  <si>
    <t>S1220/24</t>
  </si>
  <si>
    <t>Namugoro Janat</t>
  </si>
  <si>
    <t>0756 437480</t>
  </si>
  <si>
    <t>S1221/24</t>
  </si>
  <si>
    <t>Nangobi Edinansi</t>
  </si>
  <si>
    <t>0776 704381</t>
  </si>
  <si>
    <t>S1222/24</t>
  </si>
  <si>
    <t>07840 60315</t>
  </si>
  <si>
    <t>S1223/24</t>
  </si>
  <si>
    <t>Takoba Madina</t>
  </si>
  <si>
    <t>0776 456684</t>
  </si>
  <si>
    <t>S1224/24</t>
  </si>
  <si>
    <t>Katalima Anna</t>
  </si>
  <si>
    <t>0781 288307</t>
  </si>
  <si>
    <t>S1225/24</t>
  </si>
  <si>
    <t>Irene Mwogeza</t>
  </si>
  <si>
    <t>0780 711216</t>
  </si>
  <si>
    <t>S1226/24</t>
  </si>
  <si>
    <t>Kawala Zubeda</t>
  </si>
  <si>
    <t>0781 668087</t>
  </si>
  <si>
    <t>S1227/24</t>
  </si>
  <si>
    <t>Nakadama Lakeri</t>
  </si>
  <si>
    <t>S1228/24</t>
  </si>
  <si>
    <t>Mwedezi Mariam</t>
  </si>
  <si>
    <t>07431 85889</t>
  </si>
  <si>
    <t>S1229/24</t>
  </si>
  <si>
    <t>Nabirye Susan</t>
  </si>
  <si>
    <t>0757 845339</t>
  </si>
  <si>
    <t>S1230/24</t>
  </si>
  <si>
    <t>Naherya Edinansi</t>
  </si>
  <si>
    <t>0752 804498</t>
  </si>
  <si>
    <t>S1231/24</t>
  </si>
  <si>
    <t>Namuwaya Shamim</t>
  </si>
  <si>
    <t>0760 140767</t>
  </si>
  <si>
    <t>S1232/24</t>
  </si>
  <si>
    <t>Nabiryo Mangeli</t>
  </si>
  <si>
    <t>S1233/24</t>
  </si>
  <si>
    <t>S1234/24</t>
  </si>
  <si>
    <t>Kitasara Elizabeth</t>
  </si>
  <si>
    <t>0707 436552</t>
  </si>
  <si>
    <t>S1235/24</t>
  </si>
  <si>
    <t>Namukose Zaina</t>
  </si>
  <si>
    <t>07032 32360</t>
  </si>
  <si>
    <t>S1236/24</t>
  </si>
  <si>
    <t>Alice Nandase</t>
  </si>
  <si>
    <t>S1237/24</t>
  </si>
  <si>
    <t>Naisanga Shamim</t>
  </si>
  <si>
    <t>0773 486730</t>
  </si>
  <si>
    <t>S1238/24</t>
  </si>
  <si>
    <t>0775 932140</t>
  </si>
  <si>
    <t>S1239/24</t>
  </si>
  <si>
    <t>Kaziba Shanita</t>
  </si>
  <si>
    <t>0788 200344</t>
  </si>
  <si>
    <t>S1240/24</t>
  </si>
  <si>
    <t>0757 017070</t>
  </si>
  <si>
    <t>S1241/24</t>
  </si>
  <si>
    <t>Nakawooma Betty</t>
  </si>
  <si>
    <t>07068 20300</t>
  </si>
  <si>
    <t>S1242/24</t>
  </si>
  <si>
    <t>Namukose Ritah</t>
  </si>
  <si>
    <t>07009 36739</t>
  </si>
  <si>
    <t>S1243/24</t>
  </si>
  <si>
    <t>Mutesi Nusula</t>
  </si>
  <si>
    <t>0740 125834</t>
  </si>
  <si>
    <t>S1244/24</t>
  </si>
  <si>
    <t>Nangobi Peetu</t>
  </si>
  <si>
    <t>0788 198991</t>
  </si>
  <si>
    <t>S1245/24</t>
  </si>
  <si>
    <t>Mukyala Racheal</t>
  </si>
  <si>
    <t>0758 506281</t>
  </si>
  <si>
    <t>S1246/24</t>
  </si>
  <si>
    <t>Nabirye Jesca</t>
  </si>
  <si>
    <t>S1247/24</t>
  </si>
  <si>
    <t>Namuwaoya Betty</t>
  </si>
  <si>
    <t>0784 760536</t>
  </si>
  <si>
    <t>S1248/24</t>
  </si>
  <si>
    <t>07710 11379</t>
  </si>
  <si>
    <t>S1249/24</t>
  </si>
  <si>
    <t>Loovisa Nairuba</t>
  </si>
  <si>
    <t>S1250/24</t>
  </si>
  <si>
    <t>Nabirye Harriet</t>
  </si>
  <si>
    <t>0766 027109</t>
  </si>
  <si>
    <t>Partial prolapse</t>
  </si>
  <si>
    <t>S1251/24</t>
  </si>
  <si>
    <t>Namwase Edisa</t>
  </si>
  <si>
    <t>07784 55118</t>
  </si>
  <si>
    <t>Total Prolapse</t>
  </si>
  <si>
    <t>NONE</t>
  </si>
  <si>
    <t>S1252/24</t>
  </si>
  <si>
    <t>0778 794645</t>
  </si>
  <si>
    <t>Inconclusive results</t>
  </si>
  <si>
    <t>S1253/24</t>
  </si>
  <si>
    <t>Timugibwa Edith</t>
  </si>
  <si>
    <t>0751 644800</t>
  </si>
  <si>
    <t>S1254/24</t>
  </si>
  <si>
    <t>Kubonaku Robina</t>
  </si>
  <si>
    <t>S1255/24</t>
  </si>
  <si>
    <t>Kafuko Janet</t>
  </si>
  <si>
    <t>S1256/24</t>
  </si>
  <si>
    <t>Mukoda Olivia</t>
  </si>
  <si>
    <t>S1257/24</t>
  </si>
  <si>
    <t>Nangobi Sirisita</t>
  </si>
  <si>
    <t>07810 92522</t>
  </si>
  <si>
    <t>S1258/24</t>
  </si>
  <si>
    <t>Kwagala Irene</t>
  </si>
  <si>
    <t xml:space="preserve">18 – 30(18) </t>
  </si>
  <si>
    <t>51-60 (2)</t>
  </si>
  <si>
    <t>&gt;61 (8)</t>
  </si>
  <si>
    <t xml:space="preserve"> Date; 04/9/2024 </t>
  </si>
  <si>
    <t>Place: SDA IVUNAMBA</t>
  </si>
  <si>
    <t>S1259/24</t>
  </si>
  <si>
    <t>Namususwa Aidah</t>
  </si>
  <si>
    <t>In Periods</t>
  </si>
  <si>
    <t>S1260/24</t>
  </si>
  <si>
    <t>Naigaga Abisagu</t>
  </si>
  <si>
    <t>07019 05603</t>
  </si>
  <si>
    <t>S1261/24</t>
  </si>
  <si>
    <t>Mukoda Resty</t>
  </si>
  <si>
    <t>0704 056479</t>
  </si>
  <si>
    <t>S1262/24</t>
  </si>
  <si>
    <t>Kyebakolanga Sarah</t>
  </si>
  <si>
    <t>0751 621284</t>
  </si>
  <si>
    <t>Abnormal bleeding from uterus</t>
  </si>
  <si>
    <t>S1263/24</t>
  </si>
  <si>
    <t>Naigaga Norah</t>
  </si>
  <si>
    <t>Wanyange Lake</t>
  </si>
  <si>
    <t>07008 11742</t>
  </si>
  <si>
    <t>S1264/24</t>
  </si>
  <si>
    <t>Nabisiki</t>
  </si>
  <si>
    <t>0741 231010</t>
  </si>
  <si>
    <t>S1265/24</t>
  </si>
  <si>
    <t>Kadondo Edith</t>
  </si>
  <si>
    <t>0758 543010</t>
  </si>
  <si>
    <t>S1266/24</t>
  </si>
  <si>
    <t>Nakamati Betty</t>
  </si>
  <si>
    <t>0774 439179</t>
  </si>
  <si>
    <t>S1267/24</t>
  </si>
  <si>
    <t>Namususwa Christine</t>
  </si>
  <si>
    <t>0756 785482</t>
  </si>
  <si>
    <t>S1268/24</t>
  </si>
  <si>
    <t>Christine Balwa</t>
  </si>
  <si>
    <t>0750 844170</t>
  </si>
  <si>
    <t>S1269/24</t>
  </si>
  <si>
    <t>Nangobi Justine</t>
  </si>
  <si>
    <t>0754 405192</t>
  </si>
  <si>
    <t>S1270/24</t>
  </si>
  <si>
    <t>Irene Kyeyago</t>
  </si>
  <si>
    <t>07787 64563</t>
  </si>
  <si>
    <t>S1271/24</t>
  </si>
  <si>
    <t>Nakato Dinah</t>
  </si>
  <si>
    <t>0776 303040</t>
  </si>
  <si>
    <t>S1272/24</t>
  </si>
  <si>
    <t>Loy Awulira</t>
  </si>
  <si>
    <t>0782 155793</t>
  </si>
  <si>
    <t>S1273/24</t>
  </si>
  <si>
    <t>Naiwumbwe Irene</t>
  </si>
  <si>
    <t>0774 549146</t>
  </si>
  <si>
    <t>S1274/24</t>
  </si>
  <si>
    <t>Nabulumba Scovia</t>
  </si>
  <si>
    <t>0740 412002</t>
  </si>
  <si>
    <t>S1275/24</t>
  </si>
  <si>
    <t>Namaganda Jalia</t>
  </si>
  <si>
    <t>0750 763816</t>
  </si>
  <si>
    <t>S1276/24</t>
  </si>
  <si>
    <t>Namubali Salima</t>
  </si>
  <si>
    <t>Nawantale</t>
  </si>
  <si>
    <t>0742 235609</t>
  </si>
  <si>
    <t>S1277/24</t>
  </si>
  <si>
    <t>Kirabira Margret</t>
  </si>
  <si>
    <t>0754 055665</t>
  </si>
  <si>
    <t>S1278/24</t>
  </si>
  <si>
    <t>Ogonga Getrude</t>
  </si>
  <si>
    <t>0753 607529</t>
  </si>
  <si>
    <t>S1279/24</t>
  </si>
  <si>
    <t>Namwanda Sarah</t>
  </si>
  <si>
    <t>0751 119699</t>
  </si>
  <si>
    <t>S1280/24</t>
  </si>
  <si>
    <t>Asere Agnes</t>
  </si>
  <si>
    <t>Kasanga</t>
  </si>
  <si>
    <t>07025 63637</t>
  </si>
  <si>
    <t>S1281/24</t>
  </si>
  <si>
    <t>Loogose Juliet</t>
  </si>
  <si>
    <t>0755 269292</t>
  </si>
  <si>
    <t>Sept 2025</t>
  </si>
  <si>
    <t>S1282/24</t>
  </si>
  <si>
    <t>Robinah Mwato</t>
  </si>
  <si>
    <t>0751 031218</t>
  </si>
  <si>
    <t>S1283/24</t>
  </si>
  <si>
    <t>Mutawoza Juliet</t>
  </si>
  <si>
    <t>0771 208771</t>
  </si>
  <si>
    <t>S1284/24</t>
  </si>
  <si>
    <t>Bakali Kwira Rose</t>
  </si>
  <si>
    <t>0702 910896</t>
  </si>
  <si>
    <t xml:space="preserve">18 – 30(4) </t>
  </si>
  <si>
    <t>31– 40 (8)</t>
  </si>
  <si>
    <t xml:space="preserve"> Date; 11/9/2024 </t>
  </si>
  <si>
    <t>Place: BUSAANA H/C 111</t>
  </si>
  <si>
    <t>S1285/24</t>
  </si>
  <si>
    <t>Akumu Betty</t>
  </si>
  <si>
    <t>0752 716028</t>
  </si>
  <si>
    <t>S1286/24</t>
  </si>
  <si>
    <t>Nabudida Docus</t>
  </si>
  <si>
    <t>Busana</t>
  </si>
  <si>
    <t>S1287/24</t>
  </si>
  <si>
    <t>Namyalo Rose</t>
  </si>
  <si>
    <t>0778 407687</t>
  </si>
  <si>
    <t>S1288/24</t>
  </si>
  <si>
    <t>Nawano Hellen</t>
  </si>
  <si>
    <t>Kyayaya</t>
  </si>
  <si>
    <t>0778 061394</t>
  </si>
  <si>
    <t>S1289/24</t>
  </si>
  <si>
    <t>Akot Rose</t>
  </si>
  <si>
    <t>0759 039926</t>
  </si>
  <si>
    <t>S1290/24</t>
  </si>
  <si>
    <t>Apio Margret</t>
  </si>
  <si>
    <t>07098 48672</t>
  </si>
  <si>
    <t>S1291/24</t>
  </si>
  <si>
    <t>Nakayima Irene</t>
  </si>
  <si>
    <t>S1292/24</t>
  </si>
  <si>
    <t>Poni Jesca</t>
  </si>
  <si>
    <t>07530 69495</t>
  </si>
  <si>
    <t>S1293/24</t>
  </si>
  <si>
    <t>Acheng Nuru</t>
  </si>
  <si>
    <t>S1294/24</t>
  </si>
  <si>
    <t>Asawo Bridget</t>
  </si>
  <si>
    <t>0745 766196</t>
  </si>
  <si>
    <t>Kumama</t>
  </si>
  <si>
    <t>Candidiasis</t>
  </si>
  <si>
    <t>After Treatment</t>
  </si>
  <si>
    <t>S1295/24</t>
  </si>
  <si>
    <t>Kakai Sarah</t>
  </si>
  <si>
    <t>07087 50481</t>
  </si>
  <si>
    <t>S1296/24</t>
  </si>
  <si>
    <t>07066 45699</t>
  </si>
  <si>
    <t>S1297/24</t>
  </si>
  <si>
    <t>Aleko Annet</t>
  </si>
  <si>
    <t>0766 353426</t>
  </si>
  <si>
    <t>S1298/24</t>
  </si>
  <si>
    <t>Awoli Esther</t>
  </si>
  <si>
    <t>Kawuku</t>
  </si>
  <si>
    <t>0757 491474</t>
  </si>
  <si>
    <t>S1299/24</t>
  </si>
  <si>
    <t>Nampa Susan</t>
  </si>
  <si>
    <t>Bugandu</t>
  </si>
  <si>
    <t>0785 453153</t>
  </si>
  <si>
    <t>S1300/24</t>
  </si>
  <si>
    <t>Nakirizza Harriet</t>
  </si>
  <si>
    <t>0743 226042</t>
  </si>
  <si>
    <t>Mamogram JRRH</t>
  </si>
  <si>
    <t>S1301/24</t>
  </si>
  <si>
    <t>Bako Harriet</t>
  </si>
  <si>
    <t>Buyuki</t>
  </si>
  <si>
    <t>0787 362636</t>
  </si>
  <si>
    <t>Lugwala</t>
  </si>
  <si>
    <t>S1302/24</t>
  </si>
  <si>
    <t>Nalwadda Stella</t>
  </si>
  <si>
    <t>Wampologoma</t>
  </si>
  <si>
    <t>S1303/24</t>
  </si>
  <si>
    <t>Adikin Gloria</t>
  </si>
  <si>
    <t>Bugaddu</t>
  </si>
  <si>
    <t>S1304/24</t>
  </si>
  <si>
    <t>Kafuuko Faridah</t>
  </si>
  <si>
    <t>Namukuma</t>
  </si>
  <si>
    <t>0740 399535</t>
  </si>
  <si>
    <t>S1305/24</t>
  </si>
  <si>
    <t>Kampula Daphine</t>
  </si>
  <si>
    <t>Nabusugwe</t>
  </si>
  <si>
    <t>S1306/24</t>
  </si>
  <si>
    <t>Chandiru Winnie</t>
  </si>
  <si>
    <t>0744 001328</t>
  </si>
  <si>
    <t>S1307/24</t>
  </si>
  <si>
    <t>Achieng Catherine</t>
  </si>
  <si>
    <t>Kufu</t>
  </si>
  <si>
    <t>07091 39545</t>
  </si>
  <si>
    <t>S1308/24</t>
  </si>
  <si>
    <t>Namuyingo Samiya</t>
  </si>
  <si>
    <t>07032 38616</t>
  </si>
  <si>
    <t>S1309/24</t>
  </si>
  <si>
    <t>Namata Joline</t>
  </si>
  <si>
    <t>07080 64545</t>
  </si>
  <si>
    <t>S1310/24</t>
  </si>
  <si>
    <t>0701 534392</t>
  </si>
  <si>
    <t>S1311/24</t>
  </si>
  <si>
    <t>Tibenda Jenifer</t>
  </si>
  <si>
    <t>S1312/24</t>
  </si>
  <si>
    <t>Alikoba Sarah</t>
  </si>
  <si>
    <t>Kasoota</t>
  </si>
  <si>
    <t>S1313/24</t>
  </si>
  <si>
    <t>Akumu Babra</t>
  </si>
  <si>
    <t>0761 850611</t>
  </si>
  <si>
    <t>S1314/24</t>
  </si>
  <si>
    <t>Namuddu Sarah</t>
  </si>
  <si>
    <t>Kyengera</t>
  </si>
  <si>
    <t>0751 872512</t>
  </si>
  <si>
    <t>S1315/24</t>
  </si>
  <si>
    <t>Khadhubi Alice</t>
  </si>
  <si>
    <t>0757 875186</t>
  </si>
  <si>
    <t>Severe cervicitis</t>
  </si>
  <si>
    <t>25/9/2024</t>
  </si>
  <si>
    <t>S1316/24</t>
  </si>
  <si>
    <t>Buliza Jamira</t>
  </si>
  <si>
    <t>0756 464143</t>
  </si>
  <si>
    <t>KRRH</t>
  </si>
  <si>
    <t xml:space="preserve">17 – 30(21) </t>
  </si>
  <si>
    <t>Place: MAKONGE H/C III</t>
  </si>
  <si>
    <t>Prev Cervical  Screening</t>
  </si>
  <si>
    <t xml:space="preserve">Treatment and follow-up given </t>
  </si>
  <si>
    <t>S1317/24</t>
  </si>
  <si>
    <t>Naigaga Fatuma</t>
  </si>
  <si>
    <t>0742 879141</t>
  </si>
  <si>
    <t>S1318/24</t>
  </si>
  <si>
    <t>Namagembe Sharon</t>
  </si>
  <si>
    <t>0703 522505</t>
  </si>
  <si>
    <t>S1319/24</t>
  </si>
  <si>
    <t>Nampeera Aisha</t>
  </si>
  <si>
    <t>0782 267918</t>
  </si>
  <si>
    <t>S1320/24</t>
  </si>
  <si>
    <t>Nabasirye Grace</t>
  </si>
  <si>
    <t>Nagulwe</t>
  </si>
  <si>
    <t>0753 408094</t>
  </si>
  <si>
    <t>S1321/24</t>
  </si>
  <si>
    <t>Nakyeyune Oliver</t>
  </si>
  <si>
    <t>Jimbo</t>
  </si>
  <si>
    <t>Murundi</t>
  </si>
  <si>
    <t>S1322/24</t>
  </si>
  <si>
    <t>Nabirye Aminah</t>
  </si>
  <si>
    <t>S1323/24</t>
  </si>
  <si>
    <t>0770 403641</t>
  </si>
  <si>
    <t>S1324/24</t>
  </si>
  <si>
    <t>Peace Shamim</t>
  </si>
  <si>
    <t>0784 618802</t>
  </si>
  <si>
    <t>S1325/24</t>
  </si>
  <si>
    <t>Chandiru Hasifu</t>
  </si>
  <si>
    <t>0782 996495</t>
  </si>
  <si>
    <t>S1326/24</t>
  </si>
  <si>
    <t>Nakalyango Maimuna</t>
  </si>
  <si>
    <t>0759 039833</t>
  </si>
  <si>
    <t>S1327/24</t>
  </si>
  <si>
    <t>Namwebya Lucy</t>
  </si>
  <si>
    <t>07010 08738</t>
  </si>
  <si>
    <t>S1328/24</t>
  </si>
  <si>
    <t>Bakyazi Alice</t>
  </si>
  <si>
    <t>Buzama</t>
  </si>
  <si>
    <t>0708 616335</t>
  </si>
  <si>
    <t>S1329/24</t>
  </si>
  <si>
    <t>Wobusobozi Edisa</t>
  </si>
  <si>
    <t>0752 093676</t>
  </si>
  <si>
    <t>S1330/24</t>
  </si>
  <si>
    <t>Nakamya Doreen</t>
  </si>
  <si>
    <t>Jalur</t>
  </si>
  <si>
    <t>S1331/24</t>
  </si>
  <si>
    <t>Tembo Josehine</t>
  </si>
  <si>
    <t>Busangazi</t>
  </si>
  <si>
    <t>07581 70801</t>
  </si>
  <si>
    <t>S1332/24</t>
  </si>
  <si>
    <t>Nantale Jesca</t>
  </si>
  <si>
    <t>07092 32481</t>
  </si>
  <si>
    <t>S1333/24</t>
  </si>
  <si>
    <t xml:space="preserve">Ndibogeza Enfrance </t>
  </si>
  <si>
    <t>Ngoli</t>
  </si>
  <si>
    <t>07081 91346</t>
  </si>
  <si>
    <t>S1334/24</t>
  </si>
  <si>
    <t>Nelima Betty</t>
  </si>
  <si>
    <t>07034 43777</t>
  </si>
  <si>
    <t>S1335/24</t>
  </si>
  <si>
    <t>Nakiranda Aidah</t>
  </si>
  <si>
    <t>07072 19990</t>
  </si>
  <si>
    <t>S1336/24</t>
  </si>
  <si>
    <t>Mukebezi Rose</t>
  </si>
  <si>
    <t>Zzinga</t>
  </si>
  <si>
    <t>0707-073246</t>
  </si>
  <si>
    <t>S1337/24</t>
  </si>
  <si>
    <t>Nakabugo Kevin</t>
  </si>
  <si>
    <t>0709-474252</t>
  </si>
  <si>
    <t>S1338/24</t>
  </si>
  <si>
    <t>Nakidde Faith</t>
  </si>
  <si>
    <t>Bwema</t>
  </si>
  <si>
    <t>0704-447540</t>
  </si>
  <si>
    <t>S1339/24</t>
  </si>
  <si>
    <t>Nakyanzi Sharifah</t>
  </si>
  <si>
    <t>0750-574034</t>
  </si>
  <si>
    <t>S1340/24</t>
  </si>
  <si>
    <t>Nimanya Janet</t>
  </si>
  <si>
    <t>S1341/24</t>
  </si>
  <si>
    <t>Kayaga Prossy</t>
  </si>
  <si>
    <t>0701-426153</t>
  </si>
  <si>
    <t xml:space="preserve">Sept 2027 </t>
  </si>
  <si>
    <t>S1342/24</t>
  </si>
  <si>
    <t>Kyabangi Margret</t>
  </si>
  <si>
    <t>0785-837551</t>
  </si>
  <si>
    <t>S1343/24</t>
  </si>
  <si>
    <t>Dawa Zaina Fati</t>
  </si>
  <si>
    <t>0760-719458</t>
  </si>
  <si>
    <t>S1344/24</t>
  </si>
  <si>
    <t>Nakate Brenda</t>
  </si>
  <si>
    <t>0709-680174</t>
  </si>
  <si>
    <t>S1345/24</t>
  </si>
  <si>
    <t>Neambe Scovia</t>
  </si>
  <si>
    <t>0708-390350</t>
  </si>
  <si>
    <t>S1346/24</t>
  </si>
  <si>
    <t>Namule Janet</t>
  </si>
  <si>
    <t>0754-954088</t>
  </si>
  <si>
    <t>S1347/24</t>
  </si>
  <si>
    <t>Nakayima Rukia</t>
  </si>
  <si>
    <t>0709-171178</t>
  </si>
  <si>
    <t>S1348/24</t>
  </si>
  <si>
    <t>Namisango Zaujah</t>
  </si>
  <si>
    <t>0704-969892</t>
  </si>
  <si>
    <t>S1349/24</t>
  </si>
  <si>
    <t>Naigaga Tabisa</t>
  </si>
  <si>
    <t>0709-387652</t>
  </si>
  <si>
    <t>S1350/24</t>
  </si>
  <si>
    <t>Namuge Grace</t>
  </si>
  <si>
    <t>Nakawuma</t>
  </si>
  <si>
    <t>0702-676365</t>
  </si>
  <si>
    <t>S1351/24</t>
  </si>
  <si>
    <t>Namuyinga Maureen</t>
  </si>
  <si>
    <t>0743-065086</t>
  </si>
  <si>
    <t>S1352/24</t>
  </si>
  <si>
    <t>Nakyanzi Kate</t>
  </si>
  <si>
    <t>0758-032475</t>
  </si>
  <si>
    <t>S1353/24</t>
  </si>
  <si>
    <t>Nakawala Janet</t>
  </si>
  <si>
    <t>0753-270730</t>
  </si>
  <si>
    <t>S1354/24</t>
  </si>
  <si>
    <t>Trajiru Safina</t>
  </si>
  <si>
    <t>0781-840937</t>
  </si>
  <si>
    <t>S1355/24</t>
  </si>
  <si>
    <t>Awori Esther</t>
  </si>
  <si>
    <t>0772-318625</t>
  </si>
  <si>
    <t>S1356/24</t>
  </si>
  <si>
    <t>0743-457303</t>
  </si>
  <si>
    <t>S1357/24</t>
  </si>
  <si>
    <t>Birungi Sarah</t>
  </si>
  <si>
    <t>0757-490189</t>
  </si>
  <si>
    <t>S1358/24</t>
  </si>
  <si>
    <t>Yambabaliye Agatha</t>
  </si>
  <si>
    <t>0743-304687</t>
  </si>
  <si>
    <t>S1359/24</t>
  </si>
  <si>
    <t>Nassali Janet</t>
  </si>
  <si>
    <t>Buyoka</t>
  </si>
  <si>
    <t>S1360/24</t>
  </si>
  <si>
    <t>Namuswe Joan</t>
  </si>
  <si>
    <t>S1361/24</t>
  </si>
  <si>
    <t>Chandiru Rukia</t>
  </si>
  <si>
    <t>0783-539905</t>
  </si>
  <si>
    <t>S1362/24</t>
  </si>
  <si>
    <t>Namwanje Doreen</t>
  </si>
  <si>
    <t>0706-143899</t>
  </si>
  <si>
    <t>S1363/24</t>
  </si>
  <si>
    <t>Namawejje Christine</t>
  </si>
  <si>
    <t>0759-069647</t>
  </si>
  <si>
    <t>S1364/24</t>
  </si>
  <si>
    <t>Deru Janet</t>
  </si>
  <si>
    <t>0702-998976</t>
  </si>
  <si>
    <t>S1365/24</t>
  </si>
  <si>
    <t>0705-190085</t>
  </si>
  <si>
    <t>S1366/24</t>
  </si>
  <si>
    <t>Kazaite Dorothy</t>
  </si>
  <si>
    <t>0706-467475</t>
  </si>
  <si>
    <t>S1367/24</t>
  </si>
  <si>
    <t>Havugimana Eugenie</t>
  </si>
  <si>
    <t>0778-019223</t>
  </si>
  <si>
    <t>S1368/24</t>
  </si>
  <si>
    <t>Mbabazi Odetta</t>
  </si>
  <si>
    <t>0785-439196</t>
  </si>
  <si>
    <t>S1369/24</t>
  </si>
  <si>
    <t>Nalongo Madina</t>
  </si>
  <si>
    <t>0774-055571</t>
  </si>
  <si>
    <t>S1370/24</t>
  </si>
  <si>
    <t>Namubiru Halima</t>
  </si>
  <si>
    <t>0757-4444389</t>
  </si>
  <si>
    <t>S1371/24</t>
  </si>
  <si>
    <t>Naija Florence</t>
  </si>
  <si>
    <t>0753-190455</t>
  </si>
  <si>
    <t xml:space="preserve">16 – 30(21) </t>
  </si>
  <si>
    <t xml:space="preserve"> Date; 19/9/2024 </t>
  </si>
  <si>
    <t>Place: ST JUDE P/S MUSOLI</t>
  </si>
  <si>
    <t xml:space="preserve">Previous Breast screening </t>
  </si>
  <si>
    <t>Result of prev Exam</t>
  </si>
  <si>
    <t>S1372/24</t>
  </si>
  <si>
    <t>Nekesa Madina</t>
  </si>
  <si>
    <t>Musoli</t>
  </si>
  <si>
    <t>07056 14995</t>
  </si>
  <si>
    <t>S1373/24</t>
  </si>
  <si>
    <t>Naigaga Immaculate</t>
  </si>
  <si>
    <t>0759 304254</t>
  </si>
  <si>
    <t>S1374/24</t>
  </si>
  <si>
    <t>Mudondo Margret</t>
  </si>
  <si>
    <t>0743 985094</t>
  </si>
  <si>
    <t>S1375/24</t>
  </si>
  <si>
    <t>Maria Mangagelena</t>
  </si>
  <si>
    <t>0700 833913</t>
  </si>
  <si>
    <t>S1376/24</t>
  </si>
  <si>
    <t>Nyapendi Margret</t>
  </si>
  <si>
    <t>07062 79737</t>
  </si>
  <si>
    <t>S1378/24</t>
  </si>
  <si>
    <t>Nabirye Fatina</t>
  </si>
  <si>
    <t>0751 203823</t>
  </si>
  <si>
    <t>S1379/24</t>
  </si>
  <si>
    <t>Namaganda Asia</t>
  </si>
  <si>
    <t>0753 526146</t>
  </si>
  <si>
    <t>S1380/24</t>
  </si>
  <si>
    <t>Namulinda Sarah</t>
  </si>
  <si>
    <t>S1381/24</t>
  </si>
  <si>
    <t>Nabwire Joyce</t>
  </si>
  <si>
    <t>0752 671771</t>
  </si>
  <si>
    <t>19/9/2025</t>
  </si>
  <si>
    <t>S1382/24</t>
  </si>
  <si>
    <t>Joan Ndyennaliza</t>
  </si>
  <si>
    <t>07089 17852</t>
  </si>
  <si>
    <t>S1383/24</t>
  </si>
  <si>
    <t>Namuluta Eunice</t>
  </si>
  <si>
    <t>0754 966182</t>
  </si>
  <si>
    <t>S1384/24</t>
  </si>
  <si>
    <t>Nandera Susan</t>
  </si>
  <si>
    <t>0745 839680</t>
  </si>
  <si>
    <t>S1385/24</t>
  </si>
  <si>
    <t>Arusa Gloria</t>
  </si>
  <si>
    <t>0757 301046</t>
  </si>
  <si>
    <t>S1386/24</t>
  </si>
  <si>
    <t>Nakato Fazira</t>
  </si>
  <si>
    <t>0756 442645</t>
  </si>
  <si>
    <t>S1387/24</t>
  </si>
  <si>
    <t>Mudondo Lakeli</t>
  </si>
  <si>
    <t>07018 53998</t>
  </si>
  <si>
    <t>S1388/24</t>
  </si>
  <si>
    <t>0756 398377</t>
  </si>
  <si>
    <t>S1389/24</t>
  </si>
  <si>
    <t>Akello Angel</t>
  </si>
  <si>
    <t>0757 624926</t>
  </si>
  <si>
    <t xml:space="preserve">Alulu </t>
  </si>
  <si>
    <t>S1390/24</t>
  </si>
  <si>
    <t>Nabwire Jamawa</t>
  </si>
  <si>
    <t>0754 909801</t>
  </si>
  <si>
    <t>S1391/24</t>
  </si>
  <si>
    <t>Namwase Madina</t>
  </si>
  <si>
    <t>0706 561213</t>
  </si>
  <si>
    <t>S1392/24</t>
  </si>
  <si>
    <t>Adikin Anna</t>
  </si>
  <si>
    <t>0700 514612</t>
  </si>
  <si>
    <t>S1393/24</t>
  </si>
  <si>
    <t>Nakasongo Aisdha</t>
  </si>
  <si>
    <t>S1394/24</t>
  </si>
  <si>
    <t>Asuman Rehema</t>
  </si>
  <si>
    <t>Mtikalu</t>
  </si>
  <si>
    <t>0742 399632</t>
  </si>
  <si>
    <t>S1395/24</t>
  </si>
  <si>
    <t>Adikini Faizi Norah</t>
  </si>
  <si>
    <t>0752 700867</t>
  </si>
  <si>
    <t>S1396/24</t>
  </si>
  <si>
    <t>Naboso Joyce</t>
  </si>
  <si>
    <t>0755 927400</t>
  </si>
  <si>
    <t>S1397/24</t>
  </si>
  <si>
    <t>Mayuge Mariam</t>
  </si>
  <si>
    <t>S1398/24</t>
  </si>
  <si>
    <t>Nyawere Stella</t>
  </si>
  <si>
    <t>0702 033548</t>
  </si>
  <si>
    <t>S1399/24</t>
  </si>
  <si>
    <t>Birungi Juliet</t>
  </si>
  <si>
    <t>0743 872705</t>
  </si>
  <si>
    <t>S1400/24</t>
  </si>
  <si>
    <t>Alowo Justine</t>
  </si>
  <si>
    <t>0706 278911</t>
  </si>
  <si>
    <t>S1401/24</t>
  </si>
  <si>
    <t>Namutambo Nulu</t>
  </si>
  <si>
    <t>0705 614995</t>
  </si>
  <si>
    <t>S1402/24</t>
  </si>
  <si>
    <t>Asu Agatha</t>
  </si>
  <si>
    <t>0743 801402</t>
  </si>
  <si>
    <t>S1403/24</t>
  </si>
  <si>
    <t>Awori Anna</t>
  </si>
  <si>
    <t>0702 006477</t>
  </si>
  <si>
    <t>S1404/24</t>
  </si>
  <si>
    <t>0702 724344</t>
  </si>
  <si>
    <t>S1405/24</t>
  </si>
  <si>
    <t>Nakato Hasifah</t>
  </si>
  <si>
    <t>S1406/24</t>
  </si>
  <si>
    <t>Ivakisikwe Milly</t>
  </si>
  <si>
    <t>0752 668155</t>
  </si>
  <si>
    <t>S1407/24</t>
  </si>
  <si>
    <t>Namukaya Aisha</t>
  </si>
  <si>
    <t>0754 094229</t>
  </si>
  <si>
    <t>S1408/24</t>
  </si>
  <si>
    <t>Nandhego Magida</t>
  </si>
  <si>
    <t>0759 779363</t>
  </si>
  <si>
    <t>S1409/24</t>
  </si>
  <si>
    <t>Naigaga Cathy</t>
  </si>
  <si>
    <t>0753 778846</t>
  </si>
  <si>
    <t>S1410/24</t>
  </si>
  <si>
    <t>Nambeya Fazira</t>
  </si>
  <si>
    <t>0756 482112</t>
  </si>
  <si>
    <t>S1411/24</t>
  </si>
  <si>
    <t>Cyimpaye Serinal</t>
  </si>
  <si>
    <t>0783 235050</t>
  </si>
  <si>
    <t>S1412/24</t>
  </si>
  <si>
    <t>Kyakuwaire Judith</t>
  </si>
  <si>
    <t>0701 133332</t>
  </si>
  <si>
    <t>S1413/24</t>
  </si>
  <si>
    <t>Amusolo Sarah</t>
  </si>
  <si>
    <t>S1414/24</t>
  </si>
  <si>
    <t>Logose Esther</t>
  </si>
  <si>
    <t>0706 276462</t>
  </si>
  <si>
    <t>S1415/24</t>
  </si>
  <si>
    <t>Namuwaya Harriet</t>
  </si>
  <si>
    <t>0705 737237</t>
  </si>
  <si>
    <t>S1416/24</t>
  </si>
  <si>
    <t>Nabirye Victo</t>
  </si>
  <si>
    <t>0702 709530</t>
  </si>
  <si>
    <t>S1417/24</t>
  </si>
  <si>
    <t>Kirabo Karen</t>
  </si>
  <si>
    <t>0742 910245</t>
  </si>
  <si>
    <t>S1418/24</t>
  </si>
  <si>
    <t>Kaudha Brenda</t>
  </si>
  <si>
    <t>0751 435938</t>
  </si>
  <si>
    <t>S1419/24</t>
  </si>
  <si>
    <t>Nakalyowa Brenda</t>
  </si>
  <si>
    <t>0756 856249</t>
  </si>
  <si>
    <t>S1420/24</t>
  </si>
  <si>
    <t>Mutasi Prossy</t>
  </si>
  <si>
    <t>0701 530220</t>
  </si>
  <si>
    <t>S1421/24</t>
  </si>
  <si>
    <t>Namilsuswa Lydia</t>
  </si>
  <si>
    <t>0743 219785</t>
  </si>
  <si>
    <t>S1422/24</t>
  </si>
  <si>
    <t>Bagati Kadoma</t>
  </si>
  <si>
    <t>S1423/24</t>
  </si>
  <si>
    <t>Namakase Hadijah</t>
  </si>
  <si>
    <t>0752 994093</t>
  </si>
  <si>
    <t>S1424/24</t>
  </si>
  <si>
    <t>Nankwanga Rashida</t>
  </si>
  <si>
    <t>0741 201528</t>
  </si>
  <si>
    <t>S1425/24</t>
  </si>
  <si>
    <t>Amusugutu Rose</t>
  </si>
  <si>
    <t>0707 579322</t>
  </si>
  <si>
    <t>S1426/24</t>
  </si>
  <si>
    <t>Kliwo Esther</t>
  </si>
  <si>
    <t>Ntikalu</t>
  </si>
  <si>
    <t>0757 016883</t>
  </si>
  <si>
    <t>S1427/24</t>
  </si>
  <si>
    <t>Night Hasifah</t>
  </si>
  <si>
    <t>0775 037893</t>
  </si>
  <si>
    <t>S1428/25</t>
  </si>
  <si>
    <t>Naula Florence</t>
  </si>
  <si>
    <t>S1429/24</t>
  </si>
  <si>
    <t>Nawere Esther</t>
  </si>
  <si>
    <t>0705 763751</t>
  </si>
  <si>
    <t>S1430/24</t>
  </si>
  <si>
    <t>Abeti Margret</t>
  </si>
  <si>
    <t>S1431/24</t>
  </si>
  <si>
    <t>Adikiui Rosemary</t>
  </si>
  <si>
    <t>S1432/24</t>
  </si>
  <si>
    <t xml:space="preserve">Babirye Alaisa </t>
  </si>
  <si>
    <t>0741 2015258</t>
  </si>
  <si>
    <t>S1433/24</t>
  </si>
  <si>
    <t>Kyaliki Meele</t>
  </si>
  <si>
    <t>S1434/24</t>
  </si>
  <si>
    <t>Nabwire Aisha</t>
  </si>
  <si>
    <t>S1435/24</t>
  </si>
  <si>
    <t>Achen Margret</t>
  </si>
  <si>
    <t>S1436/24</t>
  </si>
  <si>
    <t>Nyamwenge Rosemary</t>
  </si>
  <si>
    <t>S1437/24</t>
  </si>
  <si>
    <t>Nasayaza Amina</t>
  </si>
  <si>
    <t>0743 891019</t>
  </si>
  <si>
    <t>S1438/24</t>
  </si>
  <si>
    <t>Awori Christine</t>
  </si>
  <si>
    <t>S1439/24</t>
  </si>
  <si>
    <t>Mukyala Mariam</t>
  </si>
  <si>
    <t>0757 721222</t>
  </si>
  <si>
    <t>S1440/24</t>
  </si>
  <si>
    <t>Ajambo Teopista</t>
  </si>
  <si>
    <t>0755 746809</t>
  </si>
  <si>
    <t>S1441/24</t>
  </si>
  <si>
    <t>Nandege Efrance</t>
  </si>
  <si>
    <t>S1442/24</t>
  </si>
  <si>
    <t>Nakiranda Betty</t>
  </si>
  <si>
    <t>0785 816038</t>
  </si>
  <si>
    <t>S1443/24</t>
  </si>
  <si>
    <t>Naumo Magadalena</t>
  </si>
  <si>
    <t>0743 186360</t>
  </si>
  <si>
    <t>S1444/24</t>
  </si>
  <si>
    <t>Aloe Teddy</t>
  </si>
  <si>
    <t>0759 410623</t>
  </si>
  <si>
    <t>S1445/24</t>
  </si>
  <si>
    <t>Nekesa Angellina</t>
  </si>
  <si>
    <t>S1446/24</t>
  </si>
  <si>
    <t>Akumu Rose</t>
  </si>
  <si>
    <t>S1447/24</t>
  </si>
  <si>
    <t>Baseke Fatuma</t>
  </si>
  <si>
    <t>0722 00511</t>
  </si>
  <si>
    <t>S1448/24</t>
  </si>
  <si>
    <t>Nakwaya Rehema</t>
  </si>
  <si>
    <t>0754 323827</t>
  </si>
  <si>
    <t>S1449/24</t>
  </si>
  <si>
    <t>Abbo Mary</t>
  </si>
  <si>
    <t>0773 482483</t>
  </si>
  <si>
    <t>S1450/24</t>
  </si>
  <si>
    <t>Kyakuwaire Juliet</t>
  </si>
  <si>
    <t>S1451/24</t>
  </si>
  <si>
    <t>S1452/24</t>
  </si>
  <si>
    <t>Kisakye Florence</t>
  </si>
  <si>
    <t>0755 443555</t>
  </si>
  <si>
    <t>S1453/24</t>
  </si>
  <si>
    <t>Nangira Teopista</t>
  </si>
  <si>
    <t>0706 277811</t>
  </si>
  <si>
    <t>S1454/24</t>
  </si>
  <si>
    <t>Aruma Jesica</t>
  </si>
  <si>
    <t>0745 764582</t>
  </si>
  <si>
    <t>S1455/24</t>
  </si>
  <si>
    <t>Fauza Mutesi</t>
  </si>
  <si>
    <t>0703 498886</t>
  </si>
  <si>
    <t>S1456/24</t>
  </si>
  <si>
    <t xml:space="preserve">Ndibugeza Margret </t>
  </si>
  <si>
    <t>0759 361999</t>
  </si>
  <si>
    <t>Muyori</t>
  </si>
  <si>
    <t>S1457/24</t>
  </si>
  <si>
    <t>Tibesigwa Kuluthum</t>
  </si>
  <si>
    <t>0755 420406</t>
  </si>
  <si>
    <t>S1458/24</t>
  </si>
  <si>
    <t>Aketch Judith</t>
  </si>
  <si>
    <t>0750 716644</t>
  </si>
  <si>
    <t>S1459/24</t>
  </si>
  <si>
    <t>0753 124013</t>
  </si>
  <si>
    <t>S1460/24</t>
  </si>
  <si>
    <t>Nankwanga Janipher</t>
  </si>
  <si>
    <t>S1461/24</t>
  </si>
  <si>
    <t>Kawuma Mwajuma</t>
  </si>
  <si>
    <t>0753 172456</t>
  </si>
  <si>
    <t>S1462/24</t>
  </si>
  <si>
    <t>Kateme Hellen</t>
  </si>
  <si>
    <t>0758 176394</t>
  </si>
  <si>
    <t>S1463/24</t>
  </si>
  <si>
    <t>Namutebi Sofia</t>
  </si>
  <si>
    <t>0750 047109</t>
  </si>
  <si>
    <t xml:space="preserve">17 – 30(43) </t>
  </si>
  <si>
    <t>31– 40 (10)</t>
  </si>
  <si>
    <t>51-60 (14)</t>
  </si>
  <si>
    <t>&gt;61 (12)</t>
  </si>
  <si>
    <t>27/09/2024</t>
  </si>
  <si>
    <t>Place: Nile Vocational Institute</t>
  </si>
  <si>
    <t>S1464/24</t>
  </si>
  <si>
    <t>Nanozi Brendah</t>
  </si>
  <si>
    <t>0709 870918</t>
  </si>
  <si>
    <t>2 weeks</t>
  </si>
  <si>
    <t>S1465/24</t>
  </si>
  <si>
    <t>Mpamwiza Doreen</t>
  </si>
  <si>
    <t>0759 342456</t>
  </si>
  <si>
    <t>S1466/24</t>
  </si>
  <si>
    <t>Atyang Botulu</t>
  </si>
  <si>
    <t>0753 625877</t>
  </si>
  <si>
    <t>S1467/24</t>
  </si>
  <si>
    <t>Najja Benitah</t>
  </si>
  <si>
    <t>Mbiko</t>
  </si>
  <si>
    <t>0743 889246</t>
  </si>
  <si>
    <t>S1468/24</t>
  </si>
  <si>
    <t>Nangobi Zaituna</t>
  </si>
  <si>
    <t>0705 821321</t>
  </si>
  <si>
    <t>S1469/24</t>
  </si>
  <si>
    <t>Nakijandi Gloria</t>
  </si>
  <si>
    <t>0745 659606</t>
  </si>
  <si>
    <t>S1470/24</t>
  </si>
  <si>
    <t>Adoch Gloria</t>
  </si>
  <si>
    <t>Kitgum</t>
  </si>
  <si>
    <t>0779 187926</t>
  </si>
  <si>
    <t>S1471/24</t>
  </si>
  <si>
    <t>Akello Pauline Martha</t>
  </si>
  <si>
    <t>0753 914424</t>
  </si>
  <si>
    <t>S1472/24</t>
  </si>
  <si>
    <t>Namugga Fauzia</t>
  </si>
  <si>
    <t>0707 867381</t>
  </si>
  <si>
    <t>S1473/24</t>
  </si>
  <si>
    <t>Lamara Grace</t>
  </si>
  <si>
    <t>0709 000309</t>
  </si>
  <si>
    <t>S1474/24</t>
  </si>
  <si>
    <t>Nakate Mada</t>
  </si>
  <si>
    <t>0757 799216</t>
  </si>
  <si>
    <t>S1475/24</t>
  </si>
  <si>
    <t>Nandako Joan</t>
  </si>
  <si>
    <t>Kampala</t>
  </si>
  <si>
    <t>0782 607951</t>
  </si>
  <si>
    <t>S1476/24</t>
  </si>
  <si>
    <t>Akori Anna</t>
  </si>
  <si>
    <t>Nile</t>
  </si>
  <si>
    <t>0741 401672</t>
  </si>
  <si>
    <t>S1477/24</t>
  </si>
  <si>
    <t>Kayendeke Joyce Phiona</t>
  </si>
  <si>
    <t>Kadokakoro</t>
  </si>
  <si>
    <t>0751 881216</t>
  </si>
  <si>
    <t>S1478/24</t>
  </si>
  <si>
    <t>Ayer Florence Joyce</t>
  </si>
  <si>
    <t>0766 465048</t>
  </si>
  <si>
    <t>S1479/24</t>
  </si>
  <si>
    <t>Alinaitwe Shiran</t>
  </si>
  <si>
    <t>Kisanza</t>
  </si>
  <si>
    <t>0781 708646</t>
  </si>
  <si>
    <t>S1480/24</t>
  </si>
  <si>
    <t>Alwedo Syndrella</t>
  </si>
  <si>
    <t>0760 406680</t>
  </si>
  <si>
    <t>S1481/24</t>
  </si>
  <si>
    <t>Apio Patricia</t>
  </si>
  <si>
    <t>0785 778637</t>
  </si>
  <si>
    <t>S1482/24</t>
  </si>
  <si>
    <t>Aoll Betty</t>
  </si>
  <si>
    <t>0784 678683</t>
  </si>
  <si>
    <t>S1483/24</t>
  </si>
  <si>
    <t>Owechi Hamim</t>
  </si>
  <si>
    <t>Pachwach</t>
  </si>
  <si>
    <t>0779 289378</t>
  </si>
  <si>
    <t>Arul</t>
  </si>
  <si>
    <t>S1484/24</t>
  </si>
  <si>
    <t>Aloyo Ruth Joanah</t>
  </si>
  <si>
    <t>0761 807147</t>
  </si>
  <si>
    <t>S1485/24</t>
  </si>
  <si>
    <t>Muzaki Phiona Magadelen</t>
  </si>
  <si>
    <t>Bunekesa</t>
  </si>
  <si>
    <t>0782 839627</t>
  </si>
  <si>
    <t>S1486/24</t>
  </si>
  <si>
    <t>Taaka Ritah</t>
  </si>
  <si>
    <t>Budiyra</t>
  </si>
  <si>
    <t>0763 317634</t>
  </si>
  <si>
    <t xml:space="preserve"> Date;8/10/2024</t>
  </si>
  <si>
    <t>BS380/24</t>
  </si>
  <si>
    <t>Babirye Nubuwati</t>
  </si>
  <si>
    <t>Nambula</t>
  </si>
  <si>
    <t>0708-877174</t>
  </si>
  <si>
    <t>BS381/24</t>
  </si>
  <si>
    <t>Namubiru Aidah</t>
  </si>
  <si>
    <t xml:space="preserve">Kigweri </t>
  </si>
  <si>
    <t xml:space="preserve">17 – 30(22) </t>
  </si>
  <si>
    <t>31– 40 (0)</t>
  </si>
  <si>
    <t xml:space="preserve"> Date; 30/9/2024 </t>
  </si>
  <si>
    <t>Place: Wakawaka HCII</t>
  </si>
  <si>
    <t>S1487/24</t>
  </si>
  <si>
    <t>Nagida Kalende</t>
  </si>
  <si>
    <t>Naguru</t>
  </si>
  <si>
    <t>0789 888896</t>
  </si>
  <si>
    <t>S1488/24</t>
  </si>
  <si>
    <t>Namugabo Jolene</t>
  </si>
  <si>
    <t>Namatu</t>
  </si>
  <si>
    <t>S1489/24</t>
  </si>
  <si>
    <t>Nerima Phoebe</t>
  </si>
  <si>
    <t>0744 668236</t>
  </si>
  <si>
    <t>S1490/24</t>
  </si>
  <si>
    <t>Namudiba Bayati</t>
  </si>
  <si>
    <t>Kibuye</t>
  </si>
  <si>
    <t>0780 916567</t>
  </si>
  <si>
    <t>S1491/24</t>
  </si>
  <si>
    <t>Kawata Juliet</t>
  </si>
  <si>
    <t>0770 528350</t>
  </si>
  <si>
    <t>S1492/24</t>
  </si>
  <si>
    <t>Nakibuuka Sharon</t>
  </si>
  <si>
    <t>0702 738078</t>
  </si>
  <si>
    <t>S1493/24</t>
  </si>
  <si>
    <t>Naigaga Susan</t>
  </si>
  <si>
    <t>0761 078077</t>
  </si>
  <si>
    <t>S1494/24</t>
  </si>
  <si>
    <t>Suubi Cissy</t>
  </si>
  <si>
    <t>0778 757903</t>
  </si>
  <si>
    <t>S1495/24</t>
  </si>
  <si>
    <t>Nakamia Harriet</t>
  </si>
  <si>
    <t>Wakawaka</t>
  </si>
  <si>
    <t>0780 917178</t>
  </si>
  <si>
    <t>S1496/24</t>
  </si>
  <si>
    <t>Nyakesho Evaline</t>
  </si>
  <si>
    <t>Bugoto</t>
  </si>
  <si>
    <t>0775 327595</t>
  </si>
  <si>
    <t>Lumpectomy</t>
  </si>
  <si>
    <t>S1497/24</t>
  </si>
  <si>
    <t>Mutesi Margret</t>
  </si>
  <si>
    <t>Nakawa</t>
  </si>
  <si>
    <t>S1498/24</t>
  </si>
  <si>
    <t>Nahumikya Rose</t>
  </si>
  <si>
    <t>0784 630669</t>
  </si>
  <si>
    <t>S1499/24</t>
  </si>
  <si>
    <t>Anyango Eunice</t>
  </si>
  <si>
    <t>0775 359106</t>
  </si>
  <si>
    <t>S1500/24</t>
  </si>
  <si>
    <t>Kaudha Aziza</t>
  </si>
  <si>
    <t>0763 135361</t>
  </si>
  <si>
    <t>S1501/24</t>
  </si>
  <si>
    <t>Namubya Jesca</t>
  </si>
  <si>
    <t>0744 717422</t>
  </si>
  <si>
    <t>S1502/24</t>
  </si>
  <si>
    <t>Birungi Margret</t>
  </si>
  <si>
    <t>0772 967133</t>
  </si>
  <si>
    <t>S1503/24</t>
  </si>
  <si>
    <t>Nyachwo Justine</t>
  </si>
  <si>
    <t>S1504/24</t>
  </si>
  <si>
    <t>Akello Sylvia</t>
  </si>
  <si>
    <t>0753 407021</t>
  </si>
  <si>
    <t>S1505/24</t>
  </si>
  <si>
    <t>Nakadama Sandra</t>
  </si>
  <si>
    <t>0706 541812</t>
  </si>
  <si>
    <t>S1506/24</t>
  </si>
  <si>
    <t>0709 422047</t>
  </si>
  <si>
    <t>S1507/24</t>
  </si>
  <si>
    <t>Akello Sarah</t>
  </si>
  <si>
    <t>0780 68300</t>
  </si>
  <si>
    <t>S1508/24</t>
  </si>
  <si>
    <t>Kyakuwaire Joyce</t>
  </si>
  <si>
    <t>S1509/24</t>
  </si>
  <si>
    <t>Tukusitwa Bitu</t>
  </si>
  <si>
    <t>Mutamogi</t>
  </si>
  <si>
    <t>S1510/24</t>
  </si>
  <si>
    <t>Namuganda Madinah</t>
  </si>
  <si>
    <t>S1511/24</t>
  </si>
  <si>
    <t>Syeunda Annet</t>
  </si>
  <si>
    <t>S1512/24</t>
  </si>
  <si>
    <t>Namukose Rehema</t>
  </si>
  <si>
    <t>0762 84947</t>
  </si>
  <si>
    <t>S1513/24</t>
  </si>
  <si>
    <t>Namukomolo Sarah</t>
  </si>
  <si>
    <t>S1514/24</t>
  </si>
  <si>
    <t>0760 423644</t>
  </si>
  <si>
    <t>S1515/24</t>
  </si>
  <si>
    <t>Nakawoko Amina</t>
  </si>
  <si>
    <t>0759 345206</t>
  </si>
  <si>
    <t xml:space="preserve">18 – 30() </t>
  </si>
  <si>
    <t>41– 50 (3)</t>
  </si>
  <si>
    <t xml:space="preserve"> Date; September</t>
  </si>
  <si>
    <t>S1516/24</t>
  </si>
  <si>
    <t>Muwanguzi Edith</t>
  </si>
  <si>
    <t>Bukombe</t>
  </si>
  <si>
    <t>0782 598123</t>
  </si>
  <si>
    <t>S1517/24</t>
  </si>
  <si>
    <t>Nangira Sylvia</t>
  </si>
  <si>
    <t>Buchunia</t>
  </si>
  <si>
    <t>0741 733130</t>
  </si>
  <si>
    <t>S1518/24</t>
  </si>
  <si>
    <t>Nankabirwa Noor</t>
  </si>
  <si>
    <t>Mukokotokwa</t>
  </si>
  <si>
    <t>0750 931811</t>
  </si>
  <si>
    <t>S1519/24</t>
  </si>
  <si>
    <t>Kirikumwino Margret</t>
  </si>
  <si>
    <t>Irongo</t>
  </si>
  <si>
    <t>0752 29394</t>
  </si>
  <si>
    <t>S1520/24</t>
  </si>
  <si>
    <t>Kirabira Rashida</t>
  </si>
  <si>
    <t>07026 63263</t>
  </si>
  <si>
    <t xml:space="preserve">17 – 30(1) </t>
  </si>
  <si>
    <t>11-12/9/2024</t>
  </si>
  <si>
    <t xml:space="preserve">Jaja Sylvia </t>
  </si>
  <si>
    <t>Bukungu</t>
  </si>
  <si>
    <t>Nabwire Deborah</t>
  </si>
  <si>
    <t>0707-722817</t>
  </si>
  <si>
    <t>BS332/24</t>
  </si>
  <si>
    <t>Ajambo Caroline</t>
  </si>
  <si>
    <t xml:space="preserve">Bukungu </t>
  </si>
  <si>
    <t>0750-726108</t>
  </si>
  <si>
    <t>BS333/24</t>
  </si>
  <si>
    <t>Nafula Betty</t>
  </si>
  <si>
    <t>0753-070488</t>
  </si>
  <si>
    <t>BS334/24</t>
  </si>
  <si>
    <t>Achola Esther Sanyu</t>
  </si>
  <si>
    <t>0707-558812</t>
  </si>
  <si>
    <t>BS335/24</t>
  </si>
  <si>
    <t>Nangereki Eseza</t>
  </si>
  <si>
    <t xml:space="preserve">Kinamwanga </t>
  </si>
  <si>
    <t>0740-067905</t>
  </si>
  <si>
    <t>BS336/24</t>
  </si>
  <si>
    <t>Nangobi Teopista</t>
  </si>
  <si>
    <t>Kiwantaama</t>
  </si>
  <si>
    <t>0755-461774</t>
  </si>
  <si>
    <t>BS337/24</t>
  </si>
  <si>
    <t xml:space="preserve">Namuganza Tapenensi </t>
  </si>
  <si>
    <t>0752-443230</t>
  </si>
  <si>
    <t>BS338/24</t>
  </si>
  <si>
    <t>Namande Hanifa</t>
  </si>
  <si>
    <t>0702-841311</t>
  </si>
  <si>
    <t>BS339/24</t>
  </si>
  <si>
    <t>Alaba Sarah</t>
  </si>
  <si>
    <t>Kabalongo</t>
  </si>
  <si>
    <t>BS340/24</t>
  </si>
  <si>
    <t>Akello Zubeda</t>
  </si>
  <si>
    <t xml:space="preserve">Kyankole </t>
  </si>
  <si>
    <t>0704-464180</t>
  </si>
  <si>
    <t>BS341/24</t>
  </si>
  <si>
    <t xml:space="preserve">Kuteesa Gorreti </t>
  </si>
  <si>
    <t>0757-094820</t>
  </si>
  <si>
    <t>BS342/24</t>
  </si>
  <si>
    <t>Tibiwa Loy</t>
  </si>
  <si>
    <t>Kyankole</t>
  </si>
  <si>
    <t>0783-247404</t>
  </si>
  <si>
    <t>BS343/24</t>
  </si>
  <si>
    <t>Namuddu Harriet</t>
  </si>
  <si>
    <t>0706-808713</t>
  </si>
  <si>
    <t xml:space="preserve">Muluuli </t>
  </si>
  <si>
    <t>BS344/24</t>
  </si>
  <si>
    <t>Namusobya Faridah</t>
  </si>
  <si>
    <t>BS345/24</t>
  </si>
  <si>
    <t>Nangobi Harriet</t>
  </si>
  <si>
    <t xml:space="preserve">Kiwantaama </t>
  </si>
  <si>
    <t>0754-599490</t>
  </si>
  <si>
    <t>BS346/24</t>
  </si>
  <si>
    <t>Nantege Alice</t>
  </si>
  <si>
    <t xml:space="preserve">Kibaale </t>
  </si>
  <si>
    <t>Muluuli</t>
  </si>
  <si>
    <t>BS347/24</t>
  </si>
  <si>
    <t>Nangobi Besi</t>
  </si>
  <si>
    <t>0708-826753</t>
  </si>
  <si>
    <t>BS348/24</t>
  </si>
  <si>
    <t>Mutaka Jesca</t>
  </si>
  <si>
    <t>0759-392767</t>
  </si>
  <si>
    <t>BS349/24</t>
  </si>
  <si>
    <t>Nalongo Birungi</t>
  </si>
  <si>
    <t>0706-010953</t>
  </si>
  <si>
    <t>BS350/24</t>
  </si>
  <si>
    <t>Jiima Harriet</t>
  </si>
  <si>
    <t>0754-542478</t>
  </si>
  <si>
    <t>BS351/24</t>
  </si>
  <si>
    <t>Nasali Susan</t>
  </si>
  <si>
    <t>0703-149209</t>
  </si>
  <si>
    <t>Mulili</t>
  </si>
  <si>
    <t>BS352/24</t>
  </si>
  <si>
    <t xml:space="preserve">Ntaala </t>
  </si>
  <si>
    <t>0787-396585</t>
  </si>
  <si>
    <t>BS353/24</t>
  </si>
  <si>
    <t>Nankasi Esther</t>
  </si>
  <si>
    <t>Kinankeembo</t>
  </si>
  <si>
    <t>BS354/24</t>
  </si>
  <si>
    <t xml:space="preserve">Katusabe Robinah </t>
  </si>
  <si>
    <t>0753-924410</t>
  </si>
  <si>
    <t>BS355/24</t>
  </si>
  <si>
    <t>Nakazzi Joyce</t>
  </si>
  <si>
    <t>0742-876472</t>
  </si>
  <si>
    <t>BS356/24</t>
  </si>
  <si>
    <t>Nakaima Eva</t>
  </si>
  <si>
    <t>0750-601630</t>
  </si>
  <si>
    <t>BS357/24</t>
  </si>
  <si>
    <t>Nakiwala Sarah</t>
  </si>
  <si>
    <t>Buyanda</t>
  </si>
  <si>
    <t>0709-084011</t>
  </si>
  <si>
    <t>BS358/24</t>
  </si>
  <si>
    <t>Natooli Mariam</t>
  </si>
  <si>
    <t>0758-191737</t>
  </si>
  <si>
    <t>BS359/24</t>
  </si>
  <si>
    <t>Ajambo Nambilo</t>
  </si>
  <si>
    <t>Lufula Zone</t>
  </si>
  <si>
    <t>0759-789505</t>
  </si>
  <si>
    <t>BS360/24</t>
  </si>
  <si>
    <t>BS361/24</t>
  </si>
  <si>
    <t>Nakyejwe Rose</t>
  </si>
  <si>
    <t>Budooba</t>
  </si>
  <si>
    <t>BS362/24</t>
  </si>
  <si>
    <t>Nabukeera Edith</t>
  </si>
  <si>
    <t>0757-383883</t>
  </si>
  <si>
    <t>BS363/24</t>
  </si>
  <si>
    <t>Dando Janat</t>
  </si>
  <si>
    <t>0757-525690</t>
  </si>
  <si>
    <t>BS364/24</t>
  </si>
  <si>
    <t xml:space="preserve">Namande Deziranta </t>
  </si>
  <si>
    <t>0752-550794</t>
  </si>
  <si>
    <t>BS365/24</t>
  </si>
  <si>
    <t xml:space="preserve">Nairuba Sylvia </t>
  </si>
  <si>
    <t xml:space="preserve">Kabalongo </t>
  </si>
  <si>
    <t>0701-493521</t>
  </si>
  <si>
    <t>BS366/24</t>
  </si>
  <si>
    <t>Wotali Catherine</t>
  </si>
  <si>
    <t>0756-548635</t>
  </si>
  <si>
    <t>BS367/24</t>
  </si>
  <si>
    <t xml:space="preserve">Namaganda Safiat </t>
  </si>
  <si>
    <t>0756-509961</t>
  </si>
  <si>
    <t>BS368/24</t>
  </si>
  <si>
    <t>Birungi Bridget</t>
  </si>
  <si>
    <t>0755-117307</t>
  </si>
  <si>
    <t>BS369/24</t>
  </si>
  <si>
    <t>Kyosime Fina</t>
  </si>
  <si>
    <t>0751-079983</t>
  </si>
  <si>
    <t>BS370/24</t>
  </si>
  <si>
    <t>BS371/24</t>
  </si>
  <si>
    <t>Namugaya Lydia</t>
  </si>
  <si>
    <t>BS372/24</t>
  </si>
  <si>
    <t xml:space="preserve">Kaboire Tapenensi </t>
  </si>
  <si>
    <t>0701-938734</t>
  </si>
  <si>
    <t>BS373/24</t>
  </si>
  <si>
    <t>Maliza Lukia</t>
  </si>
  <si>
    <t xml:space="preserve">Kikwata </t>
  </si>
  <si>
    <t>0777-275297</t>
  </si>
  <si>
    <t xml:space="preserve">Lugbara </t>
  </si>
  <si>
    <t>BS374/24</t>
  </si>
  <si>
    <t>Tabbu Grace</t>
  </si>
  <si>
    <t>0743-613642</t>
  </si>
  <si>
    <t>Referred for</t>
  </si>
  <si>
    <t>BS375/24</t>
  </si>
  <si>
    <t xml:space="preserve">Mirembe Rachel </t>
  </si>
  <si>
    <t>0707-775597</t>
  </si>
  <si>
    <t>BS376/24</t>
  </si>
  <si>
    <t>Babirye Fazirah</t>
  </si>
  <si>
    <t>BS377/24</t>
  </si>
  <si>
    <t xml:space="preserve">Ngaba Jessica </t>
  </si>
  <si>
    <t>BS378/24</t>
  </si>
  <si>
    <t xml:space="preserve">Nafuna Madrine </t>
  </si>
  <si>
    <t xml:space="preserve">Kyanyonyo </t>
  </si>
  <si>
    <t>0750-165020</t>
  </si>
  <si>
    <t>BS379/24</t>
  </si>
  <si>
    <t xml:space="preserve">Namiiji Moureen </t>
  </si>
  <si>
    <t>0706-270077</t>
  </si>
  <si>
    <t xml:space="preserve">Munyole </t>
  </si>
  <si>
    <t>41– 50 (16)</t>
  </si>
  <si>
    <t>51– 60 (03)</t>
  </si>
  <si>
    <t xml:space="preserve"> Date; 3/10/2024</t>
  </si>
  <si>
    <t>Place: YALELO</t>
  </si>
  <si>
    <t>S1521/24</t>
  </si>
  <si>
    <t>Nabwire Viola</t>
  </si>
  <si>
    <t>Butembe</t>
  </si>
  <si>
    <t>0786 246430</t>
  </si>
  <si>
    <t>Inconclusive</t>
  </si>
  <si>
    <t>S1522/24</t>
  </si>
  <si>
    <t>Kawambe Judith</t>
  </si>
  <si>
    <t>Bwagajo</t>
  </si>
  <si>
    <t>0772 728417</t>
  </si>
  <si>
    <t>S1523/24</t>
  </si>
  <si>
    <t>Abbo Damalie</t>
  </si>
  <si>
    <t>0787 054272</t>
  </si>
  <si>
    <t>S1524/24</t>
  </si>
  <si>
    <t>Concy Among</t>
  </si>
  <si>
    <t>0789 711119</t>
  </si>
  <si>
    <t>S1525/24</t>
  </si>
  <si>
    <t>Adong Eve</t>
  </si>
  <si>
    <t>07601 23534</t>
  </si>
  <si>
    <t>S1526/24</t>
  </si>
  <si>
    <t>Tuyisenge Brandinah</t>
  </si>
  <si>
    <t>0777 263604</t>
  </si>
  <si>
    <t>S1527/24</t>
  </si>
  <si>
    <t>Tendo Baker</t>
  </si>
  <si>
    <t>0757 814616</t>
  </si>
  <si>
    <t>S1528/24</t>
  </si>
  <si>
    <t>Jackline Tugume</t>
  </si>
  <si>
    <t>Kilyowa</t>
  </si>
  <si>
    <t>0787 791072</t>
  </si>
  <si>
    <t>S1529/24</t>
  </si>
  <si>
    <t>Grace Lillian Zalwango</t>
  </si>
  <si>
    <t>07034 45780</t>
  </si>
  <si>
    <t>not eligible</t>
  </si>
  <si>
    <t>S1530/24</t>
  </si>
  <si>
    <t>Drateru Doreen</t>
  </si>
  <si>
    <t>0773 850974</t>
  </si>
  <si>
    <t>S1531/24</t>
  </si>
  <si>
    <t>Mbabazi Jasinta</t>
  </si>
  <si>
    <t>Nakagu</t>
  </si>
  <si>
    <t>0785 873247</t>
  </si>
  <si>
    <t xml:space="preserve">20 – 30(08) </t>
  </si>
  <si>
    <t xml:space="preserve"> Date; 14/10/2024</t>
  </si>
  <si>
    <t>Place: KALALU PRIMARY SCH</t>
  </si>
  <si>
    <t>S1532/24</t>
  </si>
  <si>
    <t>Nakagolo Mellisa</t>
  </si>
  <si>
    <t>Kansega</t>
  </si>
  <si>
    <t>0758 477604</t>
  </si>
  <si>
    <t>S1533/24</t>
  </si>
  <si>
    <t>Nagobi Elizabeth</t>
  </si>
  <si>
    <t>Kalulu</t>
  </si>
  <si>
    <t>S1534/24</t>
  </si>
  <si>
    <t>Mirembe Monica</t>
  </si>
  <si>
    <t>0751 060738</t>
  </si>
  <si>
    <t>S1535/24</t>
  </si>
  <si>
    <t>Mbeiza Susan</t>
  </si>
  <si>
    <t>Kanasenga</t>
  </si>
  <si>
    <t>0744 91998</t>
  </si>
  <si>
    <t>S1536/24</t>
  </si>
  <si>
    <t>Namaganda Mariam</t>
  </si>
  <si>
    <t>Namuzingo</t>
  </si>
  <si>
    <t>0759 498514</t>
  </si>
  <si>
    <t>S1537/24</t>
  </si>
  <si>
    <t>07036 18578</t>
  </si>
  <si>
    <t>S1538/24</t>
  </si>
  <si>
    <t>Kafuko Esther</t>
  </si>
  <si>
    <t>07037 38595</t>
  </si>
  <si>
    <t>Endometritis</t>
  </si>
  <si>
    <t>Abdominal USS</t>
  </si>
  <si>
    <t>S1539/24</t>
  </si>
  <si>
    <t>Kirabira Regina</t>
  </si>
  <si>
    <t>Bulyakubi</t>
  </si>
  <si>
    <t>0760 344893</t>
  </si>
  <si>
    <t>S1540/24</t>
  </si>
  <si>
    <t>Naigaga Getu</t>
  </si>
  <si>
    <t>Kanaseka</t>
  </si>
  <si>
    <t>S1541/24</t>
  </si>
  <si>
    <t>Nakaziba Habiba</t>
  </si>
  <si>
    <t>Kabili</t>
  </si>
  <si>
    <t>S1542/24</t>
  </si>
  <si>
    <t>Tibagalika Peninah</t>
  </si>
  <si>
    <t>Namwiwa</t>
  </si>
  <si>
    <t>0754 332120</t>
  </si>
  <si>
    <t>S1543/24</t>
  </si>
  <si>
    <t>Namuhoya Racheal</t>
  </si>
  <si>
    <t>0757 599829</t>
  </si>
  <si>
    <t>S1544/24</t>
  </si>
  <si>
    <t>Kirikumwino Jackline</t>
  </si>
  <si>
    <t>Kanasega</t>
  </si>
  <si>
    <t>S1545/24</t>
  </si>
  <si>
    <t>0750 582850</t>
  </si>
  <si>
    <t>S1546/24</t>
  </si>
  <si>
    <t>Namuzigo</t>
  </si>
  <si>
    <t>0740 49241</t>
  </si>
  <si>
    <t>S1547/24</t>
  </si>
  <si>
    <t>Namulemo Betty</t>
  </si>
  <si>
    <t>S1548/24</t>
  </si>
  <si>
    <t>Mbeiza Fauza</t>
  </si>
  <si>
    <t>Kanatale</t>
  </si>
  <si>
    <t>0748 999664</t>
  </si>
  <si>
    <t>S1549/24</t>
  </si>
  <si>
    <t>Matama Aidah</t>
  </si>
  <si>
    <t>07059 50328</t>
  </si>
  <si>
    <t>S1550/24</t>
  </si>
  <si>
    <t>Naisikwe Lucy</t>
  </si>
  <si>
    <t>Kanasege</t>
  </si>
  <si>
    <t>S1551/24</t>
  </si>
  <si>
    <t>Nabirye Tina</t>
  </si>
  <si>
    <t>Bakono</t>
  </si>
  <si>
    <t>S1552/24</t>
  </si>
  <si>
    <t>0745 555315</t>
  </si>
  <si>
    <t>S1553/24</t>
  </si>
  <si>
    <t>Tabingwa Eseza</t>
  </si>
  <si>
    <t>S1554/24</t>
  </si>
  <si>
    <t>Alweni Angelina</t>
  </si>
  <si>
    <t>0741 647488</t>
  </si>
  <si>
    <t>S1555/24</t>
  </si>
  <si>
    <t>Kwagala Monica</t>
  </si>
  <si>
    <t>S1556/24</t>
  </si>
  <si>
    <t>Butukilire Esther</t>
  </si>
  <si>
    <t>07063 73783</t>
  </si>
  <si>
    <t>S1557/24</t>
  </si>
  <si>
    <t>Byogero Scovia</t>
  </si>
  <si>
    <t>0758 736247</t>
  </si>
  <si>
    <t>S1558/24</t>
  </si>
  <si>
    <t>Namulemo Joy</t>
  </si>
  <si>
    <t>Kanasegga</t>
  </si>
  <si>
    <t>S1559/24</t>
  </si>
  <si>
    <t>Nambi Florence</t>
  </si>
  <si>
    <t>S1560/24</t>
  </si>
  <si>
    <t>Nanguyo Irene</t>
  </si>
  <si>
    <t>0774 339943</t>
  </si>
  <si>
    <t>S1561/24</t>
  </si>
  <si>
    <t>Nairuba Miria</t>
  </si>
  <si>
    <t>kalulu</t>
  </si>
  <si>
    <t>07043 99088</t>
  </si>
  <si>
    <t>6 years back</t>
  </si>
  <si>
    <t>S1562/24</t>
  </si>
  <si>
    <t>Tebaziika Edinansi</t>
  </si>
  <si>
    <t>S1563/24</t>
  </si>
  <si>
    <t>Namuyomba Petu</t>
  </si>
  <si>
    <t>Nayilika</t>
  </si>
  <si>
    <t>0783 385358</t>
  </si>
  <si>
    <t>S1564/24</t>
  </si>
  <si>
    <t>Aarakati Rose Mary</t>
  </si>
  <si>
    <t>Kaliro</t>
  </si>
  <si>
    <t>Itesoti</t>
  </si>
  <si>
    <t>S1565/24</t>
  </si>
  <si>
    <t>Namugaya Maliza</t>
  </si>
  <si>
    <t>kabili</t>
  </si>
  <si>
    <t>S1659/24</t>
  </si>
  <si>
    <t>Byogero Zamu</t>
  </si>
  <si>
    <t xml:space="preserve">20 – 30(11) </t>
  </si>
  <si>
    <t>51– 60 (01)</t>
  </si>
  <si>
    <t xml:space="preserve"> Date; 16/10/2024</t>
  </si>
  <si>
    <t>Place: MARK &amp; KELLY PETRA COMMUNITY</t>
  </si>
  <si>
    <t>S1566/24</t>
  </si>
  <si>
    <t>Watsemba Joyce</t>
  </si>
  <si>
    <t>Kakema</t>
  </si>
  <si>
    <t>S1567/24</t>
  </si>
  <si>
    <t>Naigwe Jane</t>
  </si>
  <si>
    <t>0777 580592</t>
  </si>
  <si>
    <t>After 3 weeks</t>
  </si>
  <si>
    <t>S1568/24</t>
  </si>
  <si>
    <t>Naluyima Florence</t>
  </si>
  <si>
    <t>S1569/24</t>
  </si>
  <si>
    <t>Aliyinza Bayat</t>
  </si>
  <si>
    <t>0702 257713</t>
  </si>
  <si>
    <t>S1570/24</t>
  </si>
  <si>
    <t>Namwase Monica</t>
  </si>
  <si>
    <t>0771 653219</t>
  </si>
  <si>
    <t>S1571/24</t>
  </si>
  <si>
    <t>Kyalo Keku</t>
  </si>
  <si>
    <t>0779 569066</t>
  </si>
  <si>
    <t>S1572/24</t>
  </si>
  <si>
    <t>Nanteza Hawa</t>
  </si>
  <si>
    <t>0753 196745</t>
  </si>
  <si>
    <t>S1573/24</t>
  </si>
  <si>
    <t>Nankwanga Fauza</t>
  </si>
  <si>
    <t>0751 098046</t>
  </si>
  <si>
    <t>S1574/24</t>
  </si>
  <si>
    <t>Babirye Chorostica</t>
  </si>
  <si>
    <t>0764 423950</t>
  </si>
  <si>
    <t>S1575/24</t>
  </si>
  <si>
    <t>Nasiko Judith</t>
  </si>
  <si>
    <t>0781 73284</t>
  </si>
  <si>
    <t>S1576/24</t>
  </si>
  <si>
    <t>Kaudha Florence</t>
  </si>
  <si>
    <t>0703 191098</t>
  </si>
  <si>
    <t>S1577/24</t>
  </si>
  <si>
    <t>Namuwoya Racheal</t>
  </si>
  <si>
    <t>0750 664008</t>
  </si>
  <si>
    <t>S1578/24</t>
  </si>
  <si>
    <t>Mutesi Irene</t>
  </si>
  <si>
    <t>S1579/24</t>
  </si>
  <si>
    <t>Kako Jesca</t>
  </si>
  <si>
    <t>S1580/24</t>
  </si>
  <si>
    <t>Salaane Fauza</t>
  </si>
  <si>
    <t>0746 723472</t>
  </si>
  <si>
    <t>S1581/24</t>
  </si>
  <si>
    <t>Balehe Lillian</t>
  </si>
  <si>
    <t>0753 350903</t>
  </si>
  <si>
    <t>S1582/24</t>
  </si>
  <si>
    <t>Ngeyabwe Justine</t>
  </si>
  <si>
    <t>Busibe</t>
  </si>
  <si>
    <t>0758 677121</t>
  </si>
  <si>
    <t>S1583/24</t>
  </si>
  <si>
    <t>Tokoru Judith</t>
  </si>
  <si>
    <t>0778 315414</t>
  </si>
  <si>
    <t>S1584/24</t>
  </si>
  <si>
    <t>Night Beatrice</t>
  </si>
  <si>
    <t>S1585/24</t>
  </si>
  <si>
    <t>Kalembe Specioza</t>
  </si>
  <si>
    <t>0771 355637</t>
  </si>
  <si>
    <t>S1586/24</t>
  </si>
  <si>
    <t>Mirembe Sylvia</t>
  </si>
  <si>
    <t>07723 47759</t>
  </si>
  <si>
    <t>S1587/24</t>
  </si>
  <si>
    <t>Angalika Annet</t>
  </si>
  <si>
    <t>Lwambogo</t>
  </si>
  <si>
    <t>S1588/24</t>
  </si>
  <si>
    <t>Nandudu Winnie</t>
  </si>
  <si>
    <t>S1589/24</t>
  </si>
  <si>
    <t>Nalwanga Veronica</t>
  </si>
  <si>
    <t>0758 510252</t>
  </si>
  <si>
    <t>S1590/24</t>
  </si>
  <si>
    <t>Nambuya Grace</t>
  </si>
  <si>
    <t>0760 039564</t>
  </si>
  <si>
    <t>S1591/24</t>
  </si>
  <si>
    <t>Babirye Halima</t>
  </si>
  <si>
    <t>0751 500853</t>
  </si>
  <si>
    <t>S1592/24</t>
  </si>
  <si>
    <t>Sabano Martha</t>
  </si>
  <si>
    <t>0756 904425</t>
  </si>
  <si>
    <t>S1593/24</t>
  </si>
  <si>
    <t>Ntono Esther</t>
  </si>
  <si>
    <t>07063 71810</t>
  </si>
  <si>
    <t>S1594/24</t>
  </si>
  <si>
    <t>Ampaire Janet</t>
  </si>
  <si>
    <t>0777 689469</t>
  </si>
  <si>
    <t>Munyakole</t>
  </si>
  <si>
    <t>S1595/24</t>
  </si>
  <si>
    <t>Mutesi Else</t>
  </si>
  <si>
    <t>S1596/24</t>
  </si>
  <si>
    <t>Bacterial Vaginosis</t>
  </si>
  <si>
    <t>S1597/24</t>
  </si>
  <si>
    <t>Tondo Biitu</t>
  </si>
  <si>
    <t>0756 892429</t>
  </si>
  <si>
    <t>S1598/24</t>
  </si>
  <si>
    <t>Nakirya Juliana</t>
  </si>
  <si>
    <t>0759 203802</t>
  </si>
  <si>
    <t>S1599/24</t>
  </si>
  <si>
    <t>Nakalema Doreen</t>
  </si>
  <si>
    <t>07002 25234</t>
  </si>
  <si>
    <t>S1600/24</t>
  </si>
  <si>
    <t>Byobona Rachael</t>
  </si>
  <si>
    <t>0772 097634</t>
  </si>
  <si>
    <t>Kyabirwa Sc</t>
  </si>
  <si>
    <t>S1601/24</t>
  </si>
  <si>
    <t>Nafuna Caroline</t>
  </si>
  <si>
    <t xml:space="preserve">20 – 30(09) </t>
  </si>
  <si>
    <t>41– 50 (06)</t>
  </si>
  <si>
    <t>51– 60 (05)</t>
  </si>
  <si>
    <t xml:space="preserve"> Date; 21/10/2024</t>
  </si>
  <si>
    <t>Place: BUKATUBE H/C111</t>
  </si>
  <si>
    <t>S1602/24</t>
  </si>
  <si>
    <t>Abbo Agnes</t>
  </si>
  <si>
    <t>Buwolomero</t>
  </si>
  <si>
    <t>0763 869163</t>
  </si>
  <si>
    <t>S1603/24</t>
  </si>
  <si>
    <t>Naziwa Rossette</t>
  </si>
  <si>
    <t>Kabuuki</t>
  </si>
  <si>
    <t>07032 73508</t>
  </si>
  <si>
    <t>S1604/24</t>
  </si>
  <si>
    <t>Nakalanga</t>
  </si>
  <si>
    <t>After giving birth</t>
  </si>
  <si>
    <t>S1605/24</t>
  </si>
  <si>
    <t>Nabwire Nakitasia</t>
  </si>
  <si>
    <t>S1606/24</t>
  </si>
  <si>
    <t>Nabwire Jane</t>
  </si>
  <si>
    <t>Bufuta</t>
  </si>
  <si>
    <t>0741 892803</t>
  </si>
  <si>
    <t>S1607/24</t>
  </si>
  <si>
    <t>Nankya Hellen</t>
  </si>
  <si>
    <t>0758 610522</t>
  </si>
  <si>
    <t>S1608/24</t>
  </si>
  <si>
    <t>Namuyanga Grace</t>
  </si>
  <si>
    <t>07066 98503</t>
  </si>
  <si>
    <t>S1609/24</t>
  </si>
  <si>
    <t>Akot Lydia</t>
  </si>
  <si>
    <t>Luubu</t>
  </si>
  <si>
    <t>0751 416012</t>
  </si>
  <si>
    <t>S1610/24</t>
  </si>
  <si>
    <t>Naigaga Maimuna</t>
  </si>
  <si>
    <t>Bukaseero</t>
  </si>
  <si>
    <t>0701 753785</t>
  </si>
  <si>
    <t>S1611/24</t>
  </si>
  <si>
    <t>Babirye Nuru</t>
  </si>
  <si>
    <t>07050 94231</t>
  </si>
  <si>
    <t>S1612/24</t>
  </si>
  <si>
    <t>Bukatube</t>
  </si>
  <si>
    <t>0758 32843</t>
  </si>
  <si>
    <t>S1613/24</t>
  </si>
  <si>
    <t>Nakiranda Teddy</t>
  </si>
  <si>
    <t>0761 470720</t>
  </si>
  <si>
    <t>S1614/24</t>
  </si>
  <si>
    <t>Nampiina Mercy</t>
  </si>
  <si>
    <t>S1615/24</t>
  </si>
  <si>
    <t>Abbo Mercy Prossy</t>
  </si>
  <si>
    <t>0745 753582</t>
  </si>
  <si>
    <t>S1616/24</t>
  </si>
  <si>
    <t>Naikoba Sharifah</t>
  </si>
  <si>
    <t>07008 47261</t>
  </si>
  <si>
    <t>S1617/24</t>
  </si>
  <si>
    <t>Kagoya Madina</t>
  </si>
  <si>
    <t>S1618/24</t>
  </si>
  <si>
    <t>Kwagala Anna</t>
  </si>
  <si>
    <t>0754 632498</t>
  </si>
  <si>
    <t>S1619/24</t>
  </si>
  <si>
    <t>Mwesigwa Lydia</t>
  </si>
  <si>
    <t>Bubalangala</t>
  </si>
  <si>
    <t>07881 90014</t>
  </si>
  <si>
    <t>S1620/24</t>
  </si>
  <si>
    <t>Nalongo Deziranta</t>
  </si>
  <si>
    <t>0773 181091</t>
  </si>
  <si>
    <t>S1621/24</t>
  </si>
  <si>
    <t>Nyafono Christine</t>
  </si>
  <si>
    <t>S1622/24</t>
  </si>
  <si>
    <t>Awiino Ediisa</t>
  </si>
  <si>
    <t>0787 382556</t>
  </si>
  <si>
    <t>RHHJ</t>
  </si>
  <si>
    <t>Palpable lump</t>
  </si>
  <si>
    <t xml:space="preserve">Mammogram </t>
  </si>
  <si>
    <t>S1623/24</t>
  </si>
  <si>
    <t>Namugaya Fazirah</t>
  </si>
  <si>
    <t>0751 598581</t>
  </si>
  <si>
    <t>S1624/24</t>
  </si>
  <si>
    <t>Kesh Evaline</t>
  </si>
  <si>
    <t>0744 642379</t>
  </si>
  <si>
    <t>S1625/24</t>
  </si>
  <si>
    <t>Kaida Salama</t>
  </si>
  <si>
    <t>0759 894802</t>
  </si>
  <si>
    <t>S1626/24</t>
  </si>
  <si>
    <t>Nambuba Beatrice</t>
  </si>
  <si>
    <t>07442 88049</t>
  </si>
  <si>
    <t>S1627/24</t>
  </si>
  <si>
    <t>Naiagaga Florence</t>
  </si>
  <si>
    <t>07552 83525</t>
  </si>
  <si>
    <t>S1628/24</t>
  </si>
  <si>
    <t>Bamuwe Sylvia</t>
  </si>
  <si>
    <t>07411 81641</t>
  </si>
  <si>
    <t>S1629/24</t>
  </si>
  <si>
    <t>Namwase Shamim</t>
  </si>
  <si>
    <t>0707 047006</t>
  </si>
  <si>
    <t>S1630/24</t>
  </si>
  <si>
    <t>Amuga Rose</t>
  </si>
  <si>
    <t>07019 17874</t>
  </si>
  <si>
    <t>S1631/24</t>
  </si>
  <si>
    <t>Alowo Margret</t>
  </si>
  <si>
    <t>S1632/24</t>
  </si>
  <si>
    <t>Adikin Mary</t>
  </si>
  <si>
    <t>07003 12347</t>
  </si>
  <si>
    <t>&lt;19 (04)</t>
  </si>
  <si>
    <t xml:space="preserve">20 – 30(14) </t>
  </si>
  <si>
    <t>Place: NABIRUMBA P/S</t>
  </si>
  <si>
    <t>S1633/24</t>
  </si>
  <si>
    <t>Nsoli Esther</t>
  </si>
  <si>
    <t>0751 963439</t>
  </si>
  <si>
    <t>S1634/24</t>
  </si>
  <si>
    <t>Nangobi Viola</t>
  </si>
  <si>
    <t>07500 99971</t>
  </si>
  <si>
    <t>S1635/24</t>
  </si>
  <si>
    <t>0759 121077</t>
  </si>
  <si>
    <t>S1636/24</t>
  </si>
  <si>
    <t>0757 538789</t>
  </si>
  <si>
    <t>S1637/24</t>
  </si>
  <si>
    <t>Butwale</t>
  </si>
  <si>
    <t>S1638/24</t>
  </si>
  <si>
    <t>Namukobe Prossy</t>
  </si>
  <si>
    <t>0780 922991</t>
  </si>
  <si>
    <t>S1639/24</t>
  </si>
  <si>
    <t>Nakayima Zubeda</t>
  </si>
  <si>
    <t>S1640/24</t>
  </si>
  <si>
    <t>Namukasa Sarah</t>
  </si>
  <si>
    <t>07010 35325</t>
  </si>
  <si>
    <t>S1641/24</t>
  </si>
  <si>
    <t>07005 36111</t>
  </si>
  <si>
    <t>S1642/24</t>
  </si>
  <si>
    <t>Bakulimya Efrance</t>
  </si>
  <si>
    <t>Ilapa</t>
  </si>
  <si>
    <t>S1643/24</t>
  </si>
  <si>
    <t>Naboila Mirab</t>
  </si>
  <si>
    <t>Buluta</t>
  </si>
  <si>
    <t>0757 958360</t>
  </si>
  <si>
    <t>S1644/24</t>
  </si>
  <si>
    <t>Nangobi Lovisa</t>
  </si>
  <si>
    <t>S1645/24</t>
  </si>
  <si>
    <t>Naboila Harriet</t>
  </si>
  <si>
    <t>0751 271875</t>
  </si>
  <si>
    <t>S1646/24</t>
  </si>
  <si>
    <t>Namukose Fatuma</t>
  </si>
  <si>
    <t>0707 320972</t>
  </si>
  <si>
    <t>S1647/24</t>
  </si>
  <si>
    <t>Nankwanga Norah</t>
  </si>
  <si>
    <t>Bugonde</t>
  </si>
  <si>
    <t>07033 91796</t>
  </si>
  <si>
    <t>S1648/24</t>
  </si>
  <si>
    <t>Kalizza Norah</t>
  </si>
  <si>
    <t>S1649/24</t>
  </si>
  <si>
    <t>Kayima Zeroda</t>
  </si>
  <si>
    <t>S1650/24</t>
  </si>
  <si>
    <t>Namwase Rachael</t>
  </si>
  <si>
    <t>0779 846033</t>
  </si>
  <si>
    <t>S1651/24</t>
  </si>
  <si>
    <t>0759 416669</t>
  </si>
  <si>
    <t>S1652/24</t>
  </si>
  <si>
    <t>Nakaweesa Jenifer</t>
  </si>
  <si>
    <t>S1653/24</t>
  </si>
  <si>
    <t>Nakisuyi Zaijah</t>
  </si>
  <si>
    <t>0775 228792</t>
  </si>
  <si>
    <t>S1654/24</t>
  </si>
  <si>
    <t>Naigaga Beatrice</t>
  </si>
  <si>
    <t>07014 75591</t>
  </si>
  <si>
    <t>S1655/24</t>
  </si>
  <si>
    <t>Byobona Jackline</t>
  </si>
  <si>
    <t>0740 367214</t>
  </si>
  <si>
    <t>S1656/24</t>
  </si>
  <si>
    <t>Nanjonjo Harriet</t>
  </si>
  <si>
    <t>Namukunu</t>
  </si>
  <si>
    <t>S1657/24</t>
  </si>
  <si>
    <t>Mwendese Irene</t>
  </si>
  <si>
    <t>S1658/24</t>
  </si>
  <si>
    <t>0771 397758</t>
  </si>
  <si>
    <t xml:space="preserve"> Date; 22/10/2024</t>
  </si>
  <si>
    <t>Place: BUYINJA H/C 1V</t>
  </si>
  <si>
    <t>S1660/24</t>
  </si>
  <si>
    <t>Auma Florence</t>
  </si>
  <si>
    <t>0772 855624</t>
  </si>
  <si>
    <t>S1661/24</t>
  </si>
  <si>
    <t>Musubika Hanifa</t>
  </si>
  <si>
    <t>Namayingo</t>
  </si>
  <si>
    <t>0742 659433</t>
  </si>
  <si>
    <t>S1662/24</t>
  </si>
  <si>
    <t>Nekesa Sylvia</t>
  </si>
  <si>
    <t>Bulaba ward</t>
  </si>
  <si>
    <t>0702 450054</t>
  </si>
  <si>
    <t>S1663/24</t>
  </si>
  <si>
    <t>Akini Kevina</t>
  </si>
  <si>
    <t xml:space="preserve">Janjana </t>
  </si>
  <si>
    <t>0760 868769</t>
  </si>
  <si>
    <t>S1664/24</t>
  </si>
  <si>
    <t>Naisikwe Zainab</t>
  </si>
  <si>
    <t>0752 107289</t>
  </si>
  <si>
    <t>S1665/24</t>
  </si>
  <si>
    <t>Namasulo Hellen</t>
  </si>
  <si>
    <t>Namasulo</t>
  </si>
  <si>
    <t>0753 785399</t>
  </si>
  <si>
    <t>S1666/24</t>
  </si>
  <si>
    <t>Taaka Grace</t>
  </si>
  <si>
    <t>Nasinu Central</t>
  </si>
  <si>
    <t>0777 368726</t>
  </si>
  <si>
    <t>S1667/24</t>
  </si>
  <si>
    <t>Kwagala Hadijja</t>
  </si>
  <si>
    <t>Mutumba</t>
  </si>
  <si>
    <t>0752 753660</t>
  </si>
  <si>
    <t>S1668/24</t>
  </si>
  <si>
    <t>Anyango Racheal</t>
  </si>
  <si>
    <t>Nassimu</t>
  </si>
  <si>
    <t>0784 483662</t>
  </si>
  <si>
    <t>S1669/24</t>
  </si>
  <si>
    <t>Anyango Susan</t>
  </si>
  <si>
    <t>Walumbe</t>
  </si>
  <si>
    <t>07001 83057</t>
  </si>
  <si>
    <t>S1670/24</t>
  </si>
  <si>
    <t>Nabwire Jackline</t>
  </si>
  <si>
    <t>Moletu</t>
  </si>
  <si>
    <t>0776 599731</t>
  </si>
  <si>
    <t>S1671/24</t>
  </si>
  <si>
    <t>Nakayenze Asha</t>
  </si>
  <si>
    <t>Naluyinji</t>
  </si>
  <si>
    <t>0777 106250</t>
  </si>
  <si>
    <t>S1672/24</t>
  </si>
  <si>
    <t>Nasirumbi Annet</t>
  </si>
  <si>
    <t>07752 94309</t>
  </si>
  <si>
    <t>S1673/24</t>
  </si>
  <si>
    <t>Namugolo Jesica</t>
  </si>
  <si>
    <t>Buligo A</t>
  </si>
  <si>
    <t>0762 573473</t>
  </si>
  <si>
    <t>S1674/24</t>
  </si>
  <si>
    <t>Nangira Grace</t>
  </si>
  <si>
    <t>Bwoga</t>
  </si>
  <si>
    <t>S1675/24</t>
  </si>
  <si>
    <t>0782 243734</t>
  </si>
  <si>
    <t>S1676/24</t>
  </si>
  <si>
    <t>Auma Constance</t>
  </si>
  <si>
    <t>Butanja</t>
  </si>
  <si>
    <t>0754 045525</t>
  </si>
  <si>
    <t>S1677/24</t>
  </si>
  <si>
    <t>Sewuliya Nabwire</t>
  </si>
  <si>
    <t>S1678/24</t>
  </si>
  <si>
    <t>Nafula Oliver</t>
  </si>
  <si>
    <t>Nahayiga</t>
  </si>
  <si>
    <t>07889 05844</t>
  </si>
  <si>
    <t>S1679/24</t>
  </si>
  <si>
    <t>Taaka Ediisa</t>
  </si>
  <si>
    <t>077066 5563</t>
  </si>
  <si>
    <t>Enrolled for PC</t>
  </si>
  <si>
    <t>S1680/24</t>
  </si>
  <si>
    <t>Naigaga Winnie</t>
  </si>
  <si>
    <t>S1681/24</t>
  </si>
  <si>
    <t>Kakai Florence</t>
  </si>
  <si>
    <t>Ngegulingo</t>
  </si>
  <si>
    <t>S1682/24</t>
  </si>
  <si>
    <t>Nabatuhura Mariam</t>
  </si>
  <si>
    <t>0786 161912</t>
  </si>
  <si>
    <t>S1683/24</t>
  </si>
  <si>
    <t>Kwagala Faith</t>
  </si>
  <si>
    <t>0775 294309</t>
  </si>
  <si>
    <t>S1684/24</t>
  </si>
  <si>
    <t>Nabwire Juliet</t>
  </si>
  <si>
    <t>Ganyala</t>
  </si>
  <si>
    <t>0761 973044</t>
  </si>
  <si>
    <t>S1685/24</t>
  </si>
  <si>
    <t>Kalai Christine</t>
  </si>
  <si>
    <t>07833 65855</t>
  </si>
  <si>
    <t>S1686/24</t>
  </si>
  <si>
    <t>Akuku Evaline</t>
  </si>
  <si>
    <t>0773 951048</t>
  </si>
  <si>
    <t>S1687/24</t>
  </si>
  <si>
    <t>Nabutono Florence</t>
  </si>
  <si>
    <t>Bubango</t>
  </si>
  <si>
    <t>S1688/24</t>
  </si>
  <si>
    <t>Kagoya Shakira</t>
  </si>
  <si>
    <t>S1689/24</t>
  </si>
  <si>
    <t>Nabwire Norah</t>
  </si>
  <si>
    <t>Magoli</t>
  </si>
  <si>
    <t>0756 212402</t>
  </si>
  <si>
    <t>S1690/24</t>
  </si>
  <si>
    <t>Bulamu</t>
  </si>
  <si>
    <t>07056 41282</t>
  </si>
  <si>
    <t>S1691/24</t>
  </si>
  <si>
    <t>Kiiza Jenipher</t>
  </si>
  <si>
    <t>Namayunju</t>
  </si>
  <si>
    <t>07830 19405</t>
  </si>
  <si>
    <t>S1692/24</t>
  </si>
  <si>
    <t>Kaudha Aisha</t>
  </si>
  <si>
    <t>Buyinja</t>
  </si>
  <si>
    <t>S1693/24</t>
  </si>
  <si>
    <t>Atim Grace</t>
  </si>
  <si>
    <t>0773 687970</t>
  </si>
  <si>
    <t>S1694/24</t>
  </si>
  <si>
    <t>Nansirubi Judith</t>
  </si>
  <si>
    <t>Lugala</t>
  </si>
  <si>
    <t>0779 468176</t>
  </si>
  <si>
    <t>S1695/24</t>
  </si>
  <si>
    <t>Akuku Jenita</t>
  </si>
  <si>
    <t>Buwaye</t>
  </si>
  <si>
    <t>0784 350234</t>
  </si>
  <si>
    <t>ANNUAL SUMMARY OF 2024 SCREENING</t>
  </si>
  <si>
    <t>PERIOD</t>
  </si>
  <si>
    <t>MONTH</t>
  </si>
  <si>
    <t>SITE</t>
  </si>
  <si>
    <t xml:space="preserve"> POS</t>
  </si>
  <si>
    <t>JANUARY</t>
  </si>
  <si>
    <t>RHHJ SCREENING CLINIC</t>
  </si>
  <si>
    <t>Butagaya HCIII</t>
  </si>
  <si>
    <t>FEBUARY</t>
  </si>
  <si>
    <t>NBC Station</t>
  </si>
  <si>
    <t>Nankoma HCIV</t>
  </si>
  <si>
    <t>Kakooge HCIII</t>
  </si>
  <si>
    <t>Kivejinja Hosp</t>
  </si>
  <si>
    <t>Band HC III</t>
  </si>
  <si>
    <t>Buyinja HC III</t>
  </si>
  <si>
    <t>Kakira HC III</t>
  </si>
  <si>
    <t>Butagaya HC III</t>
  </si>
  <si>
    <t>MARCH</t>
  </si>
  <si>
    <t>Ivukula HCIII</t>
  </si>
  <si>
    <t>Kitukiro PS</t>
  </si>
  <si>
    <t>New Life</t>
  </si>
  <si>
    <t>Busuyi HCII</t>
  </si>
  <si>
    <t>Jinja Taxi Park</t>
  </si>
  <si>
    <t>Kasubi HCIII</t>
  </si>
  <si>
    <t>Buyinja HC IV</t>
  </si>
  <si>
    <t>RHHJ March</t>
  </si>
  <si>
    <t>APRIL</t>
  </si>
  <si>
    <t>Nazigo H/C 111</t>
  </si>
  <si>
    <t>St.Charles Lwanga Hospital</t>
  </si>
  <si>
    <t>Buwenge H/C 1V</t>
  </si>
  <si>
    <t>Vision of Africa</t>
  </si>
  <si>
    <t>St. Joseph H/C</t>
  </si>
  <si>
    <t>Hosana Faith Centre</t>
  </si>
  <si>
    <t>Kikalu H/C 11</t>
  </si>
  <si>
    <t>Bugonda Home</t>
  </si>
  <si>
    <t>Iyingo P/S</t>
  </si>
  <si>
    <t>Kakira H/C III</t>
  </si>
  <si>
    <t>Buyinja H/C</t>
  </si>
  <si>
    <t>Banda H/C III</t>
  </si>
  <si>
    <t>Buwenge H/CIV</t>
  </si>
  <si>
    <t>Buyende field office</t>
  </si>
  <si>
    <t>MAY</t>
  </si>
  <si>
    <t>Busaana HCIII</t>
  </si>
  <si>
    <t>Buwenge HCIII</t>
  </si>
  <si>
    <t>Hospice Clinic May</t>
  </si>
  <si>
    <t>Baale H/C 1V</t>
  </si>
  <si>
    <t>Namaganda P/S</t>
  </si>
  <si>
    <t>Lyingo P/S(2)</t>
  </si>
  <si>
    <t>Buyende office May</t>
  </si>
  <si>
    <t>Bugaya H/C 4</t>
  </si>
  <si>
    <t>Band</t>
  </si>
  <si>
    <t>JUNE</t>
  </si>
  <si>
    <t>Project Yesu Musima</t>
  </si>
  <si>
    <t>JCTK Clinic</t>
  </si>
  <si>
    <t>Kyabirwa P/S</t>
  </si>
  <si>
    <t>SD PCC</t>
  </si>
  <si>
    <t>LWATAMA H/C 11</t>
  </si>
  <si>
    <t xml:space="preserve">Buwangala </t>
  </si>
  <si>
    <t>RHHJ June</t>
  </si>
  <si>
    <t>Kakira H/C</t>
  </si>
  <si>
    <t>IIHS</t>
  </si>
  <si>
    <t>JULY</t>
  </si>
  <si>
    <t>Buwenge H/C 1V 3</t>
  </si>
  <si>
    <t>Canaan H/C 11</t>
  </si>
  <si>
    <t>Busedde H/C 111</t>
  </si>
  <si>
    <t>Nazigo H/C</t>
  </si>
  <si>
    <t>Buyende Office</t>
  </si>
  <si>
    <t>Butagaya H/C III</t>
  </si>
  <si>
    <t>RHHJ July</t>
  </si>
  <si>
    <t>Wangobo H/C 11</t>
  </si>
  <si>
    <t>AUGUST</t>
  </si>
  <si>
    <t>RHHJ August</t>
  </si>
  <si>
    <t>Jinja Central Market</t>
  </si>
  <si>
    <t>Busoga Forestry</t>
  </si>
  <si>
    <t>St Karoli P/S Namaganda</t>
  </si>
  <si>
    <t>Nkudu H/C</t>
  </si>
  <si>
    <t>Buyende August</t>
  </si>
  <si>
    <t>Butagaya H/C</t>
  </si>
  <si>
    <t>Banda H/C</t>
  </si>
  <si>
    <t>SEPTEMBER</t>
  </si>
  <si>
    <t>Namagera P/S</t>
  </si>
  <si>
    <t>SDA Ivunamba</t>
  </si>
  <si>
    <t>Busana H/C</t>
  </si>
  <si>
    <t>Makonge HCIII</t>
  </si>
  <si>
    <t>St Jude P/S Musoli</t>
  </si>
  <si>
    <t>Nile Vocational</t>
  </si>
  <si>
    <t>Wakawaka HCII</t>
  </si>
  <si>
    <t>RHHJ Sept</t>
  </si>
  <si>
    <t>Bukungu P/S</t>
  </si>
  <si>
    <t>Banda HC III</t>
  </si>
  <si>
    <t>OCTOBER</t>
  </si>
  <si>
    <t>NOVEMBER</t>
  </si>
  <si>
    <t>DECEMBER</t>
  </si>
  <si>
    <t>Ladies screened so far</t>
  </si>
  <si>
    <t xml:space="preserve">VIA </t>
  </si>
  <si>
    <t>Speculum exam</t>
  </si>
  <si>
    <t>Breast Examin</t>
  </si>
  <si>
    <t>Month</t>
  </si>
  <si>
    <t>Total screend</t>
  </si>
  <si>
    <t>Suspious</t>
  </si>
  <si>
    <t xml:space="preserve">Treated </t>
  </si>
  <si>
    <t xml:space="preserve">Normal </t>
  </si>
  <si>
    <t>Clinical Cancers /enrolled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</si>
  <si>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</si>
  <si>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</si>
  <si>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</si>
  <si>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</si>
  <si>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</si>
  <si>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</si>
  <si>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</si>
  <si>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</si>
  <si>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</si>
  <si>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</si>
  <si>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</si>
  <si>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20 – 30(10) </t>
  </si>
  <si>
    <t>Date; 23/10/2024</t>
  </si>
  <si>
    <t>Place: KAKONGOKA PRIMARY SCHOOL</t>
  </si>
  <si>
    <t>Prev Cervical Screening</t>
  </si>
  <si>
    <t>referred for biopsy</t>
  </si>
  <si>
    <t>Treatment and follow-up given</t>
  </si>
  <si>
    <t>Lump at Breast Self exam</t>
  </si>
  <si>
    <t>Previous Breast screening</t>
  </si>
  <si>
    <t>S1696/24</t>
  </si>
  <si>
    <t>Kaudha Winnie</t>
  </si>
  <si>
    <t>0779 556431</t>
  </si>
  <si>
    <t>S1697/24</t>
  </si>
  <si>
    <t>Ndibogeza Fatuma</t>
  </si>
  <si>
    <t>Bukalambwa</t>
  </si>
  <si>
    <t>0706 250702</t>
  </si>
  <si>
    <t>S1698/24</t>
  </si>
  <si>
    <t>Nalule Shamim</t>
  </si>
  <si>
    <t>Kakongoka</t>
  </si>
  <si>
    <t>0707 014421</t>
  </si>
  <si>
    <t>S1699/24</t>
  </si>
  <si>
    <t>Matama Mariam</t>
  </si>
  <si>
    <t>Nabilye</t>
  </si>
  <si>
    <t>0750 514578</t>
  </si>
  <si>
    <t>Incolusive results</t>
  </si>
  <si>
    <t>S1700/24</t>
  </si>
  <si>
    <t>Nabwire Jesca</t>
  </si>
  <si>
    <t>S1701/24</t>
  </si>
  <si>
    <t>Naiga Shifa</t>
  </si>
  <si>
    <t>0751 898994</t>
  </si>
  <si>
    <t>S1702/24</t>
  </si>
  <si>
    <t>Kagoya Hadiyah</t>
  </si>
  <si>
    <t>S1703/24</t>
  </si>
  <si>
    <t>Namudope Zainab</t>
  </si>
  <si>
    <t>Namududi</t>
  </si>
  <si>
    <t>07514 88595</t>
  </si>
  <si>
    <t>S1704/24</t>
  </si>
  <si>
    <t>Nawanyingi</t>
  </si>
  <si>
    <t>0755 107584</t>
  </si>
  <si>
    <t>S1705/24</t>
  </si>
  <si>
    <t>Kwogera Nubuwati</t>
  </si>
  <si>
    <t>0756 498460</t>
  </si>
  <si>
    <t>S1706/24</t>
  </si>
  <si>
    <t>Nakaziba Rose</t>
  </si>
  <si>
    <t>Bukona</t>
  </si>
  <si>
    <t>0758 080381</t>
  </si>
  <si>
    <t>S1707/24</t>
  </si>
  <si>
    <t>Mutesi Agnes</t>
  </si>
  <si>
    <t>0773 905784</t>
  </si>
  <si>
    <t>S1708/24</t>
  </si>
  <si>
    <t>Nyapendi Asia</t>
  </si>
  <si>
    <t>0707 020370</t>
  </si>
  <si>
    <t>S1709/24</t>
  </si>
  <si>
    <t>Namwase Jalia</t>
  </si>
  <si>
    <t>0702 820618</t>
  </si>
  <si>
    <t>S1710/24</t>
  </si>
  <si>
    <t>Yoyeta Kamuyati</t>
  </si>
  <si>
    <t>S1711/24</t>
  </si>
  <si>
    <t>Mwamula Madinah</t>
  </si>
  <si>
    <t>S1712/24</t>
  </si>
  <si>
    <t>Mpungu Lovisa</t>
  </si>
  <si>
    <t>S1713/24</t>
  </si>
  <si>
    <t>Nakidoidoi Hasifah</t>
  </si>
  <si>
    <t>0751 488595</t>
  </si>
  <si>
    <t>S1714/24</t>
  </si>
  <si>
    <t>0703 774455</t>
  </si>
  <si>
    <t>S1715/24</t>
  </si>
  <si>
    <t>Nagawa Amula</t>
  </si>
  <si>
    <t>S1716/24</t>
  </si>
  <si>
    <t>Poni Salama</t>
  </si>
  <si>
    <t>Mukukwa</t>
  </si>
  <si>
    <t>S1717/24</t>
  </si>
  <si>
    <t>Nakanda Judith</t>
  </si>
  <si>
    <t>Busei</t>
  </si>
  <si>
    <t>0752 418483</t>
  </si>
  <si>
    <t>S1718/24</t>
  </si>
  <si>
    <t>0742 855190</t>
  </si>
  <si>
    <t>S1719/24</t>
  </si>
  <si>
    <t>Mpungu Rebecca</t>
  </si>
  <si>
    <t>07543 71508</t>
  </si>
  <si>
    <t>S1720/24</t>
  </si>
  <si>
    <t>Naigaga Hasina</t>
  </si>
  <si>
    <t>07056 67707</t>
  </si>
  <si>
    <t>S1721/24</t>
  </si>
  <si>
    <t>Nangobi Scovia</t>
  </si>
  <si>
    <t>S1722/24</t>
  </si>
  <si>
    <t>Namudira Hadija</t>
  </si>
  <si>
    <t>S1723/24</t>
  </si>
  <si>
    <t>Naiboka Jamawa</t>
  </si>
  <si>
    <t>07741 62683</t>
  </si>
  <si>
    <t>S1724/24</t>
  </si>
  <si>
    <t>Buyindi Eseza</t>
  </si>
  <si>
    <t>0772 036711</t>
  </si>
  <si>
    <t>S1725/24</t>
  </si>
  <si>
    <t>Nangobi Agnes</t>
  </si>
  <si>
    <t>0707 011783</t>
  </si>
  <si>
    <t>S1726/24</t>
  </si>
  <si>
    <t>Namuwasila Loy</t>
  </si>
  <si>
    <t>S1727/24</t>
  </si>
  <si>
    <t>Namuyonga Aisha</t>
  </si>
  <si>
    <t>07560 40188</t>
  </si>
  <si>
    <t>NO</t>
  </si>
  <si>
    <t>YES</t>
  </si>
  <si>
    <t>20 – 30(10)</t>
  </si>
  <si>
    <t>51– 60 (4)</t>
  </si>
  <si>
    <t>Date; 24/10/2024</t>
  </si>
  <si>
    <t>Place: NABISOIGI H/C 111</t>
  </si>
  <si>
    <t>S1728/24</t>
  </si>
  <si>
    <t>Mpomwiza Elsie</t>
  </si>
  <si>
    <t>Mbulimba</t>
  </si>
  <si>
    <t>0780 685611</t>
  </si>
  <si>
    <t>Hyperaemic cervical OS</t>
  </si>
  <si>
    <t>S1729/24</t>
  </si>
  <si>
    <t>Kimenyulo</t>
  </si>
  <si>
    <t>S1730/24</t>
  </si>
  <si>
    <t>Mbavu Betty</t>
  </si>
  <si>
    <t>Nabisoigi</t>
  </si>
  <si>
    <t>0785 484248</t>
  </si>
  <si>
    <t>S1731/24</t>
  </si>
  <si>
    <t>Nyago Ruth</t>
  </si>
  <si>
    <t>07881 91678</t>
  </si>
  <si>
    <t>S1732/24</t>
  </si>
  <si>
    <t>07842 73301</t>
  </si>
  <si>
    <t>S1733/24</t>
  </si>
  <si>
    <t>0772 228780</t>
  </si>
  <si>
    <t>S1734/24</t>
  </si>
  <si>
    <t>Babirye Goretti</t>
  </si>
  <si>
    <t>0755 646945</t>
  </si>
  <si>
    <t>S1735/24</t>
  </si>
  <si>
    <t>Bangi Sylvia</t>
  </si>
  <si>
    <t>Kibaale</t>
  </si>
  <si>
    <t>0758 277093</t>
  </si>
  <si>
    <t>S1736/24</t>
  </si>
  <si>
    <t>Namuwundi Katilin</t>
  </si>
  <si>
    <t>Nabwoyo</t>
  </si>
  <si>
    <t>S1737/24</t>
  </si>
  <si>
    <t>Kibaba Anna</t>
  </si>
  <si>
    <t>Bulimba</t>
  </si>
  <si>
    <t>0775 111552</t>
  </si>
  <si>
    <t>S1738/24</t>
  </si>
  <si>
    <t>Naigembe Hasifa</t>
  </si>
  <si>
    <t>0751 030614</t>
  </si>
  <si>
    <t>3 weeks post portum</t>
  </si>
  <si>
    <t>S1739/24</t>
  </si>
  <si>
    <t>Nabirye Lovisa</t>
  </si>
  <si>
    <t>S1740/24</t>
  </si>
  <si>
    <t>07758 28093</t>
  </si>
  <si>
    <t>Puperium 2 weeks</t>
  </si>
  <si>
    <t>After 3 months</t>
  </si>
  <si>
    <t>S1741/24</t>
  </si>
  <si>
    <t>Kadodi Sarah</t>
  </si>
  <si>
    <t>Nakyele</t>
  </si>
  <si>
    <t>IN Menestral periods</t>
  </si>
  <si>
    <t>After menestration</t>
  </si>
  <si>
    <t>S1742/24</t>
  </si>
  <si>
    <t>Ntamulira Dorothy</t>
  </si>
  <si>
    <t>Incoclusive results</t>
  </si>
  <si>
    <t>S1743/24</t>
  </si>
  <si>
    <t>Namuganza Prosper</t>
  </si>
  <si>
    <t>0740 537831</t>
  </si>
  <si>
    <t>S1744/24</t>
  </si>
  <si>
    <t>Nakyuka Maka Betty</t>
  </si>
  <si>
    <t>Itengesa</t>
  </si>
  <si>
    <t>S1745/24</t>
  </si>
  <si>
    <t>Namulondo Safiat</t>
  </si>
  <si>
    <t>07826 48101</t>
  </si>
  <si>
    <t>S1746/24</t>
  </si>
  <si>
    <t>S1747/24</t>
  </si>
  <si>
    <t>Namugosa Rebecca</t>
  </si>
  <si>
    <t>S1748/24</t>
  </si>
  <si>
    <t>S1749/24</t>
  </si>
  <si>
    <t>Kawala Perusi</t>
  </si>
  <si>
    <t>Lwantama</t>
  </si>
  <si>
    <t>0768 98951</t>
  </si>
  <si>
    <t>After 6 weeks</t>
  </si>
  <si>
    <t>S1750/24</t>
  </si>
  <si>
    <t>Matama Justine</t>
  </si>
  <si>
    <t>07072 84261</t>
  </si>
  <si>
    <t>S1751/24</t>
  </si>
  <si>
    <t>Nakaye Sarah</t>
  </si>
  <si>
    <t>Busini</t>
  </si>
  <si>
    <t>0752 583743</t>
  </si>
  <si>
    <t>after 6 weeks</t>
  </si>
  <si>
    <t>S1752/24</t>
  </si>
  <si>
    <t>Namaganda Sophia</t>
  </si>
  <si>
    <t>Mpilira</t>
  </si>
  <si>
    <t>S1753/24</t>
  </si>
  <si>
    <t>Kwatulira Irene</t>
  </si>
  <si>
    <t>Namakoka</t>
  </si>
  <si>
    <t>0783 545730</t>
  </si>
  <si>
    <t>S1754/24</t>
  </si>
  <si>
    <t>Kyakuwa Madrida</t>
  </si>
  <si>
    <t>07510 30614</t>
  </si>
  <si>
    <t>S1755/24</t>
  </si>
  <si>
    <t>Takuba Jackline</t>
  </si>
  <si>
    <t>0782 939548</t>
  </si>
  <si>
    <t>S1756/24</t>
  </si>
  <si>
    <t>Nangobi Teddy</t>
  </si>
  <si>
    <t>0786 468208</t>
  </si>
  <si>
    <t>S1757/24</t>
  </si>
  <si>
    <t>Namaganda Regina</t>
  </si>
  <si>
    <t>S1758/24</t>
  </si>
  <si>
    <t>Naiga Eseza</t>
  </si>
  <si>
    <t>0781 944293</t>
  </si>
  <si>
    <t>S1759/24</t>
  </si>
  <si>
    <t>0766 430698</t>
  </si>
  <si>
    <t>S1760/24</t>
  </si>
  <si>
    <t>Nabudo Tedy</t>
  </si>
  <si>
    <t>0786 105498</t>
  </si>
  <si>
    <t>S1761/24</t>
  </si>
  <si>
    <t>Mpindi Bernadette</t>
  </si>
  <si>
    <t>07787 39130</t>
  </si>
  <si>
    <t>S1762/24</t>
  </si>
  <si>
    <t>Mwesigwa Rebecca</t>
  </si>
  <si>
    <t>07026 11411</t>
  </si>
  <si>
    <t>S1763/24</t>
  </si>
  <si>
    <t>Nairuba Shamina</t>
  </si>
  <si>
    <t>S1764/24</t>
  </si>
  <si>
    <t>Namugosa Alisat</t>
  </si>
  <si>
    <t>0779 160955</t>
  </si>
  <si>
    <t>S1765/24</t>
  </si>
  <si>
    <t>Wotali Scovia</t>
  </si>
  <si>
    <t>0765 304345</t>
  </si>
  <si>
    <t>S1766/24</t>
  </si>
  <si>
    <t>Nandase Madina</t>
  </si>
  <si>
    <t>07799 75888</t>
  </si>
  <si>
    <t>S1767/24</t>
  </si>
  <si>
    <t>Nkuwereza Angella</t>
  </si>
  <si>
    <t>07851 92380</t>
  </si>
  <si>
    <t>S1768/24</t>
  </si>
  <si>
    <t>Aliba Egulansi</t>
  </si>
  <si>
    <t>0785 694408</t>
  </si>
  <si>
    <t>S1769/24</t>
  </si>
  <si>
    <t>Mulungi Zabiya</t>
  </si>
  <si>
    <t>S1770/24</t>
  </si>
  <si>
    <t>Magoba Topilisita</t>
  </si>
  <si>
    <t>S1771/24</t>
  </si>
  <si>
    <t>Namukose Sylvia</t>
  </si>
  <si>
    <t>0760 335533</t>
  </si>
  <si>
    <t>S1772/24</t>
  </si>
  <si>
    <t>Saaki Farida</t>
  </si>
  <si>
    <t>07784 74074</t>
  </si>
  <si>
    <t>S1773/24</t>
  </si>
  <si>
    <t>Kampi Topilista</t>
  </si>
  <si>
    <t>07884 72543</t>
  </si>
  <si>
    <t>S1774/24</t>
  </si>
  <si>
    <t>Kyala Salama</t>
  </si>
  <si>
    <t>07799 62952</t>
  </si>
  <si>
    <t>S1775/24</t>
  </si>
  <si>
    <t>Akakunda Promise</t>
  </si>
  <si>
    <t>S1776/24</t>
  </si>
  <si>
    <t>Namuwaya Edisa</t>
  </si>
  <si>
    <t>Budatu</t>
  </si>
  <si>
    <t>07680 66181</t>
  </si>
  <si>
    <t>S1777/24</t>
  </si>
  <si>
    <t>Tibiwa Jamila</t>
  </si>
  <si>
    <t>07810 77291</t>
  </si>
  <si>
    <t>S1778/24</t>
  </si>
  <si>
    <t>Namugosa Elizabeth</t>
  </si>
  <si>
    <t>S1779/24</t>
  </si>
  <si>
    <t>Girajje Racheal</t>
  </si>
  <si>
    <t>Nawaikoke</t>
  </si>
  <si>
    <t>0787 856801</t>
  </si>
  <si>
    <t>S1780/24</t>
  </si>
  <si>
    <t>Nabirye Edinansi</t>
  </si>
  <si>
    <t>07815 78381</t>
  </si>
  <si>
    <t>S1781/24</t>
  </si>
  <si>
    <t>Kyakuwaire Fatuma</t>
  </si>
  <si>
    <t>0761 381655</t>
  </si>
  <si>
    <t>S1782/24</t>
  </si>
  <si>
    <t>Namugosa Susan</t>
  </si>
  <si>
    <t>0773 158213</t>
  </si>
  <si>
    <t>S1783/24</t>
  </si>
  <si>
    <t>Naiguru Rose</t>
  </si>
  <si>
    <t>S1784/24</t>
  </si>
  <si>
    <t>Baseke Magalita</t>
  </si>
  <si>
    <t>20 – 30(17)</t>
  </si>
  <si>
    <t>51– 60 (5)</t>
  </si>
  <si>
    <t>Date; OCTOBER 2024</t>
  </si>
  <si>
    <t>S1785/24</t>
  </si>
  <si>
    <t>Akena Catherine</t>
  </si>
  <si>
    <t>0772 099344</t>
  </si>
  <si>
    <t>S1786/24</t>
  </si>
  <si>
    <t>Annet Butono</t>
  </si>
  <si>
    <t>070051 6770</t>
  </si>
  <si>
    <t>S1787/24</t>
  </si>
  <si>
    <t>Talibanaye Dorothy</t>
  </si>
  <si>
    <t>0785 504246</t>
  </si>
  <si>
    <t>S1788/24</t>
  </si>
  <si>
    <t>Bitali Rehema</t>
  </si>
  <si>
    <t>07062 66388</t>
  </si>
  <si>
    <t>S1789/24</t>
  </si>
  <si>
    <t>Kiira Road</t>
  </si>
  <si>
    <t>0756 307310</t>
  </si>
  <si>
    <t>S1790/24</t>
  </si>
  <si>
    <t>Abigail Bernadette</t>
  </si>
  <si>
    <t>0700 821873</t>
  </si>
  <si>
    <t>S1791/24</t>
  </si>
  <si>
    <t>Wanduka Gabriel</t>
  </si>
  <si>
    <t>Kakindu</t>
  </si>
  <si>
    <t>0760 333416</t>
  </si>
  <si>
    <t>S1792/24</t>
  </si>
  <si>
    <t>Andinda Crisper</t>
  </si>
  <si>
    <t>Lweza</t>
  </si>
  <si>
    <t>0788 497001</t>
  </si>
  <si>
    <t>S1793/24</t>
  </si>
  <si>
    <t>Rebecca Ayosigye</t>
  </si>
  <si>
    <t>Kigo</t>
  </si>
  <si>
    <t>07858 47681</t>
  </si>
  <si>
    <t>S1794/24</t>
  </si>
  <si>
    <t>Busingye Jesca</t>
  </si>
  <si>
    <t>0773 746607</t>
  </si>
  <si>
    <t>Abdominal vaginal discharge</t>
  </si>
  <si>
    <t>S1795/24</t>
  </si>
  <si>
    <t>Bitaminsi Nasuna</t>
  </si>
  <si>
    <t>0783 809804</t>
  </si>
  <si>
    <t>S1796/24</t>
  </si>
  <si>
    <t>Kyobula Irene</t>
  </si>
  <si>
    <t>Itukulu</t>
  </si>
  <si>
    <t>07866 83620</t>
  </si>
  <si>
    <t>S1797/24</t>
  </si>
  <si>
    <t>Ojambo Florence</t>
  </si>
  <si>
    <t>0752 648180</t>
  </si>
  <si>
    <t>S1798/24</t>
  </si>
  <si>
    <t>Nankwanga Hellen</t>
  </si>
  <si>
    <t>0777 393328</t>
  </si>
  <si>
    <t>20 – 30(5)</t>
  </si>
  <si>
    <t>51– 60 (1)</t>
  </si>
  <si>
    <t>Yalelo</t>
  </si>
  <si>
    <t>Kalalu PS</t>
  </si>
  <si>
    <t>Mark &amp; Kelly</t>
  </si>
  <si>
    <t>Bukatube HCIII</t>
  </si>
  <si>
    <t>Nabirumba PS</t>
  </si>
  <si>
    <t>Buyinja HCIV</t>
  </si>
  <si>
    <t>Kakongoka PS</t>
  </si>
  <si>
    <t>Nabisoigi HCIII</t>
  </si>
  <si>
    <t>RHHJ Oct</t>
  </si>
  <si>
    <t>Date; 4/11/2024</t>
  </si>
  <si>
    <t>Place: NILUS</t>
  </si>
  <si>
    <t>No ARV</t>
  </si>
  <si>
    <t>S1799/24</t>
  </si>
  <si>
    <t>0702-341344</t>
  </si>
  <si>
    <t>Jaluo</t>
  </si>
  <si>
    <t>S1800/24</t>
  </si>
  <si>
    <t>0704-975314</t>
  </si>
  <si>
    <t>S1801/24</t>
  </si>
  <si>
    <t>Mamewase Madnah</t>
  </si>
  <si>
    <t>0778-634120</t>
  </si>
  <si>
    <t>S1802/24</t>
  </si>
  <si>
    <t>Kagoya Samantha</t>
  </si>
  <si>
    <t>0757-627252</t>
  </si>
  <si>
    <t>S1803/24</t>
  </si>
  <si>
    <t>Kayera Swabura</t>
  </si>
  <si>
    <t>0777-892463</t>
  </si>
  <si>
    <t>S1804/24</t>
  </si>
  <si>
    <t>Nakasagga Angel</t>
  </si>
  <si>
    <t>0744-515627</t>
  </si>
  <si>
    <t>S1805/24</t>
  </si>
  <si>
    <t>Apio Immaculate</t>
  </si>
  <si>
    <t>0778-680021</t>
  </si>
  <si>
    <t>.</t>
  </si>
  <si>
    <t>S1806/24</t>
  </si>
  <si>
    <t>Ntamwase Barbra</t>
  </si>
  <si>
    <t>0757-139522</t>
  </si>
  <si>
    <t>S1807/24</t>
  </si>
  <si>
    <t>Mbabazi Phionah</t>
  </si>
  <si>
    <t>0757-862917</t>
  </si>
  <si>
    <t>S1808/24</t>
  </si>
  <si>
    <t>Katushabe Kirabo</t>
  </si>
  <si>
    <t>0778-301986</t>
  </si>
  <si>
    <t>S1809/24</t>
  </si>
  <si>
    <t>Namukase Catherine</t>
  </si>
  <si>
    <t>0754-836429</t>
  </si>
  <si>
    <t>S1810/24</t>
  </si>
  <si>
    <t>Musenero Jamawah</t>
  </si>
  <si>
    <t>0776-244396</t>
  </si>
  <si>
    <t>S1811/24</t>
  </si>
  <si>
    <t>Namussa Diana</t>
  </si>
  <si>
    <t>0782-786895</t>
  </si>
  <si>
    <t>S1812/24</t>
  </si>
  <si>
    <t>Nyamahunye Alice</t>
  </si>
  <si>
    <t>Hoima</t>
  </si>
  <si>
    <t>0782-818523</t>
  </si>
  <si>
    <t>S1813/24</t>
  </si>
  <si>
    <t>Baseile Scovia</t>
  </si>
  <si>
    <t>0760-758245</t>
  </si>
  <si>
    <t>Mugeri</t>
  </si>
  <si>
    <t>S1814/24</t>
  </si>
  <si>
    <t>Layet Fionah</t>
  </si>
  <si>
    <t>0789-941337</t>
  </si>
  <si>
    <t>S1815/24</t>
  </si>
  <si>
    <t>Nabirye Diana Wionie</t>
  </si>
  <si>
    <t>0752-922310</t>
  </si>
  <si>
    <t>S1816/24</t>
  </si>
  <si>
    <t>Ibanda Mabel Esther</t>
  </si>
  <si>
    <t>0786-361472</t>
  </si>
  <si>
    <t>S1817/24</t>
  </si>
  <si>
    <t>Mutesi Nassimu</t>
  </si>
  <si>
    <t>0781-834259</t>
  </si>
  <si>
    <t>S1818/24</t>
  </si>
  <si>
    <t>Auma Kevin</t>
  </si>
  <si>
    <t>0756-594253</t>
  </si>
  <si>
    <t>S1819/24</t>
  </si>
  <si>
    <t>0707-108209</t>
  </si>
  <si>
    <t>20 – 30(14)</t>
  </si>
  <si>
    <t>Date; 14/11/2024</t>
  </si>
  <si>
    <t>Place: Buckley High School</t>
  </si>
  <si>
    <t>Antibiotics</t>
  </si>
  <si>
    <t>S1820/24</t>
  </si>
  <si>
    <t>Baluka Winnie</t>
  </si>
  <si>
    <t>Buwoya</t>
  </si>
  <si>
    <t>0755-455576</t>
  </si>
  <si>
    <t>S1821/24</t>
  </si>
  <si>
    <t>Namboira Teddy</t>
  </si>
  <si>
    <t>0744-769491</t>
  </si>
  <si>
    <t>Post infection</t>
  </si>
  <si>
    <t>S1822/24</t>
  </si>
  <si>
    <t>Muzira Winnie</t>
  </si>
  <si>
    <t>0745-720156</t>
  </si>
  <si>
    <t>S1823/24</t>
  </si>
  <si>
    <t>Buckley</t>
  </si>
  <si>
    <t>0782-674460</t>
  </si>
  <si>
    <t>S1824/24</t>
  </si>
  <si>
    <t>Wabaire Harriet</t>
  </si>
  <si>
    <t>0772-611404</t>
  </si>
  <si>
    <t>S1825/24</t>
  </si>
  <si>
    <t>Nakimera Florence</t>
  </si>
  <si>
    <t>S1826/24</t>
  </si>
  <si>
    <t>Babirye Razia</t>
  </si>
  <si>
    <t>Iwawo</t>
  </si>
  <si>
    <t>0707-426827</t>
  </si>
  <si>
    <t>S1827/24</t>
  </si>
  <si>
    <t>Mutesi Sarah</t>
  </si>
  <si>
    <t>Bukoyo</t>
  </si>
  <si>
    <t>0707-508077</t>
  </si>
  <si>
    <t>S1828/24</t>
  </si>
  <si>
    <t>Ajambo Javin</t>
  </si>
  <si>
    <t>0784-570773</t>
  </si>
  <si>
    <t>S1829/24</t>
  </si>
  <si>
    <t>Nabawanuka Racheal</t>
  </si>
  <si>
    <t>0702-232664</t>
  </si>
  <si>
    <t>S1830/24</t>
  </si>
  <si>
    <t>Nakayela Racheal</t>
  </si>
  <si>
    <t>S1831/24</t>
  </si>
  <si>
    <t>Kateme Martha</t>
  </si>
  <si>
    <t>Nawansige</t>
  </si>
  <si>
    <t>0759-926653</t>
  </si>
  <si>
    <t>S1832/24</t>
  </si>
  <si>
    <t>Nangobi Jamawa</t>
  </si>
  <si>
    <t>0705-548175</t>
  </si>
  <si>
    <t>S1833/24</t>
  </si>
  <si>
    <t>Nekesa Teddy Odipo</t>
  </si>
  <si>
    <t>0707-983869</t>
  </si>
  <si>
    <t>S1834/24</t>
  </si>
  <si>
    <t>Kyazike Joan Kisakye</t>
  </si>
  <si>
    <t>0745-270027</t>
  </si>
  <si>
    <t>S1835/24</t>
  </si>
  <si>
    <t>Kiirire Betty</t>
  </si>
  <si>
    <t>0773-224652</t>
  </si>
  <si>
    <t>S1836/24</t>
  </si>
  <si>
    <t>Kabooga Caroline</t>
  </si>
  <si>
    <t>Bishop Willis PTC</t>
  </si>
  <si>
    <t>0745-014841</t>
  </si>
  <si>
    <t>S1837/24</t>
  </si>
  <si>
    <t>Auma Patricia</t>
  </si>
  <si>
    <t>0744-158058</t>
  </si>
  <si>
    <t>S1838/24</t>
  </si>
  <si>
    <t>Auma Winnie Miria</t>
  </si>
  <si>
    <t>0754-745477</t>
  </si>
  <si>
    <t>S1839/24</t>
  </si>
  <si>
    <t>Nabiryo Hasifa</t>
  </si>
  <si>
    <t>0706-639022</t>
  </si>
  <si>
    <t>S1840/24</t>
  </si>
  <si>
    <t>Nabwire Esther Sandra</t>
  </si>
  <si>
    <t>0703-590062</t>
  </si>
  <si>
    <t>S1841/24</t>
  </si>
  <si>
    <t>Kyakuwa Cissy</t>
  </si>
  <si>
    <t>0788-446377</t>
  </si>
  <si>
    <t>S1842/24</t>
  </si>
  <si>
    <t>0784-627624</t>
  </si>
  <si>
    <t>S1843/24</t>
  </si>
  <si>
    <t>Alitubera Claire</t>
  </si>
  <si>
    <t>0700-543244</t>
  </si>
  <si>
    <t>S1844/24</t>
  </si>
  <si>
    <t>Kyohairwe Harriet</t>
  </si>
  <si>
    <t>0775-246494</t>
  </si>
  <si>
    <t>Munyankore</t>
  </si>
  <si>
    <t>S1845/24</t>
  </si>
  <si>
    <t>Nansamba Racheal</t>
  </si>
  <si>
    <t>Bulanga</t>
  </si>
  <si>
    <t>0757-253211</t>
  </si>
  <si>
    <t>S1846/24</t>
  </si>
  <si>
    <t>Namusobya Sharifa</t>
  </si>
  <si>
    <t>0777-630550</t>
  </si>
  <si>
    <t>S1847/24</t>
  </si>
  <si>
    <t>Byatowe Gulele</t>
  </si>
  <si>
    <t>Nkaziwelu Lusu</t>
  </si>
  <si>
    <t>0752-378927</t>
  </si>
  <si>
    <t>S1848/24</t>
  </si>
  <si>
    <t>Naibega Betty</t>
  </si>
  <si>
    <t>0777-520528</t>
  </si>
  <si>
    <t>S1849/24</t>
  </si>
  <si>
    <t>0703-200714</t>
  </si>
  <si>
    <t>S1850/24</t>
  </si>
  <si>
    <t>Babirye Poline</t>
  </si>
  <si>
    <t>0700-683534</t>
  </si>
  <si>
    <t>S1851/24</t>
  </si>
  <si>
    <t>Nakiranda Sandra</t>
  </si>
  <si>
    <t>0744-105954</t>
  </si>
  <si>
    <t>S1852/24</t>
  </si>
  <si>
    <t>Pauline Namulinda</t>
  </si>
  <si>
    <t>Bugadde</t>
  </si>
  <si>
    <t>0754-975394</t>
  </si>
  <si>
    <t>S1853/24</t>
  </si>
  <si>
    <t>Musoga Hilda Juliana</t>
  </si>
  <si>
    <t>Namasagali</t>
  </si>
  <si>
    <t>0744-101033</t>
  </si>
  <si>
    <t>S1854/24</t>
  </si>
  <si>
    <t>Mutesi Miria</t>
  </si>
  <si>
    <t>0705-914537</t>
  </si>
  <si>
    <t>S1855/24</t>
  </si>
  <si>
    <t>Nakato Julianne</t>
  </si>
  <si>
    <t>0758-176070</t>
  </si>
  <si>
    <t>S1856/24</t>
  </si>
  <si>
    <t>Nakayima Sarah</t>
  </si>
  <si>
    <t>S1857/24</t>
  </si>
  <si>
    <t>Awino Lindah</t>
  </si>
  <si>
    <t>0701-506662</t>
  </si>
  <si>
    <t>S1858/24</t>
  </si>
  <si>
    <t>Kataike Justine</t>
  </si>
  <si>
    <t>Buluza</t>
  </si>
  <si>
    <t>0778-291969</t>
  </si>
  <si>
    <t>20 – 30(18)</t>
  </si>
  <si>
    <t>51– 60 (2)</t>
  </si>
  <si>
    <t>Date; 27/11/2024</t>
  </si>
  <si>
    <t>Place: Busesa HCIV</t>
  </si>
  <si>
    <t>S1859/24</t>
  </si>
  <si>
    <t>Nabirye Ruth</t>
  </si>
  <si>
    <t>0788-623435</t>
  </si>
  <si>
    <t>S1860/24</t>
  </si>
  <si>
    <t>Namaganda Loyda</t>
  </si>
  <si>
    <t>Bwigala</t>
  </si>
  <si>
    <t>0773-809173</t>
  </si>
  <si>
    <t>S1861/24</t>
  </si>
  <si>
    <t>Nabiryo Aidha</t>
  </si>
  <si>
    <t>0773-231746</t>
  </si>
  <si>
    <t>S1862/24</t>
  </si>
  <si>
    <t>Nabadda Mere</t>
  </si>
  <si>
    <t>S1863/24</t>
  </si>
  <si>
    <t>Nabukenya Mariam</t>
  </si>
  <si>
    <t>0753-079910</t>
  </si>
  <si>
    <t>S1864/24</t>
  </si>
  <si>
    <t>Asabawasa Esther</t>
  </si>
  <si>
    <t>Busei B</t>
  </si>
  <si>
    <t>0772-897759</t>
  </si>
  <si>
    <t>S1865/24</t>
  </si>
  <si>
    <t>Namususwa Amina</t>
  </si>
  <si>
    <t>Ibako</t>
  </si>
  <si>
    <t>0704-949500</t>
  </si>
  <si>
    <t>6 weeks</t>
  </si>
  <si>
    <t>S1866/24</t>
  </si>
  <si>
    <t>Nagudi Safaina</t>
  </si>
  <si>
    <t>0750-308629</t>
  </si>
  <si>
    <t>S1867/24</t>
  </si>
  <si>
    <t>Namugere Jesca</t>
  </si>
  <si>
    <t>0744-197180</t>
  </si>
  <si>
    <t>S1868/24</t>
  </si>
  <si>
    <t>Muduwa Agnes</t>
  </si>
  <si>
    <t>Buyanga A</t>
  </si>
  <si>
    <t>0751-803190</t>
  </si>
  <si>
    <t>S1869/24</t>
  </si>
  <si>
    <t>Nandhego Salima</t>
  </si>
  <si>
    <t>Kagamba</t>
  </si>
  <si>
    <t>0771-841463</t>
  </si>
  <si>
    <t>S1870/24</t>
  </si>
  <si>
    <t>Nabirye Salama</t>
  </si>
  <si>
    <t>0755-469288</t>
  </si>
  <si>
    <t>S1871/24</t>
  </si>
  <si>
    <t>Nakalule Flavia</t>
  </si>
  <si>
    <t>Namilyangu</t>
  </si>
  <si>
    <t>0753-473653</t>
  </si>
  <si>
    <t>S1872/24</t>
  </si>
  <si>
    <t>Babirye Jackline</t>
  </si>
  <si>
    <t>0746-503947</t>
  </si>
  <si>
    <t>S1873/24</t>
  </si>
  <si>
    <t>Bumoozi</t>
  </si>
  <si>
    <t>0745-292141</t>
  </si>
  <si>
    <t>S1874/24</t>
  </si>
  <si>
    <t>Namugaya Olivia</t>
  </si>
  <si>
    <t>Busesa</t>
  </si>
  <si>
    <t>0783-261650</t>
  </si>
  <si>
    <t>S1875/24</t>
  </si>
  <si>
    <t>Naigaga Jamirah</t>
  </si>
  <si>
    <t>0742-130002</t>
  </si>
  <si>
    <t>S1876/24</t>
  </si>
  <si>
    <t>Naigaga Victo</t>
  </si>
  <si>
    <t>0762-666839</t>
  </si>
  <si>
    <t>S1877/24</t>
  </si>
  <si>
    <t>Kakai Elizabeth</t>
  </si>
  <si>
    <t>0784-400328</t>
  </si>
  <si>
    <t>Cx Polyp</t>
  </si>
  <si>
    <t>2 weeks ago</t>
  </si>
  <si>
    <t>S1878/24</t>
  </si>
  <si>
    <t>Enaaza Zainal</t>
  </si>
  <si>
    <t>0701-742621</t>
  </si>
  <si>
    <t>S1879/24</t>
  </si>
  <si>
    <t>Byeylano Pelusi</t>
  </si>
  <si>
    <t>0751-426636</t>
  </si>
  <si>
    <t>Long time</t>
  </si>
  <si>
    <t>S1880/24</t>
  </si>
  <si>
    <t>Kyakuwaire Naria</t>
  </si>
  <si>
    <t>0785-340315</t>
  </si>
  <si>
    <t>S1881/24</t>
  </si>
  <si>
    <t>Namuwaya Aisha</t>
  </si>
  <si>
    <t>S1882/24</t>
  </si>
  <si>
    <t>0701-467508</t>
  </si>
  <si>
    <t>20 – 30(8)</t>
  </si>
  <si>
    <t>Date; November 2024</t>
  </si>
  <si>
    <t>Place: Hospice Jinja</t>
  </si>
  <si>
    <t>Acago Molle</t>
  </si>
  <si>
    <t>0786-544562</t>
  </si>
  <si>
    <t>Anna Jones</t>
  </si>
  <si>
    <t>Amber Ct</t>
  </si>
  <si>
    <t>0783-394952</t>
  </si>
  <si>
    <t>Mzungu</t>
  </si>
  <si>
    <t>Balikagala Phoebe</t>
  </si>
  <si>
    <t>0782-430179</t>
  </si>
  <si>
    <t>Amuron Delvin</t>
  </si>
  <si>
    <t>0702-884507</t>
  </si>
  <si>
    <t>Muyama Doreen</t>
  </si>
  <si>
    <t>0701-059237</t>
  </si>
  <si>
    <t>Kirikumwino Annet</t>
  </si>
  <si>
    <t>Katenga</t>
  </si>
  <si>
    <t>0772-749563</t>
  </si>
  <si>
    <t>Babita Halima</t>
  </si>
  <si>
    <t>0701-246660</t>
  </si>
  <si>
    <t>Nambi Peace</t>
  </si>
  <si>
    <t>0783-807338</t>
  </si>
  <si>
    <t>Namara Agnes</t>
  </si>
  <si>
    <t>Namaziba</t>
  </si>
  <si>
    <t>0780-674974</t>
  </si>
  <si>
    <t>Mirembe Salama</t>
  </si>
  <si>
    <t>0759-188049</t>
  </si>
  <si>
    <t>Katushabe Faima</t>
  </si>
  <si>
    <t>0704-092520</t>
  </si>
  <si>
    <t>Cysts</t>
  </si>
  <si>
    <t>Kigenyi Amina</t>
  </si>
  <si>
    <t>Namarundu</t>
  </si>
  <si>
    <t>0787-110095</t>
  </si>
  <si>
    <t>20 – 30(3)</t>
  </si>
  <si>
    <t>Place: Buyende Field Office</t>
  </si>
  <si>
    <t>S1883/24</t>
  </si>
  <si>
    <t>Tibagonzeka Harriet</t>
  </si>
  <si>
    <t>0743-808667</t>
  </si>
  <si>
    <t>Fungal infection</t>
  </si>
  <si>
    <t>S1884/24</t>
  </si>
  <si>
    <t>Kateme Jennifer</t>
  </si>
  <si>
    <t>Nakabira</t>
  </si>
  <si>
    <t>S1885/24</t>
  </si>
  <si>
    <t>Nakyazze Sylvia</t>
  </si>
  <si>
    <t>Bumyaka</t>
  </si>
  <si>
    <t>0782-254190</t>
  </si>
  <si>
    <t>20 – 30(1)</t>
  </si>
  <si>
    <t>Nilus</t>
  </si>
  <si>
    <t>Buckly HS</t>
  </si>
  <si>
    <t>Busesa HCIV</t>
  </si>
  <si>
    <t>RHHJ Nov</t>
  </si>
  <si>
    <t>Buyende Nov</t>
  </si>
  <si>
    <t>Date; 6th December 2024</t>
  </si>
  <si>
    <t>Place: Kaliro HCIII</t>
  </si>
  <si>
    <t>Date tested</t>
  </si>
  <si>
    <t>S1919/24</t>
  </si>
  <si>
    <t>Namulondo Harriet</t>
  </si>
  <si>
    <t>Bugoma</t>
  </si>
  <si>
    <t>0776-873403</t>
  </si>
  <si>
    <t>S1920/24</t>
  </si>
  <si>
    <t>Buyondi</t>
  </si>
  <si>
    <t>0778-306049</t>
  </si>
  <si>
    <t>S1921/24</t>
  </si>
  <si>
    <t>Namudope Brenda</t>
  </si>
  <si>
    <t>Irundu</t>
  </si>
  <si>
    <t>0701-677207</t>
  </si>
  <si>
    <t>2 wks after Rx</t>
  </si>
  <si>
    <t>S1922/24</t>
  </si>
  <si>
    <t>Sauya Babirye</t>
  </si>
  <si>
    <t>Bukova</t>
  </si>
  <si>
    <t>Enrolled</t>
  </si>
  <si>
    <t>S1923/24</t>
  </si>
  <si>
    <t>Hilalwe Catherine</t>
  </si>
  <si>
    <t>Bwayuya</t>
  </si>
  <si>
    <t>0702-697740</t>
  </si>
  <si>
    <t>S1924/24</t>
  </si>
  <si>
    <t>Mutesi Harriet</t>
  </si>
  <si>
    <t>Mwanga</t>
  </si>
  <si>
    <t>0772-162093</t>
  </si>
  <si>
    <t>S1925/24</t>
  </si>
  <si>
    <t>Kasubo Goretti</t>
  </si>
  <si>
    <t>0759-804188</t>
  </si>
  <si>
    <t>S1926/24</t>
  </si>
  <si>
    <t>Kwegemya Justine</t>
  </si>
  <si>
    <t>Kanabugo</t>
  </si>
  <si>
    <t>S1927/24</t>
  </si>
  <si>
    <t>Buyunga</t>
  </si>
  <si>
    <t>0741-487100</t>
  </si>
  <si>
    <t>S1928/24</t>
  </si>
  <si>
    <t>Gyonga Deborah</t>
  </si>
  <si>
    <t>0774-785516</t>
  </si>
  <si>
    <t>S1929/24</t>
  </si>
  <si>
    <t>0777-765151</t>
  </si>
  <si>
    <t>S1930/24</t>
  </si>
  <si>
    <t>Naigaga Anna</t>
  </si>
  <si>
    <t>Bukomakola</t>
  </si>
  <si>
    <t>0781-686929</t>
  </si>
  <si>
    <t>S1931/24</t>
  </si>
  <si>
    <t>Budini</t>
  </si>
  <si>
    <t>0781-252826</t>
  </si>
  <si>
    <t>S1932/24</t>
  </si>
  <si>
    <t>Alupo Juliet</t>
  </si>
  <si>
    <t>0760-548287</t>
  </si>
  <si>
    <t>20 – 30(4)</t>
  </si>
  <si>
    <t>Enrolled RHHJ</t>
  </si>
  <si>
    <t>Kaliro HCIIICommunity</t>
  </si>
  <si>
    <t xml:space="preserve">Referral </t>
  </si>
  <si>
    <t>Date; December 2024</t>
  </si>
  <si>
    <t>S1933/24</t>
  </si>
  <si>
    <t>Annette Natukunde</t>
  </si>
  <si>
    <t>Kawanda</t>
  </si>
  <si>
    <t>0772-686146</t>
  </si>
  <si>
    <t>After Gynae appt</t>
  </si>
  <si>
    <t>S1934/24</t>
  </si>
  <si>
    <t>Naigaga Fatina</t>
  </si>
  <si>
    <t>Nizam Rd</t>
  </si>
  <si>
    <t>0754-884558</t>
  </si>
  <si>
    <t>S1935/24</t>
  </si>
  <si>
    <t>Nakanda Scovia</t>
  </si>
  <si>
    <t>0775 835062</t>
  </si>
  <si>
    <t>Mammograme</t>
  </si>
  <si>
    <t>S1936/24</t>
  </si>
  <si>
    <t>Namuganza Irene</t>
  </si>
  <si>
    <t>Busedde</t>
  </si>
  <si>
    <t>0756 027417</t>
  </si>
  <si>
    <t>S1937/24</t>
  </si>
  <si>
    <t>Khawla Mueni</t>
  </si>
  <si>
    <t>0791 444841</t>
  </si>
  <si>
    <t>Kamba</t>
  </si>
  <si>
    <t>20 – 30(2)</t>
  </si>
  <si>
    <t>RHHJ Dec</t>
  </si>
  <si>
    <t>AFFECTED BY HPV DNA TEST THAT WE STARTED RECORDING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</si>
</sst>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mmm\ yyyy"/>
    <numFmt numFmtId="165" formatCode="mmmm\ yyyy"/>
    <numFmt numFmtId="166" formatCode="m/d/yyyy"/>
    <numFmt numFmtId="167" formatCode="mmmm/yyyy"/>
    <numFmt numFmtId="168" formatCode="mmm/yyyy"/>
    <numFmt numFmtId="169" formatCode="mm/yyyy"/>
    <numFmt numFmtId="170" formatCode="mmm\-d"/>
    <numFmt numFmtId="171" formatCode="mm/dd/yyyy"/>
    <numFmt numFmtId="172" formatCode="mmmmyyyy"/>
    <numFmt numFmtId="173" formatCode="mmmd\ yyyy"/>
  </numFmts>
  <fonts count="54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4CCCC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Docs-Calibri"/>
    </font>
    <font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1"/>
      <color rgb="FF002060"/>
      <name val="Calibri"/>
      <family val="2"/>
    </font>
    <font>
      <sz val="9"/>
      <color rgb="FF1F1F1F"/>
      <name val="&quot;Google Sans&quot;"/>
    </font>
    <font>
      <sz val="11"/>
      <color rgb="FFFF0000"/>
      <name val="Calibri"/>
      <family val="2"/>
      <scheme val="minor"/>
    </font>
    <font>
      <b/>
      <sz val="9"/>
      <color rgb="FF1F1F1F"/>
      <name val="&quot;Google Sans&quot;"/>
    </font>
    <font>
      <b/>
      <sz val="11"/>
      <color theme="1"/>
      <name val="Docs-Calibri"/>
    </font>
    <font>
      <sz val="9"/>
      <color rgb="FF000000"/>
      <name val="&quot;Google Sans Mono&quot;"/>
    </font>
    <font>
      <b/>
      <sz val="9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rgb="FF1F1F1F"/>
      <name val="Google Sans"/>
    </font>
    <font>
      <b/>
      <sz val="11"/>
      <color theme="1"/>
      <name val="Calibri"/>
      <family val="2"/>
    </font>
    <font>
      <b/>
      <sz val="11"/>
      <color rgb="FF1F1F1F"/>
      <name val="&quot;Google Sans&quot;"/>
    </font>
    <font>
      <b/>
      <sz val="12"/>
      <color rgb="FF000000"/>
      <name val="Calibri"/>
      <family val="2"/>
    </font>
    <font>
      <b/>
      <sz val="11"/>
      <color rgb="FF6AA84F"/>
      <name val="&quot;Google Sans&quot;"/>
    </font>
    <font>
      <b/>
      <sz val="11"/>
      <color rgb="FFFF0000"/>
      <name val="Calibri"/>
      <family val="2"/>
    </font>
    <font>
      <b/>
      <sz val="11"/>
      <color rgb="FF222222"/>
      <name val="&quot;Google Sans&quot;"/>
    </font>
    <font>
      <b/>
      <sz val="9"/>
      <color rgb="FFFF0000"/>
      <name val="&quot;Google Sans Mono&quot;"/>
    </font>
    <font>
      <b/>
      <sz val="11"/>
      <color rgb="FF000000"/>
      <name val="&quot;Google Sans&quot;"/>
    </font>
    <font>
      <b/>
      <sz val="11"/>
      <color rgb="FF000000"/>
      <name val="Calibri"/>
      <family val="2"/>
    </font>
    <font>
      <b/>
      <sz val="9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theme="1"/>
      <name val="Arial"/>
      <family val="2"/>
    </font>
    <font>
      <b/>
      <sz val="11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Docs-Calibri"/>
    </font>
    <font>
      <b/>
      <sz val="10"/>
      <color rgb="FF00B05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Docs-Calibri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rgb="FFFF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E5B8B7"/>
        <bgColor rgb="FFE5B8B7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1" fillId="25" borderId="80" applyNumberFormat="0" applyFont="0" applyAlignment="0" applyProtection="0"/>
  </cellStyleXfs>
  <cellXfs count="638">
    <xf numFmtId="0" fontId="0" fillId="0" borderId="0" xfId="0" applyFont="1" applyAlignment="1"/>
    <xf numFmtId="0" fontId="1" fillId="0" borderId="1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1" fillId="0" borderId="21" xfId="0" applyFont="1" applyBorder="1" applyAlignment="1">
      <alignment horizontal="left" vertical="center"/>
    </xf>
    <xf numFmtId="0" fontId="1" fillId="0" borderId="22" xfId="0" applyFont="1" applyBorder="1"/>
    <xf numFmtId="0" fontId="1" fillId="0" borderId="0" xfId="0" applyFont="1"/>
    <xf numFmtId="0" fontId="1" fillId="2" borderId="23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1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3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32" xfId="0" applyFont="1" applyBorder="1" applyAlignment="1"/>
    <xf numFmtId="16" fontId="1" fillId="0" borderId="25" xfId="0" applyNumberFormat="1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4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38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0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42" xfId="0" applyFont="1" applyBorder="1" applyAlignment="1">
      <alignment wrapText="1"/>
    </xf>
    <xf numFmtId="0" fontId="1" fillId="0" borderId="38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3" borderId="0" xfId="0" applyFont="1" applyFill="1"/>
    <xf numFmtId="0" fontId="5" fillId="3" borderId="0" xfId="0" applyFont="1" applyFill="1" applyAlignment="1"/>
    <xf numFmtId="164" fontId="5" fillId="0" borderId="0" xfId="0" applyNumberFormat="1" applyFont="1" applyAlignment="1"/>
    <xf numFmtId="164" fontId="5" fillId="4" borderId="0" xfId="0" applyNumberFormat="1" applyFont="1" applyFill="1" applyAlignment="1"/>
    <xf numFmtId="0" fontId="5" fillId="0" borderId="0" xfId="0" applyFont="1"/>
    <xf numFmtId="0" fontId="6" fillId="3" borderId="0" xfId="0" applyFont="1" applyFill="1"/>
    <xf numFmtId="0" fontId="5" fillId="0" borderId="0" xfId="0" applyFont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/>
    <xf numFmtId="0" fontId="5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10" fillId="4" borderId="43" xfId="0" applyFont="1" applyFill="1" applyBorder="1" applyAlignment="1">
      <alignment horizontal="center"/>
    </xf>
    <xf numFmtId="0" fontId="11" fillId="5" borderId="43" xfId="0" applyFont="1" applyFill="1" applyBorder="1" applyAlignment="1">
      <alignment vertical="top"/>
    </xf>
    <xf numFmtId="0" fontId="12" fillId="0" borderId="43" xfId="0" applyFont="1" applyBorder="1" applyAlignment="1"/>
    <xf numFmtId="0" fontId="12" fillId="6" borderId="43" xfId="0" applyFont="1" applyFill="1" applyBorder="1" applyAlignment="1"/>
    <xf numFmtId="0" fontId="11" fillId="5" borderId="43" xfId="0" applyFont="1" applyFill="1" applyBorder="1" applyAlignment="1">
      <alignment vertical="top"/>
    </xf>
    <xf numFmtId="0" fontId="8" fillId="7" borderId="43" xfId="0" applyFont="1" applyFill="1" applyBorder="1" applyAlignment="1"/>
    <xf numFmtId="0" fontId="8" fillId="4" borderId="43" xfId="0" applyFont="1" applyFill="1" applyBorder="1" applyAlignment="1">
      <alignment horizontal="left" vertical="top"/>
    </xf>
    <xf numFmtId="0" fontId="13" fillId="0" borderId="43" xfId="0" applyFont="1" applyBorder="1" applyAlignment="1"/>
    <xf numFmtId="0" fontId="8" fillId="0" borderId="43" xfId="0" applyFont="1" applyBorder="1" applyAlignment="1">
      <alignment horizontal="right"/>
    </xf>
    <xf numFmtId="0" fontId="8" fillId="6" borderId="43" xfId="0" applyFont="1" applyFill="1" applyBorder="1" applyAlignment="1">
      <alignment horizontal="right"/>
    </xf>
    <xf numFmtId="0" fontId="8" fillId="8" borderId="43" xfId="0" applyFont="1" applyFill="1" applyBorder="1" applyAlignment="1">
      <alignment horizontal="right"/>
    </xf>
    <xf numFmtId="0" fontId="5" fillId="0" borderId="43" xfId="0" applyFont="1" applyBorder="1" applyAlignment="1"/>
    <xf numFmtId="0" fontId="8" fillId="4" borderId="44" xfId="0" applyFont="1" applyFill="1" applyBorder="1" applyAlignment="1">
      <alignment vertical="top"/>
    </xf>
    <xf numFmtId="0" fontId="8" fillId="0" borderId="43" xfId="0" applyFont="1" applyBorder="1" applyAlignment="1"/>
    <xf numFmtId="0" fontId="8" fillId="0" borderId="43" xfId="0" applyFont="1" applyBorder="1" applyAlignment="1"/>
    <xf numFmtId="0" fontId="8" fillId="4" borderId="44" xfId="0" applyFont="1" applyFill="1" applyBorder="1" applyAlignment="1">
      <alignment vertical="top"/>
    </xf>
    <xf numFmtId="0" fontId="8" fillId="0" borderId="44" xfId="0" applyFont="1" applyBorder="1" applyAlignment="1"/>
    <xf numFmtId="0" fontId="13" fillId="9" borderId="43" xfId="0" applyFont="1" applyFill="1" applyBorder="1" applyAlignment="1"/>
    <xf numFmtId="0" fontId="8" fillId="9" borderId="43" xfId="0" applyFont="1" applyFill="1" applyBorder="1" applyAlignment="1"/>
    <xf numFmtId="0" fontId="8" fillId="9" borderId="43" xfId="0" applyFont="1" applyFill="1" applyBorder="1" applyAlignment="1"/>
    <xf numFmtId="0" fontId="5" fillId="9" borderId="43" xfId="0" applyFont="1" applyFill="1" applyBorder="1" applyAlignment="1"/>
    <xf numFmtId="0" fontId="5" fillId="0" borderId="43" xfId="0" applyFont="1" applyBorder="1"/>
    <xf numFmtId="0" fontId="11" fillId="0" borderId="0" xfId="0" applyFont="1" applyAlignment="1"/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14" fillId="4" borderId="0" xfId="0" applyFont="1" applyFill="1" applyAlignment="1"/>
    <xf numFmtId="0" fontId="1" fillId="2" borderId="6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1" fillId="0" borderId="4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27" xfId="0" applyFont="1" applyBorder="1" applyAlignment="1">
      <alignment horizontal="left" vertical="center"/>
    </xf>
    <xf numFmtId="0" fontId="1" fillId="0" borderId="37" xfId="0" applyFont="1" applyBorder="1"/>
    <xf numFmtId="0" fontId="15" fillId="0" borderId="0" xfId="0" applyFont="1" applyAlignment="1"/>
    <xf numFmtId="0" fontId="15" fillId="0" borderId="0" xfId="0" applyFont="1"/>
    <xf numFmtId="0" fontId="1" fillId="0" borderId="26" xfId="0" applyFont="1" applyBorder="1" applyAlignment="1"/>
    <xf numFmtId="0" fontId="1" fillId="0" borderId="28" xfId="0" applyFont="1" applyBorder="1" applyAlignment="1">
      <alignment wrapText="1"/>
    </xf>
    <xf numFmtId="0" fontId="15" fillId="0" borderId="0" xfId="0" applyFont="1" applyAlignment="1">
      <alignment horizontal="left"/>
    </xf>
    <xf numFmtId="0" fontId="5" fillId="8" borderId="0" xfId="0" applyFont="1" applyFill="1"/>
    <xf numFmtId="0" fontId="8" fillId="4" borderId="43" xfId="0" applyFont="1" applyFill="1" applyBorder="1" applyAlignment="1">
      <alignment horizontal="right"/>
    </xf>
    <xf numFmtId="0" fontId="5" fillId="4" borderId="0" xfId="0" applyFont="1" applyFill="1"/>
    <xf numFmtId="0" fontId="1" fillId="0" borderId="43" xfId="0" applyFont="1" applyBorder="1" applyAlignment="1">
      <alignment horizontal="center" vertical="center" wrapText="1"/>
    </xf>
    <xf numFmtId="0" fontId="5" fillId="4" borderId="0" xfId="0" applyFont="1" applyFill="1" applyAlignment="1"/>
    <xf numFmtId="0" fontId="5" fillId="8" borderId="0" xfId="0" applyFont="1" applyFill="1" applyAlignment="1"/>
    <xf numFmtId="0" fontId="12" fillId="10" borderId="43" xfId="0" applyFont="1" applyFill="1" applyBorder="1" applyAlignment="1"/>
    <xf numFmtId="0" fontId="12" fillId="11" borderId="43" xfId="0" applyFont="1" applyFill="1" applyBorder="1" applyAlignment="1"/>
    <xf numFmtId="0" fontId="12" fillId="12" borderId="43" xfId="0" applyFont="1" applyFill="1" applyBorder="1" applyAlignment="1"/>
    <xf numFmtId="0" fontId="12" fillId="3" borderId="43" xfId="0" applyFont="1" applyFill="1" applyBorder="1" applyAlignment="1"/>
    <xf numFmtId="0" fontId="8" fillId="13" borderId="43" xfId="0" applyFont="1" applyFill="1" applyBorder="1" applyAlignment="1">
      <alignment vertical="top"/>
    </xf>
    <xf numFmtId="0" fontId="1" fillId="2" borderId="8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wrapText="1"/>
    </xf>
    <xf numFmtId="0" fontId="1" fillId="0" borderId="31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164" fontId="5" fillId="0" borderId="0" xfId="0" applyNumberFormat="1" applyFont="1" applyAlignment="1">
      <alignment horizontal="left"/>
    </xf>
    <xf numFmtId="0" fontId="5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38" xfId="0" applyFont="1" applyBorder="1" applyAlignment="1">
      <alignment horizontal="center" vertical="center" wrapText="1"/>
    </xf>
    <xf numFmtId="165" fontId="5" fillId="0" borderId="0" xfId="0" applyNumberFormat="1" applyFont="1" applyAlignment="1"/>
    <xf numFmtId="0" fontId="1" fillId="0" borderId="27" xfId="0" applyFont="1" applyBorder="1" applyAlignment="1">
      <alignment wrapText="1"/>
    </xf>
    <xf numFmtId="165" fontId="5" fillId="0" borderId="0" xfId="0" applyNumberFormat="1" applyFont="1" applyAlignment="1">
      <alignment horizontal="left"/>
    </xf>
    <xf numFmtId="0" fontId="11" fillId="5" borderId="43" xfId="0" applyFont="1" applyFill="1" applyBorder="1" applyAlignment="1"/>
    <xf numFmtId="164" fontId="5" fillId="8" borderId="0" xfId="0" applyNumberFormat="1" applyFont="1" applyFill="1" applyAlignment="1"/>
    <xf numFmtId="166" fontId="5" fillId="0" borderId="0" xfId="0" applyNumberFormat="1" applyFont="1" applyAlignment="1"/>
    <xf numFmtId="167" fontId="5" fillId="0" borderId="0" xfId="0" applyNumberFormat="1" applyFont="1" applyAlignment="1"/>
    <xf numFmtId="0" fontId="9" fillId="0" borderId="43" xfId="0" applyFont="1" applyBorder="1" applyAlignment="1"/>
    <xf numFmtId="0" fontId="1" fillId="0" borderId="2" xfId="0" applyFont="1" applyBorder="1" applyAlignment="1">
      <alignment horizontal="center"/>
    </xf>
    <xf numFmtId="0" fontId="3" fillId="0" borderId="2" xfId="0" applyFont="1" applyBorder="1" applyAlignment="1"/>
    <xf numFmtId="0" fontId="3" fillId="5" borderId="50" xfId="0" applyFont="1" applyFill="1" applyBorder="1" applyAlignment="1">
      <alignment vertical="top"/>
    </xf>
    <xf numFmtId="0" fontId="12" fillId="0" borderId="50" xfId="0" applyFont="1" applyBorder="1" applyAlignment="1"/>
    <xf numFmtId="0" fontId="12" fillId="6" borderId="50" xfId="0" applyFont="1" applyFill="1" applyBorder="1" applyAlignment="1"/>
    <xf numFmtId="0" fontId="3" fillId="0" borderId="50" xfId="0" applyFont="1" applyBorder="1" applyAlignment="1"/>
    <xf numFmtId="0" fontId="3" fillId="5" borderId="50" xfId="0" applyFont="1" applyFill="1" applyBorder="1" applyAlignment="1"/>
    <xf numFmtId="0" fontId="1" fillId="4" borderId="44" xfId="0" applyFont="1" applyFill="1" applyBorder="1" applyAlignment="1">
      <alignment vertical="top"/>
    </xf>
    <xf numFmtId="0" fontId="3" fillId="0" borderId="50" xfId="0" applyFont="1" applyBorder="1" applyAlignment="1"/>
    <xf numFmtId="0" fontId="13" fillId="0" borderId="50" xfId="0" applyFont="1" applyBorder="1" applyAlignment="1">
      <alignment horizontal="right"/>
    </xf>
    <xf numFmtId="0" fontId="1" fillId="6" borderId="50" xfId="0" applyFont="1" applyFill="1" applyBorder="1" applyAlignment="1">
      <alignment horizontal="right"/>
    </xf>
    <xf numFmtId="0" fontId="3" fillId="0" borderId="50" xfId="0" applyFont="1" applyBorder="1" applyAlignment="1">
      <alignment horizontal="right"/>
    </xf>
    <xf numFmtId="0" fontId="3" fillId="0" borderId="43" xfId="0" applyFont="1" applyBorder="1" applyAlignment="1"/>
    <xf numFmtId="0" fontId="13" fillId="0" borderId="50" xfId="0" applyFont="1" applyBorder="1" applyAlignment="1">
      <alignment horizontal="right"/>
    </xf>
    <xf numFmtId="0" fontId="1" fillId="0" borderId="50" xfId="0" applyFont="1" applyBorder="1" applyAlignment="1">
      <alignment horizontal="right"/>
    </xf>
    <xf numFmtId="0" fontId="3" fillId="0" borderId="50" xfId="0" applyFont="1" applyBorder="1" applyAlignment="1">
      <alignment horizontal="right"/>
    </xf>
    <xf numFmtId="0" fontId="1" fillId="0" borderId="44" xfId="0" applyFont="1" applyBorder="1" applyAlignment="1"/>
    <xf numFmtId="0" fontId="13" fillId="4" borderId="50" xfId="0" applyFont="1" applyFill="1" applyBorder="1" applyAlignment="1">
      <alignment horizontal="right"/>
    </xf>
    <xf numFmtId="0" fontId="3" fillId="4" borderId="50" xfId="0" applyFont="1" applyFill="1" applyBorder="1" applyAlignment="1"/>
    <xf numFmtId="0" fontId="3" fillId="4" borderId="50" xfId="0" applyFont="1" applyFill="1" applyBorder="1" applyAlignment="1"/>
    <xf numFmtId="0" fontId="1" fillId="4" borderId="50" xfId="0" applyFont="1" applyFill="1" applyBorder="1" applyAlignment="1">
      <alignment horizontal="right"/>
    </xf>
    <xf numFmtId="0" fontId="3" fillId="4" borderId="50" xfId="0" applyFont="1" applyFill="1" applyBorder="1" applyAlignment="1">
      <alignment horizontal="right"/>
    </xf>
    <xf numFmtId="0" fontId="3" fillId="4" borderId="43" xfId="0" applyFont="1" applyFill="1" applyBorder="1" applyAlignment="1"/>
    <xf numFmtId="0" fontId="13" fillId="0" borderId="44" xfId="0" applyFont="1" applyBorder="1" applyAlignment="1"/>
    <xf numFmtId="0" fontId="1" fillId="4" borderId="50" xfId="0" applyFont="1" applyFill="1" applyBorder="1" applyAlignment="1">
      <alignment horizontal="right"/>
    </xf>
    <xf numFmtId="0" fontId="1" fillId="0" borderId="16" xfId="0" applyFont="1" applyBorder="1" applyAlignment="1">
      <alignment vertical="center" wrapText="1"/>
    </xf>
    <xf numFmtId="168" fontId="5" fillId="0" borderId="0" xfId="0" applyNumberFormat="1" applyFont="1" applyAlignment="1"/>
    <xf numFmtId="169" fontId="5" fillId="0" borderId="0" xfId="0" applyNumberFormat="1" applyFont="1" applyAlignment="1"/>
    <xf numFmtId="0" fontId="18" fillId="4" borderId="43" xfId="0" applyFont="1" applyFill="1" applyBorder="1"/>
    <xf numFmtId="0" fontId="18" fillId="4" borderId="0" xfId="0" applyFont="1" applyFill="1"/>
    <xf numFmtId="0" fontId="5" fillId="0" borderId="43" xfId="0" applyFont="1" applyBorder="1"/>
    <xf numFmtId="16" fontId="5" fillId="0" borderId="43" xfId="0" applyNumberFormat="1" applyFont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4" xfId="0" applyFont="1" applyBorder="1" applyAlignment="1"/>
    <xf numFmtId="0" fontId="3" fillId="0" borderId="51" xfId="0" applyFont="1" applyBorder="1" applyAlignment="1"/>
    <xf numFmtId="0" fontId="1" fillId="0" borderId="44" xfId="0" applyFont="1" applyBorder="1" applyAlignment="1"/>
    <xf numFmtId="0" fontId="1" fillId="0" borderId="50" xfId="0" applyFont="1" applyBorder="1" applyAlignment="1"/>
    <xf numFmtId="16" fontId="1" fillId="0" borderId="50" xfId="0" applyNumberFormat="1" applyFont="1" applyBorder="1" applyAlignment="1"/>
    <xf numFmtId="0" fontId="10" fillId="4" borderId="43" xfId="0" applyFont="1" applyFill="1" applyBorder="1" applyAlignment="1">
      <alignment horizontal="center"/>
    </xf>
    <xf numFmtId="0" fontId="5" fillId="0" borderId="43" xfId="0" applyFont="1" applyBorder="1" applyAlignment="1"/>
    <xf numFmtId="0" fontId="12" fillId="9" borderId="43" xfId="0" applyFont="1" applyFill="1" applyBorder="1" applyAlignment="1"/>
    <xf numFmtId="0" fontId="8" fillId="4" borderId="43" xfId="0" applyFont="1" applyFill="1" applyBorder="1" applyAlignment="1">
      <alignment horizontal="center"/>
    </xf>
    <xf numFmtId="0" fontId="18" fillId="4" borderId="43" xfId="0" applyFont="1" applyFill="1" applyBorder="1" applyAlignment="1"/>
    <xf numFmtId="170" fontId="5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19" fillId="0" borderId="0" xfId="0" applyFont="1" applyAlignment="1"/>
    <xf numFmtId="0" fontId="20" fillId="0" borderId="0" xfId="0" applyFont="1" applyAlignment="1"/>
    <xf numFmtId="0" fontId="8" fillId="5" borderId="43" xfId="0" applyFont="1" applyFill="1" applyBorder="1" applyAlignment="1">
      <alignment vertical="top"/>
    </xf>
    <xf numFmtId="0" fontId="8" fillId="5" borderId="43" xfId="0" applyFont="1" applyFill="1" applyBorder="1" applyAlignment="1">
      <alignment vertical="top"/>
    </xf>
    <xf numFmtId="0" fontId="8" fillId="5" borderId="43" xfId="0" applyFont="1" applyFill="1" applyBorder="1" applyAlignment="1"/>
    <xf numFmtId="0" fontId="1" fillId="0" borderId="1" xfId="0" applyFont="1" applyBorder="1" applyAlignment="1"/>
    <xf numFmtId="171" fontId="5" fillId="0" borderId="0" xfId="0" applyNumberFormat="1" applyFont="1" applyAlignment="1"/>
    <xf numFmtId="0" fontId="1" fillId="0" borderId="1" xfId="0" applyFont="1" applyBorder="1" applyAlignment="1"/>
    <xf numFmtId="0" fontId="1" fillId="0" borderId="52" xfId="0" applyFont="1" applyBorder="1" applyAlignment="1"/>
    <xf numFmtId="0" fontId="3" fillId="0" borderId="5" xfId="0" applyFont="1" applyBorder="1"/>
    <xf numFmtId="0" fontId="3" fillId="0" borderId="6" xfId="0" applyFont="1" applyBorder="1"/>
    <xf numFmtId="0" fontId="1" fillId="2" borderId="6" xfId="0" applyFont="1" applyFill="1" applyBorder="1" applyAlignment="1">
      <alignment horizontal="center" wrapText="1"/>
    </xf>
    <xf numFmtId="0" fontId="3" fillId="2" borderId="53" xfId="0" applyFont="1" applyFill="1" applyBorder="1"/>
    <xf numFmtId="0" fontId="3" fillId="0" borderId="9" xfId="0" applyFont="1" applyBorder="1" applyAlignment="1"/>
    <xf numFmtId="0" fontId="1" fillId="0" borderId="53" xfId="0" applyFont="1" applyBorder="1"/>
    <xf numFmtId="0" fontId="3" fillId="0" borderId="0" xfId="0" applyFont="1" applyAlignment="1"/>
    <xf numFmtId="0" fontId="3" fillId="2" borderId="0" xfId="0" applyFont="1" applyFill="1" applyAlignment="1"/>
    <xf numFmtId="0" fontId="3" fillId="0" borderId="54" xfId="0" applyFont="1" applyBorder="1" applyAlignment="1"/>
    <xf numFmtId="0" fontId="3" fillId="0" borderId="30" xfId="0" applyFont="1" applyBorder="1" applyAlignment="1"/>
    <xf numFmtId="0" fontId="3" fillId="0" borderId="51" xfId="0" applyFont="1" applyBorder="1"/>
    <xf numFmtId="0" fontId="3" fillId="0" borderId="54" xfId="0" applyFont="1" applyBorder="1"/>
    <xf numFmtId="0" fontId="3" fillId="0" borderId="51" xfId="0" applyFont="1" applyBorder="1" applyAlignment="1"/>
    <xf numFmtId="0" fontId="3" fillId="0" borderId="50" xfId="0" applyFont="1" applyBorder="1"/>
    <xf numFmtId="0" fontId="3" fillId="0" borderId="0" xfId="0" applyFont="1"/>
    <xf numFmtId="0" fontId="3" fillId="0" borderId="30" xfId="0" applyFont="1" applyBorder="1"/>
    <xf numFmtId="0" fontId="3" fillId="0" borderId="24" xfId="0" applyFont="1" applyBorder="1"/>
    <xf numFmtId="0" fontId="3" fillId="0" borderId="55" xfId="0" applyFont="1" applyBorder="1"/>
    <xf numFmtId="0" fontId="1" fillId="0" borderId="54" xfId="0" applyFont="1" applyBorder="1" applyAlignment="1">
      <alignment horizontal="center" wrapText="1"/>
    </xf>
    <xf numFmtId="0" fontId="3" fillId="0" borderId="24" xfId="0" applyFont="1" applyBorder="1" applyAlignment="1"/>
    <xf numFmtId="0" fontId="1" fillId="0" borderId="28" xfId="0" applyFont="1" applyBorder="1" applyAlignment="1"/>
    <xf numFmtId="0" fontId="1" fillId="0" borderId="35" xfId="0" applyFont="1" applyBorder="1" applyAlignment="1"/>
    <xf numFmtId="0" fontId="1" fillId="0" borderId="30" xfId="0" applyFont="1" applyBorder="1" applyAlignment="1"/>
    <xf numFmtId="0" fontId="1" fillId="0" borderId="0" xfId="0" applyFont="1" applyAlignment="1"/>
    <xf numFmtId="0" fontId="1" fillId="0" borderId="35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0" xfId="0" applyFont="1" applyAlignment="1">
      <alignment wrapText="1"/>
    </xf>
    <xf numFmtId="16" fontId="1" fillId="0" borderId="35" xfId="0" applyNumberFormat="1" applyFont="1" applyBorder="1" applyAlignment="1">
      <alignment wrapText="1"/>
    </xf>
    <xf numFmtId="0" fontId="22" fillId="0" borderId="35" xfId="0" applyFont="1" applyBorder="1" applyAlignment="1">
      <alignment wrapText="1"/>
    </xf>
    <xf numFmtId="0" fontId="1" fillId="0" borderId="35" xfId="0" applyFont="1" applyBorder="1" applyAlignment="1">
      <alignment horizontal="center" wrapText="1"/>
    </xf>
    <xf numFmtId="0" fontId="1" fillId="0" borderId="35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2" xfId="0" applyFont="1" applyBorder="1" applyAlignment="1"/>
    <xf numFmtId="171" fontId="15" fillId="0" borderId="0" xfId="0" applyNumberFormat="1" applyFont="1" applyAlignment="1"/>
    <xf numFmtId="0" fontId="5" fillId="0" borderId="0" xfId="0" applyFont="1"/>
    <xf numFmtId="172" fontId="5" fillId="0" borderId="0" xfId="0" applyNumberFormat="1" applyFont="1" applyAlignment="1"/>
    <xf numFmtId="173" fontId="5" fillId="0" borderId="0" xfId="0" applyNumberFormat="1" applyFont="1" applyAlignment="1"/>
    <xf numFmtId="0" fontId="12" fillId="8" borderId="43" xfId="0" applyFont="1" applyFill="1" applyBorder="1" applyAlignment="1"/>
    <xf numFmtId="0" fontId="8" fillId="8" borderId="43" xfId="0" applyFont="1" applyFill="1" applyBorder="1" applyAlignment="1"/>
    <xf numFmtId="0" fontId="1" fillId="0" borderId="50" xfId="0" applyFont="1" applyBorder="1" applyAlignment="1"/>
    <xf numFmtId="0" fontId="9" fillId="0" borderId="0" xfId="0" applyFont="1" applyAlignment="1"/>
    <xf numFmtId="0" fontId="3" fillId="0" borderId="3" xfId="0" applyFont="1" applyBorder="1" applyAlignment="1"/>
    <xf numFmtId="0" fontId="8" fillId="16" borderId="43" xfId="0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23" fillId="4" borderId="0" xfId="0" applyFont="1" applyFill="1" applyAlignment="1"/>
    <xf numFmtId="0" fontId="5" fillId="2" borderId="0" xfId="0" applyFont="1" applyFill="1"/>
    <xf numFmtId="0" fontId="8" fillId="0" borderId="3" xfId="0" applyFont="1" applyBorder="1" applyAlignment="1">
      <alignment horizontal="center"/>
    </xf>
    <xf numFmtId="0" fontId="24" fillId="0" borderId="43" xfId="0" applyFont="1" applyBorder="1" applyAlignment="1"/>
    <xf numFmtId="0" fontId="24" fillId="0" borderId="43" xfId="0" applyFont="1" applyBorder="1" applyAlignment="1"/>
    <xf numFmtId="0" fontId="8" fillId="0" borderId="2" xfId="0" applyFont="1" applyBorder="1" applyAlignment="1">
      <alignment horizontal="center"/>
    </xf>
    <xf numFmtId="0" fontId="8" fillId="17" borderId="43" xfId="0" applyFont="1" applyFill="1" applyBorder="1" applyAlignment="1">
      <alignment vertical="top"/>
    </xf>
    <xf numFmtId="0" fontId="25" fillId="4" borderId="0" xfId="0" applyFont="1" applyFill="1" applyAlignment="1"/>
    <xf numFmtId="0" fontId="11" fillId="5" borderId="43" xfId="0" applyFont="1" applyFill="1" applyBorder="1" applyAlignment="1">
      <alignment horizontal="center" vertical="top"/>
    </xf>
    <xf numFmtId="0" fontId="13" fillId="17" borderId="43" xfId="0" applyFont="1" applyFill="1" applyBorder="1" applyAlignment="1"/>
    <xf numFmtId="0" fontId="26" fillId="18" borderId="43" xfId="0" applyFont="1" applyFill="1" applyBorder="1" applyAlignment="1"/>
    <xf numFmtId="0" fontId="26" fillId="0" borderId="43" xfId="0" applyFont="1" applyBorder="1" applyAlignment="1"/>
    <xf numFmtId="0" fontId="26" fillId="0" borderId="43" xfId="0" applyFont="1" applyBorder="1" applyAlignment="1">
      <alignment horizontal="right"/>
    </xf>
    <xf numFmtId="0" fontId="15" fillId="0" borderId="43" xfId="0" applyFont="1" applyBorder="1" applyAlignment="1"/>
    <xf numFmtId="0" fontId="15" fillId="0" borderId="43" xfId="0" applyFont="1" applyBorder="1"/>
    <xf numFmtId="0" fontId="27" fillId="9" borderId="0" xfId="0" applyFont="1" applyFill="1" applyAlignment="1"/>
    <xf numFmtId="0" fontId="8" fillId="0" borderId="43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43" xfId="0" applyFont="1" applyBorder="1" applyAlignment="1">
      <alignment horizontal="right"/>
    </xf>
    <xf numFmtId="0" fontId="7" fillId="0" borderId="43" xfId="0" applyFont="1" applyBorder="1" applyAlignment="1"/>
    <xf numFmtId="0" fontId="26" fillId="0" borderId="43" xfId="0" applyFont="1" applyBorder="1" applyAlignment="1"/>
    <xf numFmtId="0" fontId="26" fillId="0" borderId="43" xfId="0" applyFont="1" applyBorder="1" applyAlignment="1"/>
    <xf numFmtId="0" fontId="28" fillId="19" borderId="0" xfId="0" applyFont="1" applyFill="1"/>
    <xf numFmtId="0" fontId="15" fillId="18" borderId="43" xfId="0" applyFont="1" applyFill="1" applyBorder="1"/>
    <xf numFmtId="0" fontId="8" fillId="0" borderId="43" xfId="0" applyFont="1" applyBorder="1" applyAlignment="1">
      <alignment vertical="center"/>
    </xf>
    <xf numFmtId="0" fontId="13" fillId="18" borderId="43" xfId="0" applyFont="1" applyFill="1" applyBorder="1" applyAlignment="1">
      <alignment vertical="center"/>
    </xf>
    <xf numFmtId="0" fontId="13" fillId="18" borderId="43" xfId="0" applyFont="1" applyFill="1" applyBorder="1" applyAlignment="1"/>
    <xf numFmtId="0" fontId="13" fillId="18" borderId="43" xfId="0" applyFont="1" applyFill="1" applyBorder="1" applyAlignment="1"/>
    <xf numFmtId="0" fontId="8" fillId="17" borderId="43" xfId="0" applyFont="1" applyFill="1" applyBorder="1" applyAlignment="1"/>
    <xf numFmtId="0" fontId="7" fillId="0" borderId="43" xfId="0" applyFont="1" applyBorder="1"/>
    <xf numFmtId="0" fontId="30" fillId="0" borderId="0" xfId="0" applyFont="1" applyAlignment="1"/>
    <xf numFmtId="0" fontId="26" fillId="18" borderId="43" xfId="0" applyFont="1" applyFill="1" applyBorder="1" applyAlignment="1">
      <alignment vertical="center"/>
    </xf>
    <xf numFmtId="0" fontId="26" fillId="18" borderId="43" xfId="0" applyFont="1" applyFill="1" applyBorder="1" applyAlignment="1"/>
    <xf numFmtId="0" fontId="27" fillId="9" borderId="43" xfId="0" applyFont="1" applyFill="1" applyBorder="1" applyAlignment="1"/>
    <xf numFmtId="0" fontId="11" fillId="0" borderId="43" xfId="0" applyFont="1" applyBorder="1" applyAlignment="1">
      <alignment horizontal="right"/>
    </xf>
    <xf numFmtId="0" fontId="11" fillId="0" borderId="43" xfId="0" applyFont="1" applyBorder="1" applyAlignment="1"/>
    <xf numFmtId="0" fontId="13" fillId="4" borderId="43" xfId="0" applyFont="1" applyFill="1" applyBorder="1" applyAlignment="1"/>
    <xf numFmtId="0" fontId="11" fillId="4" borderId="43" xfId="0" applyFont="1" applyFill="1" applyBorder="1" applyAlignment="1">
      <alignment horizontal="right"/>
    </xf>
    <xf numFmtId="0" fontId="11" fillId="4" borderId="43" xfId="0" applyFont="1" applyFill="1" applyBorder="1" applyAlignment="1"/>
    <xf numFmtId="14" fontId="1" fillId="0" borderId="1" xfId="0" applyNumberFormat="1" applyFont="1" applyBorder="1" applyAlignment="1"/>
    <xf numFmtId="0" fontId="33" fillId="0" borderId="56" xfId="0" applyFont="1" applyBorder="1" applyAlignment="1">
      <alignment vertical="center"/>
    </xf>
    <xf numFmtId="0" fontId="34" fillId="0" borderId="57" xfId="0" applyFont="1" applyBorder="1" applyAlignment="1">
      <alignment wrapText="1"/>
    </xf>
    <xf numFmtId="0" fontId="33" fillId="0" borderId="58" xfId="0" applyFont="1" applyBorder="1" applyAlignment="1">
      <alignment vertical="center"/>
    </xf>
    <xf numFmtId="0" fontId="34" fillId="0" borderId="58" xfId="0" applyFont="1" applyBorder="1" applyAlignment="1">
      <alignment wrapText="1"/>
    </xf>
    <xf numFmtId="0" fontId="34" fillId="0" borderId="58" xfId="0" applyFont="1" applyBorder="1" applyAlignment="1">
      <alignment vertical="center"/>
    </xf>
    <xf numFmtId="0" fontId="34" fillId="0" borderId="59" xfId="0" applyFont="1" applyBorder="1" applyAlignment="1">
      <alignment wrapText="1"/>
    </xf>
    <xf numFmtId="0" fontId="34" fillId="0" borderId="60" xfId="0" applyFont="1" applyBorder="1" applyAlignment="1">
      <alignment wrapText="1"/>
    </xf>
    <xf numFmtId="0" fontId="34" fillId="0" borderId="61" xfId="0" applyFont="1" applyBorder="1" applyAlignment="1">
      <alignment vertical="center"/>
    </xf>
    <xf numFmtId="0" fontId="33" fillId="0" borderId="62" xfId="0" applyFont="1" applyBorder="1" applyAlignment="1">
      <alignment wrapText="1"/>
    </xf>
    <xf numFmtId="0" fontId="33" fillId="0" borderId="63" xfId="0" applyFont="1" applyBorder="1" applyAlignment="1">
      <alignment wrapText="1"/>
    </xf>
    <xf numFmtId="0" fontId="33" fillId="0" borderId="64" xfId="0" applyFont="1" applyBorder="1" applyAlignment="1">
      <alignment vertical="center"/>
    </xf>
    <xf numFmtId="0" fontId="34" fillId="0" borderId="63" xfId="0" applyFont="1" applyBorder="1" applyAlignment="1">
      <alignment wrapText="1"/>
    </xf>
    <xf numFmtId="0" fontId="0" fillId="0" borderId="23" xfId="0" applyFont="1" applyBorder="1" applyAlignment="1"/>
    <xf numFmtId="0" fontId="34" fillId="0" borderId="23" xfId="0" applyFont="1" applyBorder="1" applyAlignment="1">
      <alignment wrapText="1"/>
    </xf>
    <xf numFmtId="0" fontId="34" fillId="0" borderId="23" xfId="0" applyFont="1" applyBorder="1" applyAlignment="1">
      <alignment horizontal="right" wrapText="1"/>
    </xf>
    <xf numFmtId="17" fontId="34" fillId="0" borderId="23" xfId="0" applyNumberFormat="1" applyFont="1" applyBorder="1" applyAlignment="1">
      <alignment horizontal="right" wrapText="1"/>
    </xf>
    <xf numFmtId="0" fontId="17" fillId="21" borderId="57" xfId="0" applyFont="1" applyFill="1" applyBorder="1" applyAlignment="1">
      <alignment horizontal="center" wrapText="1"/>
    </xf>
    <xf numFmtId="0" fontId="34" fillId="20" borderId="60" xfId="0" applyFont="1" applyFill="1" applyBorder="1" applyAlignment="1">
      <alignment vertical="top" wrapText="1"/>
    </xf>
    <xf numFmtId="0" fontId="35" fillId="0" borderId="60" xfId="0" applyFont="1" applyBorder="1" applyAlignment="1">
      <alignment wrapText="1"/>
    </xf>
    <xf numFmtId="0" fontId="35" fillId="21" borderId="60" xfId="0" applyFont="1" applyFill="1" applyBorder="1" applyAlignment="1">
      <alignment wrapText="1"/>
    </xf>
    <xf numFmtId="0" fontId="35" fillId="22" borderId="60" xfId="0" applyFont="1" applyFill="1" applyBorder="1" applyAlignment="1">
      <alignment wrapText="1"/>
    </xf>
    <xf numFmtId="0" fontId="34" fillId="20" borderId="60" xfId="0" applyFont="1" applyFill="1" applyBorder="1" applyAlignment="1">
      <alignment wrapText="1"/>
    </xf>
    <xf numFmtId="0" fontId="33" fillId="21" borderId="60" xfId="0" applyFont="1" applyFill="1" applyBorder="1" applyAlignment="1">
      <alignment horizontal="center" wrapText="1"/>
    </xf>
    <xf numFmtId="0" fontId="33" fillId="21" borderId="59" xfId="0" applyFont="1" applyFill="1" applyBorder="1" applyAlignment="1">
      <alignment vertical="top" wrapText="1"/>
    </xf>
    <xf numFmtId="0" fontId="36" fillId="0" borderId="60" xfId="0" applyFont="1" applyBorder="1" applyAlignment="1">
      <alignment horizontal="right" wrapText="1"/>
    </xf>
    <xf numFmtId="0" fontId="33" fillId="22" borderId="60" xfId="0" applyFont="1" applyFill="1" applyBorder="1" applyAlignment="1">
      <alignment horizontal="right" wrapText="1"/>
    </xf>
    <xf numFmtId="0" fontId="33" fillId="0" borderId="60" xfId="0" applyFont="1" applyBorder="1" applyAlignment="1">
      <alignment horizontal="right" wrapText="1"/>
    </xf>
    <xf numFmtId="0" fontId="34" fillId="0" borderId="60" xfId="0" applyFont="1" applyBorder="1" applyAlignment="1">
      <alignment horizontal="right" wrapText="1"/>
    </xf>
    <xf numFmtId="0" fontId="37" fillId="21" borderId="60" xfId="0" applyFont="1" applyFill="1" applyBorder="1" applyAlignment="1">
      <alignment horizontal="right" wrapText="1"/>
    </xf>
    <xf numFmtId="0" fontId="38" fillId="21" borderId="67" xfId="0" applyFont="1" applyFill="1" applyBorder="1" applyAlignment="1">
      <alignment wrapText="1"/>
    </xf>
    <xf numFmtId="0" fontId="33" fillId="21" borderId="60" xfId="0" applyFont="1" applyFill="1" applyBorder="1" applyAlignment="1">
      <alignment horizontal="right" wrapText="1"/>
    </xf>
    <xf numFmtId="0" fontId="34" fillId="21" borderId="60" xfId="0" applyFont="1" applyFill="1" applyBorder="1" applyAlignment="1">
      <alignment wrapText="1"/>
    </xf>
    <xf numFmtId="0" fontId="38" fillId="21" borderId="60" xfId="0" applyFont="1" applyFill="1" applyBorder="1" applyAlignment="1">
      <alignment wrapText="1"/>
    </xf>
    <xf numFmtId="0" fontId="36" fillId="0" borderId="59" xfId="0" applyFont="1" applyBorder="1" applyAlignment="1">
      <alignment wrapText="1"/>
    </xf>
    <xf numFmtId="0" fontId="34" fillId="21" borderId="60" xfId="0" applyFont="1" applyFill="1" applyBorder="1" applyAlignment="1">
      <alignment horizontal="right" wrapText="1"/>
    </xf>
    <xf numFmtId="0" fontId="34" fillId="0" borderId="69" xfId="0" applyFont="1" applyBorder="1" applyAlignment="1">
      <alignment wrapText="1"/>
    </xf>
    <xf numFmtId="0" fontId="33" fillId="21" borderId="62" xfId="0" applyFont="1" applyFill="1" applyBorder="1" applyAlignment="1">
      <alignment vertical="top" wrapText="1"/>
    </xf>
    <xf numFmtId="0" fontId="38" fillId="21" borderId="70" xfId="0" applyFont="1" applyFill="1" applyBorder="1" applyAlignment="1">
      <alignment wrapText="1"/>
    </xf>
    <xf numFmtId="0" fontId="38" fillId="21" borderId="68" xfId="0" applyFont="1" applyFill="1" applyBorder="1" applyAlignment="1">
      <alignment wrapText="1"/>
    </xf>
    <xf numFmtId="0" fontId="34" fillId="0" borderId="23" xfId="0" applyFont="1" applyBorder="1" applyAlignment="1">
      <alignment vertical="center"/>
    </xf>
    <xf numFmtId="14" fontId="34" fillId="0" borderId="23" xfId="0" applyNumberFormat="1" applyFont="1" applyBorder="1" applyAlignment="1">
      <alignment horizontal="right" wrapText="1"/>
    </xf>
    <xf numFmtId="0" fontId="33" fillId="0" borderId="68" xfId="0" applyFont="1" applyBorder="1" applyAlignment="1">
      <alignment vertical="center"/>
    </xf>
    <xf numFmtId="0" fontId="34" fillId="0" borderId="68" xfId="0" applyFont="1" applyBorder="1" applyAlignment="1">
      <alignment wrapText="1"/>
    </xf>
    <xf numFmtId="0" fontId="34" fillId="0" borderId="68" xfId="0" applyFont="1" applyBorder="1" applyAlignment="1">
      <alignment vertical="center"/>
    </xf>
    <xf numFmtId="0" fontId="0" fillId="0" borderId="68" xfId="0" applyFont="1" applyBorder="1" applyAlignment="1"/>
    <xf numFmtId="0" fontId="33" fillId="0" borderId="68" xfId="0" applyFont="1" applyBorder="1" applyAlignment="1">
      <alignment wrapText="1"/>
    </xf>
    <xf numFmtId="0" fontId="13" fillId="23" borderId="43" xfId="0" applyFont="1" applyFill="1" applyBorder="1" applyAlignment="1"/>
    <xf numFmtId="0" fontId="36" fillId="23" borderId="60" xfId="0" applyFont="1" applyFill="1" applyBorder="1" applyAlignment="1">
      <alignment horizontal="right" wrapText="1"/>
    </xf>
    <xf numFmtId="0" fontId="34" fillId="0" borderId="62" xfId="0" applyFont="1" applyBorder="1" applyAlignment="1">
      <alignment wrapText="1"/>
    </xf>
    <xf numFmtId="0" fontId="34" fillId="0" borderId="64" xfId="0" applyFont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34" fillId="20" borderId="68" xfId="0" applyFont="1" applyFill="1" applyBorder="1" applyAlignment="1">
      <alignment wrapText="1"/>
    </xf>
    <xf numFmtId="0" fontId="0" fillId="0" borderId="0" xfId="0" applyFont="1" applyAlignment="1"/>
    <xf numFmtId="0" fontId="34" fillId="0" borderId="0" xfId="0" applyFont="1" applyAlignment="1"/>
    <xf numFmtId="0" fontId="33" fillId="0" borderId="59" xfId="0" applyFont="1" applyBorder="1" applyAlignment="1">
      <alignment wrapText="1"/>
    </xf>
    <xf numFmtId="0" fontId="33" fillId="0" borderId="60" xfId="0" applyFont="1" applyBorder="1" applyAlignment="1">
      <alignment wrapText="1"/>
    </xf>
    <xf numFmtId="0" fontId="39" fillId="0" borderId="60" xfId="0" applyFont="1" applyBorder="1" applyAlignment="1">
      <alignment horizontal="center" wrapText="1"/>
    </xf>
    <xf numFmtId="17" fontId="0" fillId="0" borderId="0" xfId="0" applyNumberFormat="1" applyFont="1" applyAlignment="1"/>
    <xf numFmtId="0" fontId="34" fillId="24" borderId="23" xfId="0" applyFont="1" applyFill="1" applyBorder="1" applyAlignment="1">
      <alignment wrapText="1"/>
    </xf>
    <xf numFmtId="17" fontId="34" fillId="0" borderId="23" xfId="0" applyNumberFormat="1" applyFont="1" applyBorder="1" applyAlignment="1">
      <alignment wrapText="1"/>
    </xf>
    <xf numFmtId="0" fontId="39" fillId="0" borderId="68" xfId="0" applyFont="1" applyBorder="1" applyAlignment="1">
      <alignment horizontal="center" wrapText="1"/>
    </xf>
    <xf numFmtId="0" fontId="34" fillId="20" borderId="68" xfId="0" applyFont="1" applyFill="1" applyBorder="1" applyAlignment="1">
      <alignment vertical="top" wrapText="1"/>
    </xf>
    <xf numFmtId="0" fontId="35" fillId="0" borderId="68" xfId="0" applyFont="1" applyBorder="1" applyAlignment="1">
      <alignment wrapText="1"/>
    </xf>
    <xf numFmtId="0" fontId="35" fillId="21" borderId="68" xfId="0" applyFont="1" applyFill="1" applyBorder="1" applyAlignment="1">
      <alignment wrapText="1"/>
    </xf>
    <xf numFmtId="0" fontId="35" fillId="22" borderId="68" xfId="0" applyFont="1" applyFill="1" applyBorder="1" applyAlignment="1">
      <alignment wrapText="1"/>
    </xf>
    <xf numFmtId="0" fontId="33" fillId="21" borderId="68" xfId="0" applyFont="1" applyFill="1" applyBorder="1" applyAlignment="1">
      <alignment vertical="top" wrapText="1"/>
    </xf>
    <xf numFmtId="0" fontId="36" fillId="0" borderId="68" xfId="0" applyFont="1" applyBorder="1" applyAlignment="1">
      <alignment horizontal="right" wrapText="1"/>
    </xf>
    <xf numFmtId="0" fontId="33" fillId="0" borderId="68" xfId="0" applyFont="1" applyBorder="1" applyAlignment="1">
      <alignment horizontal="right" wrapText="1"/>
    </xf>
    <xf numFmtId="0" fontId="33" fillId="22" borderId="68" xfId="0" applyFont="1" applyFill="1" applyBorder="1" applyAlignment="1">
      <alignment horizontal="right" wrapText="1"/>
    </xf>
    <xf numFmtId="0" fontId="34" fillId="0" borderId="68" xfId="0" applyFont="1" applyBorder="1" applyAlignment="1">
      <alignment horizontal="right" wrapText="1"/>
    </xf>
    <xf numFmtId="0" fontId="37" fillId="21" borderId="68" xfId="0" applyFont="1" applyFill="1" applyBorder="1" applyAlignment="1">
      <alignment horizontal="right" wrapText="1"/>
    </xf>
    <xf numFmtId="0" fontId="34" fillId="21" borderId="68" xfId="0" applyFont="1" applyFill="1" applyBorder="1" applyAlignment="1">
      <alignment wrapText="1"/>
    </xf>
    <xf numFmtId="0" fontId="36" fillId="0" borderId="68" xfId="0" applyFont="1" applyBorder="1" applyAlignment="1">
      <alignment wrapText="1"/>
    </xf>
    <xf numFmtId="0" fontId="33" fillId="21" borderId="68" xfId="0" applyFont="1" applyFill="1" applyBorder="1" applyAlignment="1">
      <alignment horizontal="right" wrapText="1"/>
    </xf>
    <xf numFmtId="0" fontId="40" fillId="0" borderId="68" xfId="0" applyFont="1" applyBorder="1" applyAlignment="1">
      <alignment wrapText="1"/>
    </xf>
    <xf numFmtId="0" fontId="39" fillId="0" borderId="68" xfId="0" applyFont="1" applyBorder="1" applyAlignment="1">
      <alignment horizontal="center" wrapText="1"/>
    </xf>
    <xf numFmtId="0" fontId="41" fillId="21" borderId="68" xfId="0" applyFont="1" applyFill="1" applyBorder="1" applyAlignment="1">
      <alignment horizontal="center" wrapText="1"/>
    </xf>
    <xf numFmtId="0" fontId="40" fillId="20" borderId="68" xfId="0" applyFont="1" applyFill="1" applyBorder="1" applyAlignment="1">
      <alignment vertical="top" wrapText="1"/>
    </xf>
    <xf numFmtId="0" fontId="42" fillId="0" borderId="68" xfId="0" applyFont="1" applyBorder="1" applyAlignment="1">
      <alignment wrapText="1"/>
    </xf>
    <xf numFmtId="0" fontId="40" fillId="20" borderId="68" xfId="0" applyFont="1" applyFill="1" applyBorder="1" applyAlignment="1">
      <alignment wrapText="1"/>
    </xf>
    <xf numFmtId="0" fontId="39" fillId="21" borderId="68" xfId="0" applyFont="1" applyFill="1" applyBorder="1" applyAlignment="1">
      <alignment horizontal="center" wrapText="1"/>
    </xf>
    <xf numFmtId="0" fontId="40" fillId="0" borderId="68" xfId="0" applyFont="1" applyBorder="1" applyAlignment="1">
      <alignment horizontal="right" wrapText="1"/>
    </xf>
    <xf numFmtId="0" fontId="43" fillId="21" borderId="68" xfId="0" applyFont="1" applyFill="1" applyBorder="1" applyAlignment="1">
      <alignment horizontal="right" wrapText="1"/>
    </xf>
    <xf numFmtId="0" fontId="33" fillId="0" borderId="68" xfId="0" applyFont="1" applyBorder="1" applyAlignment="1"/>
    <xf numFmtId="0" fontId="44" fillId="21" borderId="57" xfId="0" applyFont="1" applyFill="1" applyBorder="1" applyAlignment="1">
      <alignment horizontal="center" wrapText="1"/>
    </xf>
    <xf numFmtId="0" fontId="45" fillId="0" borderId="60" xfId="0" applyFont="1" applyBorder="1" applyAlignment="1">
      <alignment wrapText="1"/>
    </xf>
    <xf numFmtId="0" fontId="45" fillId="21" borderId="60" xfId="0" applyFont="1" applyFill="1" applyBorder="1" applyAlignment="1">
      <alignment wrapText="1"/>
    </xf>
    <xf numFmtId="0" fontId="45" fillId="22" borderId="60" xfId="0" applyFont="1" applyFill="1" applyBorder="1" applyAlignment="1">
      <alignment wrapText="1"/>
    </xf>
    <xf numFmtId="0" fontId="34" fillId="21" borderId="60" xfId="0" applyFont="1" applyFill="1" applyBorder="1" applyAlignment="1">
      <alignment horizontal="center" wrapText="1"/>
    </xf>
    <xf numFmtId="0" fontId="34" fillId="21" borderId="59" xfId="0" applyFont="1" applyFill="1" applyBorder="1" applyAlignment="1">
      <alignment vertical="top" wrapText="1"/>
    </xf>
    <xf numFmtId="0" fontId="46" fillId="0" borderId="60" xfId="0" applyFont="1" applyBorder="1" applyAlignment="1">
      <alignment horizontal="right" wrapText="1"/>
    </xf>
    <xf numFmtId="0" fontId="34" fillId="22" borderId="60" xfId="0" applyFont="1" applyFill="1" applyBorder="1" applyAlignment="1">
      <alignment horizontal="right" wrapText="1"/>
    </xf>
    <xf numFmtId="0" fontId="47" fillId="21" borderId="67" xfId="0" applyFont="1" applyFill="1" applyBorder="1" applyAlignment="1">
      <alignment wrapText="1"/>
    </xf>
    <xf numFmtId="0" fontId="46" fillId="0" borderId="59" xfId="0" applyFont="1" applyBorder="1" applyAlignment="1">
      <alignment wrapText="1"/>
    </xf>
    <xf numFmtId="0" fontId="48" fillId="21" borderId="60" xfId="0" applyFont="1" applyFill="1" applyBorder="1" applyAlignment="1">
      <alignment horizontal="right" wrapText="1"/>
    </xf>
    <xf numFmtId="0" fontId="34" fillId="0" borderId="64" xfId="0" applyFont="1" applyBorder="1" applyAlignment="1">
      <alignment wrapText="1"/>
    </xf>
    <xf numFmtId="0" fontId="34" fillId="0" borderId="64" xfId="0" applyFont="1" applyBorder="1" applyAlignment="1">
      <alignment horizontal="right" wrapText="1"/>
    </xf>
    <xf numFmtId="17" fontId="34" fillId="0" borderId="64" xfId="0" applyNumberFormat="1" applyFont="1" applyBorder="1" applyAlignment="1">
      <alignment horizontal="right" wrapText="1"/>
    </xf>
    <xf numFmtId="0" fontId="47" fillId="21" borderId="68" xfId="0" applyFont="1" applyFill="1" applyBorder="1" applyAlignment="1">
      <alignment wrapText="1"/>
    </xf>
    <xf numFmtId="0" fontId="46" fillId="0" borderId="66" xfId="0" applyFont="1" applyBorder="1" applyAlignment="1">
      <alignment wrapText="1"/>
    </xf>
    <xf numFmtId="0" fontId="44" fillId="21" borderId="68" xfId="0" applyFont="1" applyFill="1" applyBorder="1" applyAlignment="1">
      <alignment horizontal="center" wrapText="1"/>
    </xf>
    <xf numFmtId="0" fontId="45" fillId="0" borderId="68" xfId="0" applyFont="1" applyBorder="1" applyAlignment="1">
      <alignment wrapText="1"/>
    </xf>
    <xf numFmtId="0" fontId="45" fillId="21" borderId="68" xfId="0" applyFont="1" applyFill="1" applyBorder="1" applyAlignment="1">
      <alignment wrapText="1"/>
    </xf>
    <xf numFmtId="0" fontId="45" fillId="22" borderId="68" xfId="0" applyFont="1" applyFill="1" applyBorder="1" applyAlignment="1">
      <alignment wrapText="1"/>
    </xf>
    <xf numFmtId="0" fontId="34" fillId="21" borderId="68" xfId="0" applyFont="1" applyFill="1" applyBorder="1" applyAlignment="1">
      <alignment horizontal="center" wrapText="1"/>
    </xf>
    <xf numFmtId="0" fontId="34" fillId="21" borderId="68" xfId="0" applyFont="1" applyFill="1" applyBorder="1" applyAlignment="1">
      <alignment vertical="top" wrapText="1"/>
    </xf>
    <xf numFmtId="0" fontId="46" fillId="0" borderId="68" xfId="0" applyFont="1" applyBorder="1" applyAlignment="1">
      <alignment horizontal="right" wrapText="1"/>
    </xf>
    <xf numFmtId="0" fontId="34" fillId="22" borderId="68" xfId="0" applyFont="1" applyFill="1" applyBorder="1" applyAlignment="1">
      <alignment horizontal="right" wrapText="1"/>
    </xf>
    <xf numFmtId="0" fontId="34" fillId="21" borderId="68" xfId="0" applyFont="1" applyFill="1" applyBorder="1" applyAlignment="1">
      <alignment horizontal="right" wrapText="1"/>
    </xf>
    <xf numFmtId="0" fontId="46" fillId="0" borderId="68" xfId="0" applyFont="1" applyBorder="1" applyAlignment="1">
      <alignment wrapText="1"/>
    </xf>
    <xf numFmtId="0" fontId="34" fillId="24" borderId="64" xfId="0" applyFont="1" applyFill="1" applyBorder="1" applyAlignment="1">
      <alignment wrapText="1"/>
    </xf>
    <xf numFmtId="17" fontId="34" fillId="0" borderId="64" xfId="0" applyNumberFormat="1" applyFont="1" applyBorder="1" applyAlignment="1">
      <alignment wrapText="1"/>
    </xf>
    <xf numFmtId="0" fontId="34" fillId="21" borderId="23" xfId="0" applyFont="1" applyFill="1" applyBorder="1" applyAlignment="1">
      <alignment wrapText="1"/>
    </xf>
    <xf numFmtId="0" fontId="46" fillId="0" borderId="69" xfId="0" applyFont="1" applyBorder="1" applyAlignment="1">
      <alignment horizontal="right" wrapText="1"/>
    </xf>
    <xf numFmtId="0" fontId="34" fillId="21" borderId="62" xfId="0" applyFont="1" applyFill="1" applyBorder="1" applyAlignment="1">
      <alignment vertical="top" wrapText="1"/>
    </xf>
    <xf numFmtId="0" fontId="50" fillId="0" borderId="0" xfId="0" applyFont="1" applyAlignment="1"/>
    <xf numFmtId="0" fontId="8" fillId="0" borderId="2" xfId="0" applyFont="1" applyBorder="1" applyAlignment="1"/>
    <xf numFmtId="0" fontId="8" fillId="0" borderId="25" xfId="0" applyFont="1" applyBorder="1" applyAlignment="1"/>
    <xf numFmtId="0" fontId="50" fillId="0" borderId="68" xfId="0" applyFont="1" applyBorder="1" applyAlignment="1"/>
    <xf numFmtId="0" fontId="49" fillId="0" borderId="44" xfId="0" applyFont="1" applyBorder="1" applyAlignment="1"/>
    <xf numFmtId="0" fontId="49" fillId="0" borderId="43" xfId="0" applyFont="1" applyBorder="1" applyAlignment="1"/>
    <xf numFmtId="0" fontId="39" fillId="0" borderId="68" xfId="0" applyFont="1" applyBorder="1" applyAlignment="1">
      <alignment horizontal="center" wrapText="1"/>
    </xf>
    <xf numFmtId="0" fontId="36" fillId="0" borderId="0" xfId="0" applyFont="1" applyAlignment="1"/>
    <xf numFmtId="0" fontId="5" fillId="0" borderId="60" xfId="0" applyFont="1" applyBorder="1" applyAlignment="1">
      <alignment wrapText="1"/>
    </xf>
    <xf numFmtId="0" fontId="9" fillId="0" borderId="60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23" xfId="0" applyFont="1" applyBorder="1" applyAlignment="1">
      <alignment horizontal="right" wrapText="1"/>
    </xf>
    <xf numFmtId="17" fontId="5" fillId="0" borderId="23" xfId="0" applyNumberFormat="1" applyFont="1" applyBorder="1" applyAlignment="1">
      <alignment horizontal="right" wrapText="1"/>
    </xf>
    <xf numFmtId="0" fontId="5" fillId="24" borderId="23" xfId="0" applyFont="1" applyFill="1" applyBorder="1" applyAlignment="1">
      <alignment wrapText="1"/>
    </xf>
    <xf numFmtId="0" fontId="9" fillId="0" borderId="68" xfId="0" applyFont="1" applyBorder="1" applyAlignment="1">
      <alignment vertical="center"/>
    </xf>
    <xf numFmtId="0" fontId="5" fillId="0" borderId="68" xfId="0" applyFont="1" applyBorder="1" applyAlignment="1">
      <alignment wrapText="1"/>
    </xf>
    <xf numFmtId="0" fontId="5" fillId="0" borderId="68" xfId="0" applyFont="1" applyBorder="1" applyAlignment="1">
      <alignment vertical="center"/>
    </xf>
    <xf numFmtId="0" fontId="9" fillId="0" borderId="68" xfId="0" applyFont="1" applyBorder="1" applyAlignment="1">
      <alignment wrapText="1"/>
    </xf>
    <xf numFmtId="0" fontId="9" fillId="21" borderId="60" xfId="0" applyFont="1" applyFill="1" applyBorder="1" applyAlignment="1">
      <alignment horizontal="center" wrapText="1"/>
    </xf>
    <xf numFmtId="0" fontId="9" fillId="21" borderId="59" xfId="0" applyFont="1" applyFill="1" applyBorder="1" applyAlignment="1">
      <alignment vertical="top" wrapText="1"/>
    </xf>
    <xf numFmtId="0" fontId="9" fillId="22" borderId="60" xfId="0" applyFont="1" applyFill="1" applyBorder="1" applyAlignment="1">
      <alignment horizontal="right" wrapText="1"/>
    </xf>
    <xf numFmtId="0" fontId="9" fillId="0" borderId="60" xfId="0" applyFont="1" applyBorder="1" applyAlignment="1">
      <alignment horizontal="right" wrapText="1"/>
    </xf>
    <xf numFmtId="0" fontId="5" fillId="0" borderId="60" xfId="0" applyFont="1" applyBorder="1" applyAlignment="1">
      <alignment horizontal="right" wrapText="1"/>
    </xf>
    <xf numFmtId="0" fontId="9" fillId="21" borderId="60" xfId="0" applyFont="1" applyFill="1" applyBorder="1" applyAlignment="1">
      <alignment horizontal="right" wrapText="1"/>
    </xf>
    <xf numFmtId="0" fontId="5" fillId="21" borderId="60" xfId="0" applyFont="1" applyFill="1" applyBorder="1" applyAlignment="1">
      <alignment wrapText="1"/>
    </xf>
    <xf numFmtId="0" fontId="5" fillId="21" borderId="60" xfId="0" applyFont="1" applyFill="1" applyBorder="1" applyAlignment="1">
      <alignment horizontal="right" wrapText="1"/>
    </xf>
    <xf numFmtId="0" fontId="5" fillId="22" borderId="60" xfId="0" applyFont="1" applyFill="1" applyBorder="1" applyAlignment="1">
      <alignment horizontal="right" wrapText="1"/>
    </xf>
    <xf numFmtId="0" fontId="9" fillId="0" borderId="57" xfId="0" applyFont="1" applyBorder="1" applyAlignment="1">
      <alignment wrapText="1"/>
    </xf>
    <xf numFmtId="0" fontId="9" fillId="20" borderId="60" xfId="0" applyFont="1" applyFill="1" applyBorder="1" applyAlignment="1">
      <alignment vertical="top" wrapText="1"/>
    </xf>
    <xf numFmtId="0" fontId="9" fillId="20" borderId="60" xfId="0" applyFont="1" applyFill="1" applyBorder="1" applyAlignment="1">
      <alignment wrapText="1"/>
    </xf>
    <xf numFmtId="0" fontId="52" fillId="21" borderId="60" xfId="0" applyFont="1" applyFill="1" applyBorder="1" applyAlignment="1">
      <alignment horizontal="right" wrapText="1"/>
    </xf>
    <xf numFmtId="0" fontId="9" fillId="21" borderId="62" xfId="0" applyFont="1" applyFill="1" applyBorder="1" applyAlignment="1">
      <alignment vertical="top" wrapText="1"/>
    </xf>
    <xf numFmtId="0" fontId="36" fillId="0" borderId="66" xfId="0" applyFont="1" applyBorder="1" applyAlignment="1">
      <alignment wrapText="1"/>
    </xf>
    <xf numFmtId="0" fontId="20" fillId="21" borderId="68" xfId="0" applyFont="1" applyFill="1" applyBorder="1" applyAlignment="1">
      <alignment wrapText="1"/>
    </xf>
    <xf numFmtId="0" fontId="53" fillId="18" borderId="43" xfId="0" applyFont="1" applyFill="1" applyBorder="1" applyAlignment="1"/>
    <xf numFmtId="0" fontId="26" fillId="6" borderId="43" xfId="0" applyFont="1" applyFill="1" applyBorder="1" applyAlignment="1">
      <alignment horizontal="right"/>
    </xf>
    <xf numFmtId="0" fontId="26" fillId="26" borderId="43" xfId="0" applyFont="1" applyFill="1" applyBorder="1" applyAlignment="1">
      <alignment horizontal="right"/>
    </xf>
    <xf numFmtId="0" fontId="9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/>
    <xf numFmtId="0" fontId="9" fillId="0" borderId="68" xfId="0" applyFont="1" applyFill="1" applyBorder="1" applyAlignment="1"/>
    <xf numFmtId="0" fontId="8" fillId="0" borderId="25" xfId="0" applyFont="1" applyBorder="1" applyAlignment="1">
      <alignment vertical="center"/>
    </xf>
    <xf numFmtId="0" fontId="13" fillId="18" borderId="44" xfId="0" applyFont="1" applyFill="1" applyBorder="1" applyAlignment="1">
      <alignment vertical="center"/>
    </xf>
    <xf numFmtId="0" fontId="27" fillId="9" borderId="68" xfId="0" applyFont="1" applyFill="1" applyBorder="1" applyAlignment="1"/>
    <xf numFmtId="0" fontId="29" fillId="9" borderId="68" xfId="0" applyFont="1" applyFill="1" applyBorder="1" applyAlignment="1"/>
    <xf numFmtId="0" fontId="8" fillId="0" borderId="68" xfId="0" applyFont="1" applyBorder="1" applyAlignment="1">
      <alignment vertical="center"/>
    </xf>
    <xf numFmtId="0" fontId="8" fillId="0" borderId="28" xfId="0" applyFont="1" applyFill="1" applyBorder="1" applyAlignment="1">
      <alignment horizontal="right"/>
    </xf>
    <xf numFmtId="0" fontId="9" fillId="0" borderId="56" xfId="0" applyFont="1" applyBorder="1" applyAlignment="1">
      <alignment vertical="center"/>
    </xf>
    <xf numFmtId="0" fontId="5" fillId="0" borderId="57" xfId="0" applyFont="1" applyBorder="1" applyAlignment="1">
      <alignment wrapText="1"/>
    </xf>
    <xf numFmtId="0" fontId="9" fillId="0" borderId="58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63" xfId="0" applyFont="1" applyBorder="1" applyAlignment="1">
      <alignment wrapText="1"/>
    </xf>
    <xf numFmtId="0" fontId="5" fillId="0" borderId="62" xfId="0" applyFont="1" applyBorder="1" applyAlignment="1">
      <alignment wrapText="1"/>
    </xf>
    <xf numFmtId="0" fontId="5" fillId="0" borderId="64" xfId="0" applyFont="1" applyBorder="1" applyAlignment="1">
      <alignment vertical="center"/>
    </xf>
    <xf numFmtId="0" fontId="5" fillId="20" borderId="60" xfId="0" applyFont="1" applyFill="1" applyBorder="1" applyAlignment="1">
      <alignment vertical="top" wrapText="1"/>
    </xf>
    <xf numFmtId="0" fontId="5" fillId="20" borderId="60" xfId="0" applyFont="1" applyFill="1" applyBorder="1" applyAlignment="1">
      <alignment wrapText="1"/>
    </xf>
    <xf numFmtId="0" fontId="1" fillId="0" borderId="17" xfId="0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7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2" fillId="0" borderId="36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1" fillId="0" borderId="14" xfId="0" applyFont="1" applyBorder="1" applyAlignment="1">
      <alignment horizontal="center" vertical="center" wrapText="1"/>
    </xf>
    <xf numFmtId="0" fontId="2" fillId="0" borderId="18" xfId="0" applyFont="1" applyBorder="1"/>
    <xf numFmtId="0" fontId="3" fillId="0" borderId="24" xfId="0" applyFont="1" applyBorder="1" applyAlignment="1">
      <alignment horizontal="center"/>
    </xf>
    <xf numFmtId="0" fontId="2" fillId="0" borderId="24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2" fillId="0" borderId="44" xfId="0" applyFont="1" applyBorder="1"/>
    <xf numFmtId="0" fontId="8" fillId="5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1" fillId="0" borderId="49" xfId="0" applyFont="1" applyBorder="1" applyAlignment="1">
      <alignment horizontal="center" vertical="center" wrapText="1"/>
    </xf>
    <xf numFmtId="0" fontId="0" fillId="0" borderId="0" xfId="0" applyFont="1" applyAlignment="1"/>
    <xf numFmtId="0" fontId="16" fillId="4" borderId="0" xfId="0" applyFont="1" applyFill="1" applyAlignment="1"/>
    <xf numFmtId="0" fontId="8" fillId="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 vertical="center" wrapText="1"/>
    </xf>
    <xf numFmtId="0" fontId="1" fillId="15" borderId="1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35" xfId="0" applyFont="1" applyBorder="1"/>
    <xf numFmtId="0" fontId="21" fillId="4" borderId="51" xfId="0" applyFont="1" applyFill="1" applyBorder="1" applyAlignment="1"/>
    <xf numFmtId="0" fontId="2" fillId="0" borderId="50" xfId="0" applyFont="1" applyBorder="1"/>
    <xf numFmtId="0" fontId="1" fillId="0" borderId="51" xfId="0" applyFont="1" applyBorder="1" applyAlignment="1">
      <alignment horizontal="center" wrapText="1"/>
    </xf>
    <xf numFmtId="0" fontId="1" fillId="14" borderId="51" xfId="0" applyFont="1" applyFill="1" applyBorder="1" applyAlignment="1">
      <alignment horizontal="center" wrapText="1"/>
    </xf>
    <xf numFmtId="0" fontId="2" fillId="0" borderId="51" xfId="0" applyFont="1" applyBorder="1"/>
    <xf numFmtId="0" fontId="1" fillId="15" borderId="5" xfId="0" applyFont="1" applyFill="1" applyBorder="1" applyAlignment="1">
      <alignment horizontal="center" wrapText="1"/>
    </xf>
    <xf numFmtId="0" fontId="2" fillId="0" borderId="53" xfId="0" applyFont="1" applyBorder="1"/>
    <xf numFmtId="0" fontId="1" fillId="0" borderId="5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/>
    <xf numFmtId="0" fontId="1" fillId="0" borderId="3" xfId="0" applyFont="1" applyBorder="1" applyAlignment="1"/>
    <xf numFmtId="0" fontId="1" fillId="2" borderId="5" xfId="0" applyFont="1" applyFill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34" fillId="0" borderId="4" xfId="0" applyFont="1" applyBorder="1" applyAlignment="1">
      <alignment horizontal="center" wrapText="1"/>
    </xf>
    <xf numFmtId="0" fontId="34" fillId="0" borderId="19" xfId="0" applyFont="1" applyBorder="1" applyAlignment="1">
      <alignment horizontal="center" wrapText="1"/>
    </xf>
    <xf numFmtId="0" fontId="34" fillId="0" borderId="20" xfId="0" applyFont="1" applyBorder="1" applyAlignment="1">
      <alignment horizontal="center" wrapText="1"/>
    </xf>
    <xf numFmtId="0" fontId="34" fillId="20" borderId="4" xfId="0" applyFont="1" applyFill="1" applyBorder="1" applyAlignment="1">
      <alignment horizontal="center" wrapText="1"/>
    </xf>
    <xf numFmtId="0" fontId="34" fillId="20" borderId="19" xfId="0" applyFont="1" applyFill="1" applyBorder="1" applyAlignment="1">
      <alignment horizontal="center" wrapText="1"/>
    </xf>
    <xf numFmtId="0" fontId="34" fillId="20" borderId="20" xfId="0" applyFont="1" applyFill="1" applyBorder="1" applyAlignment="1">
      <alignment horizontal="center" wrapText="1"/>
    </xf>
    <xf numFmtId="0" fontId="34" fillId="20" borderId="4" xfId="0" applyFont="1" applyFill="1" applyBorder="1" applyAlignment="1">
      <alignment wrapText="1"/>
    </xf>
    <xf numFmtId="0" fontId="34" fillId="20" borderId="20" xfId="0" applyFont="1" applyFill="1" applyBorder="1" applyAlignment="1">
      <alignment wrapText="1"/>
    </xf>
    <xf numFmtId="0" fontId="33" fillId="0" borderId="4" xfId="0" applyFont="1" applyBorder="1" applyAlignment="1">
      <alignment horizontal="center" wrapText="1"/>
    </xf>
    <xf numFmtId="0" fontId="33" fillId="0" borderId="19" xfId="0" applyFont="1" applyBorder="1" applyAlignment="1">
      <alignment horizontal="center" wrapText="1"/>
    </xf>
    <xf numFmtId="0" fontId="33" fillId="0" borderId="20" xfId="0" applyFont="1" applyBorder="1" applyAlignment="1">
      <alignment horizontal="center" wrapText="1"/>
    </xf>
    <xf numFmtId="0" fontId="33" fillId="20" borderId="4" xfId="0" applyFont="1" applyFill="1" applyBorder="1" applyAlignment="1">
      <alignment horizontal="center" wrapText="1"/>
    </xf>
    <xf numFmtId="0" fontId="33" fillId="20" borderId="20" xfId="0" applyFont="1" applyFill="1" applyBorder="1" applyAlignment="1">
      <alignment horizontal="center" wrapText="1"/>
    </xf>
    <xf numFmtId="0" fontId="33" fillId="20" borderId="19" xfId="0" applyFont="1" applyFill="1" applyBorder="1" applyAlignment="1">
      <alignment horizontal="center" wrapText="1"/>
    </xf>
    <xf numFmtId="0" fontId="33" fillId="0" borderId="45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21" borderId="65" xfId="0" applyFont="1" applyFill="1" applyBorder="1" applyAlignment="1">
      <alignment horizontal="center" vertical="center" wrapText="1"/>
    </xf>
    <xf numFmtId="0" fontId="33" fillId="21" borderId="66" xfId="0" applyFont="1" applyFill="1" applyBorder="1" applyAlignment="1">
      <alignment horizontal="center" vertical="center" wrapText="1"/>
    </xf>
    <xf numFmtId="0" fontId="33" fillId="20" borderId="4" xfId="0" applyFont="1" applyFill="1" applyBorder="1" applyAlignment="1">
      <alignment horizontal="center" vertical="top" wrapText="1"/>
    </xf>
    <xf numFmtId="0" fontId="33" fillId="20" borderId="19" xfId="0" applyFont="1" applyFill="1" applyBorder="1" applyAlignment="1">
      <alignment horizontal="center" vertical="top" wrapText="1"/>
    </xf>
    <xf numFmtId="0" fontId="33" fillId="20" borderId="20" xfId="0" applyFont="1" applyFill="1" applyBorder="1" applyAlignment="1">
      <alignment horizontal="center" vertical="top" wrapText="1"/>
    </xf>
    <xf numFmtId="0" fontId="33" fillId="20" borderId="45" xfId="0" applyFont="1" applyFill="1" applyBorder="1" applyAlignment="1">
      <alignment horizontal="center" wrapText="1"/>
    </xf>
    <xf numFmtId="0" fontId="33" fillId="20" borderId="18" xfId="0" applyFont="1" applyFill="1" applyBorder="1" applyAlignment="1">
      <alignment horizontal="center" wrapText="1"/>
    </xf>
    <xf numFmtId="0" fontId="33" fillId="0" borderId="45" xfId="0" applyFont="1" applyBorder="1" applyAlignment="1">
      <alignment horizontal="center" wrapText="1"/>
    </xf>
    <xf numFmtId="0" fontId="33" fillId="0" borderId="46" xfId="0" applyFont="1" applyBorder="1" applyAlignment="1">
      <alignment horizontal="center" wrapText="1"/>
    </xf>
    <xf numFmtId="0" fontId="33" fillId="0" borderId="18" xfId="0" applyFont="1" applyBorder="1" applyAlignment="1">
      <alignment horizontal="center" wrapText="1"/>
    </xf>
    <xf numFmtId="0" fontId="34" fillId="20" borderId="68" xfId="0" applyFont="1" applyFill="1" applyBorder="1" applyAlignment="1">
      <alignment horizontal="center" wrapText="1"/>
    </xf>
    <xf numFmtId="0" fontId="34" fillId="0" borderId="68" xfId="0" applyFont="1" applyBorder="1" applyAlignment="1">
      <alignment horizontal="center" wrapText="1"/>
    </xf>
    <xf numFmtId="0" fontId="33" fillId="20" borderId="68" xfId="0" applyFont="1" applyFill="1" applyBorder="1" applyAlignment="1">
      <alignment horizontal="center" wrapText="1"/>
    </xf>
    <xf numFmtId="0" fontId="33" fillId="0" borderId="68" xfId="0" applyFont="1" applyBorder="1" applyAlignment="1">
      <alignment horizontal="center" wrapText="1"/>
    </xf>
    <xf numFmtId="0" fontId="34" fillId="20" borderId="68" xfId="0" applyFont="1" applyFill="1" applyBorder="1" applyAlignment="1">
      <alignment wrapText="1"/>
    </xf>
    <xf numFmtId="0" fontId="17" fillId="21" borderId="4" xfId="0" applyFont="1" applyFill="1" applyBorder="1" applyAlignment="1">
      <alignment horizontal="center" wrapText="1"/>
    </xf>
    <xf numFmtId="0" fontId="17" fillId="21" borderId="20" xfId="0" applyFont="1" applyFill="1" applyBorder="1" applyAlignment="1">
      <alignment horizontal="center" wrapText="1"/>
    </xf>
    <xf numFmtId="0" fontId="34" fillId="0" borderId="23" xfId="0" applyFont="1" applyBorder="1" applyAlignment="1">
      <alignment horizontal="center" wrapText="1"/>
    </xf>
    <xf numFmtId="0" fontId="39" fillId="0" borderId="68" xfId="0" applyFont="1" applyBorder="1" applyAlignment="1">
      <alignment horizontal="center" wrapText="1"/>
    </xf>
    <xf numFmtId="0" fontId="33" fillId="21" borderId="68" xfId="0" applyFont="1" applyFill="1" applyBorder="1" applyAlignment="1">
      <alignment horizontal="center" vertical="center" wrapText="1"/>
    </xf>
    <xf numFmtId="0" fontId="33" fillId="20" borderId="68" xfId="0" applyFont="1" applyFill="1" applyBorder="1" applyAlignment="1">
      <alignment horizontal="center" vertical="top" wrapText="1"/>
    </xf>
    <xf numFmtId="0" fontId="33" fillId="0" borderId="74" xfId="0" applyFont="1" applyBorder="1" applyAlignment="1">
      <alignment horizontal="center"/>
    </xf>
    <xf numFmtId="0" fontId="33" fillId="0" borderId="76" xfId="0" applyFont="1" applyBorder="1" applyAlignment="1">
      <alignment horizontal="center"/>
    </xf>
    <xf numFmtId="0" fontId="33" fillId="0" borderId="77" xfId="0" applyFont="1" applyBorder="1" applyAlignment="1">
      <alignment horizontal="center"/>
    </xf>
    <xf numFmtId="0" fontId="33" fillId="0" borderId="79" xfId="0" applyFont="1" applyBorder="1" applyAlignment="1">
      <alignment horizontal="center"/>
    </xf>
    <xf numFmtId="0" fontId="0" fillId="0" borderId="74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0" fillId="0" borderId="77" xfId="0" applyFont="1" applyBorder="1" applyAlignment="1">
      <alignment horizontal="center"/>
    </xf>
    <xf numFmtId="0" fontId="0" fillId="0" borderId="79" xfId="0" applyFont="1" applyBorder="1" applyAlignment="1">
      <alignment horizontal="center"/>
    </xf>
    <xf numFmtId="0" fontId="33" fillId="0" borderId="75" xfId="0" applyFont="1" applyBorder="1" applyAlignment="1">
      <alignment horizontal="center"/>
    </xf>
    <xf numFmtId="0" fontId="33" fillId="0" borderId="78" xfId="0" applyFont="1" applyBorder="1" applyAlignment="1">
      <alignment horizontal="center"/>
    </xf>
    <xf numFmtId="0" fontId="33" fillId="0" borderId="71" xfId="0" applyFont="1" applyBorder="1" applyAlignment="1">
      <alignment horizontal="center"/>
    </xf>
    <xf numFmtId="0" fontId="33" fillId="0" borderId="73" xfId="0" applyFont="1" applyBorder="1" applyAlignment="1">
      <alignment horizontal="center"/>
    </xf>
    <xf numFmtId="0" fontId="0" fillId="0" borderId="75" xfId="0" applyFont="1" applyBorder="1" applyAlignment="1">
      <alignment horizontal="center"/>
    </xf>
    <xf numFmtId="0" fontId="0" fillId="0" borderId="78" xfId="0" applyFont="1" applyBorder="1" applyAlignment="1">
      <alignment horizontal="center"/>
    </xf>
    <xf numFmtId="0" fontId="33" fillId="0" borderId="72" xfId="0" applyFont="1" applyBorder="1" applyAlignment="1">
      <alignment horizontal="center"/>
    </xf>
    <xf numFmtId="0" fontId="34" fillId="21" borderId="65" xfId="0" applyFont="1" applyFill="1" applyBorder="1" applyAlignment="1">
      <alignment horizontal="center" vertical="center" wrapText="1"/>
    </xf>
    <xf numFmtId="0" fontId="34" fillId="21" borderId="66" xfId="0" applyFont="1" applyFill="1" applyBorder="1" applyAlignment="1">
      <alignment horizontal="center" vertical="center" wrapText="1"/>
    </xf>
    <xf numFmtId="0" fontId="34" fillId="20" borderId="4" xfId="0" applyFont="1" applyFill="1" applyBorder="1" applyAlignment="1">
      <alignment horizontal="center" vertical="top" wrapText="1"/>
    </xf>
    <xf numFmtId="0" fontId="34" fillId="20" borderId="19" xfId="0" applyFont="1" applyFill="1" applyBorder="1" applyAlignment="1">
      <alignment horizontal="center" vertical="top" wrapText="1"/>
    </xf>
    <xf numFmtId="0" fontId="34" fillId="20" borderId="20" xfId="0" applyFont="1" applyFill="1" applyBorder="1" applyAlignment="1">
      <alignment horizontal="center" vertical="top" wrapText="1"/>
    </xf>
    <xf numFmtId="0" fontId="34" fillId="21" borderId="68" xfId="0" applyFont="1" applyFill="1" applyBorder="1" applyAlignment="1">
      <alignment horizontal="center" vertical="center" wrapText="1"/>
    </xf>
    <xf numFmtId="0" fontId="34" fillId="20" borderId="68" xfId="0" applyFont="1" applyFill="1" applyBorder="1" applyAlignment="1">
      <alignment horizontal="center" vertical="top" wrapText="1"/>
    </xf>
    <xf numFmtId="0" fontId="5" fillId="0" borderId="68" xfId="0" applyFont="1" applyBorder="1" applyAlignment="1">
      <alignment horizontal="center" wrapText="1"/>
    </xf>
    <xf numFmtId="0" fontId="5" fillId="20" borderId="68" xfId="0" applyFont="1" applyFill="1" applyBorder="1" applyAlignment="1">
      <alignment horizontal="center" wrapText="1"/>
    </xf>
    <xf numFmtId="0" fontId="5" fillId="20" borderId="68" xfId="0" applyFont="1" applyFill="1" applyBorder="1" applyAlignment="1">
      <alignment wrapText="1"/>
    </xf>
    <xf numFmtId="0" fontId="9" fillId="0" borderId="68" xfId="0" applyFont="1" applyBorder="1" applyAlignment="1">
      <alignment horizontal="center" wrapText="1"/>
    </xf>
    <xf numFmtId="0" fontId="9" fillId="20" borderId="68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9" fillId="21" borderId="65" xfId="0" applyFont="1" applyFill="1" applyBorder="1" applyAlignment="1">
      <alignment horizontal="center" vertical="center" wrapText="1"/>
    </xf>
    <xf numFmtId="0" fontId="9" fillId="21" borderId="66" xfId="0" applyFont="1" applyFill="1" applyBorder="1" applyAlignment="1">
      <alignment horizontal="center" vertical="center" wrapText="1"/>
    </xf>
    <xf numFmtId="0" fontId="9" fillId="20" borderId="4" xfId="0" applyFont="1" applyFill="1" applyBorder="1" applyAlignment="1">
      <alignment horizontal="center" vertical="top" wrapText="1"/>
    </xf>
    <xf numFmtId="0" fontId="9" fillId="20" borderId="19" xfId="0" applyFont="1" applyFill="1" applyBorder="1" applyAlignment="1">
      <alignment horizontal="center" vertical="top" wrapText="1"/>
    </xf>
    <xf numFmtId="0" fontId="9" fillId="20" borderId="20" xfId="0" applyFont="1" applyFill="1" applyBorder="1" applyAlignment="1">
      <alignment horizontal="center" vertical="top" wrapText="1"/>
    </xf>
    <xf numFmtId="0" fontId="5" fillId="20" borderId="4" xfId="0" applyFont="1" applyFill="1" applyBorder="1" applyAlignment="1">
      <alignment horizontal="center" wrapText="1"/>
    </xf>
    <xf numFmtId="0" fontId="5" fillId="20" borderId="19" xfId="0" applyFont="1" applyFill="1" applyBorder="1" applyAlignment="1">
      <alignment horizontal="center" wrapText="1"/>
    </xf>
    <xf numFmtId="0" fontId="5" fillId="20" borderId="20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9" fillId="20" borderId="4" xfId="0" applyFont="1" applyFill="1" applyBorder="1" applyAlignment="1">
      <alignment horizontal="center" wrapText="1"/>
    </xf>
    <xf numFmtId="0" fontId="9" fillId="20" borderId="19" xfId="0" applyFont="1" applyFill="1" applyBorder="1" applyAlignment="1">
      <alignment horizontal="center" wrapText="1"/>
    </xf>
    <xf numFmtId="0" fontId="9" fillId="20" borderId="20" xfId="0" applyFont="1" applyFill="1" applyBorder="1" applyAlignment="1">
      <alignment horizontal="center" wrapText="1"/>
    </xf>
    <xf numFmtId="0" fontId="9" fillId="20" borderId="45" xfId="0" applyFont="1" applyFill="1" applyBorder="1" applyAlignment="1">
      <alignment horizontal="center" wrapText="1"/>
    </xf>
    <xf numFmtId="0" fontId="9" fillId="20" borderId="18" xfId="0" applyFont="1" applyFill="1" applyBorder="1" applyAlignment="1">
      <alignment horizontal="center" wrapText="1"/>
    </xf>
    <xf numFmtId="0" fontId="9" fillId="0" borderId="45" xfId="0" applyFont="1" applyBorder="1" applyAlignment="1">
      <alignment horizontal="center" wrapText="1"/>
    </xf>
    <xf numFmtId="0" fontId="9" fillId="0" borderId="46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20" borderId="4" xfId="0" applyFont="1" applyFill="1" applyBorder="1" applyAlignment="1">
      <alignment wrapText="1"/>
    </xf>
    <xf numFmtId="0" fontId="5" fillId="20" borderId="20" xfId="0" applyFont="1" applyFill="1" applyBorder="1" applyAlignment="1">
      <alignment wrapText="1"/>
    </xf>
    <xf numFmtId="0" fontId="26" fillId="25" borderId="37" xfId="1" applyFont="1" applyBorder="1" applyAlignment="1">
      <alignment horizontal="center" textRotation="90" wrapText="1"/>
    </xf>
    <xf numFmtId="0" fontId="26" fillId="25" borderId="35" xfId="1" applyFont="1" applyBorder="1" applyAlignment="1">
      <alignment horizontal="center" textRotation="90" wrapText="1"/>
    </xf>
    <xf numFmtId="0" fontId="26" fillId="25" borderId="81" xfId="1" applyFont="1" applyBorder="1" applyAlignment="1">
      <alignment horizontal="center" textRotation="90" wrapText="1"/>
    </xf>
    <xf numFmtId="0" fontId="26" fillId="25" borderId="50" xfId="1" applyFont="1" applyBorder="1" applyAlignment="1">
      <alignment horizontal="center" textRotation="90" wrapText="1"/>
    </xf>
    <xf numFmtId="0" fontId="26" fillId="18" borderId="1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7" xfId="0" applyFont="1" applyBorder="1"/>
    <xf numFmtId="0" fontId="13" fillId="0" borderId="28" xfId="0" applyFont="1" applyBorder="1" applyAlignment="1">
      <alignment horizontal="center" vertical="center"/>
    </xf>
    <xf numFmtId="0" fontId="2" fillId="0" borderId="81" xfId="0" applyFont="1" applyBorder="1"/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6" fillId="27" borderId="1" xfId="0" applyFont="1" applyFill="1" applyBorder="1" applyAlignment="1">
      <alignment horizontal="center"/>
    </xf>
    <xf numFmtId="0" fontId="2" fillId="28" borderId="2" xfId="0" applyFont="1" applyFill="1" applyBorder="1"/>
    <xf numFmtId="0" fontId="26" fillId="27" borderId="43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7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80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CR10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2578125" defaultRowHeight="15" customHeight="1"/>
  <cols>
    <col min="1" max="1" width="8.7109375" customWidth="1"/>
    <col min="2" max="2" width="19.5703125" customWidth="1"/>
    <col min="3" max="3" width="7.140625" customWidth="1"/>
    <col min="4" max="4" width="13.42578125" customWidth="1"/>
    <col min="5" max="5" width="14.7109375" customWidth="1"/>
    <col min="6" max="6" width="12.5703125" customWidth="1"/>
    <col min="7" max="26" width="8.7109375" customWidth="1"/>
    <col min="27" max="27" width="12.42578125" customWidth="1"/>
    <col min="28" max="28" width="14.7109375" customWidth="1"/>
    <col min="29" max="34" width="8.7109375" customWidth="1"/>
    <col min="35" max="35" width="5.85546875" customWidth="1"/>
    <col min="36" max="36" width="8.140625" customWidth="1"/>
    <col min="37" max="42" width="8.7109375" customWidth="1"/>
    <col min="43" max="43" width="12.28515625" customWidth="1"/>
    <col min="44" max="61" width="8.7109375" customWidth="1"/>
    <col min="62" max="62" width="10.140625" customWidth="1"/>
    <col min="63" max="63" width="12.42578125" customWidth="1"/>
    <col min="64" max="78" width="8.7109375" customWidth="1"/>
    <col min="79" max="79" width="10" customWidth="1"/>
    <col min="80" max="91" width="8.7109375" customWidth="1"/>
    <col min="92" max="92" width="12.140625" customWidth="1"/>
    <col min="93" max="95" width="8.7109375" customWidth="1"/>
    <col min="96" max="96" width="11.85546875" customWidth="1"/>
  </cols>
  <sheetData>
    <row r="2" spans="1:96">
      <c r="A2" s="479" t="s">
        <v>0</v>
      </c>
      <c r="B2" s="480"/>
      <c r="C2" s="479" t="s">
        <v>1</v>
      </c>
      <c r="D2" s="481"/>
      <c r="E2" s="480"/>
      <c r="F2" s="1"/>
      <c r="G2" s="482" t="s">
        <v>2</v>
      </c>
      <c r="H2" s="468"/>
      <c r="I2" s="468"/>
      <c r="J2" s="468"/>
      <c r="K2" s="469"/>
      <c r="L2" s="462" t="s">
        <v>3</v>
      </c>
      <c r="M2" s="456"/>
      <c r="N2" s="456"/>
      <c r="O2" s="456"/>
      <c r="P2" s="461"/>
      <c r="Q2" s="483" t="s">
        <v>4</v>
      </c>
      <c r="R2" s="461"/>
      <c r="S2" s="462" t="s">
        <v>5</v>
      </c>
      <c r="T2" s="456"/>
      <c r="U2" s="456"/>
      <c r="V2" s="461"/>
      <c r="W2" s="463" t="s">
        <v>6</v>
      </c>
      <c r="X2" s="456"/>
      <c r="Y2" s="456"/>
      <c r="Z2" s="456"/>
      <c r="AA2" s="456"/>
      <c r="AB2" s="464"/>
      <c r="AC2" s="460" t="s">
        <v>7</v>
      </c>
      <c r="AD2" s="456"/>
      <c r="AE2" s="456"/>
      <c r="AF2" s="456"/>
      <c r="AG2" s="456"/>
      <c r="AH2" s="461"/>
      <c r="AI2" s="463" t="s">
        <v>8</v>
      </c>
      <c r="AJ2" s="461"/>
      <c r="AK2" s="462" t="s">
        <v>9</v>
      </c>
      <c r="AL2" s="456"/>
      <c r="AM2" s="461"/>
      <c r="AN2" s="460" t="s">
        <v>10</v>
      </c>
      <c r="AO2" s="456"/>
      <c r="AP2" s="461"/>
      <c r="AQ2" s="462" t="s">
        <v>11</v>
      </c>
      <c r="AR2" s="456"/>
      <c r="AS2" s="456"/>
      <c r="AT2" s="463" t="s">
        <v>12</v>
      </c>
      <c r="AU2" s="464"/>
      <c r="AV2" s="460" t="s">
        <v>13</v>
      </c>
      <c r="AW2" s="456"/>
      <c r="AX2" s="456"/>
      <c r="AY2" s="456"/>
      <c r="AZ2" s="461"/>
      <c r="BA2" s="467" t="s">
        <v>14</v>
      </c>
      <c r="BB2" s="468"/>
      <c r="BC2" s="468"/>
      <c r="BD2" s="468"/>
      <c r="BE2" s="469"/>
      <c r="BF2" s="470" t="s">
        <v>15</v>
      </c>
      <c r="BG2" s="471"/>
      <c r="BH2" s="472" t="s">
        <v>16</v>
      </c>
      <c r="BI2" s="473"/>
      <c r="BJ2" s="473"/>
      <c r="BK2" s="473"/>
      <c r="BL2" s="474"/>
      <c r="BM2" s="455" t="s">
        <v>17</v>
      </c>
      <c r="BN2" s="456"/>
      <c r="BO2" s="461"/>
      <c r="BP2" s="475" t="s">
        <v>18</v>
      </c>
      <c r="BQ2" s="476"/>
      <c r="BR2" s="3"/>
      <c r="BS2" s="3"/>
      <c r="BT2" s="475" t="s">
        <v>19</v>
      </c>
      <c r="BU2" s="473"/>
      <c r="BV2" s="473"/>
      <c r="BW2" s="473"/>
      <c r="BX2" s="473"/>
      <c r="BY2" s="463" t="s">
        <v>20</v>
      </c>
      <c r="BZ2" s="456"/>
      <c r="CA2" s="461"/>
      <c r="CB2" s="465" t="s">
        <v>21</v>
      </c>
      <c r="CC2" s="466"/>
      <c r="CD2" s="4" t="s">
        <v>22</v>
      </c>
      <c r="CE2" s="465" t="s">
        <v>23</v>
      </c>
      <c r="CF2" s="469"/>
      <c r="CG2" s="463" t="s">
        <v>16</v>
      </c>
      <c r="CH2" s="456"/>
      <c r="CI2" s="464"/>
      <c r="CJ2" s="455" t="s">
        <v>24</v>
      </c>
      <c r="CK2" s="456"/>
      <c r="CL2" s="457" t="s">
        <v>25</v>
      </c>
      <c r="CM2" s="456"/>
      <c r="CN2" s="5"/>
      <c r="CO2" s="6" t="s">
        <v>26</v>
      </c>
      <c r="CP2" s="7"/>
      <c r="CQ2" s="8"/>
      <c r="CR2" s="9"/>
    </row>
    <row r="3" spans="1:96">
      <c r="BM3" s="477" t="s">
        <v>27</v>
      </c>
      <c r="BN3" s="478"/>
      <c r="BO3" s="478"/>
      <c r="BP3" s="478"/>
      <c r="BQ3" s="478"/>
      <c r="BR3" s="478"/>
      <c r="BS3" s="478"/>
    </row>
    <row r="4" spans="1:96" ht="26.25" customHeight="1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1" t="s">
        <v>33</v>
      </c>
      <c r="G4" s="12" t="s">
        <v>34</v>
      </c>
      <c r="H4" s="13" t="s">
        <v>35</v>
      </c>
      <c r="I4" s="13" t="s">
        <v>36</v>
      </c>
      <c r="J4" s="14" t="s">
        <v>37</v>
      </c>
      <c r="K4" s="15" t="s">
        <v>38</v>
      </c>
      <c r="L4" s="16" t="s">
        <v>39</v>
      </c>
      <c r="M4" s="10" t="s">
        <v>40</v>
      </c>
      <c r="N4" s="10" t="s">
        <v>41</v>
      </c>
      <c r="O4" s="10" t="s">
        <v>42</v>
      </c>
      <c r="P4" s="17" t="s">
        <v>43</v>
      </c>
      <c r="Q4" s="18" t="s">
        <v>44</v>
      </c>
      <c r="R4" s="19" t="s">
        <v>45</v>
      </c>
      <c r="S4" s="16" t="s">
        <v>46</v>
      </c>
      <c r="T4" s="10" t="s">
        <v>47</v>
      </c>
      <c r="U4" s="10" t="s">
        <v>48</v>
      </c>
      <c r="V4" s="11" t="s">
        <v>49</v>
      </c>
      <c r="W4" s="20" t="s">
        <v>50</v>
      </c>
      <c r="X4" s="21" t="s">
        <v>51</v>
      </c>
      <c r="Y4" s="21" t="s">
        <v>52</v>
      </c>
      <c r="Z4" s="21" t="s">
        <v>53</v>
      </c>
      <c r="AA4" s="21" t="s">
        <v>54</v>
      </c>
      <c r="AB4" s="22" t="s">
        <v>55</v>
      </c>
      <c r="AC4" s="20" t="s">
        <v>56</v>
      </c>
      <c r="AD4" s="21" t="s">
        <v>57</v>
      </c>
      <c r="AE4" s="21" t="s">
        <v>58</v>
      </c>
      <c r="AF4" s="21" t="s">
        <v>59</v>
      </c>
      <c r="AG4" s="21" t="s">
        <v>60</v>
      </c>
      <c r="AH4" s="23" t="s">
        <v>61</v>
      </c>
      <c r="AI4" s="24" t="s">
        <v>62</v>
      </c>
      <c r="AJ4" s="25" t="s">
        <v>63</v>
      </c>
      <c r="AK4" s="16" t="s">
        <v>64</v>
      </c>
      <c r="AL4" s="10" t="s">
        <v>65</v>
      </c>
      <c r="AM4" s="26" t="s">
        <v>66</v>
      </c>
      <c r="AN4" s="20" t="s">
        <v>67</v>
      </c>
      <c r="AO4" s="21" t="s">
        <v>68</v>
      </c>
      <c r="AP4" s="23" t="s">
        <v>69</v>
      </c>
      <c r="AQ4" s="20" t="s">
        <v>70</v>
      </c>
      <c r="AR4" s="21" t="s">
        <v>71</v>
      </c>
      <c r="AS4" s="22" t="s">
        <v>72</v>
      </c>
      <c r="AT4" s="20" t="s">
        <v>56</v>
      </c>
      <c r="AU4" s="22" t="s">
        <v>73</v>
      </c>
      <c r="AV4" s="20" t="s">
        <v>46</v>
      </c>
      <c r="AW4" s="21" t="s">
        <v>74</v>
      </c>
      <c r="AX4" s="27" t="s">
        <v>75</v>
      </c>
      <c r="AY4" s="27" t="s">
        <v>76</v>
      </c>
      <c r="AZ4" s="23" t="s">
        <v>77</v>
      </c>
      <c r="BA4" s="28" t="s">
        <v>56</v>
      </c>
      <c r="BB4" s="29" t="s">
        <v>78</v>
      </c>
      <c r="BC4" s="29" t="s">
        <v>79</v>
      </c>
      <c r="BD4" s="29" t="s">
        <v>80</v>
      </c>
      <c r="BE4" s="30" t="s">
        <v>38</v>
      </c>
      <c r="BF4" s="31" t="s">
        <v>81</v>
      </c>
      <c r="BG4" s="32" t="s">
        <v>82</v>
      </c>
      <c r="BH4" s="33" t="s">
        <v>83</v>
      </c>
      <c r="BI4" s="29" t="s">
        <v>81</v>
      </c>
      <c r="BJ4" s="29" t="s">
        <v>84</v>
      </c>
      <c r="BK4" s="29" t="s">
        <v>85</v>
      </c>
      <c r="BL4" s="29" t="s">
        <v>86</v>
      </c>
      <c r="BM4" s="21" t="s">
        <v>73</v>
      </c>
      <c r="BN4" s="34" t="s">
        <v>87</v>
      </c>
      <c r="BO4" s="22" t="s">
        <v>56</v>
      </c>
      <c r="BP4" s="35" t="s">
        <v>83</v>
      </c>
      <c r="BQ4" s="36" t="s">
        <v>88</v>
      </c>
      <c r="BR4" s="37" t="s">
        <v>89</v>
      </c>
      <c r="BS4" s="37"/>
      <c r="BT4" s="35" t="s">
        <v>90</v>
      </c>
      <c r="BU4" s="38" t="s">
        <v>91</v>
      </c>
      <c r="BV4" s="38" t="s">
        <v>92</v>
      </c>
      <c r="BW4" s="38" t="s">
        <v>93</v>
      </c>
      <c r="BX4" s="39" t="s">
        <v>94</v>
      </c>
      <c r="BY4" s="40" t="s">
        <v>56</v>
      </c>
      <c r="BZ4" s="40" t="s">
        <v>73</v>
      </c>
      <c r="CA4" s="41" t="s">
        <v>22</v>
      </c>
      <c r="CB4" s="40" t="s">
        <v>56</v>
      </c>
      <c r="CC4" s="29" t="s">
        <v>73</v>
      </c>
      <c r="CD4" s="29" t="s">
        <v>95</v>
      </c>
      <c r="CE4" s="29" t="s">
        <v>83</v>
      </c>
      <c r="CF4" s="29" t="s">
        <v>88</v>
      </c>
      <c r="CG4" s="20" t="s">
        <v>96</v>
      </c>
      <c r="CH4" s="42" t="s">
        <v>97</v>
      </c>
      <c r="CI4" s="21" t="s">
        <v>98</v>
      </c>
      <c r="CJ4" s="21" t="s">
        <v>73</v>
      </c>
      <c r="CK4" s="22" t="s">
        <v>56</v>
      </c>
      <c r="CL4" s="20" t="s">
        <v>99</v>
      </c>
      <c r="CM4" s="22" t="s">
        <v>56</v>
      </c>
      <c r="CN4" s="43"/>
      <c r="CO4" s="458" t="s">
        <v>100</v>
      </c>
      <c r="CP4" s="459"/>
      <c r="CQ4" s="44" t="s">
        <v>101</v>
      </c>
      <c r="CR4" s="45" t="s">
        <v>102</v>
      </c>
    </row>
    <row r="5" spans="1:96">
      <c r="A5" s="46" t="s">
        <v>103</v>
      </c>
      <c r="B5" s="46" t="s">
        <v>104</v>
      </c>
      <c r="C5" s="47">
        <v>42</v>
      </c>
      <c r="D5" s="46" t="s">
        <v>105</v>
      </c>
      <c r="E5" s="46" t="s">
        <v>106</v>
      </c>
      <c r="F5" s="46" t="s">
        <v>107</v>
      </c>
      <c r="H5" s="46">
        <v>1</v>
      </c>
      <c r="O5" s="46">
        <v>1</v>
      </c>
      <c r="Q5" s="46">
        <v>1</v>
      </c>
      <c r="T5" s="46">
        <v>1</v>
      </c>
      <c r="W5" s="46">
        <v>12</v>
      </c>
      <c r="X5" s="46">
        <v>8</v>
      </c>
      <c r="Y5" s="46">
        <v>18</v>
      </c>
      <c r="Z5" s="46">
        <v>1</v>
      </c>
      <c r="AA5" s="46">
        <v>1</v>
      </c>
      <c r="AB5" s="46">
        <v>0</v>
      </c>
      <c r="AG5" s="46">
        <v>1</v>
      </c>
      <c r="AH5" s="46">
        <v>1</v>
      </c>
      <c r="AI5" s="46">
        <v>1</v>
      </c>
      <c r="AL5" s="46">
        <v>1</v>
      </c>
      <c r="AN5" s="48"/>
      <c r="AO5" s="48"/>
      <c r="AP5" s="48"/>
      <c r="AQ5" s="49"/>
      <c r="AR5" s="48"/>
      <c r="AS5" s="48"/>
      <c r="AT5" s="46">
        <v>1</v>
      </c>
      <c r="AX5" s="46">
        <v>1</v>
      </c>
      <c r="BB5" s="46">
        <v>1</v>
      </c>
      <c r="BF5" s="46">
        <v>1</v>
      </c>
      <c r="BL5" s="46">
        <v>1</v>
      </c>
      <c r="BY5" s="46">
        <v>1</v>
      </c>
      <c r="CB5" s="46">
        <v>1</v>
      </c>
      <c r="CG5" s="46">
        <v>1</v>
      </c>
      <c r="CR5" s="50">
        <v>45323</v>
      </c>
    </row>
    <row r="6" spans="1:96">
      <c r="A6" s="46" t="s">
        <v>108</v>
      </c>
      <c r="B6" s="46" t="s">
        <v>109</v>
      </c>
      <c r="C6" s="47">
        <v>30</v>
      </c>
      <c r="D6" s="46" t="s">
        <v>110</v>
      </c>
      <c r="E6" s="46" t="s">
        <v>111</v>
      </c>
      <c r="F6" s="46" t="s">
        <v>112</v>
      </c>
      <c r="H6" s="46">
        <v>1</v>
      </c>
      <c r="O6" s="46">
        <v>1</v>
      </c>
      <c r="Q6" s="46">
        <v>1</v>
      </c>
      <c r="U6" s="46">
        <v>1</v>
      </c>
      <c r="W6" s="46">
        <v>16</v>
      </c>
      <c r="X6" s="46">
        <v>20</v>
      </c>
      <c r="Y6" s="46">
        <v>22</v>
      </c>
      <c r="Z6" s="46">
        <v>2</v>
      </c>
      <c r="AA6" s="46">
        <v>1</v>
      </c>
      <c r="AB6" s="46">
        <v>1</v>
      </c>
      <c r="AD6" s="46">
        <v>1</v>
      </c>
      <c r="AH6" s="46">
        <v>1</v>
      </c>
      <c r="AJ6" s="46">
        <v>1</v>
      </c>
      <c r="AL6" s="46">
        <v>1</v>
      </c>
      <c r="AP6" s="46">
        <v>1</v>
      </c>
      <c r="AS6" s="46">
        <v>1</v>
      </c>
      <c r="AT6" s="46">
        <v>1</v>
      </c>
      <c r="AW6" s="46">
        <v>1</v>
      </c>
      <c r="BB6" s="46">
        <v>1</v>
      </c>
      <c r="BF6" s="46">
        <v>1</v>
      </c>
      <c r="BL6" s="46">
        <v>1</v>
      </c>
      <c r="BY6" s="46">
        <v>1</v>
      </c>
      <c r="CB6" s="46">
        <v>1</v>
      </c>
      <c r="CG6" s="46">
        <v>1</v>
      </c>
      <c r="CR6" s="50">
        <v>46388</v>
      </c>
    </row>
    <row r="7" spans="1:96">
      <c r="A7" s="46" t="s">
        <v>113</v>
      </c>
      <c r="B7" s="46" t="s">
        <v>114</v>
      </c>
      <c r="C7" s="47">
        <v>61</v>
      </c>
      <c r="D7" s="46" t="s">
        <v>115</v>
      </c>
      <c r="E7" s="46" t="s">
        <v>116</v>
      </c>
      <c r="F7" s="46" t="s">
        <v>112</v>
      </c>
      <c r="I7" s="46">
        <v>1</v>
      </c>
      <c r="N7" s="46">
        <v>1</v>
      </c>
      <c r="Q7" s="46">
        <v>1</v>
      </c>
      <c r="U7" s="46">
        <v>1</v>
      </c>
      <c r="W7" s="46">
        <v>17</v>
      </c>
      <c r="X7" s="46">
        <v>20</v>
      </c>
      <c r="Y7" s="46">
        <v>21</v>
      </c>
      <c r="Z7" s="46">
        <v>5</v>
      </c>
      <c r="AA7" s="46">
        <v>5</v>
      </c>
      <c r="AB7" s="46">
        <v>5</v>
      </c>
      <c r="AE7" s="46">
        <v>1</v>
      </c>
      <c r="AG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B7" s="46">
        <v>1</v>
      </c>
      <c r="BF7" s="46">
        <v>1</v>
      </c>
      <c r="BJ7" s="46">
        <v>1</v>
      </c>
      <c r="BM7" s="46">
        <v>1</v>
      </c>
      <c r="BN7" s="48"/>
      <c r="BY7" s="46">
        <v>1</v>
      </c>
      <c r="CB7" s="46">
        <v>1</v>
      </c>
      <c r="CG7" s="46">
        <v>1</v>
      </c>
      <c r="CR7" s="46" t="s">
        <v>117</v>
      </c>
    </row>
    <row r="8" spans="1:96">
      <c r="A8" s="46" t="s">
        <v>118</v>
      </c>
      <c r="B8" s="46" t="s">
        <v>119</v>
      </c>
      <c r="C8" s="47">
        <v>30</v>
      </c>
      <c r="D8" s="46" t="s">
        <v>120</v>
      </c>
      <c r="E8" s="46" t="s">
        <v>121</v>
      </c>
      <c r="F8" s="46" t="s">
        <v>122</v>
      </c>
      <c r="H8" s="46">
        <v>1</v>
      </c>
      <c r="M8" s="46">
        <v>1</v>
      </c>
      <c r="Q8" s="46">
        <v>1</v>
      </c>
      <c r="U8" s="46">
        <v>1</v>
      </c>
      <c r="W8" s="46">
        <v>17</v>
      </c>
      <c r="X8" s="46">
        <v>20</v>
      </c>
      <c r="Y8" s="46">
        <v>24</v>
      </c>
      <c r="Z8" s="46">
        <v>4</v>
      </c>
      <c r="AA8" s="46">
        <v>4</v>
      </c>
      <c r="AB8" s="46">
        <v>4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B8" s="46">
        <v>1</v>
      </c>
      <c r="BF8" s="46">
        <v>1</v>
      </c>
      <c r="BI8" s="46">
        <v>1</v>
      </c>
      <c r="BY8" s="46">
        <v>1</v>
      </c>
      <c r="CB8" s="46">
        <v>1</v>
      </c>
      <c r="CG8" s="46">
        <v>1</v>
      </c>
      <c r="CR8" s="51">
        <v>46388</v>
      </c>
    </row>
    <row r="9" spans="1:96">
      <c r="A9" s="46" t="s">
        <v>123</v>
      </c>
      <c r="B9" s="46" t="s">
        <v>124</v>
      </c>
      <c r="C9" s="47">
        <v>32</v>
      </c>
      <c r="D9" s="46" t="s">
        <v>125</v>
      </c>
      <c r="E9" s="46" t="s">
        <v>126</v>
      </c>
      <c r="F9" s="46" t="s">
        <v>127</v>
      </c>
      <c r="G9" s="46">
        <v>1</v>
      </c>
      <c r="M9" s="46">
        <v>1</v>
      </c>
      <c r="Q9" s="46">
        <v>1</v>
      </c>
      <c r="U9" s="46">
        <v>1</v>
      </c>
      <c r="W9" s="46">
        <v>14</v>
      </c>
      <c r="X9" s="46">
        <v>21</v>
      </c>
      <c r="Y9" s="46">
        <v>23</v>
      </c>
      <c r="Z9" s="46">
        <v>3</v>
      </c>
      <c r="AA9" s="46">
        <v>3</v>
      </c>
      <c r="AB9" s="46">
        <v>3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Y9" s="46">
        <v>1</v>
      </c>
      <c r="CB9" s="46">
        <v>1</v>
      </c>
      <c r="CG9" s="46">
        <v>1</v>
      </c>
      <c r="CR9" s="50">
        <v>46388</v>
      </c>
    </row>
    <row r="10" spans="1:96">
      <c r="A10" s="46" t="s">
        <v>128</v>
      </c>
      <c r="B10" s="46" t="s">
        <v>129</v>
      </c>
      <c r="C10" s="47">
        <v>43</v>
      </c>
      <c r="D10" s="46" t="s">
        <v>130</v>
      </c>
      <c r="E10" s="46" t="s">
        <v>131</v>
      </c>
      <c r="F10" s="46" t="s">
        <v>132</v>
      </c>
      <c r="G10" s="46">
        <v>1</v>
      </c>
      <c r="P10" s="46">
        <v>1</v>
      </c>
      <c r="Q10" s="46">
        <v>1</v>
      </c>
      <c r="U10" s="46">
        <v>1</v>
      </c>
      <c r="W10" s="46">
        <v>14</v>
      </c>
      <c r="X10" s="46">
        <v>20</v>
      </c>
      <c r="Y10" s="46">
        <v>23</v>
      </c>
      <c r="Z10" s="46">
        <v>4</v>
      </c>
      <c r="AA10" s="46">
        <v>3</v>
      </c>
      <c r="AB10" s="46">
        <v>3</v>
      </c>
      <c r="AD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Y10" s="46">
        <v>1</v>
      </c>
      <c r="CB10" s="46">
        <v>1</v>
      </c>
      <c r="CG10" s="46">
        <v>1</v>
      </c>
      <c r="CR10" s="50">
        <v>46389</v>
      </c>
    </row>
    <row r="11" spans="1:96">
      <c r="A11" s="46" t="s">
        <v>133</v>
      </c>
      <c r="B11" s="46" t="s">
        <v>134</v>
      </c>
      <c r="C11" s="47">
        <v>60</v>
      </c>
      <c r="D11" s="46" t="s">
        <v>135</v>
      </c>
      <c r="E11" s="46" t="s">
        <v>136</v>
      </c>
      <c r="F11" s="46" t="s">
        <v>122</v>
      </c>
      <c r="J11" s="46">
        <v>1</v>
      </c>
      <c r="M11" s="46">
        <v>1</v>
      </c>
      <c r="Q11" s="46">
        <v>1</v>
      </c>
      <c r="T11" s="46">
        <v>1</v>
      </c>
      <c r="W11" s="46">
        <v>14</v>
      </c>
      <c r="X11" s="46">
        <v>16</v>
      </c>
      <c r="Y11" s="46">
        <v>18</v>
      </c>
      <c r="Z11" s="46">
        <v>8</v>
      </c>
      <c r="AA11" s="46">
        <v>7</v>
      </c>
      <c r="AB11" s="46">
        <v>5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Y11" s="46">
        <v>1</v>
      </c>
      <c r="CB11" s="46">
        <v>1</v>
      </c>
      <c r="CG11" s="46">
        <v>1</v>
      </c>
      <c r="CR11" s="50">
        <v>46390</v>
      </c>
    </row>
    <row r="12" spans="1:96">
      <c r="A12" s="46" t="s">
        <v>137</v>
      </c>
      <c r="B12" s="46" t="s">
        <v>138</v>
      </c>
      <c r="C12" s="47">
        <v>24</v>
      </c>
      <c r="D12" s="46" t="s">
        <v>139</v>
      </c>
      <c r="E12" s="46" t="s">
        <v>140</v>
      </c>
      <c r="F12" s="46" t="s">
        <v>107</v>
      </c>
      <c r="G12" s="46">
        <v>1</v>
      </c>
      <c r="N12" s="46">
        <v>1</v>
      </c>
      <c r="Q12" s="46">
        <v>1</v>
      </c>
      <c r="V12" s="46">
        <v>1</v>
      </c>
      <c r="W12" s="46">
        <v>13</v>
      </c>
      <c r="X12" s="46">
        <v>17</v>
      </c>
      <c r="Y12" s="46">
        <v>24</v>
      </c>
      <c r="Z12" s="46">
        <v>1</v>
      </c>
      <c r="AA12" s="46">
        <v>1</v>
      </c>
      <c r="AB12" s="46">
        <v>1</v>
      </c>
      <c r="AC12" s="46">
        <v>1</v>
      </c>
      <c r="AI12" s="46">
        <v>1</v>
      </c>
      <c r="AK12" s="46">
        <v>1</v>
      </c>
      <c r="AT12" s="46">
        <v>1</v>
      </c>
      <c r="AW12" s="46">
        <v>1</v>
      </c>
      <c r="BB12" s="46">
        <v>1</v>
      </c>
      <c r="BF12" s="46">
        <v>1</v>
      </c>
      <c r="BI12" s="46">
        <v>1</v>
      </c>
      <c r="BY12" s="46">
        <v>1</v>
      </c>
      <c r="CB12" s="46">
        <v>1</v>
      </c>
      <c r="CG12" s="46">
        <v>1</v>
      </c>
      <c r="CR12" s="50">
        <v>46391</v>
      </c>
    </row>
    <row r="13" spans="1:96">
      <c r="A13" s="46" t="s">
        <v>141</v>
      </c>
      <c r="B13" s="46" t="s">
        <v>142</v>
      </c>
      <c r="C13" s="47">
        <v>28</v>
      </c>
      <c r="D13" s="46" t="s">
        <v>143</v>
      </c>
      <c r="E13" s="46" t="s">
        <v>144</v>
      </c>
      <c r="F13" s="46" t="s">
        <v>145</v>
      </c>
      <c r="G13" s="46">
        <v>1</v>
      </c>
      <c r="N13" s="46">
        <v>1</v>
      </c>
      <c r="Q13" s="46">
        <v>1</v>
      </c>
      <c r="U13" s="46">
        <v>1</v>
      </c>
      <c r="W13" s="46">
        <v>16</v>
      </c>
      <c r="X13" s="46">
        <v>17</v>
      </c>
      <c r="Y13" s="46">
        <v>18</v>
      </c>
      <c r="Z13" s="46">
        <v>3</v>
      </c>
      <c r="AA13" s="46">
        <v>3</v>
      </c>
      <c r="AB13" s="46">
        <v>3</v>
      </c>
      <c r="AD13" s="46">
        <v>1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X13" s="46">
        <v>1</v>
      </c>
      <c r="BA13" s="46">
        <v>1</v>
      </c>
      <c r="BI13" s="46">
        <v>1</v>
      </c>
      <c r="BY13" s="46">
        <v>1</v>
      </c>
      <c r="CB13" s="46">
        <v>1</v>
      </c>
      <c r="CG13" s="52"/>
      <c r="CR13" s="50">
        <v>46392</v>
      </c>
    </row>
    <row r="14" spans="1:96">
      <c r="A14" s="46" t="s">
        <v>146</v>
      </c>
      <c r="B14" s="46" t="s">
        <v>147</v>
      </c>
      <c r="C14" s="47">
        <v>37</v>
      </c>
      <c r="D14" s="46" t="s">
        <v>148</v>
      </c>
      <c r="E14" s="46" t="s">
        <v>149</v>
      </c>
      <c r="F14" s="46" t="s">
        <v>112</v>
      </c>
      <c r="H14" s="46">
        <v>1</v>
      </c>
      <c r="P14" s="46">
        <v>1</v>
      </c>
      <c r="Q14" s="46">
        <v>1</v>
      </c>
      <c r="V14" s="46">
        <v>1</v>
      </c>
      <c r="W14" s="46">
        <v>17</v>
      </c>
      <c r="X14" s="46">
        <v>24</v>
      </c>
      <c r="Y14" s="46">
        <v>27</v>
      </c>
      <c r="Z14" s="46">
        <v>4</v>
      </c>
      <c r="AA14" s="46">
        <v>4</v>
      </c>
      <c r="AB14" s="46">
        <v>4</v>
      </c>
      <c r="AC14" s="46">
        <v>1</v>
      </c>
      <c r="AJ14" s="46">
        <v>1</v>
      </c>
      <c r="AK14" s="46">
        <v>1</v>
      </c>
      <c r="AT14" s="46">
        <v>1</v>
      </c>
      <c r="AX14" s="46">
        <v>1</v>
      </c>
      <c r="BB14" s="46">
        <v>1</v>
      </c>
      <c r="BF14" s="46">
        <v>1</v>
      </c>
      <c r="BI14" s="46">
        <v>1</v>
      </c>
      <c r="BY14" s="46">
        <v>1</v>
      </c>
      <c r="CB14" s="46">
        <v>1</v>
      </c>
      <c r="CG14" s="46">
        <v>1</v>
      </c>
      <c r="CR14" s="50">
        <v>46393</v>
      </c>
    </row>
    <row r="15" spans="1:96">
      <c r="A15" s="46" t="s">
        <v>150</v>
      </c>
      <c r="B15" s="46" t="s">
        <v>151</v>
      </c>
      <c r="C15" s="47">
        <v>48</v>
      </c>
      <c r="D15" s="46" t="s">
        <v>152</v>
      </c>
      <c r="E15" s="46" t="s">
        <v>153</v>
      </c>
      <c r="F15" s="46" t="s">
        <v>107</v>
      </c>
      <c r="H15" s="46">
        <v>1</v>
      </c>
      <c r="O15" s="46">
        <v>1</v>
      </c>
      <c r="R15" s="46">
        <v>1</v>
      </c>
      <c r="T15" s="46">
        <v>1</v>
      </c>
      <c r="W15" s="46">
        <v>13</v>
      </c>
      <c r="X15" s="46">
        <v>16</v>
      </c>
      <c r="Y15" s="46">
        <v>17</v>
      </c>
      <c r="Z15" s="46">
        <v>6</v>
      </c>
      <c r="AA15" s="46">
        <v>5</v>
      </c>
      <c r="AB15" s="46">
        <v>5</v>
      </c>
      <c r="AE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Y15" s="46">
        <v>1</v>
      </c>
      <c r="CB15" s="46">
        <v>1</v>
      </c>
      <c r="CG15" s="46">
        <v>1</v>
      </c>
      <c r="CR15" s="50">
        <v>46394</v>
      </c>
    </row>
    <row r="16" spans="1:96">
      <c r="A16" s="46" t="s">
        <v>154</v>
      </c>
      <c r="B16" s="46" t="s">
        <v>155</v>
      </c>
      <c r="C16" s="47">
        <v>48</v>
      </c>
      <c r="D16" s="46" t="s">
        <v>156</v>
      </c>
      <c r="E16" s="46" t="s">
        <v>157</v>
      </c>
      <c r="F16" s="46" t="s">
        <v>107</v>
      </c>
      <c r="H16" s="46">
        <v>1</v>
      </c>
      <c r="M16" s="46">
        <v>1</v>
      </c>
      <c r="Q16" s="46">
        <v>1</v>
      </c>
      <c r="T16" s="46">
        <v>1</v>
      </c>
      <c r="W16" s="46">
        <v>15</v>
      </c>
      <c r="X16" s="46">
        <v>18</v>
      </c>
      <c r="Y16" s="46">
        <v>20</v>
      </c>
      <c r="Z16" s="46">
        <v>8</v>
      </c>
      <c r="AA16" s="46">
        <v>9</v>
      </c>
      <c r="AB16" s="46">
        <v>9</v>
      </c>
      <c r="AD16" s="46">
        <v>1</v>
      </c>
      <c r="AE16" s="46">
        <v>1</v>
      </c>
      <c r="AI16" s="53"/>
      <c r="AJ16" s="53"/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BM16" s="46">
        <v>1</v>
      </c>
      <c r="BN16" s="48"/>
      <c r="BW16" s="46">
        <v>1</v>
      </c>
      <c r="BY16" s="46">
        <v>1</v>
      </c>
      <c r="CB16" s="46">
        <v>1</v>
      </c>
      <c r="CG16" s="46">
        <v>1</v>
      </c>
      <c r="CR16" s="46" t="s">
        <v>158</v>
      </c>
    </row>
    <row r="17" spans="1:96">
      <c r="A17" s="46" t="s">
        <v>159</v>
      </c>
      <c r="B17" s="46" t="s">
        <v>160</v>
      </c>
      <c r="C17" s="47">
        <v>44</v>
      </c>
      <c r="D17" s="46" t="s">
        <v>115</v>
      </c>
      <c r="E17" s="46" t="s">
        <v>161</v>
      </c>
      <c r="F17" s="46" t="s">
        <v>162</v>
      </c>
      <c r="K17" s="46">
        <v>1</v>
      </c>
      <c r="N17" s="46">
        <v>1</v>
      </c>
      <c r="Q17" s="46">
        <v>1</v>
      </c>
      <c r="U17" s="46">
        <v>1</v>
      </c>
      <c r="W17" s="46">
        <v>14</v>
      </c>
      <c r="X17" s="46">
        <v>21</v>
      </c>
      <c r="Y17" s="46">
        <v>22</v>
      </c>
      <c r="Z17" s="46">
        <v>6</v>
      </c>
      <c r="AA17" s="46">
        <v>6</v>
      </c>
      <c r="AB17" s="46">
        <v>6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Y17" s="46">
        <v>1</v>
      </c>
      <c r="CB17" s="46">
        <v>1</v>
      </c>
      <c r="CG17" s="46">
        <v>1</v>
      </c>
      <c r="CR17" s="50">
        <v>46396</v>
      </c>
    </row>
    <row r="18" spans="1:96">
      <c r="A18" s="46" t="s">
        <v>163</v>
      </c>
      <c r="B18" s="46" t="s">
        <v>164</v>
      </c>
      <c r="C18" s="47">
        <v>21</v>
      </c>
      <c r="D18" s="46" t="s">
        <v>143</v>
      </c>
      <c r="E18" s="46" t="s">
        <v>165</v>
      </c>
      <c r="F18" s="46" t="s">
        <v>107</v>
      </c>
      <c r="I18" s="46">
        <v>1</v>
      </c>
      <c r="M18" s="46">
        <v>1</v>
      </c>
      <c r="Q18" s="46">
        <v>1</v>
      </c>
      <c r="U18" s="46">
        <v>1</v>
      </c>
      <c r="W18" s="46">
        <v>14</v>
      </c>
      <c r="X18" s="46">
        <v>20</v>
      </c>
      <c r="Y18" s="46">
        <v>21</v>
      </c>
      <c r="Z18" s="46">
        <v>1</v>
      </c>
      <c r="AA18" s="46">
        <v>1</v>
      </c>
      <c r="AB18" s="46">
        <v>0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Y18" s="46">
        <v>1</v>
      </c>
      <c r="CB18" s="46">
        <v>1</v>
      </c>
      <c r="CG18" s="46">
        <v>1</v>
      </c>
      <c r="CR18" s="50">
        <v>46397</v>
      </c>
    </row>
    <row r="19" spans="1:96">
      <c r="A19" s="46" t="s">
        <v>166</v>
      </c>
      <c r="B19" s="46" t="s">
        <v>167</v>
      </c>
      <c r="C19" s="47">
        <v>65</v>
      </c>
      <c r="D19" s="46" t="s">
        <v>168</v>
      </c>
      <c r="E19" s="46" t="s">
        <v>169</v>
      </c>
      <c r="F19" s="46" t="s">
        <v>107</v>
      </c>
      <c r="H19" s="46">
        <v>1</v>
      </c>
      <c r="O19" s="46">
        <v>1</v>
      </c>
      <c r="Q19" s="46">
        <v>1</v>
      </c>
      <c r="U19" s="46">
        <v>1</v>
      </c>
      <c r="W19" s="46">
        <v>14</v>
      </c>
      <c r="X19" s="46">
        <v>19</v>
      </c>
      <c r="Y19" s="46">
        <v>20</v>
      </c>
      <c r="Z19" s="46">
        <v>1</v>
      </c>
      <c r="AA19" s="46">
        <v>1</v>
      </c>
      <c r="AB19" s="46">
        <v>1</v>
      </c>
      <c r="AC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Y19" s="46">
        <v>1</v>
      </c>
      <c r="CB19" s="46">
        <v>1</v>
      </c>
      <c r="CG19" s="46">
        <v>1</v>
      </c>
      <c r="CR19" s="50">
        <v>46398</v>
      </c>
    </row>
    <row r="20" spans="1:96">
      <c r="A20" s="46" t="s">
        <v>170</v>
      </c>
      <c r="B20" s="46" t="s">
        <v>171</v>
      </c>
      <c r="C20" s="47">
        <v>37</v>
      </c>
      <c r="D20" s="46" t="s">
        <v>143</v>
      </c>
      <c r="E20" s="46" t="s">
        <v>172</v>
      </c>
      <c r="F20" s="46" t="s">
        <v>173</v>
      </c>
      <c r="J20" s="46">
        <v>1</v>
      </c>
      <c r="L20" s="46">
        <v>1</v>
      </c>
      <c r="Q20" s="48"/>
      <c r="R20" s="48"/>
      <c r="T20" s="46">
        <v>1</v>
      </c>
      <c r="W20" s="46">
        <v>13</v>
      </c>
      <c r="X20" s="46">
        <v>14</v>
      </c>
      <c r="Y20" s="46">
        <v>14</v>
      </c>
      <c r="Z20" s="46">
        <v>6</v>
      </c>
      <c r="AA20" s="46">
        <v>6</v>
      </c>
      <c r="AB20" s="46">
        <v>6</v>
      </c>
      <c r="AE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Z20" s="46">
        <v>1</v>
      </c>
      <c r="BA20" s="46">
        <v>1</v>
      </c>
      <c r="BI20" s="46">
        <v>1</v>
      </c>
      <c r="BY20" s="46">
        <v>1</v>
      </c>
      <c r="CB20" s="46">
        <v>1</v>
      </c>
      <c r="CG20" s="46">
        <v>1</v>
      </c>
      <c r="CR20" s="50">
        <v>46399</v>
      </c>
    </row>
    <row r="21" spans="1:96" ht="15.75" customHeight="1">
      <c r="A21" s="46" t="s">
        <v>174</v>
      </c>
      <c r="B21" s="46" t="s">
        <v>175</v>
      </c>
      <c r="C21" s="47">
        <v>51</v>
      </c>
      <c r="D21" s="46" t="s">
        <v>143</v>
      </c>
      <c r="E21" s="46" t="s">
        <v>176</v>
      </c>
      <c r="F21" s="46" t="s">
        <v>107</v>
      </c>
      <c r="H21" s="46">
        <v>1</v>
      </c>
      <c r="O21" s="46">
        <v>1</v>
      </c>
      <c r="Q21" s="46">
        <v>1</v>
      </c>
      <c r="V21" s="46">
        <v>1</v>
      </c>
      <c r="W21" s="46">
        <v>12</v>
      </c>
      <c r="X21" s="46">
        <v>18</v>
      </c>
      <c r="Y21" s="46">
        <v>18</v>
      </c>
      <c r="Z21" s="46">
        <v>5</v>
      </c>
      <c r="AA21" s="46">
        <v>4</v>
      </c>
      <c r="AB21" s="46">
        <v>3</v>
      </c>
      <c r="AC21" s="46">
        <v>1</v>
      </c>
      <c r="AJ21" s="46">
        <v>1</v>
      </c>
      <c r="AK21" s="46">
        <v>1</v>
      </c>
      <c r="AT21" s="46">
        <v>1</v>
      </c>
      <c r="AX21" s="46">
        <v>1</v>
      </c>
      <c r="BB21" s="46">
        <v>1</v>
      </c>
      <c r="BF21" s="46">
        <v>1</v>
      </c>
      <c r="BL21" s="46">
        <v>1</v>
      </c>
      <c r="BY21" s="46">
        <v>1</v>
      </c>
      <c r="CB21" s="46">
        <v>1</v>
      </c>
      <c r="CG21" s="46">
        <v>1</v>
      </c>
      <c r="CR21" s="50">
        <v>46400</v>
      </c>
    </row>
    <row r="22" spans="1:96" ht="15.75" customHeight="1">
      <c r="A22" s="46" t="s">
        <v>177</v>
      </c>
      <c r="B22" s="46" t="s">
        <v>178</v>
      </c>
      <c r="C22" s="47">
        <v>28</v>
      </c>
      <c r="D22" s="46" t="s">
        <v>179</v>
      </c>
      <c r="E22" s="46" t="s">
        <v>180</v>
      </c>
      <c r="F22" s="46" t="s">
        <v>181</v>
      </c>
      <c r="G22" s="46">
        <v>1</v>
      </c>
      <c r="N22" s="46">
        <v>1</v>
      </c>
      <c r="Q22" s="46">
        <v>1</v>
      </c>
      <c r="T22" s="46">
        <v>1</v>
      </c>
      <c r="W22" s="46">
        <v>16</v>
      </c>
      <c r="X22" s="46">
        <v>17</v>
      </c>
      <c r="Y22" s="46">
        <v>17</v>
      </c>
      <c r="Z22" s="46">
        <v>6</v>
      </c>
      <c r="AA22" s="46">
        <v>6</v>
      </c>
      <c r="AB22" s="46">
        <v>6</v>
      </c>
      <c r="AD22" s="46">
        <v>1</v>
      </c>
      <c r="AE22" s="46">
        <v>1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A22" s="46" t="s">
        <v>182</v>
      </c>
      <c r="CB22" s="46">
        <v>1</v>
      </c>
      <c r="CG22" s="46">
        <v>1</v>
      </c>
      <c r="CR22" s="50">
        <v>46401</v>
      </c>
    </row>
    <row r="23" spans="1:96" ht="15.75" customHeight="1">
      <c r="A23" s="46" t="s">
        <v>183</v>
      </c>
      <c r="B23" s="46" t="s">
        <v>184</v>
      </c>
      <c r="C23" s="47">
        <v>27</v>
      </c>
      <c r="D23" s="46" t="s">
        <v>185</v>
      </c>
      <c r="E23" s="46" t="s">
        <v>186</v>
      </c>
      <c r="F23" s="46" t="s">
        <v>127</v>
      </c>
      <c r="H23" s="46">
        <v>1</v>
      </c>
      <c r="M23" s="46">
        <v>1</v>
      </c>
      <c r="Q23" s="46">
        <v>1</v>
      </c>
      <c r="T23" s="46">
        <v>1</v>
      </c>
      <c r="W23" s="46">
        <v>14</v>
      </c>
      <c r="X23" s="46">
        <v>14</v>
      </c>
      <c r="Y23" s="46">
        <v>14</v>
      </c>
      <c r="Z23" s="46">
        <v>6</v>
      </c>
      <c r="AA23" s="46">
        <v>5</v>
      </c>
      <c r="AB23" s="46">
        <v>5</v>
      </c>
      <c r="AD23" s="46">
        <v>1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Y23" s="46">
        <v>1</v>
      </c>
      <c r="CB23" s="46">
        <v>1</v>
      </c>
      <c r="CG23" s="52"/>
      <c r="CR23" s="50">
        <v>46402</v>
      </c>
    </row>
    <row r="24" spans="1:96" ht="15.75" customHeight="1">
      <c r="A24" s="46" t="s">
        <v>187</v>
      </c>
      <c r="B24" s="46" t="s">
        <v>188</v>
      </c>
      <c r="C24" s="47">
        <v>32</v>
      </c>
      <c r="D24" s="46" t="s">
        <v>189</v>
      </c>
      <c r="E24" s="46" t="s">
        <v>190</v>
      </c>
      <c r="F24" s="46" t="s">
        <v>122</v>
      </c>
      <c r="I24" s="46">
        <v>1</v>
      </c>
      <c r="L24" s="46">
        <v>1</v>
      </c>
      <c r="Q24" s="48"/>
      <c r="R24" s="48"/>
      <c r="T24" s="46">
        <v>1</v>
      </c>
      <c r="W24" s="46">
        <v>18</v>
      </c>
      <c r="X24" s="46">
        <v>26</v>
      </c>
      <c r="Y24" s="54" t="s">
        <v>191</v>
      </c>
      <c r="Z24" s="46">
        <v>0</v>
      </c>
      <c r="AA24" s="46">
        <v>0</v>
      </c>
      <c r="AB24" s="46">
        <v>0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Y24" s="46">
        <v>1</v>
      </c>
      <c r="CB24" s="46">
        <v>1</v>
      </c>
      <c r="CG24" s="46">
        <v>1</v>
      </c>
      <c r="CR24" s="50">
        <v>46403</v>
      </c>
    </row>
    <row r="25" spans="1:96" ht="15.75" customHeight="1">
      <c r="A25" s="46" t="s">
        <v>192</v>
      </c>
      <c r="B25" s="46" t="s">
        <v>193</v>
      </c>
      <c r="C25" s="47">
        <v>71</v>
      </c>
      <c r="D25" s="46" t="s">
        <v>194</v>
      </c>
      <c r="E25" s="46" t="s">
        <v>195</v>
      </c>
      <c r="F25" s="46" t="s">
        <v>107</v>
      </c>
      <c r="H25" s="46">
        <v>1</v>
      </c>
      <c r="M25" s="46">
        <v>1</v>
      </c>
      <c r="Q25" s="46">
        <v>1</v>
      </c>
      <c r="T25" s="46">
        <v>1</v>
      </c>
      <c r="W25" s="46">
        <v>13</v>
      </c>
      <c r="X25" s="46">
        <v>14</v>
      </c>
      <c r="Y25" s="46">
        <v>15</v>
      </c>
      <c r="Z25" s="46">
        <v>11</v>
      </c>
      <c r="AA25" s="46">
        <v>9</v>
      </c>
      <c r="AB25" s="46">
        <v>8</v>
      </c>
      <c r="AC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Y25" s="46">
        <v>1</v>
      </c>
      <c r="CB25" s="46">
        <v>1</v>
      </c>
      <c r="CG25" s="46">
        <v>1</v>
      </c>
      <c r="CR25" s="50">
        <v>46404</v>
      </c>
    </row>
    <row r="26" spans="1:96" ht="15.75" customHeight="1">
      <c r="A26" s="46" t="s">
        <v>196</v>
      </c>
      <c r="B26" s="46" t="s">
        <v>197</v>
      </c>
      <c r="C26" s="47">
        <v>30</v>
      </c>
      <c r="D26" s="46" t="s">
        <v>135</v>
      </c>
      <c r="E26" s="46" t="s">
        <v>191</v>
      </c>
      <c r="F26" s="46" t="s">
        <v>112</v>
      </c>
      <c r="I26" s="46">
        <v>1</v>
      </c>
      <c r="N26" s="46">
        <v>1</v>
      </c>
      <c r="Q26" s="46">
        <v>1</v>
      </c>
      <c r="T26" s="46">
        <v>1</v>
      </c>
      <c r="W26" s="46">
        <v>13</v>
      </c>
      <c r="X26" s="46">
        <v>17</v>
      </c>
      <c r="Y26" s="46">
        <v>18</v>
      </c>
      <c r="Z26" s="46">
        <v>11</v>
      </c>
      <c r="AA26" s="46">
        <v>10</v>
      </c>
      <c r="AB26" s="46">
        <v>6</v>
      </c>
      <c r="AD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Y26" s="46">
        <v>1</v>
      </c>
      <c r="CB26" s="46">
        <v>1</v>
      </c>
      <c r="CG26" s="46">
        <v>1</v>
      </c>
      <c r="CR26" s="50">
        <v>46405</v>
      </c>
    </row>
    <row r="27" spans="1:96" ht="15.75" customHeight="1">
      <c r="A27" s="46" t="s">
        <v>198</v>
      </c>
      <c r="B27" s="46" t="s">
        <v>199</v>
      </c>
      <c r="C27" s="47">
        <v>34</v>
      </c>
      <c r="D27" s="46" t="s">
        <v>179</v>
      </c>
      <c r="E27" s="46" t="s">
        <v>200</v>
      </c>
      <c r="F27" s="46" t="s">
        <v>201</v>
      </c>
      <c r="G27" s="46">
        <v>1</v>
      </c>
      <c r="N27" s="46">
        <v>1</v>
      </c>
      <c r="R27" s="46">
        <v>1</v>
      </c>
      <c r="T27" s="46">
        <v>1</v>
      </c>
      <c r="W27" s="46">
        <v>15</v>
      </c>
      <c r="X27" s="46">
        <v>15</v>
      </c>
      <c r="Y27" s="46">
        <v>16</v>
      </c>
      <c r="Z27" s="46">
        <v>6</v>
      </c>
      <c r="AA27" s="46">
        <v>6</v>
      </c>
      <c r="AB27" s="46">
        <v>6</v>
      </c>
      <c r="AD27" s="46">
        <v>1</v>
      </c>
      <c r="AE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Y27" s="46">
        <v>1</v>
      </c>
      <c r="CB27" s="46">
        <v>1</v>
      </c>
      <c r="CG27" s="46">
        <v>1</v>
      </c>
      <c r="CR27" s="50">
        <v>46406</v>
      </c>
    </row>
    <row r="28" spans="1:96" ht="15.75" customHeight="1">
      <c r="A28" s="46" t="s">
        <v>202</v>
      </c>
      <c r="B28" s="46" t="s">
        <v>203</v>
      </c>
      <c r="C28" s="47">
        <v>50</v>
      </c>
      <c r="D28" s="46" t="s">
        <v>179</v>
      </c>
      <c r="E28" s="46" t="s">
        <v>204</v>
      </c>
      <c r="F28" s="46" t="s">
        <v>112</v>
      </c>
      <c r="I28" s="46">
        <v>1</v>
      </c>
      <c r="M28" s="46">
        <v>1</v>
      </c>
      <c r="R28" s="46">
        <v>1</v>
      </c>
      <c r="T28" s="46">
        <v>1</v>
      </c>
      <c r="W28" s="46">
        <v>15</v>
      </c>
      <c r="X28" s="46">
        <v>16</v>
      </c>
      <c r="Y28" s="46">
        <v>17</v>
      </c>
      <c r="Z28" s="46">
        <v>8</v>
      </c>
      <c r="AA28" s="46">
        <v>5</v>
      </c>
      <c r="AB28" s="46">
        <v>4</v>
      </c>
      <c r="AE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Y28" s="46">
        <v>1</v>
      </c>
      <c r="CB28" s="46">
        <v>1</v>
      </c>
      <c r="CG28" s="46">
        <v>1</v>
      </c>
      <c r="CR28" s="50">
        <v>46407</v>
      </c>
    </row>
    <row r="29" spans="1:96" ht="15.75" customHeight="1">
      <c r="A29" s="46" t="s">
        <v>205</v>
      </c>
      <c r="B29" s="46" t="s">
        <v>206</v>
      </c>
      <c r="C29" s="47">
        <v>58</v>
      </c>
      <c r="D29" s="46" t="s">
        <v>135</v>
      </c>
      <c r="E29" s="46" t="s">
        <v>191</v>
      </c>
      <c r="F29" s="46" t="s">
        <v>122</v>
      </c>
      <c r="I29" s="46">
        <v>1</v>
      </c>
      <c r="O29" s="46">
        <v>1</v>
      </c>
      <c r="Q29" s="46">
        <v>1</v>
      </c>
      <c r="S29" s="46">
        <v>1</v>
      </c>
      <c r="W29" s="46">
        <v>16</v>
      </c>
      <c r="X29" s="46">
        <v>18</v>
      </c>
      <c r="Y29" s="46">
        <v>20</v>
      </c>
      <c r="Z29" s="46">
        <v>11</v>
      </c>
      <c r="AA29" s="46">
        <v>11</v>
      </c>
      <c r="AB29" s="46">
        <v>6</v>
      </c>
      <c r="AE29" s="46">
        <v>1</v>
      </c>
      <c r="AI29" s="46">
        <v>1</v>
      </c>
      <c r="AK29" s="46">
        <v>1</v>
      </c>
      <c r="AT29" s="46">
        <v>1</v>
      </c>
      <c r="AY29" s="46">
        <v>1</v>
      </c>
      <c r="BB29" s="46">
        <v>1</v>
      </c>
      <c r="BF29" s="46">
        <v>1</v>
      </c>
      <c r="BL29" s="46">
        <v>1</v>
      </c>
      <c r="BY29" s="46">
        <v>1</v>
      </c>
      <c r="CB29" s="46">
        <v>1</v>
      </c>
      <c r="CG29" s="46">
        <v>1</v>
      </c>
      <c r="CR29" s="50">
        <v>46408</v>
      </c>
    </row>
    <row r="30" spans="1:96" ht="15.75" customHeight="1">
      <c r="A30" s="46" t="s">
        <v>207</v>
      </c>
      <c r="B30" s="46" t="s">
        <v>208</v>
      </c>
      <c r="C30" s="47">
        <v>35</v>
      </c>
      <c r="D30" s="46" t="s">
        <v>209</v>
      </c>
      <c r="E30" s="46" t="s">
        <v>210</v>
      </c>
      <c r="F30" s="46" t="s">
        <v>112</v>
      </c>
      <c r="H30" s="46">
        <v>1</v>
      </c>
      <c r="M30" s="46">
        <v>1</v>
      </c>
      <c r="Q30" s="46">
        <v>1</v>
      </c>
      <c r="T30" s="46">
        <v>1</v>
      </c>
      <c r="W30" s="46">
        <v>15</v>
      </c>
      <c r="X30" s="46">
        <v>16</v>
      </c>
      <c r="Y30" s="46">
        <v>17</v>
      </c>
      <c r="Z30" s="46">
        <v>6</v>
      </c>
      <c r="AA30" s="46">
        <v>6</v>
      </c>
      <c r="AB30" s="46">
        <v>6</v>
      </c>
      <c r="AC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Y30" s="46">
        <v>1</v>
      </c>
      <c r="CB30" s="46">
        <v>1</v>
      </c>
      <c r="CG30" s="46">
        <v>1</v>
      </c>
      <c r="CR30" s="50">
        <v>46409</v>
      </c>
    </row>
    <row r="31" spans="1:96" ht="15.75" customHeight="1">
      <c r="A31" s="46" t="s">
        <v>211</v>
      </c>
      <c r="B31" s="46" t="s">
        <v>212</v>
      </c>
      <c r="C31" s="47">
        <v>40</v>
      </c>
      <c r="D31" s="46" t="s">
        <v>213</v>
      </c>
      <c r="E31" s="46" t="s">
        <v>214</v>
      </c>
      <c r="F31" s="46" t="s">
        <v>107</v>
      </c>
      <c r="I31" s="46">
        <v>1</v>
      </c>
      <c r="N31" s="46">
        <v>1</v>
      </c>
      <c r="R31" s="46">
        <v>1</v>
      </c>
      <c r="T31" s="46">
        <v>1</v>
      </c>
      <c r="W31" s="46">
        <v>14</v>
      </c>
      <c r="X31" s="46">
        <v>16</v>
      </c>
      <c r="Y31" s="46">
        <v>17</v>
      </c>
      <c r="Z31" s="46">
        <v>7</v>
      </c>
      <c r="AA31" s="46">
        <v>7</v>
      </c>
      <c r="AB31" s="46">
        <v>7</v>
      </c>
      <c r="AC31" s="46">
        <v>1</v>
      </c>
      <c r="AI31" s="46">
        <v>1</v>
      </c>
      <c r="AK31" s="46">
        <v>1</v>
      </c>
      <c r="AT31" s="46">
        <v>1</v>
      </c>
      <c r="AX31" s="46">
        <v>1</v>
      </c>
      <c r="BA31" s="46">
        <v>1</v>
      </c>
      <c r="BI31" s="46">
        <v>1</v>
      </c>
      <c r="BY31" s="46">
        <v>1</v>
      </c>
      <c r="CB31" s="46">
        <v>1</v>
      </c>
      <c r="CG31" s="46">
        <v>1</v>
      </c>
      <c r="CR31" s="50">
        <v>46410</v>
      </c>
    </row>
    <row r="32" spans="1:96" ht="15.75" customHeight="1">
      <c r="A32" s="46" t="s">
        <v>215</v>
      </c>
      <c r="B32" s="46" t="s">
        <v>216</v>
      </c>
      <c r="C32" s="47">
        <v>28</v>
      </c>
      <c r="D32" s="46" t="s">
        <v>143</v>
      </c>
      <c r="E32" s="46" t="s">
        <v>217</v>
      </c>
      <c r="F32" s="46" t="s">
        <v>218</v>
      </c>
      <c r="J32" s="46">
        <v>1</v>
      </c>
      <c r="N32" s="46">
        <v>1</v>
      </c>
      <c r="R32" s="46">
        <v>1</v>
      </c>
      <c r="U32" s="46">
        <v>1</v>
      </c>
      <c r="W32" s="46">
        <v>15</v>
      </c>
      <c r="X32" s="46">
        <v>18</v>
      </c>
      <c r="Y32" s="46">
        <v>22</v>
      </c>
      <c r="Z32" s="46">
        <v>4</v>
      </c>
      <c r="AA32" s="46">
        <v>4</v>
      </c>
      <c r="AB32" s="46">
        <v>2</v>
      </c>
      <c r="AE32" s="46">
        <v>1</v>
      </c>
      <c r="AG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V32" s="46">
        <v>1</v>
      </c>
      <c r="BY32" s="46">
        <v>1</v>
      </c>
      <c r="CB32" s="46">
        <v>1</v>
      </c>
      <c r="CG32" s="46">
        <v>1</v>
      </c>
      <c r="CR32" s="50">
        <v>46411</v>
      </c>
    </row>
    <row r="33" spans="1:96" ht="15.75" customHeight="1">
      <c r="A33" s="46" t="s">
        <v>219</v>
      </c>
      <c r="B33" s="46" t="s">
        <v>220</v>
      </c>
      <c r="C33" s="47">
        <v>32</v>
      </c>
      <c r="D33" s="46" t="s">
        <v>143</v>
      </c>
      <c r="E33" s="46" t="s">
        <v>221</v>
      </c>
      <c r="F33" s="46" t="s">
        <v>112</v>
      </c>
      <c r="J33" s="46">
        <v>1</v>
      </c>
      <c r="N33" s="46">
        <v>1</v>
      </c>
      <c r="Q33" s="46">
        <v>1</v>
      </c>
      <c r="U33" s="46">
        <v>1</v>
      </c>
      <c r="W33" s="46">
        <v>13</v>
      </c>
      <c r="X33" s="46">
        <v>25</v>
      </c>
      <c r="Y33" s="46">
        <v>28</v>
      </c>
      <c r="Z33" s="46">
        <v>2</v>
      </c>
      <c r="AA33" s="46">
        <v>2</v>
      </c>
      <c r="AB33" s="46">
        <v>2</v>
      </c>
      <c r="AD33" s="46">
        <v>1</v>
      </c>
      <c r="AG33" s="46">
        <v>1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Y33" s="46">
        <v>1</v>
      </c>
      <c r="CB33" s="46">
        <v>1</v>
      </c>
      <c r="CG33" s="46">
        <v>1</v>
      </c>
      <c r="CR33" s="50">
        <v>46412</v>
      </c>
    </row>
    <row r="34" spans="1:96" ht="15.75" customHeight="1">
      <c r="A34" s="46" t="s">
        <v>222</v>
      </c>
      <c r="B34" s="46" t="s">
        <v>223</v>
      </c>
      <c r="C34" s="47">
        <v>49</v>
      </c>
      <c r="D34" s="46" t="s">
        <v>224</v>
      </c>
      <c r="E34" s="46" t="s">
        <v>225</v>
      </c>
      <c r="F34" s="46" t="s">
        <v>122</v>
      </c>
      <c r="I34" s="46">
        <v>1</v>
      </c>
      <c r="M34" s="46">
        <v>1</v>
      </c>
      <c r="R34" s="46">
        <v>1</v>
      </c>
      <c r="U34" s="46">
        <v>1</v>
      </c>
      <c r="W34" s="46">
        <v>19</v>
      </c>
      <c r="X34" s="46">
        <v>25</v>
      </c>
      <c r="Y34" s="46">
        <v>25</v>
      </c>
      <c r="Z34" s="46">
        <v>9</v>
      </c>
      <c r="AA34" s="46">
        <v>9</v>
      </c>
      <c r="AB34" s="46">
        <v>8</v>
      </c>
      <c r="AE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Y34" s="46">
        <v>1</v>
      </c>
      <c r="CB34" s="46">
        <v>1</v>
      </c>
      <c r="CG34" s="46">
        <v>1</v>
      </c>
      <c r="CR34" s="50">
        <v>46413</v>
      </c>
    </row>
    <row r="35" spans="1:96" ht="15.75" customHeight="1">
      <c r="A35" s="46" t="s">
        <v>226</v>
      </c>
      <c r="B35" s="46" t="s">
        <v>227</v>
      </c>
      <c r="C35" s="47">
        <v>30</v>
      </c>
      <c r="D35" s="46" t="s">
        <v>213</v>
      </c>
      <c r="E35" s="46" t="s">
        <v>228</v>
      </c>
      <c r="F35" s="46" t="s">
        <v>127</v>
      </c>
      <c r="K35" s="46">
        <v>1</v>
      </c>
      <c r="M35" s="46">
        <v>1</v>
      </c>
      <c r="R35" s="46">
        <v>1</v>
      </c>
      <c r="T35" s="46">
        <v>1</v>
      </c>
      <c r="W35" s="46">
        <v>15</v>
      </c>
      <c r="X35" s="46">
        <v>16</v>
      </c>
      <c r="Y35" s="46">
        <v>17</v>
      </c>
      <c r="Z35" s="46">
        <v>9</v>
      </c>
      <c r="AA35" s="46">
        <v>9</v>
      </c>
      <c r="AB35" s="46">
        <v>9</v>
      </c>
      <c r="AD35" s="46">
        <v>1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Y35" s="46">
        <v>1</v>
      </c>
      <c r="CB35" s="46">
        <v>1</v>
      </c>
      <c r="CG35" s="46">
        <v>1</v>
      </c>
      <c r="CR35" s="50">
        <v>46414</v>
      </c>
    </row>
    <row r="36" spans="1:96" ht="15.75" customHeight="1">
      <c r="A36" s="46" t="s">
        <v>229</v>
      </c>
      <c r="B36" s="46" t="s">
        <v>230</v>
      </c>
      <c r="C36" s="47">
        <v>26</v>
      </c>
      <c r="D36" s="46" t="s">
        <v>135</v>
      </c>
      <c r="E36" s="46" t="s">
        <v>191</v>
      </c>
      <c r="F36" s="46" t="s">
        <v>107</v>
      </c>
      <c r="I36" s="46">
        <v>1</v>
      </c>
      <c r="M36" s="46">
        <v>1</v>
      </c>
      <c r="R36" s="46">
        <v>1</v>
      </c>
      <c r="T36" s="46">
        <v>1</v>
      </c>
      <c r="W36" s="46">
        <v>13</v>
      </c>
      <c r="X36" s="46">
        <v>17</v>
      </c>
      <c r="Y36" s="46">
        <v>17</v>
      </c>
      <c r="Z36" s="46">
        <v>6</v>
      </c>
      <c r="AA36" s="46">
        <v>3</v>
      </c>
      <c r="AB36" s="46">
        <v>3</v>
      </c>
      <c r="AE36" s="46">
        <v>1</v>
      </c>
      <c r="AG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V36" s="46">
        <v>1</v>
      </c>
      <c r="BY36" s="46">
        <v>1</v>
      </c>
      <c r="CB36" s="46">
        <v>1</v>
      </c>
      <c r="CG36" s="46">
        <v>1</v>
      </c>
      <c r="CR36" s="50">
        <v>46415</v>
      </c>
    </row>
    <row r="37" spans="1:96" ht="15.75" customHeight="1">
      <c r="A37" s="46" t="s">
        <v>231</v>
      </c>
      <c r="B37" s="46" t="s">
        <v>232</v>
      </c>
      <c r="C37" s="47">
        <v>20</v>
      </c>
      <c r="D37" s="46" t="s">
        <v>233</v>
      </c>
      <c r="E37" s="46" t="s">
        <v>234</v>
      </c>
      <c r="F37" s="46" t="s">
        <v>235</v>
      </c>
      <c r="I37" s="46">
        <v>1</v>
      </c>
      <c r="M37" s="46">
        <v>1</v>
      </c>
      <c r="R37" s="46">
        <v>1</v>
      </c>
      <c r="U37" s="46">
        <v>1</v>
      </c>
      <c r="W37" s="46">
        <v>18</v>
      </c>
      <c r="X37" s="46">
        <v>20</v>
      </c>
      <c r="Y37" s="46">
        <v>20</v>
      </c>
      <c r="Z37" s="46">
        <v>1</v>
      </c>
      <c r="AA37" s="46">
        <v>1</v>
      </c>
      <c r="AB37" s="46">
        <v>1</v>
      </c>
      <c r="AC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  <c r="CB37" s="46">
        <v>1</v>
      </c>
      <c r="CG37" s="46">
        <v>1</v>
      </c>
      <c r="CR37" s="50">
        <v>46416</v>
      </c>
    </row>
    <row r="38" spans="1:96" ht="15.75" customHeight="1">
      <c r="A38" s="46" t="s">
        <v>236</v>
      </c>
      <c r="B38" s="46" t="s">
        <v>237</v>
      </c>
      <c r="C38" s="47">
        <v>38</v>
      </c>
      <c r="D38" s="46" t="s">
        <v>135</v>
      </c>
      <c r="E38" s="46" t="s">
        <v>238</v>
      </c>
      <c r="F38" s="46" t="s">
        <v>107</v>
      </c>
      <c r="H38" s="46">
        <v>1</v>
      </c>
      <c r="M38" s="46">
        <v>1</v>
      </c>
      <c r="Q38" s="46">
        <v>1</v>
      </c>
      <c r="S38" s="46">
        <v>1</v>
      </c>
      <c r="W38" s="46">
        <v>15</v>
      </c>
      <c r="X38" s="46">
        <v>15</v>
      </c>
      <c r="Y38" s="46">
        <v>16</v>
      </c>
      <c r="Z38" s="46">
        <v>7</v>
      </c>
      <c r="AA38" s="46">
        <v>6</v>
      </c>
      <c r="AB38" s="46">
        <v>6</v>
      </c>
      <c r="AE38" s="46">
        <v>1</v>
      </c>
      <c r="AG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Y38" s="46">
        <v>1</v>
      </c>
      <c r="CB38" s="46">
        <v>1</v>
      </c>
      <c r="CG38" s="46">
        <v>1</v>
      </c>
      <c r="CR38" s="50">
        <v>46417</v>
      </c>
    </row>
    <row r="39" spans="1:96" ht="15.75" customHeight="1">
      <c r="A39" s="46" t="s">
        <v>239</v>
      </c>
      <c r="B39" s="46" t="s">
        <v>240</v>
      </c>
      <c r="C39" s="47">
        <v>46</v>
      </c>
      <c r="D39" s="46" t="s">
        <v>135</v>
      </c>
      <c r="E39" s="46" t="s">
        <v>241</v>
      </c>
      <c r="F39" s="46" t="s">
        <v>122</v>
      </c>
      <c r="H39" s="46">
        <v>1</v>
      </c>
      <c r="O39" s="46">
        <v>1</v>
      </c>
      <c r="R39" s="46">
        <v>1</v>
      </c>
      <c r="U39" s="46">
        <v>1</v>
      </c>
      <c r="W39" s="46">
        <v>15</v>
      </c>
      <c r="X39" s="46">
        <v>16</v>
      </c>
      <c r="Y39" s="46">
        <v>18</v>
      </c>
      <c r="Z39" s="46">
        <v>5</v>
      </c>
      <c r="AA39" s="46">
        <v>5</v>
      </c>
      <c r="AB39" s="46">
        <v>3</v>
      </c>
      <c r="AC39" s="46">
        <v>1</v>
      </c>
      <c r="AI39" s="46">
        <v>1</v>
      </c>
      <c r="AK39" s="46">
        <v>1</v>
      </c>
      <c r="AL39" s="46" t="s">
        <v>242</v>
      </c>
      <c r="AT39" s="46">
        <v>1</v>
      </c>
      <c r="AW39" s="46">
        <v>1</v>
      </c>
      <c r="BA39" s="46">
        <v>1</v>
      </c>
      <c r="BI39" s="46">
        <v>1</v>
      </c>
      <c r="BY39" s="46">
        <v>1</v>
      </c>
      <c r="CB39" s="46">
        <v>1</v>
      </c>
      <c r="CG39" s="46">
        <v>1</v>
      </c>
      <c r="CR39" s="50">
        <v>46418</v>
      </c>
    </row>
    <row r="40" spans="1:96" ht="15.75" customHeight="1">
      <c r="A40" s="46" t="s">
        <v>243</v>
      </c>
      <c r="B40" s="46" t="s">
        <v>244</v>
      </c>
      <c r="C40" s="47">
        <v>18</v>
      </c>
      <c r="D40" s="46" t="s">
        <v>135</v>
      </c>
      <c r="E40" s="46" t="s">
        <v>245</v>
      </c>
      <c r="F40" s="46" t="s">
        <v>246</v>
      </c>
      <c r="H40" s="46">
        <v>1</v>
      </c>
      <c r="N40" s="46">
        <v>1</v>
      </c>
      <c r="R40" s="46">
        <v>1</v>
      </c>
      <c r="T40" s="46">
        <v>1</v>
      </c>
      <c r="W40" s="46">
        <v>12</v>
      </c>
      <c r="X40" s="46">
        <v>18</v>
      </c>
      <c r="Y40" s="46" t="s">
        <v>191</v>
      </c>
      <c r="Z40" s="46">
        <v>0</v>
      </c>
      <c r="AA40" s="46">
        <v>0</v>
      </c>
      <c r="AB40" s="46">
        <v>0</v>
      </c>
      <c r="AD40" s="46">
        <v>1</v>
      </c>
      <c r="AG40" s="46">
        <v>1</v>
      </c>
      <c r="AH40" s="46">
        <v>1</v>
      </c>
      <c r="AI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Z40" s="46">
        <v>1</v>
      </c>
      <c r="CA40" s="46" t="s">
        <v>182</v>
      </c>
      <c r="CB40" s="46">
        <v>1</v>
      </c>
      <c r="CG40" s="46">
        <v>1</v>
      </c>
      <c r="CR40" s="50">
        <v>46419</v>
      </c>
    </row>
    <row r="41" spans="1:96" ht="15.75" customHeight="1">
      <c r="A41" s="46" t="s">
        <v>247</v>
      </c>
      <c r="B41" s="46" t="s">
        <v>248</v>
      </c>
      <c r="C41" s="47">
        <v>32</v>
      </c>
      <c r="D41" s="46" t="s">
        <v>249</v>
      </c>
      <c r="E41" s="46" t="s">
        <v>250</v>
      </c>
      <c r="F41" s="46" t="s">
        <v>122</v>
      </c>
      <c r="H41" s="46">
        <v>1</v>
      </c>
      <c r="O41" s="46">
        <v>1</v>
      </c>
      <c r="Q41" s="46">
        <v>1</v>
      </c>
      <c r="T41" s="46">
        <v>1</v>
      </c>
      <c r="W41" s="46">
        <v>12</v>
      </c>
      <c r="X41" s="46">
        <v>22</v>
      </c>
      <c r="Y41" s="46">
        <v>25</v>
      </c>
      <c r="Z41" s="46">
        <v>3</v>
      </c>
      <c r="AA41" s="46">
        <v>3</v>
      </c>
      <c r="AB41" s="46">
        <v>2</v>
      </c>
      <c r="AC41" s="46">
        <v>1</v>
      </c>
      <c r="AJ41" s="46">
        <v>1</v>
      </c>
      <c r="AL41" s="46">
        <v>1</v>
      </c>
      <c r="AO41" s="46">
        <v>1</v>
      </c>
      <c r="AQ41" s="46" t="s">
        <v>251</v>
      </c>
      <c r="AR41" s="46" t="s">
        <v>252</v>
      </c>
      <c r="AT41" s="46">
        <v>1</v>
      </c>
      <c r="AW41" s="46">
        <v>1</v>
      </c>
      <c r="BB41" s="46">
        <v>1</v>
      </c>
      <c r="BF41" s="46">
        <v>1</v>
      </c>
      <c r="BI41" s="46">
        <v>1</v>
      </c>
      <c r="BY41" s="46">
        <v>1</v>
      </c>
      <c r="CB41" s="46">
        <v>1</v>
      </c>
      <c r="CG41" s="52"/>
      <c r="CR41" s="50">
        <v>46420</v>
      </c>
    </row>
    <row r="42" spans="1:96" ht="15.75" customHeight="1">
      <c r="A42" s="46" t="s">
        <v>253</v>
      </c>
      <c r="B42" s="46" t="s">
        <v>254</v>
      </c>
      <c r="C42" s="47">
        <v>20</v>
      </c>
      <c r="D42" s="46" t="s">
        <v>139</v>
      </c>
      <c r="E42" s="46" t="s">
        <v>255</v>
      </c>
      <c r="F42" s="46" t="s">
        <v>112</v>
      </c>
      <c r="H42" s="46">
        <v>1</v>
      </c>
      <c r="N42" s="46">
        <v>1</v>
      </c>
      <c r="Q42" s="46">
        <v>1</v>
      </c>
      <c r="U42" s="46">
        <v>1</v>
      </c>
      <c r="W42" s="46">
        <v>14</v>
      </c>
      <c r="X42" s="46">
        <v>17</v>
      </c>
      <c r="Y42" s="46">
        <v>18</v>
      </c>
      <c r="Z42" s="46">
        <v>1</v>
      </c>
      <c r="AA42" s="46">
        <v>1</v>
      </c>
      <c r="AB42" s="46">
        <v>1</v>
      </c>
      <c r="AD42" s="46">
        <v>1</v>
      </c>
      <c r="AE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>
        <v>1</v>
      </c>
      <c r="BY42" s="46">
        <v>1</v>
      </c>
      <c r="CB42" s="46">
        <v>1</v>
      </c>
      <c r="CG42" s="46">
        <v>1</v>
      </c>
      <c r="CR42" s="50">
        <v>46421</v>
      </c>
    </row>
    <row r="43" spans="1:96" ht="15.75" customHeight="1">
      <c r="A43" s="46" t="s">
        <v>256</v>
      </c>
      <c r="B43" s="46" t="s">
        <v>257</v>
      </c>
      <c r="C43" s="47">
        <v>24</v>
      </c>
      <c r="D43" s="46" t="s">
        <v>135</v>
      </c>
      <c r="E43" s="46" t="s">
        <v>258</v>
      </c>
      <c r="F43" s="46" t="s">
        <v>112</v>
      </c>
      <c r="H43" s="46">
        <v>1</v>
      </c>
      <c r="N43" s="46">
        <v>1</v>
      </c>
      <c r="Q43" s="46">
        <v>1</v>
      </c>
      <c r="T43" s="46">
        <v>1</v>
      </c>
      <c r="W43" s="46">
        <v>16</v>
      </c>
      <c r="X43" s="46">
        <v>16</v>
      </c>
      <c r="Y43" s="46">
        <v>19</v>
      </c>
      <c r="Z43" s="46">
        <v>2</v>
      </c>
      <c r="AA43" s="46">
        <v>2</v>
      </c>
      <c r="AB43" s="46">
        <v>2</v>
      </c>
      <c r="AD43" s="46">
        <v>1</v>
      </c>
      <c r="AE43" s="46">
        <v>1</v>
      </c>
      <c r="AG43" s="46">
        <v>1</v>
      </c>
      <c r="AH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Y43" s="46">
        <v>1</v>
      </c>
      <c r="CB43" s="46">
        <v>1</v>
      </c>
      <c r="CG43" s="46">
        <v>1</v>
      </c>
      <c r="CR43" s="50">
        <v>46422</v>
      </c>
    </row>
    <row r="44" spans="1:96" ht="15.75" customHeight="1">
      <c r="A44" s="46" t="s">
        <v>259</v>
      </c>
      <c r="B44" s="46" t="s">
        <v>260</v>
      </c>
      <c r="C44" s="47">
        <v>39</v>
      </c>
      <c r="D44" s="46" t="s">
        <v>213</v>
      </c>
      <c r="E44" s="46" t="s">
        <v>261</v>
      </c>
      <c r="F44" s="46" t="s">
        <v>107</v>
      </c>
      <c r="J44" s="46">
        <v>1</v>
      </c>
      <c r="O44" s="46">
        <v>1</v>
      </c>
      <c r="Q44" s="46">
        <v>1</v>
      </c>
      <c r="U44" s="46">
        <v>1</v>
      </c>
      <c r="W44" s="46">
        <v>13</v>
      </c>
      <c r="X44" s="46">
        <v>14</v>
      </c>
      <c r="Y44" s="46">
        <v>15</v>
      </c>
      <c r="Z44" s="46">
        <v>7</v>
      </c>
      <c r="AA44" s="46">
        <v>6</v>
      </c>
      <c r="AB44" s="46">
        <v>4</v>
      </c>
      <c r="AE44" s="46">
        <v>1</v>
      </c>
      <c r="AG44" s="46">
        <v>1</v>
      </c>
      <c r="AI44" s="46">
        <v>1</v>
      </c>
      <c r="AK44" s="46">
        <v>1</v>
      </c>
      <c r="AT44" s="46">
        <v>1</v>
      </c>
      <c r="AZ44" s="46">
        <v>1</v>
      </c>
      <c r="BA44" s="46">
        <v>1</v>
      </c>
      <c r="BI44" s="46">
        <v>1</v>
      </c>
      <c r="BV44" s="46">
        <v>1</v>
      </c>
      <c r="BY44" s="46">
        <v>1</v>
      </c>
      <c r="CB44" s="46">
        <v>1</v>
      </c>
      <c r="CG44" s="46">
        <v>1</v>
      </c>
      <c r="CR44" s="50">
        <v>46423</v>
      </c>
    </row>
    <row r="45" spans="1:96" ht="15.75" customHeight="1">
      <c r="A45" s="46" t="s">
        <v>262</v>
      </c>
      <c r="B45" s="46" t="s">
        <v>263</v>
      </c>
      <c r="C45" s="47">
        <v>54</v>
      </c>
      <c r="D45" s="46" t="s">
        <v>143</v>
      </c>
      <c r="E45" s="46" t="s">
        <v>264</v>
      </c>
      <c r="F45" s="46" t="s">
        <v>107</v>
      </c>
      <c r="I45" s="46">
        <v>1</v>
      </c>
      <c r="O45" s="46">
        <v>1</v>
      </c>
      <c r="R45" s="46">
        <v>1</v>
      </c>
      <c r="T45" s="46">
        <v>1</v>
      </c>
      <c r="W45" s="46">
        <v>13</v>
      </c>
      <c r="X45" s="46">
        <v>15</v>
      </c>
      <c r="Y45" s="46">
        <v>16</v>
      </c>
      <c r="Z45" s="46">
        <v>10</v>
      </c>
      <c r="AA45" s="46">
        <v>6</v>
      </c>
      <c r="AB45" s="46">
        <v>6</v>
      </c>
      <c r="AC45" s="46">
        <v>1</v>
      </c>
      <c r="AI45" s="46">
        <v>1</v>
      </c>
      <c r="AK45" s="46">
        <v>1</v>
      </c>
      <c r="AT45" s="46">
        <v>1</v>
      </c>
      <c r="AX45" s="46">
        <v>1</v>
      </c>
      <c r="BA45" s="46">
        <v>1</v>
      </c>
      <c r="BI45" s="46">
        <v>1</v>
      </c>
      <c r="BY45" s="46">
        <v>1</v>
      </c>
      <c r="CB45" s="46">
        <v>1</v>
      </c>
      <c r="CG45" s="46">
        <v>1</v>
      </c>
      <c r="CR45" s="50">
        <v>46424</v>
      </c>
    </row>
    <row r="46" spans="1:96" ht="15.75" customHeight="1">
      <c r="A46" s="55" t="s">
        <v>265</v>
      </c>
      <c r="B46" s="55" t="s">
        <v>266</v>
      </c>
      <c r="C46" s="56">
        <v>47</v>
      </c>
      <c r="D46" s="55" t="s">
        <v>213</v>
      </c>
      <c r="E46" s="55" t="s">
        <v>267</v>
      </c>
      <c r="F46" s="55" t="s">
        <v>173</v>
      </c>
      <c r="G46" s="55">
        <v>1</v>
      </c>
      <c r="H46" s="57"/>
      <c r="I46" s="57"/>
      <c r="J46" s="57"/>
      <c r="K46" s="57"/>
      <c r="L46" s="57"/>
      <c r="M46" s="57"/>
      <c r="N46" s="55">
        <v>1</v>
      </c>
      <c r="O46" s="57"/>
      <c r="P46" s="57"/>
      <c r="Q46" s="57"/>
      <c r="R46" s="55">
        <v>1</v>
      </c>
      <c r="S46" s="55">
        <v>1</v>
      </c>
      <c r="T46" s="57"/>
      <c r="U46" s="57"/>
      <c r="V46" s="57"/>
      <c r="W46" s="55">
        <v>17</v>
      </c>
      <c r="X46" s="55">
        <v>17</v>
      </c>
      <c r="Y46" s="55">
        <v>18</v>
      </c>
      <c r="Z46" s="55">
        <v>14</v>
      </c>
      <c r="AA46" s="55">
        <v>7</v>
      </c>
      <c r="AB46" s="55">
        <v>7</v>
      </c>
      <c r="AC46" s="57"/>
      <c r="AD46" s="57"/>
      <c r="AE46" s="57"/>
      <c r="AF46" s="57"/>
      <c r="AG46" s="55">
        <v>1</v>
      </c>
      <c r="AH46" s="55">
        <v>1</v>
      </c>
      <c r="AI46" s="55">
        <v>1</v>
      </c>
      <c r="AJ46" s="57"/>
      <c r="AK46" s="55">
        <v>1</v>
      </c>
      <c r="AL46" s="57"/>
      <c r="AM46" s="57"/>
      <c r="AN46" s="57"/>
      <c r="AO46" s="57"/>
      <c r="AP46" s="57"/>
      <c r="AQ46" s="57"/>
      <c r="AR46" s="57"/>
      <c r="AS46" s="57"/>
      <c r="AT46" s="55">
        <v>1</v>
      </c>
      <c r="AU46" s="57"/>
      <c r="AV46" s="57"/>
      <c r="AW46" s="57"/>
      <c r="AX46" s="55">
        <v>1</v>
      </c>
      <c r="AY46" s="57"/>
      <c r="AZ46" s="57"/>
      <c r="BA46" s="55">
        <v>1</v>
      </c>
      <c r="BB46" s="57"/>
      <c r="BC46" s="57"/>
      <c r="BD46" s="57"/>
      <c r="BE46" s="57"/>
      <c r="BF46" s="57"/>
      <c r="BG46" s="57"/>
      <c r="BH46" s="57"/>
      <c r="BI46" s="55">
        <v>1</v>
      </c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5">
        <v>1</v>
      </c>
      <c r="BZ46" s="57"/>
      <c r="CA46" s="57"/>
      <c r="CB46" s="55">
        <v>1</v>
      </c>
      <c r="CC46" s="57"/>
      <c r="CD46" s="57"/>
      <c r="CE46" s="57"/>
      <c r="CF46" s="57"/>
      <c r="CG46" s="55">
        <v>1</v>
      </c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8">
        <v>46425</v>
      </c>
    </row>
    <row r="47" spans="1:96" ht="15.75" customHeight="1">
      <c r="A47" s="46" t="s">
        <v>268</v>
      </c>
      <c r="B47" s="46" t="s">
        <v>269</v>
      </c>
      <c r="C47" s="47">
        <v>25</v>
      </c>
      <c r="D47" s="46" t="s">
        <v>270</v>
      </c>
      <c r="E47" s="46" t="s">
        <v>191</v>
      </c>
      <c r="F47" s="46" t="s">
        <v>112</v>
      </c>
      <c r="J47" s="46">
        <v>1</v>
      </c>
      <c r="N47" s="46">
        <v>1</v>
      </c>
      <c r="Q47" s="46">
        <v>1</v>
      </c>
      <c r="T47" s="46">
        <v>1</v>
      </c>
      <c r="W47" s="46">
        <v>13</v>
      </c>
      <c r="X47" s="46">
        <v>14</v>
      </c>
      <c r="Y47" s="46" t="s">
        <v>191</v>
      </c>
      <c r="Z47" s="46">
        <v>0</v>
      </c>
      <c r="AA47" s="46">
        <v>0</v>
      </c>
      <c r="AB47" s="46">
        <v>0</v>
      </c>
      <c r="AD47" s="46">
        <v>1</v>
      </c>
      <c r="AE47" s="46">
        <v>1</v>
      </c>
      <c r="AH47" s="46">
        <v>1</v>
      </c>
      <c r="AI47" s="46">
        <v>1</v>
      </c>
      <c r="AM47" s="46">
        <v>1</v>
      </c>
      <c r="AT47" s="46">
        <v>1</v>
      </c>
      <c r="AW47" s="46">
        <v>1</v>
      </c>
      <c r="BA47" s="46">
        <v>1</v>
      </c>
      <c r="BI47" s="46">
        <v>1</v>
      </c>
      <c r="BY47" s="46">
        <v>1</v>
      </c>
      <c r="CB47" s="46">
        <v>1</v>
      </c>
      <c r="CG47" s="46">
        <v>1</v>
      </c>
      <c r="CR47" s="50">
        <v>46426</v>
      </c>
    </row>
    <row r="48" spans="1:96" ht="15.75" customHeight="1">
      <c r="A48" s="46" t="s">
        <v>271</v>
      </c>
      <c r="B48" s="46" t="s">
        <v>272</v>
      </c>
      <c r="C48" s="47">
        <v>48</v>
      </c>
      <c r="D48" s="46" t="s">
        <v>273</v>
      </c>
      <c r="E48" s="46" t="s">
        <v>191</v>
      </c>
      <c r="F48" s="46" t="s">
        <v>274</v>
      </c>
      <c r="I48" s="46">
        <v>1</v>
      </c>
      <c r="M48" s="46">
        <v>1</v>
      </c>
      <c r="Q48" s="46">
        <v>1</v>
      </c>
      <c r="T48" s="46">
        <v>1</v>
      </c>
      <c r="W48" s="46">
        <v>14</v>
      </c>
      <c r="X48" s="46">
        <v>16</v>
      </c>
      <c r="Y48" s="46">
        <v>16</v>
      </c>
      <c r="Z48" s="46">
        <v>8</v>
      </c>
      <c r="AA48" s="46">
        <v>8</v>
      </c>
      <c r="AB48" s="46">
        <v>5</v>
      </c>
      <c r="AH48" s="46">
        <v>1</v>
      </c>
      <c r="AI48" s="46">
        <v>1</v>
      </c>
      <c r="AL48" s="46">
        <v>1</v>
      </c>
      <c r="AO48" s="46">
        <v>1</v>
      </c>
      <c r="AQ48" s="46" t="s">
        <v>251</v>
      </c>
      <c r="AR48" s="46" t="s">
        <v>275</v>
      </c>
      <c r="AT48" s="46">
        <v>1</v>
      </c>
      <c r="AX48" s="46">
        <v>1</v>
      </c>
      <c r="BA48" s="46">
        <v>1</v>
      </c>
      <c r="BI48" s="46">
        <v>1</v>
      </c>
      <c r="BY48" s="46">
        <v>1</v>
      </c>
      <c r="CB48" s="46">
        <v>1</v>
      </c>
      <c r="CG48" s="46">
        <v>1</v>
      </c>
      <c r="CR48" s="50">
        <v>46427</v>
      </c>
    </row>
    <row r="49" spans="1:96" ht="15.75" customHeight="1">
      <c r="A49" s="46" t="s">
        <v>276</v>
      </c>
      <c r="B49" s="46" t="s">
        <v>277</v>
      </c>
      <c r="C49" s="47">
        <v>30</v>
      </c>
      <c r="D49" s="46" t="s">
        <v>278</v>
      </c>
      <c r="E49" s="46" t="s">
        <v>279</v>
      </c>
      <c r="F49" s="46" t="s">
        <v>112</v>
      </c>
      <c r="J49" s="46">
        <v>1</v>
      </c>
      <c r="M49" s="46">
        <v>1</v>
      </c>
      <c r="Q49" s="46">
        <v>1</v>
      </c>
      <c r="U49" s="46">
        <v>1</v>
      </c>
      <c r="W49" s="46">
        <v>19</v>
      </c>
      <c r="X49" s="46">
        <v>21</v>
      </c>
      <c r="Y49" s="46">
        <v>21</v>
      </c>
      <c r="Z49" s="46">
        <v>2</v>
      </c>
      <c r="AA49" s="46">
        <v>2</v>
      </c>
      <c r="AB49" s="46">
        <v>2</v>
      </c>
      <c r="AE49" s="46">
        <v>1</v>
      </c>
      <c r="AF49" s="46">
        <v>1</v>
      </c>
      <c r="AH49" s="46">
        <v>1</v>
      </c>
      <c r="AJ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Y49" s="46">
        <v>1</v>
      </c>
      <c r="CB49" s="46">
        <v>1</v>
      </c>
      <c r="CG49" s="46">
        <v>1</v>
      </c>
      <c r="CR49" s="50">
        <v>46428</v>
      </c>
    </row>
    <row r="50" spans="1:96" ht="15.75" customHeight="1">
      <c r="A50" s="46" t="s">
        <v>280</v>
      </c>
      <c r="B50" s="46" t="s">
        <v>281</v>
      </c>
      <c r="C50" s="47">
        <v>20</v>
      </c>
      <c r="D50" s="46" t="s">
        <v>194</v>
      </c>
      <c r="E50" s="46" t="s">
        <v>282</v>
      </c>
      <c r="F50" s="46" t="s">
        <v>107</v>
      </c>
      <c r="I50" s="46">
        <v>1</v>
      </c>
      <c r="L50" s="46">
        <v>1</v>
      </c>
      <c r="Q50" s="48"/>
      <c r="R50" s="48"/>
      <c r="T50" s="46">
        <v>1</v>
      </c>
      <c r="W50" s="46">
        <v>16</v>
      </c>
      <c r="X50" s="46">
        <v>16</v>
      </c>
      <c r="Y50" s="46">
        <v>18</v>
      </c>
      <c r="Z50" s="46">
        <v>1</v>
      </c>
      <c r="AA50" s="46">
        <v>1</v>
      </c>
      <c r="AB50" s="46">
        <v>1</v>
      </c>
      <c r="AE50" s="46">
        <v>1</v>
      </c>
      <c r="AH50" s="46">
        <v>1</v>
      </c>
      <c r="AJ50" s="46">
        <v>1</v>
      </c>
      <c r="AK50" s="46">
        <v>1</v>
      </c>
      <c r="AT50" s="46">
        <v>1</v>
      </c>
      <c r="AW50" s="46">
        <v>1</v>
      </c>
      <c r="BA50" s="46">
        <v>1</v>
      </c>
      <c r="BI50" s="46">
        <v>1</v>
      </c>
      <c r="BY50" s="46">
        <v>1</v>
      </c>
      <c r="CB50" s="46">
        <v>1</v>
      </c>
      <c r="CG50" s="46">
        <v>1</v>
      </c>
      <c r="CR50" s="50">
        <v>46429</v>
      </c>
    </row>
    <row r="51" spans="1:96" ht="15.75" customHeight="1">
      <c r="A51" s="46" t="s">
        <v>283</v>
      </c>
      <c r="B51" s="46" t="s">
        <v>284</v>
      </c>
      <c r="C51" s="47">
        <v>23</v>
      </c>
      <c r="D51" s="46" t="s">
        <v>249</v>
      </c>
      <c r="E51" s="46" t="s">
        <v>285</v>
      </c>
      <c r="F51" s="46" t="s">
        <v>122</v>
      </c>
      <c r="K51" s="46">
        <v>1</v>
      </c>
      <c r="M51" s="46">
        <v>1</v>
      </c>
      <c r="R51" s="46">
        <v>1</v>
      </c>
      <c r="T51" s="46">
        <v>1</v>
      </c>
      <c r="W51" s="46">
        <v>16</v>
      </c>
      <c r="X51" s="46">
        <v>18</v>
      </c>
      <c r="Y51" s="46">
        <v>18</v>
      </c>
      <c r="Z51" s="46">
        <v>4</v>
      </c>
      <c r="AA51" s="46">
        <v>3</v>
      </c>
      <c r="AB51" s="46">
        <v>3</v>
      </c>
      <c r="AD51" s="46">
        <v>1</v>
      </c>
      <c r="AE51" s="46">
        <v>1</v>
      </c>
      <c r="AH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V51" s="46">
        <v>1</v>
      </c>
      <c r="BY51" s="46">
        <v>1</v>
      </c>
      <c r="CB51" s="46">
        <v>1</v>
      </c>
      <c r="CG51" s="46">
        <v>1</v>
      </c>
      <c r="CR51" s="50">
        <v>46430</v>
      </c>
    </row>
    <row r="52" spans="1:96" ht="15.75" customHeight="1">
      <c r="A52" s="46" t="s">
        <v>286</v>
      </c>
      <c r="B52" s="46" t="s">
        <v>287</v>
      </c>
      <c r="C52" s="47">
        <v>80</v>
      </c>
      <c r="D52" s="46" t="s">
        <v>288</v>
      </c>
      <c r="E52" s="46" t="s">
        <v>191</v>
      </c>
      <c r="F52" s="46" t="s">
        <v>107</v>
      </c>
      <c r="H52" s="46">
        <v>1</v>
      </c>
      <c r="P52" s="46">
        <v>1</v>
      </c>
      <c r="Q52" s="46">
        <v>1</v>
      </c>
      <c r="S52" s="46">
        <v>1</v>
      </c>
      <c r="W52" s="46">
        <v>14</v>
      </c>
      <c r="X52" s="46">
        <v>14</v>
      </c>
      <c r="Y52" s="46">
        <v>14</v>
      </c>
      <c r="Z52" s="46">
        <v>13</v>
      </c>
      <c r="AA52" s="46">
        <v>12</v>
      </c>
      <c r="AB52" s="46">
        <v>7</v>
      </c>
      <c r="AD52" s="46">
        <v>1</v>
      </c>
      <c r="AE52" s="46">
        <v>1</v>
      </c>
      <c r="AH52" s="46">
        <v>1</v>
      </c>
      <c r="AI52" s="48"/>
      <c r="AJ52" s="48"/>
      <c r="AM52" s="46">
        <v>1</v>
      </c>
      <c r="AT52" s="46">
        <v>1</v>
      </c>
      <c r="AW52" s="46">
        <v>1</v>
      </c>
      <c r="BA52" s="46">
        <v>1</v>
      </c>
      <c r="BI52" s="46">
        <v>1</v>
      </c>
      <c r="BV52" s="46">
        <v>1</v>
      </c>
      <c r="BY52" s="46">
        <v>1</v>
      </c>
      <c r="CB52" s="46">
        <v>1</v>
      </c>
      <c r="CG52" s="46">
        <v>1</v>
      </c>
      <c r="CR52" s="50">
        <v>46431</v>
      </c>
    </row>
    <row r="53" spans="1:96" ht="15.75" customHeight="1">
      <c r="A53" s="46" t="s">
        <v>289</v>
      </c>
      <c r="B53" s="46" t="s">
        <v>290</v>
      </c>
      <c r="C53" s="47">
        <v>32</v>
      </c>
      <c r="D53" s="46" t="s">
        <v>143</v>
      </c>
      <c r="E53" s="46" t="s">
        <v>291</v>
      </c>
      <c r="F53" s="46" t="s">
        <v>112</v>
      </c>
      <c r="H53" s="46">
        <v>1</v>
      </c>
      <c r="N53" s="46">
        <v>1</v>
      </c>
      <c r="Q53" s="46">
        <v>1</v>
      </c>
      <c r="U53" s="46">
        <v>1</v>
      </c>
      <c r="W53" s="46">
        <v>13</v>
      </c>
      <c r="X53" s="46">
        <v>17</v>
      </c>
      <c r="Y53" s="46">
        <v>18</v>
      </c>
      <c r="Z53" s="46">
        <v>5</v>
      </c>
      <c r="AA53" s="46">
        <v>5</v>
      </c>
      <c r="AB53" s="46">
        <v>4</v>
      </c>
      <c r="AD53" s="46">
        <v>1</v>
      </c>
      <c r="AG53" s="46">
        <v>1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Y53" s="46">
        <v>1</v>
      </c>
      <c r="CB53" s="46">
        <v>1</v>
      </c>
      <c r="CG53" s="46">
        <v>1</v>
      </c>
      <c r="CR53" s="50">
        <v>46432</v>
      </c>
    </row>
    <row r="54" spans="1:96" ht="15.75" customHeight="1">
      <c r="A54" s="46" t="s">
        <v>292</v>
      </c>
      <c r="B54" s="46" t="s">
        <v>293</v>
      </c>
      <c r="C54" s="47">
        <v>42</v>
      </c>
      <c r="D54" s="46" t="s">
        <v>213</v>
      </c>
      <c r="E54" s="46" t="s">
        <v>294</v>
      </c>
      <c r="F54" s="46" t="s">
        <v>162</v>
      </c>
      <c r="J54" s="46">
        <v>1</v>
      </c>
      <c r="O54" s="46">
        <v>1</v>
      </c>
      <c r="Q54" s="46">
        <v>1</v>
      </c>
      <c r="T54" s="46">
        <v>1</v>
      </c>
      <c r="W54" s="46">
        <v>13</v>
      </c>
      <c r="X54" s="46">
        <v>16</v>
      </c>
      <c r="Y54" s="46">
        <v>16</v>
      </c>
      <c r="Z54" s="46">
        <v>5</v>
      </c>
      <c r="AA54" s="46">
        <v>4</v>
      </c>
      <c r="AB54" s="46">
        <v>3</v>
      </c>
      <c r="AE54" s="46">
        <v>1</v>
      </c>
      <c r="AI54" s="46">
        <v>1</v>
      </c>
      <c r="AL54" s="46">
        <v>1</v>
      </c>
      <c r="AO54" s="46">
        <v>1</v>
      </c>
      <c r="AS54" s="46">
        <v>1</v>
      </c>
      <c r="AT54" s="46">
        <v>1</v>
      </c>
      <c r="AW54" s="46">
        <v>1</v>
      </c>
      <c r="BA54" s="46">
        <v>1</v>
      </c>
      <c r="BI54" s="46">
        <v>1</v>
      </c>
      <c r="BY54" s="46">
        <v>1</v>
      </c>
      <c r="CB54" s="46">
        <v>1</v>
      </c>
      <c r="CG54" s="46">
        <v>1</v>
      </c>
      <c r="CR54" s="50">
        <v>46433</v>
      </c>
    </row>
    <row r="55" spans="1:96" ht="15.75" customHeight="1">
      <c r="A55" s="46" t="s">
        <v>295</v>
      </c>
      <c r="B55" s="46" t="s">
        <v>296</v>
      </c>
      <c r="C55" s="47">
        <v>50</v>
      </c>
      <c r="D55" s="46" t="s">
        <v>185</v>
      </c>
      <c r="E55" s="46" t="s">
        <v>297</v>
      </c>
      <c r="F55" s="46" t="s">
        <v>127</v>
      </c>
      <c r="J55" s="46">
        <v>1</v>
      </c>
      <c r="M55" s="46">
        <v>1</v>
      </c>
      <c r="Q55" s="46">
        <v>1</v>
      </c>
      <c r="V55" s="46">
        <v>1</v>
      </c>
      <c r="W55" s="46">
        <v>13</v>
      </c>
      <c r="X55" s="46">
        <v>34</v>
      </c>
      <c r="Y55" s="46">
        <v>35</v>
      </c>
      <c r="Z55" s="46">
        <v>3</v>
      </c>
      <c r="AA55" s="46">
        <v>2</v>
      </c>
      <c r="AB55" s="46">
        <v>2</v>
      </c>
      <c r="AH55" s="46">
        <v>1</v>
      </c>
      <c r="AI55" s="48"/>
      <c r="AJ55" s="48"/>
      <c r="AK55" s="46">
        <v>1</v>
      </c>
      <c r="AT55" s="46">
        <v>1</v>
      </c>
      <c r="AW55" s="46">
        <v>1</v>
      </c>
      <c r="BB55" s="46">
        <v>1</v>
      </c>
      <c r="BF55" s="46">
        <v>1</v>
      </c>
      <c r="BI55" s="46">
        <v>1</v>
      </c>
      <c r="BY55" s="46">
        <v>1</v>
      </c>
      <c r="CB55" s="46">
        <v>1</v>
      </c>
      <c r="CG55" s="46">
        <v>1</v>
      </c>
      <c r="CR55" s="50">
        <v>46434</v>
      </c>
    </row>
    <row r="56" spans="1:96" ht="15.75" customHeight="1">
      <c r="A56" s="46" t="s">
        <v>298</v>
      </c>
      <c r="B56" s="46" t="s">
        <v>299</v>
      </c>
      <c r="C56" s="47">
        <v>50</v>
      </c>
      <c r="D56" s="46" t="s">
        <v>300</v>
      </c>
      <c r="E56" s="46" t="s">
        <v>301</v>
      </c>
      <c r="F56" s="46" t="s">
        <v>107</v>
      </c>
      <c r="H56" s="46">
        <v>1</v>
      </c>
      <c r="P56" s="46">
        <v>1</v>
      </c>
      <c r="R56" s="46">
        <v>1</v>
      </c>
      <c r="U56" s="46">
        <v>1</v>
      </c>
      <c r="W56" s="46">
        <v>13</v>
      </c>
      <c r="X56" s="46">
        <v>16</v>
      </c>
      <c r="Y56" s="46">
        <v>17</v>
      </c>
      <c r="Z56" s="46">
        <v>8</v>
      </c>
      <c r="AA56" s="46">
        <v>8</v>
      </c>
      <c r="AB56" s="46">
        <v>5</v>
      </c>
      <c r="AI56" s="46">
        <v>1</v>
      </c>
      <c r="AL56" s="46">
        <v>1</v>
      </c>
      <c r="AP56" s="46">
        <v>1</v>
      </c>
      <c r="AS56" s="46">
        <v>1</v>
      </c>
      <c r="AT56" s="46">
        <v>1</v>
      </c>
      <c r="AW56" s="46">
        <v>1</v>
      </c>
      <c r="BB56" s="46">
        <v>1</v>
      </c>
      <c r="BF56" s="46">
        <v>1</v>
      </c>
      <c r="BJ56" s="46">
        <v>1</v>
      </c>
      <c r="BR56" s="46">
        <v>1</v>
      </c>
      <c r="BW56" s="46">
        <v>1</v>
      </c>
      <c r="BY56" s="46">
        <v>1</v>
      </c>
      <c r="CB56" s="46">
        <v>1</v>
      </c>
      <c r="CG56" s="46">
        <v>1</v>
      </c>
      <c r="CR56" s="46" t="s">
        <v>158</v>
      </c>
    </row>
    <row r="57" spans="1:96" ht="15.75" customHeight="1">
      <c r="A57" s="46" t="s">
        <v>302</v>
      </c>
      <c r="B57" s="46" t="s">
        <v>303</v>
      </c>
      <c r="C57" s="47">
        <v>59</v>
      </c>
      <c r="D57" s="46" t="s">
        <v>107</v>
      </c>
      <c r="E57" s="46" t="s">
        <v>304</v>
      </c>
      <c r="F57" s="46" t="s">
        <v>107</v>
      </c>
      <c r="I57" s="46">
        <v>1</v>
      </c>
      <c r="O57" s="46">
        <v>1</v>
      </c>
      <c r="R57" s="46">
        <v>1</v>
      </c>
      <c r="T57" s="46">
        <v>1</v>
      </c>
      <c r="W57" s="46">
        <v>13</v>
      </c>
      <c r="X57" s="46">
        <v>16</v>
      </c>
      <c r="Y57" s="46">
        <v>17</v>
      </c>
      <c r="Z57" s="46">
        <v>8</v>
      </c>
      <c r="AA57" s="46">
        <v>8</v>
      </c>
      <c r="AB57" s="46">
        <v>4</v>
      </c>
      <c r="AE57" s="46">
        <v>1</v>
      </c>
      <c r="AI57" s="46">
        <v>1</v>
      </c>
      <c r="AK57" s="46">
        <v>1</v>
      </c>
      <c r="AT57" s="46">
        <v>1</v>
      </c>
      <c r="AZ57" s="46">
        <v>1</v>
      </c>
      <c r="BA57" s="46">
        <v>1</v>
      </c>
      <c r="BI57" s="46">
        <v>1</v>
      </c>
      <c r="BY57" s="46">
        <v>1</v>
      </c>
      <c r="CB57" s="46">
        <v>1</v>
      </c>
      <c r="CG57" s="46">
        <v>1</v>
      </c>
      <c r="CR57" s="50">
        <v>46436</v>
      </c>
    </row>
    <row r="58" spans="1:96" ht="15.75" customHeight="1">
      <c r="A58" s="46" t="s">
        <v>305</v>
      </c>
      <c r="B58" s="46" t="s">
        <v>306</v>
      </c>
      <c r="C58" s="47">
        <v>21</v>
      </c>
      <c r="D58" s="46" t="s">
        <v>249</v>
      </c>
      <c r="E58" s="46" t="s">
        <v>307</v>
      </c>
      <c r="F58" s="46" t="s">
        <v>127</v>
      </c>
      <c r="G58" s="46">
        <v>1</v>
      </c>
      <c r="M58" s="46">
        <v>1</v>
      </c>
      <c r="Q58" s="46">
        <v>1</v>
      </c>
      <c r="T58" s="46">
        <v>1</v>
      </c>
      <c r="W58" s="46">
        <v>16</v>
      </c>
      <c r="X58" s="46">
        <v>20</v>
      </c>
      <c r="Y58" s="46">
        <v>20</v>
      </c>
      <c r="Z58" s="46">
        <v>1</v>
      </c>
      <c r="AA58" s="46">
        <v>1</v>
      </c>
      <c r="AB58" s="46">
        <v>1</v>
      </c>
      <c r="AE58" s="46">
        <v>1</v>
      </c>
      <c r="AG58" s="46">
        <v>1</v>
      </c>
      <c r="AH58" s="46">
        <v>1</v>
      </c>
      <c r="AI58" s="48"/>
      <c r="AJ58" s="48"/>
      <c r="AL58" s="46">
        <v>1</v>
      </c>
      <c r="AO58" s="46">
        <v>1</v>
      </c>
      <c r="AS58" s="46">
        <v>1</v>
      </c>
      <c r="AT58" s="46">
        <v>1</v>
      </c>
      <c r="AW58" s="46">
        <v>1</v>
      </c>
      <c r="BA58" s="46">
        <v>1</v>
      </c>
      <c r="BI58" s="46">
        <v>1</v>
      </c>
      <c r="BY58" s="46">
        <v>1</v>
      </c>
      <c r="CB58" s="46">
        <v>1</v>
      </c>
      <c r="CG58" s="46">
        <v>1</v>
      </c>
      <c r="CR58" s="50">
        <v>46437</v>
      </c>
    </row>
    <row r="59" spans="1:96" ht="15.75" customHeight="1">
      <c r="A59" s="46" t="s">
        <v>308</v>
      </c>
      <c r="B59" s="46" t="s">
        <v>309</v>
      </c>
      <c r="C59" s="47">
        <v>15</v>
      </c>
      <c r="D59" s="46" t="s">
        <v>156</v>
      </c>
      <c r="E59" s="46" t="s">
        <v>310</v>
      </c>
      <c r="F59" s="46" t="s">
        <v>107</v>
      </c>
      <c r="J59" s="46">
        <v>1</v>
      </c>
      <c r="N59" s="46">
        <v>1</v>
      </c>
      <c r="Q59" s="46">
        <v>1</v>
      </c>
      <c r="T59" s="46">
        <v>1</v>
      </c>
      <c r="W59" s="46">
        <v>11</v>
      </c>
      <c r="X59" s="46">
        <v>14</v>
      </c>
      <c r="Y59" s="46">
        <v>15</v>
      </c>
      <c r="Z59" s="46">
        <v>1</v>
      </c>
      <c r="AA59" s="46">
        <v>1</v>
      </c>
      <c r="AB59" s="46">
        <v>1</v>
      </c>
      <c r="AC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I59" s="46">
        <v>1</v>
      </c>
      <c r="BY59" s="46">
        <v>1</v>
      </c>
      <c r="CB59" s="46">
        <v>1</v>
      </c>
      <c r="CG59" s="46">
        <v>1</v>
      </c>
      <c r="CR59" s="50">
        <v>46438</v>
      </c>
    </row>
    <row r="60" spans="1:96" ht="15.75" customHeight="1">
      <c r="A60" s="46" t="s">
        <v>311</v>
      </c>
      <c r="B60" s="46" t="s">
        <v>312</v>
      </c>
      <c r="C60" s="47">
        <v>48</v>
      </c>
      <c r="D60" s="46" t="s">
        <v>185</v>
      </c>
      <c r="E60" s="46" t="s">
        <v>313</v>
      </c>
      <c r="F60" s="46" t="s">
        <v>107</v>
      </c>
      <c r="G60" s="46">
        <v>1</v>
      </c>
      <c r="M60" s="46">
        <v>1</v>
      </c>
      <c r="Q60" s="46">
        <v>1</v>
      </c>
      <c r="V60" s="46">
        <v>1</v>
      </c>
      <c r="W60" s="46">
        <v>14</v>
      </c>
      <c r="X60" s="46">
        <v>17</v>
      </c>
      <c r="Y60" s="46">
        <v>27</v>
      </c>
      <c r="Z60" s="46">
        <v>5</v>
      </c>
      <c r="AA60" s="46">
        <v>5</v>
      </c>
      <c r="AB60" s="46">
        <v>5</v>
      </c>
      <c r="AC60" s="46">
        <v>1</v>
      </c>
      <c r="AI60" s="46">
        <v>1</v>
      </c>
      <c r="AK60" s="46">
        <v>1</v>
      </c>
      <c r="AT60" s="46">
        <v>1</v>
      </c>
      <c r="AX60" s="46">
        <v>1</v>
      </c>
      <c r="BB60" s="46">
        <v>1</v>
      </c>
      <c r="BF60" s="46">
        <v>1</v>
      </c>
      <c r="BI60" s="46">
        <v>1</v>
      </c>
      <c r="BY60" s="46">
        <v>1</v>
      </c>
      <c r="CB60" s="46">
        <v>1</v>
      </c>
      <c r="CG60" s="46">
        <v>1</v>
      </c>
      <c r="CR60" s="50">
        <v>46439</v>
      </c>
    </row>
    <row r="61" spans="1:96" ht="15.75" customHeight="1">
      <c r="A61" s="46" t="s">
        <v>314</v>
      </c>
      <c r="B61" s="46" t="s">
        <v>315</v>
      </c>
      <c r="C61" s="47">
        <v>64</v>
      </c>
      <c r="D61" s="46" t="s">
        <v>233</v>
      </c>
      <c r="E61" s="46" t="s">
        <v>316</v>
      </c>
      <c r="F61" s="46" t="s">
        <v>107</v>
      </c>
      <c r="K61" s="46">
        <v>1</v>
      </c>
      <c r="P61" s="46">
        <v>1</v>
      </c>
      <c r="Q61" s="46">
        <v>1</v>
      </c>
      <c r="T61" s="46">
        <v>1</v>
      </c>
      <c r="W61" s="46">
        <v>15</v>
      </c>
      <c r="X61" s="46">
        <v>18</v>
      </c>
      <c r="Y61" s="46">
        <v>19</v>
      </c>
      <c r="Z61" s="46">
        <v>11</v>
      </c>
      <c r="AA61" s="46">
        <v>10</v>
      </c>
      <c r="AB61" s="46">
        <v>9</v>
      </c>
      <c r="AH61" s="46">
        <v>1</v>
      </c>
      <c r="AJ61" s="46">
        <v>1</v>
      </c>
      <c r="AK61" s="46">
        <v>1</v>
      </c>
      <c r="AT61" s="46">
        <v>1</v>
      </c>
      <c r="AW61" s="46">
        <v>1</v>
      </c>
      <c r="BA61" s="46">
        <v>1</v>
      </c>
      <c r="BI61" s="46">
        <v>1</v>
      </c>
      <c r="BY61" s="46">
        <v>1</v>
      </c>
      <c r="CB61" s="46">
        <v>1</v>
      </c>
      <c r="CG61" s="46">
        <v>1</v>
      </c>
      <c r="CR61" s="50">
        <v>46440</v>
      </c>
    </row>
    <row r="62" spans="1:96" ht="15.75" customHeight="1">
      <c r="A62" s="46" t="s">
        <v>317</v>
      </c>
      <c r="B62" s="46" t="s">
        <v>318</v>
      </c>
      <c r="C62" s="47">
        <v>19</v>
      </c>
      <c r="D62" s="46" t="s">
        <v>135</v>
      </c>
      <c r="E62" s="46" t="s">
        <v>319</v>
      </c>
      <c r="F62" s="46" t="s">
        <v>218</v>
      </c>
      <c r="H62" s="46">
        <v>1</v>
      </c>
      <c r="M62" s="46">
        <v>1</v>
      </c>
      <c r="Q62" s="46">
        <v>1</v>
      </c>
      <c r="U62" s="46">
        <v>1</v>
      </c>
      <c r="W62" s="46">
        <v>14</v>
      </c>
      <c r="X62" s="46">
        <v>18</v>
      </c>
      <c r="Y62" s="46">
        <v>19</v>
      </c>
      <c r="Z62" s="46">
        <v>1</v>
      </c>
      <c r="AA62" s="46">
        <v>1</v>
      </c>
      <c r="AB62" s="46">
        <v>1</v>
      </c>
      <c r="AC62" s="46">
        <v>1</v>
      </c>
      <c r="AJ62" s="46">
        <v>1</v>
      </c>
      <c r="AK62" s="46">
        <v>1</v>
      </c>
      <c r="AT62" s="46">
        <v>1</v>
      </c>
      <c r="AW62" s="46">
        <v>1</v>
      </c>
      <c r="BA62" s="46">
        <v>1</v>
      </c>
      <c r="BI62" s="46">
        <v>1</v>
      </c>
      <c r="BY62" s="46">
        <v>1</v>
      </c>
      <c r="CB62" s="46">
        <v>1</v>
      </c>
      <c r="CG62" s="46">
        <v>1</v>
      </c>
      <c r="CR62" s="50">
        <v>46441</v>
      </c>
    </row>
    <row r="63" spans="1:96" ht="15.75" customHeight="1">
      <c r="A63" s="46" t="s">
        <v>320</v>
      </c>
      <c r="B63" s="46" t="s">
        <v>321</v>
      </c>
      <c r="C63" s="47">
        <v>35</v>
      </c>
      <c r="D63" s="46" t="s">
        <v>322</v>
      </c>
      <c r="E63" s="46" t="s">
        <v>323</v>
      </c>
      <c r="F63" s="46" t="s">
        <v>112</v>
      </c>
      <c r="J63" s="46">
        <v>1</v>
      </c>
      <c r="M63" s="46">
        <v>1</v>
      </c>
      <c r="Q63" s="46">
        <v>1</v>
      </c>
      <c r="V63" s="46">
        <v>1</v>
      </c>
      <c r="W63" s="46">
        <v>12</v>
      </c>
      <c r="X63" s="46">
        <v>16</v>
      </c>
      <c r="Y63" s="46">
        <v>25</v>
      </c>
      <c r="Z63" s="46">
        <v>2</v>
      </c>
      <c r="AA63" s="46">
        <v>2</v>
      </c>
      <c r="AB63" s="46">
        <v>2</v>
      </c>
      <c r="AC63" s="46">
        <v>1</v>
      </c>
      <c r="AJ63" s="46">
        <v>1</v>
      </c>
      <c r="AK63" s="46">
        <v>1</v>
      </c>
      <c r="AT63" s="46">
        <v>1</v>
      </c>
      <c r="AW63" s="46">
        <v>1</v>
      </c>
      <c r="BB63" s="46">
        <v>1</v>
      </c>
      <c r="BF63" s="46">
        <v>1</v>
      </c>
      <c r="BI63" s="46">
        <v>1</v>
      </c>
      <c r="BY63" s="46">
        <v>1</v>
      </c>
      <c r="CB63" s="46">
        <v>1</v>
      </c>
      <c r="CG63" s="46">
        <v>1</v>
      </c>
      <c r="CR63" s="50">
        <v>46442</v>
      </c>
    </row>
    <row r="64" spans="1:96" ht="15.75" customHeight="1">
      <c r="A64" s="46" t="s">
        <v>324</v>
      </c>
      <c r="B64" s="46" t="s">
        <v>325</v>
      </c>
      <c r="C64" s="47">
        <v>35</v>
      </c>
      <c r="D64" s="46" t="s">
        <v>249</v>
      </c>
      <c r="E64" s="46" t="s">
        <v>191</v>
      </c>
      <c r="F64" s="46" t="s">
        <v>107</v>
      </c>
      <c r="J64" s="46">
        <v>1</v>
      </c>
      <c r="N64" s="46">
        <v>1</v>
      </c>
      <c r="Q64" s="46">
        <v>1</v>
      </c>
      <c r="T64" s="46">
        <v>1</v>
      </c>
      <c r="W64" s="46">
        <v>14</v>
      </c>
      <c r="X64" s="46">
        <v>16</v>
      </c>
      <c r="Y64" s="46">
        <v>17</v>
      </c>
      <c r="Z64" s="46">
        <v>9</v>
      </c>
      <c r="AA64" s="46">
        <v>9</v>
      </c>
      <c r="AB64" s="46">
        <v>5</v>
      </c>
      <c r="AE64" s="46">
        <v>1</v>
      </c>
      <c r="AG64" s="46">
        <v>1</v>
      </c>
      <c r="AI64" s="46">
        <v>1</v>
      </c>
      <c r="AK64" s="46">
        <v>1</v>
      </c>
      <c r="AT64" s="46">
        <v>1</v>
      </c>
      <c r="AX64" s="46">
        <v>1</v>
      </c>
      <c r="BA64" s="46">
        <v>1</v>
      </c>
      <c r="BI64" s="46">
        <v>1</v>
      </c>
      <c r="BY64" s="46">
        <v>1</v>
      </c>
      <c r="CB64" s="46">
        <v>1</v>
      </c>
      <c r="CG64" s="46">
        <v>1</v>
      </c>
      <c r="CR64" s="50">
        <v>46443</v>
      </c>
    </row>
    <row r="65" spans="1:96" ht="15.75" customHeight="1">
      <c r="A65" s="46" t="s">
        <v>326</v>
      </c>
      <c r="B65" s="46" t="s">
        <v>327</v>
      </c>
      <c r="C65" s="47">
        <v>58</v>
      </c>
      <c r="D65" s="46" t="s">
        <v>328</v>
      </c>
      <c r="E65" s="46" t="s">
        <v>329</v>
      </c>
      <c r="F65" s="46" t="s">
        <v>330</v>
      </c>
      <c r="G65" s="46">
        <v>1</v>
      </c>
      <c r="M65" s="46">
        <v>1</v>
      </c>
      <c r="Q65" s="46">
        <v>1</v>
      </c>
      <c r="T65" s="46">
        <v>1</v>
      </c>
      <c r="W65" s="46">
        <v>14</v>
      </c>
      <c r="X65" s="46">
        <v>19</v>
      </c>
      <c r="Y65" s="46">
        <v>20</v>
      </c>
      <c r="Z65" s="46">
        <v>8</v>
      </c>
      <c r="AA65" s="46">
        <v>6</v>
      </c>
      <c r="AB65" s="46">
        <v>4</v>
      </c>
      <c r="AE65" s="46">
        <v>1</v>
      </c>
      <c r="AH65" s="46">
        <v>1</v>
      </c>
      <c r="AI65" s="46">
        <v>1</v>
      </c>
      <c r="AK65" s="46">
        <v>1</v>
      </c>
      <c r="AT65" s="46">
        <v>1</v>
      </c>
      <c r="AW65" s="46">
        <v>1</v>
      </c>
      <c r="BA65" s="46">
        <v>1</v>
      </c>
      <c r="BI65" s="46">
        <v>1</v>
      </c>
      <c r="BY65" s="46">
        <v>1</v>
      </c>
      <c r="CB65" s="46">
        <v>1</v>
      </c>
      <c r="CG65" s="46">
        <v>1</v>
      </c>
      <c r="CR65" s="50">
        <v>46444</v>
      </c>
    </row>
    <row r="66" spans="1:96" ht="15.75" customHeight="1">
      <c r="A66" s="46" t="s">
        <v>331</v>
      </c>
      <c r="B66" s="46" t="s">
        <v>332</v>
      </c>
      <c r="C66" s="47">
        <v>20</v>
      </c>
      <c r="D66" s="46" t="s">
        <v>333</v>
      </c>
      <c r="E66" s="46" t="s">
        <v>334</v>
      </c>
      <c r="F66" s="46" t="s">
        <v>112</v>
      </c>
      <c r="I66" s="46">
        <v>1</v>
      </c>
      <c r="M66" s="46">
        <v>1</v>
      </c>
      <c r="Q66" s="46">
        <v>1</v>
      </c>
      <c r="T66" s="46">
        <v>1</v>
      </c>
      <c r="W66" s="46">
        <v>10</v>
      </c>
      <c r="X66" s="46">
        <v>15</v>
      </c>
      <c r="Y66" s="46" t="s">
        <v>191</v>
      </c>
      <c r="Z66" s="46">
        <v>0</v>
      </c>
      <c r="AA66" s="46">
        <v>0</v>
      </c>
      <c r="AB66" s="46">
        <v>0</v>
      </c>
      <c r="AD66" s="46">
        <v>1</v>
      </c>
      <c r="AE66" s="46">
        <v>1</v>
      </c>
      <c r="AH66" s="46">
        <v>1</v>
      </c>
      <c r="AI66" s="48"/>
      <c r="AJ66" s="48"/>
      <c r="AM66" s="46">
        <v>1</v>
      </c>
      <c r="AT66" s="46">
        <v>1</v>
      </c>
      <c r="AW66" s="46">
        <v>1</v>
      </c>
      <c r="BA66" s="46">
        <v>1</v>
      </c>
      <c r="BI66" s="46">
        <v>1</v>
      </c>
      <c r="BY66" s="46">
        <v>1</v>
      </c>
      <c r="CB66" s="46">
        <v>1</v>
      </c>
      <c r="CG66" s="46">
        <v>1</v>
      </c>
      <c r="CR66" s="50">
        <v>46445</v>
      </c>
    </row>
    <row r="67" spans="1:96" ht="15.75" customHeight="1">
      <c r="A67" s="46" t="s">
        <v>335</v>
      </c>
      <c r="B67" s="46" t="s">
        <v>336</v>
      </c>
      <c r="C67" s="47">
        <v>49</v>
      </c>
      <c r="D67" s="46" t="s">
        <v>125</v>
      </c>
      <c r="E67" s="46" t="s">
        <v>337</v>
      </c>
      <c r="F67" s="46" t="s">
        <v>107</v>
      </c>
      <c r="H67" s="46">
        <v>1</v>
      </c>
      <c r="I67" s="46"/>
      <c r="M67" s="46"/>
      <c r="N67" s="46">
        <v>1</v>
      </c>
      <c r="Q67" s="46">
        <v>1</v>
      </c>
      <c r="T67" s="46">
        <v>1</v>
      </c>
      <c r="W67" s="46">
        <v>14</v>
      </c>
      <c r="X67" s="46">
        <v>18</v>
      </c>
      <c r="Y67" s="46">
        <v>19</v>
      </c>
      <c r="Z67" s="46">
        <v>8</v>
      </c>
      <c r="AA67" s="46">
        <v>8</v>
      </c>
      <c r="AB67" s="46">
        <v>7</v>
      </c>
      <c r="AC67" s="46">
        <v>1</v>
      </c>
      <c r="AE67" s="46"/>
      <c r="AG67" s="46"/>
      <c r="AH67" s="46">
        <v>1</v>
      </c>
      <c r="AI67" s="46">
        <v>1</v>
      </c>
      <c r="AJ67" s="46"/>
      <c r="AK67" s="46">
        <v>1</v>
      </c>
      <c r="AT67" s="46">
        <v>1</v>
      </c>
      <c r="AW67" s="46">
        <v>1</v>
      </c>
      <c r="AX67" s="46"/>
      <c r="BA67" s="46">
        <v>1</v>
      </c>
      <c r="BB67" s="46"/>
      <c r="BF67" s="46"/>
      <c r="BI67" s="46">
        <v>1</v>
      </c>
      <c r="BY67" s="46"/>
      <c r="CB67" s="46"/>
      <c r="CG67" s="46">
        <v>1</v>
      </c>
      <c r="CR67" s="50">
        <v>46445</v>
      </c>
    </row>
    <row r="68" spans="1:96" ht="15.75" customHeight="1">
      <c r="A68" s="46" t="s">
        <v>338</v>
      </c>
      <c r="B68" s="46" t="s">
        <v>339</v>
      </c>
      <c r="C68" s="47">
        <v>39</v>
      </c>
      <c r="D68" s="46" t="s">
        <v>333</v>
      </c>
      <c r="E68" s="46" t="s">
        <v>334</v>
      </c>
      <c r="F68" s="46" t="s">
        <v>112</v>
      </c>
      <c r="I68" s="46">
        <v>1</v>
      </c>
      <c r="M68" s="46">
        <v>1</v>
      </c>
      <c r="Q68" s="46">
        <v>1</v>
      </c>
      <c r="T68" s="46">
        <v>1</v>
      </c>
      <c r="W68" s="46">
        <v>12</v>
      </c>
      <c r="X68" s="46">
        <v>13</v>
      </c>
      <c r="Y68" s="46">
        <v>14</v>
      </c>
      <c r="Z68" s="46">
        <v>10</v>
      </c>
      <c r="AA68" s="46">
        <v>6</v>
      </c>
      <c r="AB68" s="46">
        <v>5</v>
      </c>
      <c r="AE68" s="46">
        <v>1</v>
      </c>
      <c r="AG68" s="46">
        <v>1</v>
      </c>
      <c r="AH68" s="46">
        <v>1</v>
      </c>
      <c r="AJ68" s="46">
        <v>1</v>
      </c>
      <c r="AK68" s="46">
        <v>1</v>
      </c>
      <c r="AT68" s="46">
        <v>1</v>
      </c>
      <c r="AX68" s="46">
        <v>1</v>
      </c>
      <c r="BB68" s="46">
        <v>1</v>
      </c>
      <c r="BF68" s="46">
        <v>1</v>
      </c>
      <c r="BI68" s="46">
        <v>1</v>
      </c>
      <c r="BY68" s="46">
        <v>1</v>
      </c>
      <c r="CB68" s="46">
        <v>1</v>
      </c>
      <c r="CG68" s="46">
        <v>1</v>
      </c>
      <c r="CR68" s="50">
        <v>46446</v>
      </c>
    </row>
    <row r="69" spans="1:96" ht="15.75" customHeight="1">
      <c r="A69" s="46" t="s">
        <v>340</v>
      </c>
      <c r="B69" s="46" t="s">
        <v>341</v>
      </c>
      <c r="C69" s="47">
        <v>38</v>
      </c>
      <c r="D69" s="46" t="s">
        <v>213</v>
      </c>
      <c r="E69" s="46" t="s">
        <v>342</v>
      </c>
      <c r="F69" s="46" t="s">
        <v>122</v>
      </c>
      <c r="G69" s="48"/>
      <c r="H69" s="48"/>
      <c r="I69" s="48"/>
      <c r="J69" s="48"/>
      <c r="K69" s="48"/>
      <c r="M69" s="46">
        <v>1</v>
      </c>
      <c r="R69" s="46">
        <v>1</v>
      </c>
      <c r="T69" s="46">
        <v>1</v>
      </c>
      <c r="W69" s="46">
        <v>16</v>
      </c>
      <c r="X69" s="46">
        <v>16</v>
      </c>
      <c r="Y69" s="46" t="s">
        <v>191</v>
      </c>
      <c r="Z69" s="46">
        <v>0</v>
      </c>
      <c r="AA69" s="46">
        <v>0</v>
      </c>
      <c r="AB69" s="46">
        <v>0</v>
      </c>
      <c r="AH69" s="46">
        <v>1</v>
      </c>
      <c r="AI69" s="48"/>
      <c r="AJ69" s="48"/>
      <c r="AK69" s="46">
        <v>1</v>
      </c>
      <c r="AT69" s="46">
        <v>1</v>
      </c>
      <c r="AY69" s="46">
        <v>1</v>
      </c>
      <c r="BA69" s="46">
        <v>1</v>
      </c>
      <c r="BI69" s="46">
        <v>1</v>
      </c>
      <c r="BY69" s="46">
        <v>1</v>
      </c>
      <c r="CB69" s="46">
        <v>1</v>
      </c>
      <c r="CG69" s="46">
        <v>1</v>
      </c>
      <c r="CR69" s="50">
        <v>46419</v>
      </c>
    </row>
    <row r="70" spans="1:96" ht="15.75" customHeight="1">
      <c r="A70" s="46" t="s">
        <v>343</v>
      </c>
      <c r="B70" s="46" t="s">
        <v>344</v>
      </c>
      <c r="C70" s="47">
        <v>59</v>
      </c>
      <c r="D70" s="46" t="s">
        <v>213</v>
      </c>
      <c r="E70" s="46" t="s">
        <v>345</v>
      </c>
      <c r="F70" s="46" t="s">
        <v>122</v>
      </c>
      <c r="I70" s="46">
        <v>1</v>
      </c>
      <c r="P70" s="46">
        <v>1</v>
      </c>
      <c r="R70" s="46">
        <v>1</v>
      </c>
      <c r="T70" s="46">
        <v>1</v>
      </c>
      <c r="W70" s="46">
        <v>14</v>
      </c>
      <c r="X70" s="46">
        <v>15</v>
      </c>
      <c r="Y70" s="46">
        <v>16</v>
      </c>
      <c r="Z70" s="46">
        <v>12</v>
      </c>
      <c r="AA70" s="46">
        <v>11</v>
      </c>
      <c r="AB70" s="46">
        <v>9</v>
      </c>
      <c r="AF70" s="46">
        <v>1</v>
      </c>
      <c r="AG70" s="46">
        <v>1</v>
      </c>
      <c r="AH70" s="46">
        <v>1</v>
      </c>
      <c r="AI70" s="46">
        <v>1</v>
      </c>
      <c r="AK70" s="46">
        <v>1</v>
      </c>
      <c r="AT70" s="46">
        <v>1</v>
      </c>
      <c r="AW70" s="46">
        <v>1</v>
      </c>
      <c r="BA70" s="46">
        <v>1</v>
      </c>
      <c r="BI70" s="46">
        <v>1</v>
      </c>
      <c r="BY70" s="46">
        <v>1</v>
      </c>
      <c r="CB70" s="46">
        <v>1</v>
      </c>
      <c r="CG70" s="46">
        <v>1</v>
      </c>
      <c r="CR70" s="50">
        <v>46420</v>
      </c>
    </row>
    <row r="71" spans="1:96" ht="15.75" customHeight="1">
      <c r="A71" s="46" t="s">
        <v>346</v>
      </c>
      <c r="B71" s="46" t="s">
        <v>347</v>
      </c>
      <c r="C71" s="47">
        <v>60</v>
      </c>
      <c r="D71" s="46" t="s">
        <v>233</v>
      </c>
      <c r="E71" s="46" t="s">
        <v>348</v>
      </c>
      <c r="F71" s="46" t="s">
        <v>107</v>
      </c>
      <c r="J71" s="46">
        <v>1</v>
      </c>
      <c r="P71" s="46">
        <v>1</v>
      </c>
      <c r="R71" s="46">
        <v>1</v>
      </c>
      <c r="T71" s="46">
        <v>1</v>
      </c>
      <c r="W71" s="46">
        <v>13</v>
      </c>
      <c r="X71" s="46">
        <v>14</v>
      </c>
      <c r="Y71" s="46">
        <v>14</v>
      </c>
      <c r="Z71" s="46">
        <v>7</v>
      </c>
      <c r="AA71" s="46">
        <v>7</v>
      </c>
      <c r="AB71" s="46">
        <v>6</v>
      </c>
      <c r="AE71" s="46">
        <v>1</v>
      </c>
      <c r="AH71" s="46">
        <v>1</v>
      </c>
      <c r="AI71" s="46">
        <v>1</v>
      </c>
      <c r="AK71" s="46">
        <v>1</v>
      </c>
      <c r="AT71" s="46">
        <v>1</v>
      </c>
      <c r="AW71" s="46">
        <v>1</v>
      </c>
      <c r="BA71" s="46">
        <v>1</v>
      </c>
      <c r="BI71" s="46">
        <v>1</v>
      </c>
      <c r="BV71" s="46">
        <v>1</v>
      </c>
      <c r="BY71" s="46">
        <v>1</v>
      </c>
      <c r="CB71" s="48"/>
      <c r="CC71" s="48"/>
      <c r="CG71" s="46">
        <v>1</v>
      </c>
      <c r="CR71" s="50">
        <v>46421</v>
      </c>
    </row>
    <row r="72" spans="1:96" ht="15.75" customHeight="1">
      <c r="A72" s="46" t="s">
        <v>349</v>
      </c>
      <c r="B72" s="46" t="s">
        <v>350</v>
      </c>
      <c r="C72" s="47">
        <v>32</v>
      </c>
      <c r="D72" s="46" t="s">
        <v>224</v>
      </c>
      <c r="E72" s="46" t="s">
        <v>191</v>
      </c>
      <c r="F72" s="46" t="s">
        <v>122</v>
      </c>
      <c r="I72" s="46">
        <v>1</v>
      </c>
      <c r="N72" s="46">
        <v>1</v>
      </c>
      <c r="Q72" s="46">
        <v>1</v>
      </c>
      <c r="T72" s="46">
        <v>1</v>
      </c>
      <c r="W72" s="46">
        <v>12</v>
      </c>
      <c r="X72" s="46">
        <v>16</v>
      </c>
      <c r="Y72" s="46">
        <v>17</v>
      </c>
      <c r="Z72" s="46">
        <v>9</v>
      </c>
      <c r="AA72" s="46">
        <v>8</v>
      </c>
      <c r="AB72" s="46">
        <v>7</v>
      </c>
      <c r="AG72" s="46">
        <v>1</v>
      </c>
      <c r="AH72" s="46">
        <v>1</v>
      </c>
      <c r="AJ72" s="46">
        <v>1</v>
      </c>
      <c r="AK72" s="46">
        <v>1</v>
      </c>
      <c r="AT72" s="46">
        <v>1</v>
      </c>
      <c r="AW72" s="46">
        <v>1</v>
      </c>
      <c r="BA72" s="46">
        <v>1</v>
      </c>
      <c r="BI72" s="46">
        <v>1</v>
      </c>
      <c r="BY72" s="46">
        <v>1</v>
      </c>
      <c r="CB72" s="46">
        <v>1</v>
      </c>
      <c r="CG72" s="46">
        <v>1</v>
      </c>
      <c r="CR72" s="50">
        <v>46422</v>
      </c>
    </row>
    <row r="73" spans="1:96" ht="15.75" customHeight="1">
      <c r="C73" s="59"/>
    </row>
    <row r="74" spans="1:96" ht="15.75" customHeight="1">
      <c r="C74" s="59"/>
    </row>
    <row r="75" spans="1:96" ht="15.75" customHeight="1">
      <c r="C75" s="59"/>
    </row>
    <row r="76" spans="1:96" ht="15.75" customHeight="1">
      <c r="C76" s="59"/>
    </row>
    <row r="77" spans="1:96" ht="15.75" customHeight="1">
      <c r="C77" s="59"/>
    </row>
    <row r="78" spans="1:96" ht="15.75" customHeight="1">
      <c r="C78" s="59"/>
    </row>
    <row r="79" spans="1:96" ht="15.75" customHeight="1">
      <c r="C79" s="59"/>
    </row>
    <row r="80" spans="1:96" ht="15.75" customHeight="1">
      <c r="C80" s="59"/>
    </row>
    <row r="81" spans="3:3" ht="15.75" customHeight="1">
      <c r="C81" s="59"/>
    </row>
    <row r="82" spans="3:3" ht="15.75" customHeight="1">
      <c r="C82" s="59"/>
    </row>
    <row r="83" spans="3:3" ht="15.75" customHeight="1">
      <c r="C83" s="59"/>
    </row>
    <row r="84" spans="3:3" ht="15.75" customHeight="1">
      <c r="C84" s="59"/>
    </row>
    <row r="85" spans="3:3" ht="15.75" customHeight="1">
      <c r="C85" s="59"/>
    </row>
    <row r="86" spans="3:3" ht="15.75" customHeight="1">
      <c r="C86" s="59"/>
    </row>
    <row r="87" spans="3:3" ht="15.75" customHeight="1">
      <c r="C87" s="59"/>
    </row>
    <row r="88" spans="3:3" ht="15.75" customHeight="1">
      <c r="C88" s="59"/>
    </row>
    <row r="89" spans="3:3" ht="15.75" customHeight="1">
      <c r="C89" s="59"/>
    </row>
    <row r="90" spans="3:3" ht="15.75" customHeight="1">
      <c r="C90" s="59"/>
    </row>
    <row r="91" spans="3:3" ht="15.75" customHeight="1">
      <c r="C91" s="59"/>
    </row>
    <row r="92" spans="3:3" ht="15.75" customHeight="1">
      <c r="C92" s="59"/>
    </row>
    <row r="93" spans="3:3" ht="15.75" customHeight="1">
      <c r="C93" s="59"/>
    </row>
    <row r="94" spans="3:3" ht="15.75" customHeight="1">
      <c r="C94" s="59"/>
    </row>
    <row r="95" spans="3:3" ht="15.75" customHeight="1">
      <c r="C95" s="59"/>
    </row>
    <row r="96" spans="3:3" ht="15.75" customHeight="1">
      <c r="C96" s="59"/>
    </row>
    <row r="97" spans="3:3" ht="15.75" customHeight="1">
      <c r="C97" s="59"/>
    </row>
    <row r="98" spans="3:3" ht="15.75" customHeight="1"/>
    <row r="99" spans="3:3" ht="15.75" customHeight="1"/>
    <row r="100" spans="3:3" ht="15.75" customHeight="1"/>
    <row r="101" spans="3:3" ht="15.75" customHeight="1"/>
    <row r="102" spans="3:3" ht="15.75" customHeight="1"/>
    <row r="103" spans="3:3" ht="15.75" customHeight="1"/>
    <row r="104" spans="3:3" ht="15.75" customHeight="1"/>
    <row r="105" spans="3:3" ht="15.75" customHeight="1"/>
    <row r="106" spans="3:3" ht="15.75" customHeight="1"/>
    <row r="107" spans="3:3" ht="15.75" customHeight="1"/>
    <row r="108" spans="3:3" ht="15.75" customHeight="1"/>
    <row r="109" spans="3:3" ht="15.75" customHeight="1"/>
    <row r="110" spans="3:3" ht="15.75" customHeight="1"/>
    <row r="111" spans="3:3" ht="15.75" customHeight="1"/>
    <row r="112" spans="3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4:CR72"/>
  <mergeCells count="28">
    <mergeCell ref="A2:B2"/>
    <mergeCell ref="C2:E2"/>
    <mergeCell ref="G2:K2"/>
    <mergeCell ref="L2:P2"/>
    <mergeCell ref="Q2:R2"/>
    <mergeCell ref="CE2:CF2"/>
    <mergeCell ref="CG2:CI2"/>
    <mergeCell ref="S2:V2"/>
    <mergeCell ref="W2:AB2"/>
    <mergeCell ref="AC2:AH2"/>
    <mergeCell ref="AI2:AJ2"/>
    <mergeCell ref="AK2:AM2"/>
    <mergeCell ref="CJ2:CK2"/>
    <mergeCell ref="CL2:CM2"/>
    <mergeCell ref="CO4:CP4"/>
    <mergeCell ref="AN2:AP2"/>
    <mergeCell ref="AQ2:AS2"/>
    <mergeCell ref="AT2:AU2"/>
    <mergeCell ref="AV2:AZ2"/>
    <mergeCell ref="CB2:CC2"/>
    <mergeCell ref="BA2:BE2"/>
    <mergeCell ref="BF2:BG2"/>
    <mergeCell ref="BH2:BL2"/>
    <mergeCell ref="BM2:BO2"/>
    <mergeCell ref="BP2:BQ2"/>
    <mergeCell ref="BT2:BX2"/>
    <mergeCell ref="BY2:CA2"/>
    <mergeCell ref="BM3:BS3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3:AD894"/>
  <sheetViews>
    <sheetView workbookViewId="0"/>
  </sheetViews>
  <sheetFormatPr defaultColWidth="14.42578125" defaultRowHeight="15" customHeight="1"/>
  <cols>
    <col min="1" max="1" width="13.28515625" customWidth="1"/>
    <col min="2" max="11" width="8.7109375" customWidth="1"/>
    <col min="12" max="12" width="12.7109375" customWidth="1"/>
    <col min="13" max="29" width="8.7109375" customWidth="1"/>
    <col min="30" max="30" width="13.5703125" customWidth="1"/>
    <col min="31" max="31" width="8.7109375" customWidth="1"/>
  </cols>
  <sheetData>
    <row r="3" spans="1:30">
      <c r="A3" s="486" t="s">
        <v>351</v>
      </c>
      <c r="B3" s="488" t="s">
        <v>352</v>
      </c>
      <c r="C3" s="481"/>
      <c r="D3" s="481"/>
      <c r="E3" s="480"/>
      <c r="F3" s="484" t="s">
        <v>353</v>
      </c>
      <c r="G3" s="480"/>
      <c r="H3" s="61"/>
      <c r="I3" s="61"/>
      <c r="J3" s="484" t="s">
        <v>354</v>
      </c>
      <c r="K3" s="481"/>
      <c r="L3" s="481"/>
      <c r="M3" s="481"/>
      <c r="N3" s="480"/>
      <c r="O3" s="484" t="s">
        <v>355</v>
      </c>
      <c r="P3" s="481"/>
      <c r="Q3" s="481"/>
      <c r="R3" s="480"/>
      <c r="S3" s="484" t="s">
        <v>356</v>
      </c>
      <c r="T3" s="481"/>
      <c r="U3" s="481"/>
      <c r="V3" s="481"/>
      <c r="W3" s="481"/>
      <c r="X3" s="480"/>
      <c r="Y3" s="485" t="s">
        <v>357</v>
      </c>
      <c r="Z3" s="481"/>
      <c r="AA3" s="481"/>
      <c r="AB3" s="481"/>
      <c r="AC3" s="480"/>
      <c r="AD3" s="62" t="s">
        <v>356</v>
      </c>
    </row>
    <row r="4" spans="1:30">
      <c r="A4" s="487"/>
      <c r="B4" s="63" t="s">
        <v>358</v>
      </c>
      <c r="C4" s="63" t="s">
        <v>359</v>
      </c>
      <c r="D4" s="63" t="s">
        <v>360</v>
      </c>
      <c r="E4" s="63" t="s">
        <v>361</v>
      </c>
      <c r="F4" s="64" t="s">
        <v>359</v>
      </c>
      <c r="G4" s="64" t="s">
        <v>358</v>
      </c>
      <c r="H4" s="64" t="s">
        <v>362</v>
      </c>
      <c r="I4" s="65" t="s">
        <v>361</v>
      </c>
      <c r="J4" s="64" t="s">
        <v>96</v>
      </c>
      <c r="K4" s="64" t="s">
        <v>84</v>
      </c>
      <c r="L4" s="64" t="s">
        <v>98</v>
      </c>
      <c r="M4" s="64" t="s">
        <v>38</v>
      </c>
      <c r="N4" s="64" t="s">
        <v>361</v>
      </c>
      <c r="O4" s="64" t="s">
        <v>91</v>
      </c>
      <c r="P4" s="64" t="s">
        <v>362</v>
      </c>
      <c r="Q4" s="64" t="s">
        <v>363</v>
      </c>
      <c r="R4" s="65" t="s">
        <v>361</v>
      </c>
      <c r="S4" s="64" t="s">
        <v>364</v>
      </c>
      <c r="T4" s="64" t="s">
        <v>91</v>
      </c>
      <c r="U4" s="64" t="s">
        <v>365</v>
      </c>
      <c r="V4" s="64" t="s">
        <v>366</v>
      </c>
      <c r="W4" s="64" t="s">
        <v>367</v>
      </c>
      <c r="X4" s="64"/>
      <c r="Y4" s="66" t="s">
        <v>96</v>
      </c>
      <c r="Z4" s="66" t="s">
        <v>368</v>
      </c>
      <c r="AA4" s="66" t="s">
        <v>98</v>
      </c>
      <c r="AB4" s="67" t="s">
        <v>362</v>
      </c>
      <c r="AC4" s="66" t="s">
        <v>369</v>
      </c>
      <c r="AD4" s="64" t="s">
        <v>365</v>
      </c>
    </row>
    <row r="5" spans="1:30">
      <c r="A5" s="68" t="s">
        <v>370</v>
      </c>
      <c r="B5" s="69">
        <v>3</v>
      </c>
      <c r="C5" s="69">
        <v>0</v>
      </c>
      <c r="D5" s="69">
        <v>0</v>
      </c>
      <c r="E5" s="69">
        <f t="shared" ref="E5:E10" si="0">SUM(B5:D5)</f>
        <v>3</v>
      </c>
      <c r="F5" s="70">
        <v>0</v>
      </c>
      <c r="G5" s="70">
        <v>3</v>
      </c>
      <c r="H5" s="70">
        <v>0</v>
      </c>
      <c r="I5" s="71">
        <f t="shared" ref="I5:I10" si="1">SUM(F5:H5)</f>
        <v>3</v>
      </c>
      <c r="J5" s="70"/>
      <c r="K5" s="70"/>
      <c r="L5" s="70"/>
      <c r="M5" s="70"/>
      <c r="N5" s="72">
        <f t="shared" ref="N5:N11" si="2">SUM(J5:M5)</f>
        <v>0</v>
      </c>
      <c r="O5" s="70">
        <v>0</v>
      </c>
      <c r="P5" s="70">
        <v>0</v>
      </c>
      <c r="Q5" s="70">
        <v>0</v>
      </c>
      <c r="R5" s="71">
        <f t="shared" ref="R5:R11" si="3">SUM(O5:Q5)</f>
        <v>0</v>
      </c>
      <c r="S5" s="70">
        <v>0</v>
      </c>
      <c r="T5" s="70">
        <v>0</v>
      </c>
      <c r="U5" s="70">
        <v>0</v>
      </c>
      <c r="V5" s="70">
        <v>0</v>
      </c>
      <c r="W5" s="70">
        <v>0</v>
      </c>
      <c r="X5" s="70"/>
      <c r="Y5" s="73">
        <v>3</v>
      </c>
      <c r="Z5" s="73">
        <v>0</v>
      </c>
      <c r="AA5" s="73">
        <v>0</v>
      </c>
      <c r="AB5" s="73">
        <v>0</v>
      </c>
      <c r="AC5" s="73">
        <f t="shared" ref="AC5:AC11" si="4">SUM(Y5:AB5)</f>
        <v>3</v>
      </c>
      <c r="AD5" s="73">
        <v>0</v>
      </c>
    </row>
    <row r="6" spans="1:30">
      <c r="A6" s="74" t="s">
        <v>371</v>
      </c>
      <c r="B6" s="69">
        <v>16</v>
      </c>
      <c r="C6" s="69">
        <v>2</v>
      </c>
      <c r="D6" s="69">
        <v>2</v>
      </c>
      <c r="E6" s="69">
        <f t="shared" si="0"/>
        <v>20</v>
      </c>
      <c r="F6" s="70">
        <v>0</v>
      </c>
      <c r="G6" s="70">
        <v>19</v>
      </c>
      <c r="H6" s="70">
        <v>0</v>
      </c>
      <c r="I6" s="71">
        <f t="shared" si="1"/>
        <v>19</v>
      </c>
      <c r="J6" s="70"/>
      <c r="K6" s="70"/>
      <c r="L6" s="70"/>
      <c r="M6" s="70">
        <v>1</v>
      </c>
      <c r="N6" s="72">
        <f t="shared" si="2"/>
        <v>1</v>
      </c>
      <c r="O6" s="70">
        <v>0</v>
      </c>
      <c r="P6" s="70">
        <v>0</v>
      </c>
      <c r="Q6" s="70">
        <v>3</v>
      </c>
      <c r="R6" s="71">
        <f t="shared" si="3"/>
        <v>3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6"/>
      <c r="Y6" s="73">
        <v>18</v>
      </c>
      <c r="Z6" s="73">
        <v>0</v>
      </c>
      <c r="AA6" s="73">
        <v>0</v>
      </c>
      <c r="AB6" s="73">
        <v>2</v>
      </c>
      <c r="AC6" s="73">
        <f t="shared" si="4"/>
        <v>20</v>
      </c>
      <c r="AD6" s="73">
        <v>0</v>
      </c>
    </row>
    <row r="7" spans="1:30">
      <c r="A7" s="77" t="s">
        <v>372</v>
      </c>
      <c r="B7" s="69">
        <v>16</v>
      </c>
      <c r="C7" s="69">
        <v>1</v>
      </c>
      <c r="D7" s="69">
        <v>0</v>
      </c>
      <c r="E7" s="69">
        <f t="shared" si="0"/>
        <v>17</v>
      </c>
      <c r="F7" s="70">
        <v>0</v>
      </c>
      <c r="G7" s="70">
        <v>17</v>
      </c>
      <c r="H7" s="70">
        <v>0</v>
      </c>
      <c r="I7" s="71">
        <f t="shared" si="1"/>
        <v>17</v>
      </c>
      <c r="J7" s="70"/>
      <c r="K7" s="70"/>
      <c r="L7" s="70"/>
      <c r="M7" s="70"/>
      <c r="N7" s="72">
        <f t="shared" si="2"/>
        <v>0</v>
      </c>
      <c r="O7" s="70">
        <v>0</v>
      </c>
      <c r="P7" s="70">
        <v>0</v>
      </c>
      <c r="Q7" s="70">
        <v>1</v>
      </c>
      <c r="R7" s="71">
        <f t="shared" si="3"/>
        <v>1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6"/>
      <c r="Y7" s="73">
        <v>16</v>
      </c>
      <c r="Z7" s="73">
        <v>0</v>
      </c>
      <c r="AA7" s="73">
        <v>0</v>
      </c>
      <c r="AB7" s="73">
        <v>1</v>
      </c>
      <c r="AC7" s="73">
        <f t="shared" si="4"/>
        <v>17</v>
      </c>
      <c r="AD7" s="73">
        <v>0</v>
      </c>
    </row>
    <row r="8" spans="1:30">
      <c r="A8" s="77" t="s">
        <v>373</v>
      </c>
      <c r="B8" s="69">
        <v>11</v>
      </c>
      <c r="C8" s="69">
        <v>4</v>
      </c>
      <c r="D8" s="69">
        <v>0</v>
      </c>
      <c r="E8" s="69">
        <f t="shared" si="0"/>
        <v>15</v>
      </c>
      <c r="F8" s="70">
        <v>0</v>
      </c>
      <c r="G8" s="70">
        <v>12</v>
      </c>
      <c r="H8" s="70">
        <v>0</v>
      </c>
      <c r="I8" s="71">
        <f t="shared" si="1"/>
        <v>12</v>
      </c>
      <c r="J8" s="70"/>
      <c r="K8" s="70">
        <v>1</v>
      </c>
      <c r="L8" s="70">
        <v>1</v>
      </c>
      <c r="M8" s="70">
        <v>1</v>
      </c>
      <c r="N8" s="72">
        <f t="shared" si="2"/>
        <v>3</v>
      </c>
      <c r="O8" s="70">
        <v>0</v>
      </c>
      <c r="P8" s="70">
        <v>0</v>
      </c>
      <c r="Q8" s="70">
        <v>0</v>
      </c>
      <c r="R8" s="71">
        <f t="shared" si="3"/>
        <v>0</v>
      </c>
      <c r="S8" s="75">
        <v>0</v>
      </c>
      <c r="T8" s="75">
        <v>0</v>
      </c>
      <c r="U8" s="75">
        <v>1</v>
      </c>
      <c r="V8" s="75">
        <v>0</v>
      </c>
      <c r="W8" s="75">
        <v>1</v>
      </c>
      <c r="X8" s="76"/>
      <c r="Y8" s="73">
        <v>15</v>
      </c>
      <c r="Z8" s="73">
        <v>0</v>
      </c>
      <c r="AA8" s="73">
        <v>0</v>
      </c>
      <c r="AB8" s="73">
        <v>0</v>
      </c>
      <c r="AC8" s="73">
        <f t="shared" si="4"/>
        <v>15</v>
      </c>
      <c r="AD8" s="73">
        <v>0</v>
      </c>
    </row>
    <row r="9" spans="1:30">
      <c r="A9" s="77" t="s">
        <v>374</v>
      </c>
      <c r="B9" s="69">
        <v>8</v>
      </c>
      <c r="C9" s="69">
        <v>0</v>
      </c>
      <c r="D9" s="69">
        <v>0</v>
      </c>
      <c r="E9" s="69">
        <f t="shared" si="0"/>
        <v>8</v>
      </c>
      <c r="F9" s="70">
        <v>0</v>
      </c>
      <c r="G9" s="70">
        <v>6</v>
      </c>
      <c r="H9" s="70">
        <v>0</v>
      </c>
      <c r="I9" s="71">
        <f t="shared" si="1"/>
        <v>6</v>
      </c>
      <c r="J9" s="70"/>
      <c r="K9" s="70">
        <v>1</v>
      </c>
      <c r="L9" s="70"/>
      <c r="M9" s="70">
        <v>2</v>
      </c>
      <c r="N9" s="72">
        <f t="shared" si="2"/>
        <v>3</v>
      </c>
      <c r="O9" s="70">
        <v>0</v>
      </c>
      <c r="P9" s="70">
        <v>0</v>
      </c>
      <c r="Q9" s="70">
        <v>1</v>
      </c>
      <c r="R9" s="71">
        <f t="shared" si="3"/>
        <v>1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6"/>
      <c r="Y9" s="73">
        <v>8</v>
      </c>
      <c r="Z9" s="73">
        <v>0</v>
      </c>
      <c r="AA9" s="73">
        <v>0</v>
      </c>
      <c r="AB9" s="73">
        <v>0</v>
      </c>
      <c r="AC9" s="73">
        <f t="shared" si="4"/>
        <v>8</v>
      </c>
      <c r="AD9" s="73">
        <v>0</v>
      </c>
    </row>
    <row r="10" spans="1:30">
      <c r="A10" s="78" t="s">
        <v>375</v>
      </c>
      <c r="B10" s="79">
        <v>4</v>
      </c>
      <c r="C10" s="79">
        <v>0</v>
      </c>
      <c r="D10" s="79">
        <v>1</v>
      </c>
      <c r="E10" s="69">
        <f t="shared" si="0"/>
        <v>5</v>
      </c>
      <c r="F10" s="80">
        <v>0</v>
      </c>
      <c r="G10" s="80">
        <v>4</v>
      </c>
      <c r="H10" s="80">
        <v>0</v>
      </c>
      <c r="I10" s="71">
        <f t="shared" si="1"/>
        <v>4</v>
      </c>
      <c r="J10" s="80"/>
      <c r="K10" s="80"/>
      <c r="L10" s="80"/>
      <c r="M10" s="80"/>
      <c r="N10" s="72">
        <f t="shared" si="2"/>
        <v>0</v>
      </c>
      <c r="O10" s="80">
        <v>0</v>
      </c>
      <c r="P10" s="80">
        <v>0</v>
      </c>
      <c r="Q10" s="80">
        <v>1</v>
      </c>
      <c r="R10" s="71">
        <f t="shared" si="3"/>
        <v>1</v>
      </c>
      <c r="S10" s="80">
        <v>0</v>
      </c>
      <c r="T10" s="80">
        <v>0</v>
      </c>
      <c r="U10" s="80">
        <v>1</v>
      </c>
      <c r="V10" s="80">
        <v>0</v>
      </c>
      <c r="W10" s="80">
        <v>0</v>
      </c>
      <c r="X10" s="81"/>
      <c r="Y10" s="82">
        <v>5</v>
      </c>
      <c r="Z10" s="82">
        <v>0</v>
      </c>
      <c r="AA10" s="82">
        <v>0</v>
      </c>
      <c r="AB10" s="82">
        <v>0</v>
      </c>
      <c r="AC10" s="73">
        <f t="shared" si="4"/>
        <v>5</v>
      </c>
      <c r="AD10" s="82">
        <v>0</v>
      </c>
    </row>
    <row r="11" spans="1:30">
      <c r="A11" s="69" t="s">
        <v>376</v>
      </c>
      <c r="B11" s="69">
        <f t="shared" ref="B11:M11" si="5">SUM(B5:B10)</f>
        <v>58</v>
      </c>
      <c r="C11" s="69">
        <f t="shared" si="5"/>
        <v>7</v>
      </c>
      <c r="D11" s="69">
        <f t="shared" si="5"/>
        <v>3</v>
      </c>
      <c r="E11" s="69">
        <f t="shared" si="5"/>
        <v>68</v>
      </c>
      <c r="F11" s="69">
        <f t="shared" si="5"/>
        <v>0</v>
      </c>
      <c r="G11" s="69">
        <f t="shared" si="5"/>
        <v>61</v>
      </c>
      <c r="H11" s="69">
        <f t="shared" si="5"/>
        <v>0</v>
      </c>
      <c r="I11" s="71">
        <f t="shared" si="5"/>
        <v>61</v>
      </c>
      <c r="J11" s="70">
        <f t="shared" si="5"/>
        <v>0</v>
      </c>
      <c r="K11" s="70">
        <f t="shared" si="5"/>
        <v>2</v>
      </c>
      <c r="L11" s="70">
        <f t="shared" si="5"/>
        <v>1</v>
      </c>
      <c r="M11" s="70">
        <f t="shared" si="5"/>
        <v>4</v>
      </c>
      <c r="N11" s="72">
        <f t="shared" si="2"/>
        <v>7</v>
      </c>
      <c r="O11" s="70">
        <f>SUM(O5:O10)</f>
        <v>0</v>
      </c>
      <c r="P11" s="70">
        <f>SUM(P5:P10)</f>
        <v>0</v>
      </c>
      <c r="Q11" s="70">
        <f>SUM(Q5:Q10)</f>
        <v>6</v>
      </c>
      <c r="R11" s="71">
        <f t="shared" si="3"/>
        <v>6</v>
      </c>
      <c r="S11" s="70"/>
      <c r="T11" s="70"/>
      <c r="U11" s="70"/>
      <c r="V11" s="70"/>
      <c r="W11" s="70"/>
      <c r="X11" s="70"/>
      <c r="Y11" s="83">
        <f>SUM(Y5:Y10)</f>
        <v>65</v>
      </c>
      <c r="Z11" s="83">
        <f>SUM(Z5:Z10)</f>
        <v>0</v>
      </c>
      <c r="AA11" s="83">
        <f>SUM(AA5:AA10)</f>
        <v>0</v>
      </c>
      <c r="AB11" s="83">
        <f>SUM(AB5:AB10)</f>
        <v>3</v>
      </c>
      <c r="AC11" s="73">
        <f t="shared" si="4"/>
        <v>68</v>
      </c>
      <c r="AD11" s="83"/>
    </row>
    <row r="12" spans="1:30" ht="15.75" customHeight="1">
      <c r="A12" s="84"/>
      <c r="B12" s="84"/>
      <c r="C12" s="84"/>
      <c r="D12" s="84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6"/>
      <c r="S12" s="86"/>
      <c r="T12" s="86"/>
      <c r="U12" s="86"/>
      <c r="V12" s="86"/>
      <c r="W12" s="86"/>
      <c r="X12" s="86"/>
    </row>
    <row r="13" spans="1:30" ht="15.75" customHeight="1"/>
    <row r="14" spans="1:30" ht="15.75" customHeight="1"/>
    <row r="15" spans="1:30" ht="15.75" customHeight="1"/>
    <row r="16" spans="1:3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</sheetData>
  <mergeCells count="7">
    <mergeCell ref="S3:X3"/>
    <mergeCell ref="Y3:AC3"/>
    <mergeCell ref="A3:A4"/>
    <mergeCell ref="B3:E3"/>
    <mergeCell ref="F3:G3"/>
    <mergeCell ref="J3:N3"/>
    <mergeCell ref="O3:R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6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9.7109375" customWidth="1"/>
    <col min="2" max="2" width="21" customWidth="1"/>
    <col min="3" max="3" width="6.28515625" customWidth="1"/>
    <col min="7" max="7" width="6.7109375" customWidth="1"/>
    <col min="8" max="8" width="7.140625" customWidth="1"/>
    <col min="9" max="9" width="6.28515625" customWidth="1"/>
    <col min="10" max="10" width="7.140625" customWidth="1"/>
    <col min="11" max="11" width="7.5703125" customWidth="1"/>
    <col min="12" max="12" width="6.28515625" customWidth="1"/>
    <col min="13" max="13" width="6" customWidth="1"/>
    <col min="14" max="14" width="6.28515625" customWidth="1"/>
    <col min="15" max="16" width="5.85546875" customWidth="1"/>
    <col min="17" max="17" width="7.5703125" customWidth="1"/>
    <col min="18" max="18" width="6.28515625" customWidth="1"/>
    <col min="19" max="19" width="6.5703125" customWidth="1"/>
    <col min="20" max="20" width="5.5703125" customWidth="1"/>
    <col min="21" max="21" width="4.7109375" customWidth="1"/>
    <col min="22" max="22" width="5.28515625" customWidth="1"/>
    <col min="26" max="26" width="7.42578125" customWidth="1"/>
    <col min="29" max="29" width="5.5703125" customWidth="1"/>
    <col min="30" max="30" width="7.5703125" customWidth="1"/>
    <col min="31" max="31" width="7.140625" customWidth="1"/>
    <col min="32" max="32" width="8.42578125" customWidth="1"/>
    <col min="33" max="33" width="7.85546875" customWidth="1"/>
    <col min="34" max="34" width="6.140625" customWidth="1"/>
    <col min="35" max="35" width="5.140625" customWidth="1"/>
    <col min="36" max="36" width="4.140625" customWidth="1"/>
    <col min="37" max="38" width="6.5703125" customWidth="1"/>
    <col min="41" max="41" width="8" customWidth="1"/>
    <col min="46" max="46" width="4.85546875" customWidth="1"/>
    <col min="47" max="47" width="5.140625" customWidth="1"/>
    <col min="48" max="48" width="8" customWidth="1"/>
    <col min="50" max="50" width="8.42578125" customWidth="1"/>
    <col min="51" max="51" width="8.28515625" customWidth="1"/>
    <col min="52" max="52" width="5.7109375" customWidth="1"/>
    <col min="53" max="53" width="5.28515625" customWidth="1"/>
    <col min="54" max="54" width="6.140625" customWidth="1"/>
    <col min="55" max="55" width="4.85546875" customWidth="1"/>
  </cols>
  <sheetData>
    <row r="1" spans="1:96">
      <c r="A1" s="479" t="s">
        <v>377</v>
      </c>
      <c r="B1" s="480"/>
      <c r="C1" s="479" t="s">
        <v>378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72" t="s">
        <v>16</v>
      </c>
      <c r="BI1" s="473"/>
      <c r="BJ1" s="473"/>
      <c r="BK1" s="473"/>
      <c r="BL1" s="474"/>
      <c r="BM1" s="455" t="s">
        <v>17</v>
      </c>
      <c r="BN1" s="456"/>
      <c r="BO1" s="461"/>
      <c r="BP1" s="475" t="s">
        <v>18</v>
      </c>
      <c r="BQ1" s="476"/>
      <c r="BR1" s="3"/>
      <c r="BS1" s="3"/>
      <c r="BT1" s="475" t="s">
        <v>19</v>
      </c>
      <c r="BU1" s="473"/>
      <c r="BV1" s="473"/>
      <c r="BW1" s="473"/>
      <c r="BX1" s="473"/>
      <c r="BY1" s="463" t="s">
        <v>20</v>
      </c>
      <c r="BZ1" s="456"/>
      <c r="CA1" s="461"/>
      <c r="CB1" s="465" t="s">
        <v>21</v>
      </c>
      <c r="CC1" s="466"/>
      <c r="CD1" s="4" t="s">
        <v>22</v>
      </c>
      <c r="CE1" s="465" t="s">
        <v>23</v>
      </c>
      <c r="CF1" s="469"/>
      <c r="CG1" s="463" t="s">
        <v>16</v>
      </c>
      <c r="CH1" s="456"/>
      <c r="CI1" s="464"/>
      <c r="CJ1" s="455" t="s">
        <v>24</v>
      </c>
      <c r="CK1" s="456"/>
      <c r="CL1" s="457" t="s">
        <v>25</v>
      </c>
      <c r="CM1" s="456"/>
      <c r="CN1" s="5"/>
      <c r="CO1" s="6" t="s">
        <v>26</v>
      </c>
      <c r="CP1" s="7"/>
      <c r="CQ1" s="8"/>
      <c r="CR1" s="9"/>
    </row>
    <row r="2" spans="1:96">
      <c r="BM2" s="477" t="s">
        <v>27</v>
      </c>
      <c r="BN2" s="478"/>
      <c r="BO2" s="478"/>
      <c r="BP2" s="478"/>
      <c r="BQ2" s="478"/>
      <c r="BR2" s="478"/>
      <c r="BS2" s="478"/>
    </row>
    <row r="3" spans="1:96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21" t="s">
        <v>74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29" t="s">
        <v>84</v>
      </c>
      <c r="BK3" s="29" t="s">
        <v>85</v>
      </c>
      <c r="BL3" s="29" t="s">
        <v>86</v>
      </c>
      <c r="BM3" s="21" t="s">
        <v>73</v>
      </c>
      <c r="BN3" s="34" t="s">
        <v>87</v>
      </c>
      <c r="BO3" s="22" t="s">
        <v>56</v>
      </c>
      <c r="BP3" s="35" t="s">
        <v>83</v>
      </c>
      <c r="BQ3" s="36" t="s">
        <v>88</v>
      </c>
      <c r="BR3" s="37" t="s">
        <v>89</v>
      </c>
      <c r="BS3" s="37"/>
      <c r="BT3" s="35" t="s">
        <v>90</v>
      </c>
      <c r="BU3" s="38" t="s">
        <v>91</v>
      </c>
      <c r="BV3" s="38" t="s">
        <v>92</v>
      </c>
      <c r="BW3" s="38" t="s">
        <v>93</v>
      </c>
      <c r="BX3" s="39" t="s">
        <v>94</v>
      </c>
      <c r="BY3" s="40" t="s">
        <v>56</v>
      </c>
      <c r="BZ3" s="40" t="s">
        <v>73</v>
      </c>
      <c r="CA3" s="41" t="s">
        <v>22</v>
      </c>
      <c r="CB3" s="40" t="s">
        <v>56</v>
      </c>
      <c r="CC3" s="29" t="s">
        <v>73</v>
      </c>
      <c r="CD3" s="29" t="s">
        <v>95</v>
      </c>
      <c r="CE3" s="29" t="s">
        <v>83</v>
      </c>
      <c r="CF3" s="29" t="s">
        <v>88</v>
      </c>
      <c r="CG3" s="20" t="s">
        <v>96</v>
      </c>
      <c r="CH3" s="42" t="s">
        <v>97</v>
      </c>
      <c r="CI3" s="21" t="s">
        <v>98</v>
      </c>
      <c r="CJ3" s="21" t="s">
        <v>73</v>
      </c>
      <c r="CK3" s="22" t="s">
        <v>56</v>
      </c>
      <c r="CL3" s="20" t="s">
        <v>99</v>
      </c>
      <c r="CM3" s="22" t="s">
        <v>56</v>
      </c>
      <c r="CN3" s="43"/>
      <c r="CO3" s="458" t="s">
        <v>100</v>
      </c>
      <c r="CP3" s="459"/>
      <c r="CQ3" s="44" t="s">
        <v>101</v>
      </c>
      <c r="CR3" s="45" t="s">
        <v>102</v>
      </c>
    </row>
    <row r="4" spans="1:96">
      <c r="A4" s="46" t="s">
        <v>379</v>
      </c>
      <c r="B4" s="46" t="s">
        <v>380</v>
      </c>
      <c r="C4" s="46">
        <v>31</v>
      </c>
      <c r="D4" s="46" t="s">
        <v>381</v>
      </c>
      <c r="F4" s="46" t="s">
        <v>112</v>
      </c>
      <c r="G4" s="46">
        <v>1</v>
      </c>
      <c r="M4" s="46">
        <v>1</v>
      </c>
      <c r="R4" s="46">
        <v>1</v>
      </c>
      <c r="T4" s="46">
        <v>1</v>
      </c>
      <c r="W4" s="46">
        <v>14</v>
      </c>
      <c r="X4" s="46">
        <v>16</v>
      </c>
      <c r="Y4" s="46">
        <v>19</v>
      </c>
      <c r="Z4" s="46">
        <v>6</v>
      </c>
      <c r="AA4" s="46">
        <v>6</v>
      </c>
      <c r="AB4" s="46">
        <v>5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V4" s="46">
        <v>1</v>
      </c>
      <c r="BY4" s="46">
        <v>1</v>
      </c>
      <c r="CB4" s="46">
        <v>1</v>
      </c>
      <c r="CG4" s="46">
        <v>1</v>
      </c>
      <c r="CK4" s="46">
        <v>1</v>
      </c>
      <c r="CM4" s="46">
        <v>1</v>
      </c>
    </row>
    <row r="5" spans="1:96">
      <c r="A5" s="46" t="s">
        <v>382</v>
      </c>
      <c r="B5" s="46" t="s">
        <v>383</v>
      </c>
      <c r="C5" s="46">
        <v>26</v>
      </c>
      <c r="D5" s="46" t="s">
        <v>384</v>
      </c>
      <c r="F5" s="46" t="s">
        <v>112</v>
      </c>
      <c r="J5" s="46">
        <v>1</v>
      </c>
      <c r="M5" s="46">
        <v>1</v>
      </c>
      <c r="R5" s="46">
        <v>1</v>
      </c>
      <c r="T5" s="46">
        <v>1</v>
      </c>
      <c r="W5" s="46">
        <v>16</v>
      </c>
      <c r="X5" s="46">
        <v>18</v>
      </c>
      <c r="Y5" s="46">
        <v>18</v>
      </c>
      <c r="Z5" s="46">
        <v>3</v>
      </c>
      <c r="AA5" s="46">
        <v>3</v>
      </c>
      <c r="AB5" s="46">
        <v>3</v>
      </c>
      <c r="AE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Y5" s="46">
        <v>1</v>
      </c>
      <c r="CB5" s="46">
        <v>1</v>
      </c>
      <c r="CG5" s="46">
        <v>1</v>
      </c>
      <c r="CK5" s="46">
        <v>1</v>
      </c>
      <c r="CM5" s="46">
        <v>1</v>
      </c>
    </row>
    <row r="6" spans="1:96">
      <c r="A6" s="46" t="s">
        <v>385</v>
      </c>
      <c r="B6" s="46" t="s">
        <v>386</v>
      </c>
      <c r="C6" s="46">
        <v>25</v>
      </c>
      <c r="D6" s="46" t="s">
        <v>387</v>
      </c>
      <c r="E6" s="46" t="s">
        <v>388</v>
      </c>
      <c r="F6" s="46" t="s">
        <v>389</v>
      </c>
      <c r="G6" s="46">
        <v>1</v>
      </c>
      <c r="M6" s="46">
        <v>1</v>
      </c>
      <c r="Q6" s="46">
        <v>1</v>
      </c>
      <c r="S6" s="46">
        <v>1</v>
      </c>
      <c r="W6" s="46">
        <v>15</v>
      </c>
      <c r="X6" s="46">
        <v>19</v>
      </c>
      <c r="Y6" s="46">
        <v>19</v>
      </c>
      <c r="Z6" s="46">
        <v>1</v>
      </c>
      <c r="AA6" s="46">
        <v>1</v>
      </c>
      <c r="AB6" s="46">
        <v>1</v>
      </c>
      <c r="AE6" s="46">
        <v>1</v>
      </c>
      <c r="AG6" s="46">
        <v>1</v>
      </c>
      <c r="AH6" s="46">
        <v>1</v>
      </c>
      <c r="AI6" s="46">
        <v>1</v>
      </c>
      <c r="AL6" s="46">
        <v>1</v>
      </c>
      <c r="AO6" s="46">
        <v>1</v>
      </c>
      <c r="AT6" s="46">
        <v>1</v>
      </c>
      <c r="AW6" s="46">
        <v>1</v>
      </c>
      <c r="BA6" s="46">
        <v>1</v>
      </c>
      <c r="BI6" s="46">
        <v>1</v>
      </c>
      <c r="BY6" s="46">
        <v>1</v>
      </c>
      <c r="CB6" s="46">
        <v>1</v>
      </c>
      <c r="CG6" s="46">
        <v>1</v>
      </c>
      <c r="CK6" s="46">
        <v>1</v>
      </c>
      <c r="CM6" s="46">
        <v>1</v>
      </c>
    </row>
    <row r="7" spans="1:96">
      <c r="A7" s="46" t="s">
        <v>390</v>
      </c>
      <c r="B7" s="46" t="s">
        <v>391</v>
      </c>
      <c r="C7" s="46">
        <v>22</v>
      </c>
      <c r="D7" s="46" t="s">
        <v>392</v>
      </c>
      <c r="F7" s="46" t="s">
        <v>112</v>
      </c>
      <c r="G7" s="46">
        <v>1</v>
      </c>
      <c r="M7" s="46">
        <v>1</v>
      </c>
      <c r="Q7" s="46">
        <v>1</v>
      </c>
      <c r="T7" s="46">
        <v>1</v>
      </c>
      <c r="W7" s="46">
        <v>16</v>
      </c>
      <c r="X7" s="46">
        <v>16</v>
      </c>
      <c r="Y7" s="46">
        <v>18</v>
      </c>
      <c r="Z7" s="46">
        <v>1</v>
      </c>
      <c r="AA7" s="46">
        <v>1</v>
      </c>
      <c r="AB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Y7" s="46">
        <v>1</v>
      </c>
      <c r="CB7" s="46">
        <v>1</v>
      </c>
      <c r="CG7" s="46">
        <v>1</v>
      </c>
      <c r="CK7" s="46">
        <v>1</v>
      </c>
      <c r="CM7" s="46">
        <v>1</v>
      </c>
    </row>
    <row r="8" spans="1:96">
      <c r="A8" s="46" t="s">
        <v>393</v>
      </c>
      <c r="B8" s="46" t="s">
        <v>394</v>
      </c>
      <c r="C8" s="46">
        <v>28</v>
      </c>
      <c r="D8" s="46" t="s">
        <v>395</v>
      </c>
      <c r="F8" s="46" t="s">
        <v>112</v>
      </c>
      <c r="H8" s="46">
        <v>1</v>
      </c>
      <c r="M8" s="46">
        <v>1</v>
      </c>
      <c r="Q8" s="46">
        <v>1</v>
      </c>
      <c r="T8" s="46">
        <v>1</v>
      </c>
      <c r="W8" s="46">
        <v>19</v>
      </c>
      <c r="X8" s="46">
        <v>20</v>
      </c>
      <c r="Y8" s="46">
        <v>20</v>
      </c>
      <c r="Z8" s="46">
        <v>4</v>
      </c>
      <c r="AA8" s="46">
        <v>4</v>
      </c>
      <c r="AB8" s="46">
        <v>4</v>
      </c>
      <c r="AG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Y8" s="46">
        <v>1</v>
      </c>
      <c r="CB8" s="46">
        <v>1</v>
      </c>
      <c r="CG8" s="46">
        <v>1</v>
      </c>
      <c r="CK8" s="46">
        <v>1</v>
      </c>
      <c r="CM8" s="46">
        <v>1</v>
      </c>
    </row>
    <row r="9" spans="1:96">
      <c r="A9" s="46" t="s">
        <v>396</v>
      </c>
      <c r="B9" s="46" t="s">
        <v>397</v>
      </c>
      <c r="C9" s="46">
        <v>35</v>
      </c>
      <c r="D9" s="46" t="s">
        <v>398</v>
      </c>
      <c r="F9" s="46" t="s">
        <v>399</v>
      </c>
      <c r="I9" s="46">
        <v>1</v>
      </c>
      <c r="M9" s="46">
        <v>1</v>
      </c>
      <c r="R9" s="46">
        <v>1</v>
      </c>
      <c r="T9" s="46">
        <v>1</v>
      </c>
      <c r="W9" s="46">
        <v>14</v>
      </c>
      <c r="X9" s="46">
        <v>15</v>
      </c>
      <c r="Y9" s="46">
        <v>20</v>
      </c>
      <c r="Z9" s="46">
        <v>5</v>
      </c>
      <c r="AA9" s="46">
        <v>5</v>
      </c>
      <c r="AB9" s="46">
        <v>5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Y9" s="46">
        <v>1</v>
      </c>
      <c r="CB9" s="46">
        <v>1</v>
      </c>
      <c r="CG9" s="46">
        <v>1</v>
      </c>
      <c r="CK9" s="46">
        <v>1</v>
      </c>
      <c r="CM9" s="46">
        <v>1</v>
      </c>
    </row>
    <row r="10" spans="1:96">
      <c r="A10" s="46" t="s">
        <v>400</v>
      </c>
      <c r="B10" s="46" t="s">
        <v>401</v>
      </c>
      <c r="C10" s="46">
        <v>42</v>
      </c>
      <c r="D10" s="46" t="s">
        <v>402</v>
      </c>
      <c r="F10" s="46" t="s">
        <v>112</v>
      </c>
      <c r="G10" s="46">
        <v>1</v>
      </c>
      <c r="M10" s="46">
        <v>1</v>
      </c>
      <c r="R10" s="46">
        <v>1</v>
      </c>
      <c r="T10" s="46">
        <v>1</v>
      </c>
      <c r="W10" s="46">
        <v>18</v>
      </c>
      <c r="X10" s="46">
        <v>21</v>
      </c>
      <c r="Y10" s="46">
        <v>22</v>
      </c>
      <c r="Z10" s="46">
        <v>10</v>
      </c>
      <c r="AA10" s="46">
        <v>9</v>
      </c>
      <c r="AB10" s="46">
        <v>9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I10" s="46">
        <v>1</v>
      </c>
      <c r="BY10" s="46">
        <v>1</v>
      </c>
      <c r="CB10" s="46">
        <v>1</v>
      </c>
      <c r="CG10" s="46">
        <v>1</v>
      </c>
      <c r="CK10" s="46">
        <v>1</v>
      </c>
      <c r="CM10" s="46">
        <v>1</v>
      </c>
    </row>
    <row r="11" spans="1:96">
      <c r="A11" s="46" t="s">
        <v>403</v>
      </c>
      <c r="B11" s="46" t="s">
        <v>404</v>
      </c>
      <c r="C11" s="46">
        <v>27</v>
      </c>
      <c r="D11" s="46" t="s">
        <v>405</v>
      </c>
      <c r="F11" s="46" t="s">
        <v>112</v>
      </c>
      <c r="H11" s="46">
        <v>1</v>
      </c>
      <c r="M11" s="46">
        <v>1</v>
      </c>
      <c r="R11" s="46">
        <v>1</v>
      </c>
      <c r="T11" s="46">
        <v>1</v>
      </c>
      <c r="W11" s="46">
        <v>15</v>
      </c>
      <c r="X11" s="46">
        <v>18</v>
      </c>
      <c r="Y11" s="46">
        <v>18</v>
      </c>
      <c r="Z11" s="46">
        <v>6</v>
      </c>
      <c r="AA11" s="46">
        <v>6</v>
      </c>
      <c r="AB11" s="46">
        <v>6</v>
      </c>
      <c r="AE11" s="46">
        <v>1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V11" s="46">
        <v>1</v>
      </c>
      <c r="BY11" s="46">
        <v>1</v>
      </c>
      <c r="CB11" s="46">
        <v>1</v>
      </c>
      <c r="CG11" s="46">
        <v>1</v>
      </c>
      <c r="CK11" s="46">
        <v>1</v>
      </c>
      <c r="CM11" s="46">
        <v>1</v>
      </c>
    </row>
    <row r="12" spans="1:96">
      <c r="A12" s="46" t="s">
        <v>406</v>
      </c>
      <c r="B12" s="46" t="s">
        <v>407</v>
      </c>
      <c r="C12" s="46">
        <v>24</v>
      </c>
      <c r="D12" s="46" t="s">
        <v>405</v>
      </c>
      <c r="F12" s="46" t="s">
        <v>112</v>
      </c>
      <c r="G12" s="46">
        <v>1</v>
      </c>
      <c r="M12" s="46">
        <v>1</v>
      </c>
      <c r="R12" s="46">
        <v>1</v>
      </c>
      <c r="T12" s="46">
        <v>1</v>
      </c>
      <c r="W12" s="46">
        <v>12</v>
      </c>
      <c r="X12" s="46">
        <v>18</v>
      </c>
      <c r="Y12" s="46">
        <v>19</v>
      </c>
      <c r="Z12" s="46">
        <v>2</v>
      </c>
      <c r="AA12" s="46">
        <v>2</v>
      </c>
      <c r="AB12" s="46">
        <v>2</v>
      </c>
      <c r="AE12" s="46">
        <v>1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V12" s="46">
        <v>1</v>
      </c>
      <c r="BY12" s="46">
        <v>1</v>
      </c>
      <c r="CB12" s="46">
        <v>1</v>
      </c>
      <c r="CG12" s="46">
        <v>1</v>
      </c>
      <c r="CK12" s="46">
        <v>1</v>
      </c>
      <c r="CM12" s="46">
        <v>1</v>
      </c>
    </row>
    <row r="13" spans="1:96">
      <c r="A13" s="46" t="s">
        <v>408</v>
      </c>
      <c r="B13" s="46" t="s">
        <v>409</v>
      </c>
      <c r="C13" s="46">
        <v>22</v>
      </c>
      <c r="D13" s="46" t="s">
        <v>410</v>
      </c>
      <c r="E13" s="46" t="s">
        <v>411</v>
      </c>
      <c r="F13" s="46" t="s">
        <v>145</v>
      </c>
      <c r="G13" s="46">
        <v>1</v>
      </c>
      <c r="M13" s="46">
        <v>1</v>
      </c>
      <c r="Q13" s="46">
        <v>1</v>
      </c>
      <c r="T13" s="46">
        <v>1</v>
      </c>
      <c r="W13" s="46">
        <v>13</v>
      </c>
      <c r="X13" s="46">
        <v>15</v>
      </c>
      <c r="Y13" s="46">
        <v>15</v>
      </c>
      <c r="Z13" s="46">
        <v>2</v>
      </c>
      <c r="AA13" s="46">
        <v>2</v>
      </c>
      <c r="AB13" s="46">
        <v>2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V13" s="46">
        <v>1</v>
      </c>
      <c r="BY13" s="46">
        <v>1</v>
      </c>
      <c r="CB13" s="46">
        <v>1</v>
      </c>
      <c r="CG13" s="46">
        <v>1</v>
      </c>
      <c r="CK13" s="46">
        <v>1</v>
      </c>
      <c r="CM13" s="46">
        <v>1</v>
      </c>
    </row>
    <row r="14" spans="1:96">
      <c r="A14" s="46" t="s">
        <v>412</v>
      </c>
      <c r="B14" s="46" t="s">
        <v>413</v>
      </c>
      <c r="C14" s="46">
        <v>23</v>
      </c>
      <c r="D14" s="46" t="s">
        <v>414</v>
      </c>
      <c r="F14" s="46" t="s">
        <v>415</v>
      </c>
      <c r="G14" s="46">
        <v>1</v>
      </c>
      <c r="M14" s="46">
        <v>1</v>
      </c>
      <c r="Q14" s="46">
        <v>1</v>
      </c>
      <c r="U14" s="46">
        <v>1</v>
      </c>
      <c r="W14" s="46">
        <v>14</v>
      </c>
      <c r="X14" s="46">
        <v>15</v>
      </c>
      <c r="Y14" s="46">
        <v>19</v>
      </c>
      <c r="Z14" s="46">
        <v>1</v>
      </c>
      <c r="AA14" s="46">
        <v>1</v>
      </c>
      <c r="AB14" s="46">
        <v>1</v>
      </c>
      <c r="AF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Y14" s="46">
        <v>1</v>
      </c>
      <c r="CB14" s="46">
        <v>1</v>
      </c>
      <c r="CG14" s="46">
        <v>1</v>
      </c>
      <c r="CK14" s="46">
        <v>1</v>
      </c>
      <c r="CM14" s="46">
        <v>1</v>
      </c>
    </row>
    <row r="15" spans="1:96">
      <c r="A15" s="46" t="s">
        <v>416</v>
      </c>
      <c r="B15" s="46" t="s">
        <v>417</v>
      </c>
      <c r="C15" s="46">
        <v>24</v>
      </c>
      <c r="D15" s="46" t="s">
        <v>418</v>
      </c>
      <c r="E15" s="46" t="s">
        <v>419</v>
      </c>
      <c r="F15" s="46" t="s">
        <v>420</v>
      </c>
      <c r="G15" s="46">
        <v>1</v>
      </c>
      <c r="M15" s="46">
        <v>1</v>
      </c>
      <c r="Q15" s="46">
        <v>1</v>
      </c>
      <c r="T15" s="46">
        <v>1</v>
      </c>
      <c r="W15" s="46">
        <v>15</v>
      </c>
      <c r="X15" s="46">
        <v>17</v>
      </c>
      <c r="Y15" s="46">
        <v>18</v>
      </c>
      <c r="Z15" s="46">
        <v>5</v>
      </c>
      <c r="AA15" s="46">
        <v>4</v>
      </c>
      <c r="AB15" s="46">
        <v>4</v>
      </c>
      <c r="AD15" s="46">
        <v>1</v>
      </c>
      <c r="AE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V15" s="46">
        <v>1</v>
      </c>
      <c r="BY15" s="46">
        <v>1</v>
      </c>
      <c r="CB15" s="46">
        <v>1</v>
      </c>
      <c r="CG15" s="46">
        <v>1</v>
      </c>
      <c r="CK15" s="46">
        <v>1</v>
      </c>
      <c r="CM15" s="46">
        <v>1</v>
      </c>
    </row>
    <row r="16" spans="1:96">
      <c r="A16" s="46" t="s">
        <v>421</v>
      </c>
      <c r="B16" s="46" t="s">
        <v>422</v>
      </c>
      <c r="C16" s="46">
        <v>36</v>
      </c>
      <c r="D16" s="46" t="s">
        <v>387</v>
      </c>
      <c r="F16" s="46" t="s">
        <v>399</v>
      </c>
      <c r="J16" s="46">
        <v>1</v>
      </c>
      <c r="M16" s="46">
        <v>1</v>
      </c>
      <c r="Q16" s="46">
        <v>1</v>
      </c>
      <c r="T16" s="46">
        <v>1</v>
      </c>
      <c r="W16" s="46">
        <v>13</v>
      </c>
      <c r="X16" s="46">
        <v>13</v>
      </c>
      <c r="Y16" s="46">
        <v>14</v>
      </c>
      <c r="Z16" s="46">
        <v>7</v>
      </c>
      <c r="AA16" s="46">
        <v>7</v>
      </c>
      <c r="AB16" s="46">
        <v>5</v>
      </c>
      <c r="AE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V16" s="46">
        <v>1</v>
      </c>
      <c r="BY16" s="46">
        <v>1</v>
      </c>
      <c r="CB16" s="46">
        <v>1</v>
      </c>
      <c r="CG16" s="46">
        <v>1</v>
      </c>
      <c r="CK16" s="46">
        <v>1</v>
      </c>
      <c r="CM16" s="46">
        <v>1</v>
      </c>
    </row>
    <row r="17" spans="1:91">
      <c r="A17" s="46" t="s">
        <v>423</v>
      </c>
      <c r="B17" s="46" t="s">
        <v>424</v>
      </c>
      <c r="C17" s="46">
        <v>28</v>
      </c>
      <c r="D17" s="46" t="s">
        <v>425</v>
      </c>
      <c r="E17" s="46" t="s">
        <v>426</v>
      </c>
      <c r="F17" s="46" t="s">
        <v>107</v>
      </c>
      <c r="J17" s="46">
        <v>1</v>
      </c>
      <c r="M17" s="46">
        <v>1</v>
      </c>
      <c r="Q17" s="46">
        <v>1</v>
      </c>
      <c r="U17" s="46">
        <v>1</v>
      </c>
      <c r="W17" s="46">
        <v>16</v>
      </c>
      <c r="X17" s="46">
        <v>20</v>
      </c>
      <c r="Y17" s="46">
        <v>21</v>
      </c>
      <c r="Z17" s="46">
        <v>5</v>
      </c>
      <c r="AA17" s="46">
        <v>5</v>
      </c>
      <c r="AB17" s="46">
        <v>5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V17" s="46">
        <v>1</v>
      </c>
      <c r="BY17" s="46">
        <v>1</v>
      </c>
      <c r="CB17" s="46">
        <v>1</v>
      </c>
      <c r="CG17" s="46">
        <v>1</v>
      </c>
      <c r="CK17" s="46">
        <v>1</v>
      </c>
      <c r="CM17" s="46">
        <v>1</v>
      </c>
    </row>
    <row r="18" spans="1:91">
      <c r="A18" s="46" t="s">
        <v>427</v>
      </c>
      <c r="B18" s="46" t="s">
        <v>428</v>
      </c>
      <c r="C18" s="46">
        <v>35</v>
      </c>
      <c r="D18" s="46" t="s">
        <v>410</v>
      </c>
      <c r="E18" s="46" t="s">
        <v>429</v>
      </c>
      <c r="F18" s="46" t="s">
        <v>145</v>
      </c>
      <c r="J18" s="46">
        <v>1</v>
      </c>
      <c r="O18" s="46">
        <v>1</v>
      </c>
      <c r="T18" s="46">
        <v>1</v>
      </c>
      <c r="W18" s="46">
        <v>16</v>
      </c>
      <c r="X18" s="46">
        <v>18</v>
      </c>
      <c r="Y18" s="46">
        <v>18</v>
      </c>
      <c r="Z18" s="46">
        <v>4</v>
      </c>
      <c r="AA18" s="46">
        <v>3</v>
      </c>
      <c r="AB18" s="46">
        <v>3</v>
      </c>
      <c r="AG18" s="46">
        <v>1</v>
      </c>
      <c r="AH18" s="46">
        <v>1</v>
      </c>
      <c r="AI18" s="46">
        <v>1</v>
      </c>
      <c r="AK18" s="46">
        <v>1</v>
      </c>
      <c r="AT18" s="46">
        <v>1</v>
      </c>
      <c r="AY18" s="46">
        <v>1</v>
      </c>
      <c r="BA18" s="46">
        <v>1</v>
      </c>
      <c r="BI18" s="46">
        <v>1</v>
      </c>
      <c r="BV18" s="46">
        <v>1</v>
      </c>
      <c r="BY18" s="46">
        <v>1</v>
      </c>
      <c r="CB18" s="46">
        <v>1</v>
      </c>
      <c r="CG18" s="46">
        <v>1</v>
      </c>
      <c r="CK18" s="46">
        <v>1</v>
      </c>
      <c r="CM18" s="46">
        <v>1</v>
      </c>
    </row>
    <row r="19" spans="1:91">
      <c r="A19" s="46" t="s">
        <v>430</v>
      </c>
      <c r="B19" s="46" t="s">
        <v>431</v>
      </c>
      <c r="C19" s="46">
        <v>40</v>
      </c>
      <c r="D19" s="46" t="s">
        <v>395</v>
      </c>
      <c r="E19" s="46" t="s">
        <v>432</v>
      </c>
      <c r="F19" s="46" t="s">
        <v>433</v>
      </c>
      <c r="G19" s="46">
        <v>1</v>
      </c>
      <c r="M19" s="46">
        <v>1</v>
      </c>
      <c r="R19" s="46">
        <v>1</v>
      </c>
      <c r="T19" s="46">
        <v>1</v>
      </c>
      <c r="W19" s="46">
        <v>17</v>
      </c>
      <c r="X19" s="46">
        <v>20</v>
      </c>
      <c r="Y19" s="46">
        <v>20</v>
      </c>
      <c r="Z19" s="46">
        <v>13</v>
      </c>
      <c r="AA19" s="46">
        <v>13</v>
      </c>
      <c r="AB19" s="46">
        <v>12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V19" s="46">
        <v>1</v>
      </c>
      <c r="BY19" s="46">
        <v>1</v>
      </c>
      <c r="CB19" s="46">
        <v>1</v>
      </c>
      <c r="CG19" s="46">
        <v>1</v>
      </c>
      <c r="CK19" s="46">
        <v>1</v>
      </c>
      <c r="CM19" s="46">
        <v>1</v>
      </c>
    </row>
    <row r="20" spans="1:91">
      <c r="A20" s="46" t="s">
        <v>434</v>
      </c>
      <c r="B20" s="46" t="s">
        <v>435</v>
      </c>
      <c r="C20" s="46">
        <v>18</v>
      </c>
      <c r="D20" s="46" t="s">
        <v>410</v>
      </c>
      <c r="F20" s="46" t="s">
        <v>420</v>
      </c>
      <c r="J20" s="46">
        <v>1</v>
      </c>
      <c r="M20" s="46">
        <v>1</v>
      </c>
      <c r="Q20" s="46">
        <v>1</v>
      </c>
      <c r="T20" s="46">
        <v>1</v>
      </c>
      <c r="W20" s="46">
        <v>12</v>
      </c>
      <c r="X20" s="46">
        <v>12</v>
      </c>
      <c r="Y20" s="46">
        <v>16</v>
      </c>
      <c r="Z20" s="46">
        <v>2</v>
      </c>
      <c r="AA20" s="46">
        <v>2</v>
      </c>
      <c r="AB20" s="46">
        <v>2</v>
      </c>
      <c r="AE20" s="46">
        <v>1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V20" s="46">
        <v>1</v>
      </c>
      <c r="BY20" s="46">
        <v>1</v>
      </c>
      <c r="CB20" s="46">
        <v>1</v>
      </c>
      <c r="CG20" s="46">
        <v>1</v>
      </c>
      <c r="CK20" s="46">
        <v>1</v>
      </c>
      <c r="CM20" s="46">
        <v>1</v>
      </c>
    </row>
    <row r="21" spans="1:91">
      <c r="A21" s="46" t="s">
        <v>436</v>
      </c>
      <c r="B21" s="46" t="s">
        <v>437</v>
      </c>
      <c r="C21" s="46">
        <v>29</v>
      </c>
      <c r="D21" s="46" t="s">
        <v>410</v>
      </c>
      <c r="E21" s="46" t="s">
        <v>438</v>
      </c>
      <c r="F21" s="46" t="s">
        <v>122</v>
      </c>
      <c r="I21" s="46">
        <v>1</v>
      </c>
      <c r="M21" s="46">
        <v>1</v>
      </c>
      <c r="R21" s="46">
        <v>1</v>
      </c>
      <c r="T21" s="46">
        <v>1</v>
      </c>
      <c r="W21" s="46">
        <v>12</v>
      </c>
      <c r="X21" s="46">
        <v>18</v>
      </c>
      <c r="Y21" s="46">
        <v>19</v>
      </c>
      <c r="Z21" s="46">
        <v>7</v>
      </c>
      <c r="AA21" s="46">
        <v>6</v>
      </c>
      <c r="AB21" s="46">
        <v>5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V21" s="46">
        <v>1</v>
      </c>
      <c r="BY21" s="46">
        <v>1</v>
      </c>
      <c r="CB21" s="46">
        <v>1</v>
      </c>
      <c r="CG21" s="46">
        <v>1</v>
      </c>
      <c r="CK21" s="46">
        <v>1</v>
      </c>
      <c r="CM21" s="46">
        <v>1</v>
      </c>
    </row>
    <row r="22" spans="1:91">
      <c r="A22" s="46" t="s">
        <v>439</v>
      </c>
      <c r="B22" s="46" t="s">
        <v>440</v>
      </c>
      <c r="C22" s="46">
        <v>43</v>
      </c>
      <c r="D22" s="46" t="s">
        <v>402</v>
      </c>
      <c r="F22" s="46" t="s">
        <v>415</v>
      </c>
      <c r="G22" s="46">
        <v>1</v>
      </c>
      <c r="O22" s="46">
        <v>1</v>
      </c>
      <c r="S22" s="46">
        <v>1</v>
      </c>
      <c r="W22" s="46">
        <v>14</v>
      </c>
      <c r="X22" s="46">
        <v>14</v>
      </c>
      <c r="Y22" s="46">
        <v>17</v>
      </c>
      <c r="Z22" s="46">
        <v>8</v>
      </c>
      <c r="AA22" s="46">
        <v>7</v>
      </c>
      <c r="AB22" s="46">
        <v>6</v>
      </c>
      <c r="AH22" s="46">
        <v>1</v>
      </c>
      <c r="AJ22" s="46">
        <v>1</v>
      </c>
      <c r="AK22" s="46">
        <v>1</v>
      </c>
      <c r="AT22" s="46">
        <v>1</v>
      </c>
      <c r="AZ22" s="46">
        <v>1</v>
      </c>
      <c r="BA22" s="46">
        <v>1</v>
      </c>
      <c r="BI22" s="46">
        <v>1</v>
      </c>
      <c r="BV22" s="46">
        <v>1</v>
      </c>
      <c r="BY22" s="46">
        <v>1</v>
      </c>
      <c r="CB22" s="46">
        <v>1</v>
      </c>
      <c r="CG22" s="46">
        <v>1</v>
      </c>
      <c r="CK22" s="46">
        <v>1</v>
      </c>
      <c r="CM22" s="46">
        <v>1</v>
      </c>
    </row>
    <row r="23" spans="1:91">
      <c r="A23" s="46" t="s">
        <v>441</v>
      </c>
      <c r="B23" s="46" t="s">
        <v>442</v>
      </c>
      <c r="C23" s="46">
        <v>51</v>
      </c>
      <c r="D23" s="46" t="s">
        <v>405</v>
      </c>
      <c r="E23" s="46" t="s">
        <v>443</v>
      </c>
      <c r="F23" s="46" t="s">
        <v>444</v>
      </c>
      <c r="H23" s="46">
        <v>1</v>
      </c>
      <c r="M23" s="46">
        <v>1</v>
      </c>
      <c r="R23" s="46">
        <v>1</v>
      </c>
      <c r="T23" s="46">
        <v>1</v>
      </c>
      <c r="W23" s="46">
        <v>14</v>
      </c>
      <c r="X23" s="46">
        <v>18</v>
      </c>
      <c r="Y23" s="46">
        <v>20</v>
      </c>
      <c r="Z23" s="46">
        <v>5</v>
      </c>
      <c r="AA23" s="46">
        <v>5</v>
      </c>
      <c r="AB23" s="46">
        <v>4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V23" s="46">
        <v>1</v>
      </c>
      <c r="BY23" s="46">
        <v>1</v>
      </c>
      <c r="CB23" s="46">
        <v>1</v>
      </c>
      <c r="CG23" s="46">
        <v>1</v>
      </c>
      <c r="CK23" s="46">
        <v>1</v>
      </c>
      <c r="CM23" s="46">
        <v>1</v>
      </c>
    </row>
    <row r="24" spans="1:91">
      <c r="A24" s="46" t="s">
        <v>445</v>
      </c>
      <c r="B24" s="46" t="s">
        <v>446</v>
      </c>
      <c r="C24" s="46">
        <v>48</v>
      </c>
      <c r="D24" s="46" t="s">
        <v>447</v>
      </c>
      <c r="E24" s="46" t="s">
        <v>448</v>
      </c>
      <c r="F24" s="46" t="s">
        <v>415</v>
      </c>
      <c r="H24" s="46">
        <v>1</v>
      </c>
      <c r="M24" s="46">
        <v>1</v>
      </c>
      <c r="R24" s="46">
        <v>1</v>
      </c>
      <c r="T24" s="46">
        <v>1</v>
      </c>
      <c r="W24" s="46">
        <v>17</v>
      </c>
      <c r="X24" s="46">
        <v>19</v>
      </c>
      <c r="Y24" s="46">
        <v>20</v>
      </c>
      <c r="Z24" s="46">
        <v>9</v>
      </c>
      <c r="AA24" s="46">
        <v>9</v>
      </c>
      <c r="AB24" s="46">
        <v>7</v>
      </c>
      <c r="AE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V24" s="46">
        <v>1</v>
      </c>
      <c r="BY24" s="46">
        <v>1</v>
      </c>
      <c r="CB24" s="46">
        <v>1</v>
      </c>
      <c r="CG24" s="46">
        <v>1</v>
      </c>
      <c r="CK24" s="46">
        <v>1</v>
      </c>
      <c r="CM24" s="46">
        <v>1</v>
      </c>
    </row>
    <row r="25" spans="1:91">
      <c r="A25" s="46" t="s">
        <v>449</v>
      </c>
      <c r="B25" s="46" t="s">
        <v>450</v>
      </c>
      <c r="C25" s="46">
        <v>54</v>
      </c>
      <c r="D25" s="46" t="s">
        <v>447</v>
      </c>
      <c r="E25" s="46" t="s">
        <v>451</v>
      </c>
      <c r="F25" s="46" t="s">
        <v>444</v>
      </c>
      <c r="H25" s="46">
        <v>1</v>
      </c>
      <c r="O25" s="46">
        <v>1</v>
      </c>
      <c r="Q25" s="46">
        <v>1</v>
      </c>
      <c r="T25" s="46">
        <v>1</v>
      </c>
      <c r="W25" s="46">
        <v>14</v>
      </c>
      <c r="X25" s="46">
        <v>18</v>
      </c>
      <c r="Y25" s="46">
        <v>19</v>
      </c>
      <c r="Z25" s="46">
        <v>13</v>
      </c>
      <c r="AA25" s="46">
        <v>13</v>
      </c>
      <c r="AB25" s="46">
        <v>7</v>
      </c>
      <c r="AC25" s="46">
        <v>1</v>
      </c>
      <c r="AI25" s="46">
        <v>1</v>
      </c>
      <c r="AM25" s="46">
        <v>1</v>
      </c>
      <c r="AT25" s="46">
        <v>1</v>
      </c>
      <c r="AW25" s="46">
        <v>1</v>
      </c>
      <c r="BA25" s="46">
        <v>1</v>
      </c>
      <c r="BI25" s="46">
        <v>1</v>
      </c>
      <c r="BV25" s="46">
        <v>1</v>
      </c>
      <c r="BY25" s="46">
        <v>1</v>
      </c>
      <c r="CB25" s="46">
        <v>1</v>
      </c>
      <c r="CG25" s="46">
        <v>1</v>
      </c>
      <c r="CK25" s="46">
        <v>1</v>
      </c>
      <c r="CM25" s="46">
        <v>1</v>
      </c>
    </row>
    <row r="26" spans="1:91">
      <c r="A26" s="46" t="s">
        <v>452</v>
      </c>
      <c r="B26" s="46" t="s">
        <v>453</v>
      </c>
      <c r="C26" s="46">
        <v>28</v>
      </c>
      <c r="D26" s="46" t="s">
        <v>447</v>
      </c>
      <c r="E26" s="46" t="s">
        <v>454</v>
      </c>
      <c r="F26" s="46" t="s">
        <v>455</v>
      </c>
      <c r="G26" s="46">
        <v>1</v>
      </c>
      <c r="M26" s="46">
        <v>1</v>
      </c>
      <c r="Q26" s="46">
        <v>1</v>
      </c>
      <c r="U26" s="46">
        <v>1</v>
      </c>
      <c r="W26" s="46">
        <v>14</v>
      </c>
      <c r="X26" s="46">
        <v>16</v>
      </c>
      <c r="Y26" s="46">
        <v>16</v>
      </c>
      <c r="Z26" s="46">
        <v>5</v>
      </c>
      <c r="AA26" s="46">
        <v>4</v>
      </c>
      <c r="AB26" s="46">
        <v>4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Y26" s="46">
        <v>1</v>
      </c>
      <c r="CB26" s="46">
        <v>1</v>
      </c>
      <c r="CG26" s="46">
        <v>1</v>
      </c>
      <c r="CK26" s="46">
        <v>1</v>
      </c>
      <c r="CM26" s="46">
        <v>1</v>
      </c>
    </row>
    <row r="27" spans="1:91">
      <c r="A27" s="46" t="s">
        <v>456</v>
      </c>
      <c r="B27" s="46" t="s">
        <v>457</v>
      </c>
      <c r="C27" s="46">
        <v>28</v>
      </c>
      <c r="D27" s="46" t="s">
        <v>447</v>
      </c>
      <c r="E27" s="46" t="s">
        <v>458</v>
      </c>
      <c r="F27" s="46" t="s">
        <v>415</v>
      </c>
      <c r="G27" s="46">
        <v>1</v>
      </c>
      <c r="M27" s="46">
        <v>1</v>
      </c>
      <c r="R27" s="46">
        <v>1</v>
      </c>
      <c r="T27" s="46">
        <v>1</v>
      </c>
      <c r="W27" s="46">
        <v>17</v>
      </c>
      <c r="X27" s="46">
        <v>18</v>
      </c>
      <c r="Y27" s="46">
        <v>19</v>
      </c>
      <c r="Z27" s="46">
        <v>4</v>
      </c>
      <c r="AA27" s="46">
        <v>4</v>
      </c>
      <c r="AB27" s="46">
        <v>3</v>
      </c>
      <c r="AE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Y27" s="46">
        <v>1</v>
      </c>
      <c r="CB27" s="46">
        <v>1</v>
      </c>
      <c r="CG27" s="46">
        <v>1</v>
      </c>
      <c r="CK27" s="46">
        <v>1</v>
      </c>
      <c r="CM27" s="46">
        <v>1</v>
      </c>
    </row>
    <row r="28" spans="1:91">
      <c r="A28" s="46" t="s">
        <v>459</v>
      </c>
      <c r="B28" s="46" t="s">
        <v>460</v>
      </c>
      <c r="C28" s="46">
        <v>45</v>
      </c>
      <c r="D28" s="46" t="s">
        <v>387</v>
      </c>
      <c r="F28" s="46" t="s">
        <v>145</v>
      </c>
      <c r="G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18</v>
      </c>
      <c r="Y28" s="46">
        <v>19</v>
      </c>
      <c r="Z28" s="46">
        <v>8</v>
      </c>
      <c r="AA28" s="46">
        <v>8</v>
      </c>
      <c r="AB28" s="46">
        <v>7</v>
      </c>
      <c r="AC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V28" s="46">
        <v>1</v>
      </c>
      <c r="BY28" s="46">
        <v>1</v>
      </c>
      <c r="CB28" s="46">
        <v>1</v>
      </c>
      <c r="CG28" s="46">
        <v>1</v>
      </c>
      <c r="CK28" s="46">
        <v>1</v>
      </c>
      <c r="CM28" s="46">
        <v>1</v>
      </c>
    </row>
    <row r="29" spans="1:91">
      <c r="A29" s="46" t="s">
        <v>461</v>
      </c>
      <c r="B29" s="46" t="s">
        <v>462</v>
      </c>
      <c r="C29" s="46">
        <v>30</v>
      </c>
      <c r="D29" s="46" t="s">
        <v>463</v>
      </c>
      <c r="E29" s="46" t="s">
        <v>464</v>
      </c>
      <c r="F29" s="46" t="s">
        <v>112</v>
      </c>
      <c r="G29" s="46">
        <v>1</v>
      </c>
      <c r="M29" s="46">
        <v>1</v>
      </c>
      <c r="Q29" s="46">
        <v>1</v>
      </c>
      <c r="T29" s="46">
        <v>1</v>
      </c>
      <c r="W29" s="46">
        <v>14</v>
      </c>
      <c r="X29" s="46">
        <v>18</v>
      </c>
      <c r="Y29" s="46">
        <v>18</v>
      </c>
      <c r="Z29" s="46">
        <v>5</v>
      </c>
      <c r="AA29" s="46">
        <v>5</v>
      </c>
      <c r="AB29" s="46">
        <v>5</v>
      </c>
      <c r="AE29" s="46">
        <v>1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V29" s="46">
        <v>1</v>
      </c>
      <c r="BY29" s="46">
        <v>1</v>
      </c>
      <c r="CB29" s="46">
        <v>1</v>
      </c>
      <c r="CG29" s="46">
        <v>1</v>
      </c>
      <c r="CK29" s="46">
        <v>1</v>
      </c>
      <c r="CM29" s="46">
        <v>1</v>
      </c>
    </row>
    <row r="30" spans="1:91">
      <c r="A30" s="46" t="s">
        <v>465</v>
      </c>
      <c r="B30" s="46" t="s">
        <v>466</v>
      </c>
      <c r="C30" s="46">
        <v>34</v>
      </c>
      <c r="D30" s="46" t="s">
        <v>463</v>
      </c>
      <c r="E30" s="46" t="s">
        <v>467</v>
      </c>
      <c r="F30" s="46" t="s">
        <v>420</v>
      </c>
      <c r="H30" s="46">
        <v>1</v>
      </c>
      <c r="O30" s="46">
        <v>1</v>
      </c>
      <c r="R30" s="46">
        <v>1</v>
      </c>
      <c r="T30" s="46">
        <v>1</v>
      </c>
      <c r="W30" s="46">
        <v>13</v>
      </c>
      <c r="X30" s="46">
        <v>17</v>
      </c>
      <c r="Y30" s="46">
        <v>19</v>
      </c>
      <c r="Z30" s="46">
        <v>1</v>
      </c>
      <c r="AA30" s="46">
        <v>1</v>
      </c>
      <c r="AB30" s="46">
        <v>1</v>
      </c>
      <c r="AE30" s="46">
        <v>1</v>
      </c>
      <c r="AH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Y30" s="46">
        <v>1</v>
      </c>
      <c r="CB30" s="46">
        <v>1</v>
      </c>
      <c r="CG30" s="46">
        <v>1</v>
      </c>
      <c r="CK30" s="46">
        <v>1</v>
      </c>
      <c r="CM30" s="46">
        <v>1</v>
      </c>
    </row>
    <row r="31" spans="1:91">
      <c r="A31" s="46" t="s">
        <v>468</v>
      </c>
      <c r="B31" s="46" t="s">
        <v>469</v>
      </c>
      <c r="C31" s="46">
        <v>21</v>
      </c>
      <c r="D31" s="46" t="s">
        <v>395</v>
      </c>
      <c r="E31" s="46" t="s">
        <v>470</v>
      </c>
      <c r="F31" s="46" t="s">
        <v>112</v>
      </c>
      <c r="G31" s="46">
        <v>1</v>
      </c>
      <c r="M31" s="46">
        <v>1</v>
      </c>
      <c r="Q31" s="46">
        <v>1</v>
      </c>
      <c r="T31" s="46">
        <v>1</v>
      </c>
      <c r="W31" s="46">
        <v>16</v>
      </c>
      <c r="X31" s="46">
        <v>17</v>
      </c>
      <c r="Y31" s="46">
        <v>17</v>
      </c>
      <c r="Z31" s="46">
        <v>2</v>
      </c>
      <c r="AA31" s="46">
        <v>2</v>
      </c>
      <c r="AB31" s="46">
        <v>2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V31" s="46">
        <v>1</v>
      </c>
      <c r="BY31" s="46">
        <v>1</v>
      </c>
      <c r="CB31" s="46">
        <v>1</v>
      </c>
      <c r="CG31" s="46">
        <v>1</v>
      </c>
      <c r="CK31" s="46">
        <v>1</v>
      </c>
      <c r="CM31" s="46">
        <v>1</v>
      </c>
    </row>
    <row r="32" spans="1:91">
      <c r="A32" s="46" t="s">
        <v>471</v>
      </c>
      <c r="B32" s="46" t="s">
        <v>472</v>
      </c>
      <c r="C32" s="46">
        <v>50</v>
      </c>
      <c r="D32" s="46" t="s">
        <v>463</v>
      </c>
      <c r="E32" s="46" t="s">
        <v>473</v>
      </c>
      <c r="F32" s="46" t="s">
        <v>145</v>
      </c>
      <c r="G32" s="46">
        <v>1</v>
      </c>
      <c r="M32" s="46">
        <v>1</v>
      </c>
      <c r="Q32" s="46">
        <v>1</v>
      </c>
      <c r="T32" s="46">
        <v>1</v>
      </c>
      <c r="W32" s="46">
        <v>16</v>
      </c>
      <c r="X32" s="46">
        <v>18</v>
      </c>
      <c r="Y32" s="46">
        <v>19</v>
      </c>
      <c r="Z32" s="46">
        <v>9</v>
      </c>
      <c r="AA32" s="46">
        <v>9</v>
      </c>
      <c r="AB32" s="46">
        <v>7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V32" s="46">
        <v>1</v>
      </c>
      <c r="BY32" s="46">
        <v>1</v>
      </c>
      <c r="CB32" s="46">
        <v>1</v>
      </c>
      <c r="CG32" s="46">
        <v>1</v>
      </c>
      <c r="CK32" s="46">
        <v>1</v>
      </c>
      <c r="CM32" s="46">
        <v>1</v>
      </c>
    </row>
    <row r="33" spans="1:96">
      <c r="A33" s="55" t="s">
        <v>474</v>
      </c>
      <c r="B33" s="55" t="s">
        <v>475</v>
      </c>
      <c r="C33" s="55">
        <v>37</v>
      </c>
      <c r="D33" s="55" t="s">
        <v>387</v>
      </c>
      <c r="E33" s="55" t="s">
        <v>476</v>
      </c>
      <c r="F33" s="55" t="s">
        <v>477</v>
      </c>
      <c r="G33" s="55">
        <v>1</v>
      </c>
      <c r="H33" s="57"/>
      <c r="I33" s="57"/>
      <c r="J33" s="57"/>
      <c r="K33" s="57"/>
      <c r="L33" s="57"/>
      <c r="M33" s="55">
        <v>1</v>
      </c>
      <c r="N33" s="57"/>
      <c r="O33" s="57"/>
      <c r="P33" s="57"/>
      <c r="Q33" s="57"/>
      <c r="R33" s="55">
        <v>1</v>
      </c>
      <c r="S33" s="57"/>
      <c r="T33" s="55">
        <v>1</v>
      </c>
      <c r="U33" s="57"/>
      <c r="V33" s="57"/>
      <c r="W33" s="55">
        <v>14</v>
      </c>
      <c r="X33" s="55">
        <v>15</v>
      </c>
      <c r="Y33" s="55">
        <v>17</v>
      </c>
      <c r="Z33" s="55">
        <v>6</v>
      </c>
      <c r="AA33" s="55">
        <v>6</v>
      </c>
      <c r="AB33" s="55">
        <v>3</v>
      </c>
      <c r="AC33" s="57"/>
      <c r="AD33" s="57"/>
      <c r="AE33" s="57"/>
      <c r="AF33" s="57"/>
      <c r="AG33" s="57"/>
      <c r="AH33" s="55">
        <v>1</v>
      </c>
      <c r="AI33" s="55">
        <v>1</v>
      </c>
      <c r="AJ33" s="57"/>
      <c r="AK33" s="55">
        <v>1</v>
      </c>
      <c r="AL33" s="57"/>
      <c r="AM33" s="57"/>
      <c r="AN33" s="57"/>
      <c r="AO33" s="57"/>
      <c r="AP33" s="57"/>
      <c r="AQ33" s="57"/>
      <c r="AR33" s="57"/>
      <c r="AS33" s="57"/>
      <c r="AT33" s="55">
        <v>1</v>
      </c>
      <c r="AU33" s="57"/>
      <c r="AV33" s="57"/>
      <c r="AW33" s="55">
        <v>1</v>
      </c>
      <c r="AX33" s="57"/>
      <c r="AY33" s="57"/>
      <c r="AZ33" s="57"/>
      <c r="BA33" s="55">
        <v>1</v>
      </c>
      <c r="BB33" s="57"/>
      <c r="BC33" s="57"/>
      <c r="BD33" s="57"/>
      <c r="BE33" s="57"/>
      <c r="BF33" s="57"/>
      <c r="BG33" s="57"/>
      <c r="BH33" s="55">
        <v>1</v>
      </c>
      <c r="BI33" s="55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5">
        <v>1</v>
      </c>
      <c r="BV33" s="57"/>
      <c r="BW33" s="57"/>
      <c r="BX33" s="57"/>
      <c r="BY33" s="57"/>
      <c r="BZ33" s="55">
        <v>1</v>
      </c>
      <c r="CA33" s="55">
        <v>2020</v>
      </c>
      <c r="CB33" s="55">
        <v>1</v>
      </c>
      <c r="CC33" s="57"/>
      <c r="CD33" s="57"/>
      <c r="CE33" s="57"/>
      <c r="CF33" s="57"/>
      <c r="CG33" s="55">
        <v>1</v>
      </c>
      <c r="CH33" s="57"/>
      <c r="CI33" s="57"/>
      <c r="CJ33" s="57"/>
      <c r="CK33" s="55">
        <v>1</v>
      </c>
      <c r="CL33" s="57"/>
      <c r="CM33" s="55">
        <v>1</v>
      </c>
      <c r="CN33" s="57"/>
      <c r="CO33" s="57"/>
      <c r="CP33" s="57"/>
      <c r="CQ33" s="57"/>
      <c r="CR33" s="57"/>
    </row>
    <row r="34" spans="1:96">
      <c r="A34" s="46" t="s">
        <v>478</v>
      </c>
      <c r="B34" s="46" t="s">
        <v>479</v>
      </c>
      <c r="C34" s="46">
        <v>50</v>
      </c>
      <c r="D34" s="46" t="s">
        <v>402</v>
      </c>
      <c r="E34" s="46" t="s">
        <v>480</v>
      </c>
      <c r="F34" s="46" t="s">
        <v>112</v>
      </c>
      <c r="H34" s="46">
        <v>1</v>
      </c>
      <c r="O34" s="46">
        <v>1</v>
      </c>
      <c r="R34" s="46">
        <v>1</v>
      </c>
      <c r="T34" s="46">
        <v>1</v>
      </c>
      <c r="W34" s="46">
        <v>14</v>
      </c>
      <c r="X34" s="46">
        <v>18</v>
      </c>
      <c r="Y34" s="46">
        <v>18</v>
      </c>
      <c r="Z34" s="46">
        <v>7</v>
      </c>
      <c r="AA34" s="46">
        <v>7</v>
      </c>
      <c r="AB34" s="46">
        <v>7</v>
      </c>
      <c r="AG34" s="46">
        <v>1</v>
      </c>
      <c r="AH34" s="46">
        <v>1</v>
      </c>
      <c r="AJ34" s="46">
        <v>1</v>
      </c>
      <c r="AK34" s="46">
        <v>1</v>
      </c>
      <c r="AU34" s="46">
        <v>1</v>
      </c>
      <c r="AW34" s="46">
        <v>1</v>
      </c>
      <c r="BA34" s="46">
        <v>1</v>
      </c>
      <c r="BI34" s="46">
        <v>1</v>
      </c>
      <c r="BV34" s="46">
        <v>1</v>
      </c>
      <c r="BZ34" s="46">
        <v>1</v>
      </c>
      <c r="CA34" s="46">
        <v>2018</v>
      </c>
      <c r="CB34" s="46">
        <v>1</v>
      </c>
      <c r="CG34" s="46">
        <v>1</v>
      </c>
      <c r="CK34" s="46">
        <v>1</v>
      </c>
      <c r="CM34" s="46">
        <v>1</v>
      </c>
    </row>
    <row r="35" spans="1:96">
      <c r="A35" s="46" t="s">
        <v>481</v>
      </c>
      <c r="B35" s="46" t="s">
        <v>482</v>
      </c>
      <c r="C35" s="46">
        <v>50</v>
      </c>
      <c r="D35" s="46" t="s">
        <v>447</v>
      </c>
      <c r="F35" s="46" t="s">
        <v>145</v>
      </c>
      <c r="H35" s="46">
        <v>1</v>
      </c>
      <c r="P35" s="46">
        <v>1</v>
      </c>
      <c r="R35" s="46">
        <v>1</v>
      </c>
      <c r="S35" s="46">
        <v>1</v>
      </c>
      <c r="W35" s="46">
        <v>18</v>
      </c>
      <c r="X35" s="46">
        <v>19</v>
      </c>
      <c r="Y35" s="46">
        <v>20</v>
      </c>
      <c r="Z35" s="46">
        <v>8</v>
      </c>
      <c r="AA35" s="46">
        <v>8</v>
      </c>
      <c r="AB35" s="46">
        <v>7</v>
      </c>
      <c r="AC35" s="46">
        <v>1</v>
      </c>
      <c r="AI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V35" s="46">
        <v>1</v>
      </c>
      <c r="BY35" s="46">
        <v>1</v>
      </c>
      <c r="CB35" s="46">
        <v>1</v>
      </c>
      <c r="CG35" s="46">
        <v>1</v>
      </c>
      <c r="CK35" s="46">
        <v>1</v>
      </c>
      <c r="CM35" s="46">
        <v>1</v>
      </c>
    </row>
    <row r="36" spans="1:96">
      <c r="A36" s="46" t="s">
        <v>483</v>
      </c>
      <c r="B36" s="46" t="s">
        <v>484</v>
      </c>
      <c r="C36" s="46">
        <v>70</v>
      </c>
      <c r="D36" s="46" t="s">
        <v>384</v>
      </c>
      <c r="F36" s="46" t="s">
        <v>477</v>
      </c>
      <c r="G36" s="46">
        <v>1</v>
      </c>
      <c r="P36" s="46">
        <v>1</v>
      </c>
      <c r="Q36" s="46">
        <v>1</v>
      </c>
      <c r="S36" s="46">
        <v>1</v>
      </c>
      <c r="W36" s="46">
        <v>13</v>
      </c>
      <c r="X36" s="46">
        <v>13</v>
      </c>
      <c r="Y36" s="46">
        <v>15</v>
      </c>
      <c r="Z36" s="46">
        <v>8</v>
      </c>
      <c r="AA36" s="46">
        <v>8</v>
      </c>
      <c r="AB36" s="46">
        <v>4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V36" s="46">
        <v>1</v>
      </c>
      <c r="BY36" s="46">
        <v>1</v>
      </c>
      <c r="CB36" s="46">
        <v>1</v>
      </c>
      <c r="CG36" s="46">
        <v>1</v>
      </c>
      <c r="CK36" s="46">
        <v>1</v>
      </c>
      <c r="CM36" s="46">
        <v>1</v>
      </c>
    </row>
    <row r="37" spans="1:96">
      <c r="A37" s="46" t="s">
        <v>485</v>
      </c>
      <c r="B37" s="46" t="s">
        <v>486</v>
      </c>
      <c r="C37" s="46">
        <v>40</v>
      </c>
      <c r="D37" s="46" t="s">
        <v>447</v>
      </c>
      <c r="F37" s="46" t="s">
        <v>415</v>
      </c>
      <c r="G37" s="46">
        <v>1</v>
      </c>
      <c r="P37" s="46">
        <v>1</v>
      </c>
      <c r="Q37" s="46">
        <v>1</v>
      </c>
      <c r="S37" s="46">
        <v>1</v>
      </c>
      <c r="W37" s="46">
        <v>13</v>
      </c>
      <c r="X37" s="46">
        <v>13</v>
      </c>
      <c r="Y37" s="46">
        <v>15</v>
      </c>
      <c r="Z37" s="46">
        <v>8</v>
      </c>
      <c r="AA37" s="46">
        <v>8</v>
      </c>
      <c r="AB37" s="46">
        <v>4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  <c r="CB37" s="46">
        <v>1</v>
      </c>
      <c r="CG37" s="46">
        <v>1</v>
      </c>
      <c r="CK37" s="46">
        <v>1</v>
      </c>
      <c r="CM37" s="46">
        <v>1</v>
      </c>
    </row>
    <row r="38" spans="1:96">
      <c r="A38" s="46" t="s">
        <v>487</v>
      </c>
      <c r="B38" s="46" t="s">
        <v>488</v>
      </c>
      <c r="C38" s="46">
        <v>55</v>
      </c>
      <c r="D38" s="46" t="s">
        <v>384</v>
      </c>
      <c r="F38" s="46" t="s">
        <v>112</v>
      </c>
      <c r="G38" s="46">
        <v>1</v>
      </c>
      <c r="M38" s="46">
        <v>1</v>
      </c>
      <c r="Q38" s="46">
        <v>1</v>
      </c>
      <c r="S38" s="46">
        <v>1</v>
      </c>
      <c r="W38" s="46" t="s">
        <v>489</v>
      </c>
      <c r="X38" s="46" t="s">
        <v>489</v>
      </c>
      <c r="Y38" s="46">
        <v>15</v>
      </c>
      <c r="Z38" s="46">
        <v>7</v>
      </c>
      <c r="AA38" s="46">
        <v>7</v>
      </c>
      <c r="AB38" s="46">
        <v>7</v>
      </c>
      <c r="AE38" s="46">
        <v>1</v>
      </c>
      <c r="AH38" s="46">
        <v>1</v>
      </c>
      <c r="AI38" s="46">
        <v>1</v>
      </c>
      <c r="AM38" s="46">
        <v>1</v>
      </c>
      <c r="AT38" s="46">
        <v>1</v>
      </c>
      <c r="AW38" s="46">
        <v>1</v>
      </c>
      <c r="BA38" s="46">
        <v>1</v>
      </c>
      <c r="BI38" s="46">
        <v>1</v>
      </c>
      <c r="BV38" s="46">
        <v>1</v>
      </c>
      <c r="BY38" s="46">
        <v>1</v>
      </c>
      <c r="CB38" s="46">
        <v>1</v>
      </c>
      <c r="CG38" s="46">
        <v>1</v>
      </c>
      <c r="CK38" s="46">
        <v>1</v>
      </c>
      <c r="CM38" s="46">
        <v>1</v>
      </c>
    </row>
    <row r="39" spans="1:96">
      <c r="A39" s="46" t="s">
        <v>490</v>
      </c>
      <c r="B39" s="46" t="s">
        <v>491</v>
      </c>
      <c r="C39" s="46">
        <v>50</v>
      </c>
      <c r="D39" s="46" t="s">
        <v>384</v>
      </c>
      <c r="E39" s="46" t="s">
        <v>492</v>
      </c>
      <c r="F39" s="46" t="s">
        <v>420</v>
      </c>
      <c r="J39" s="46">
        <v>1</v>
      </c>
      <c r="M39" s="46">
        <v>1</v>
      </c>
      <c r="R39" s="46">
        <v>1</v>
      </c>
      <c r="T39" s="46">
        <v>1</v>
      </c>
      <c r="W39" s="46">
        <v>17</v>
      </c>
      <c r="X39" s="46">
        <v>19</v>
      </c>
      <c r="Y39" s="46">
        <v>20</v>
      </c>
      <c r="Z39" s="46">
        <v>14</v>
      </c>
      <c r="AA39" s="46">
        <v>12</v>
      </c>
      <c r="AB39" s="46">
        <v>9</v>
      </c>
      <c r="AG39" s="46">
        <v>1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V39" s="46">
        <v>1</v>
      </c>
      <c r="BY39" s="46">
        <v>1</v>
      </c>
      <c r="CB39" s="46">
        <v>1</v>
      </c>
      <c r="CG39" s="46">
        <v>1</v>
      </c>
      <c r="CK39" s="46">
        <v>1</v>
      </c>
      <c r="CM39" s="46">
        <v>1</v>
      </c>
    </row>
    <row r="40" spans="1:96">
      <c r="A40" s="46" t="s">
        <v>493</v>
      </c>
      <c r="B40" s="46" t="s">
        <v>494</v>
      </c>
      <c r="C40" s="46">
        <v>24</v>
      </c>
      <c r="D40" s="46" t="s">
        <v>395</v>
      </c>
      <c r="F40" s="46" t="s">
        <v>112</v>
      </c>
      <c r="J40" s="46">
        <v>1</v>
      </c>
      <c r="M40" s="46">
        <v>1</v>
      </c>
      <c r="R40" s="46">
        <v>1</v>
      </c>
      <c r="U40" s="46">
        <v>1</v>
      </c>
      <c r="W40" s="46">
        <v>16</v>
      </c>
      <c r="X40" s="46">
        <v>16</v>
      </c>
      <c r="Y40" s="46">
        <v>18</v>
      </c>
      <c r="Z40" s="46">
        <v>2</v>
      </c>
      <c r="AA40" s="46">
        <v>2</v>
      </c>
      <c r="AB40" s="46">
        <v>2</v>
      </c>
      <c r="AH40" s="46">
        <v>1</v>
      </c>
      <c r="AJ40" s="46">
        <v>1</v>
      </c>
      <c r="AK40" s="46">
        <v>1</v>
      </c>
      <c r="AT40" s="46">
        <v>1</v>
      </c>
      <c r="AX40" s="46">
        <v>1</v>
      </c>
      <c r="BA40" s="46">
        <v>1</v>
      </c>
      <c r="BI40" s="46">
        <v>1</v>
      </c>
      <c r="BV40" s="46">
        <v>1</v>
      </c>
      <c r="BY40" s="46">
        <v>1</v>
      </c>
      <c r="CB40" s="46">
        <v>1</v>
      </c>
      <c r="CG40" s="46">
        <v>1</v>
      </c>
      <c r="CK40" s="46">
        <v>1</v>
      </c>
      <c r="CM40" s="46">
        <v>1</v>
      </c>
    </row>
    <row r="41" spans="1:96">
      <c r="A41" s="46" t="s">
        <v>495</v>
      </c>
      <c r="B41" s="46" t="s">
        <v>496</v>
      </c>
      <c r="C41" s="46">
        <v>54</v>
      </c>
      <c r="D41" s="46" t="s">
        <v>402</v>
      </c>
      <c r="F41" s="46" t="s">
        <v>420</v>
      </c>
      <c r="G41" s="46">
        <v>1</v>
      </c>
      <c r="M41" s="46">
        <v>1</v>
      </c>
      <c r="R41" s="46">
        <v>1</v>
      </c>
      <c r="T41" s="46">
        <v>1</v>
      </c>
      <c r="W41" s="46">
        <v>12</v>
      </c>
      <c r="X41" s="46">
        <v>20</v>
      </c>
      <c r="Y41" s="46">
        <v>20</v>
      </c>
      <c r="Z41" s="46">
        <v>12</v>
      </c>
      <c r="AA41" s="46">
        <v>8</v>
      </c>
      <c r="AB41" s="46">
        <v>7</v>
      </c>
      <c r="AE41" s="46">
        <v>1</v>
      </c>
      <c r="AH41" s="46">
        <v>1</v>
      </c>
      <c r="AI41" s="46">
        <v>1</v>
      </c>
      <c r="AK41" s="46">
        <v>1</v>
      </c>
      <c r="AT41" s="46">
        <v>1</v>
      </c>
      <c r="AW41" s="46">
        <v>1</v>
      </c>
      <c r="BA41" s="46">
        <v>1</v>
      </c>
      <c r="BI41" s="46">
        <v>1</v>
      </c>
      <c r="BV41" s="46">
        <v>1</v>
      </c>
      <c r="BY41" s="46">
        <v>1</v>
      </c>
      <c r="CB41" s="46">
        <v>1</v>
      </c>
      <c r="CG41" s="46">
        <v>1</v>
      </c>
      <c r="CK41" s="46">
        <v>1</v>
      </c>
      <c r="CM41" s="46">
        <v>1</v>
      </c>
    </row>
    <row r="42" spans="1:96">
      <c r="A42" s="46" t="s">
        <v>497</v>
      </c>
      <c r="B42" s="46" t="s">
        <v>498</v>
      </c>
      <c r="C42" s="46">
        <v>33</v>
      </c>
      <c r="D42" s="46" t="s">
        <v>447</v>
      </c>
      <c r="F42" s="46" t="s">
        <v>112</v>
      </c>
      <c r="J42" s="46">
        <v>1</v>
      </c>
      <c r="M42" s="46">
        <v>1</v>
      </c>
      <c r="R42" s="46">
        <v>1</v>
      </c>
      <c r="T42" s="46">
        <v>1</v>
      </c>
      <c r="W42" s="46">
        <v>16</v>
      </c>
      <c r="X42" s="46">
        <v>18</v>
      </c>
      <c r="Y42" s="46">
        <v>19</v>
      </c>
      <c r="Z42" s="46">
        <v>10</v>
      </c>
      <c r="AA42" s="46">
        <v>10</v>
      </c>
      <c r="AB42" s="46">
        <v>8</v>
      </c>
      <c r="AH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>
        <v>1</v>
      </c>
      <c r="BV42" s="46">
        <v>1</v>
      </c>
      <c r="BY42" s="46">
        <v>1</v>
      </c>
      <c r="CB42" s="46">
        <v>1</v>
      </c>
      <c r="CG42" s="46">
        <v>1</v>
      </c>
      <c r="CK42" s="46">
        <v>1</v>
      </c>
      <c r="CM42" s="46">
        <v>1</v>
      </c>
    </row>
    <row r="43" spans="1:96">
      <c r="A43" s="46" t="s">
        <v>499</v>
      </c>
      <c r="B43" s="46" t="s">
        <v>500</v>
      </c>
      <c r="C43" s="46">
        <v>30</v>
      </c>
      <c r="D43" s="46" t="s">
        <v>402</v>
      </c>
      <c r="F43" s="46" t="s">
        <v>112</v>
      </c>
      <c r="I43" s="46">
        <v>1</v>
      </c>
      <c r="M43" s="46">
        <v>1</v>
      </c>
      <c r="R43" s="46">
        <v>1</v>
      </c>
      <c r="S43" s="46">
        <v>1</v>
      </c>
      <c r="W43" s="46">
        <v>13</v>
      </c>
      <c r="X43" s="46">
        <v>15</v>
      </c>
      <c r="Y43" s="46">
        <v>18</v>
      </c>
      <c r="Z43" s="46">
        <v>5</v>
      </c>
      <c r="AA43" s="46">
        <v>5</v>
      </c>
      <c r="AB43" s="46">
        <v>5</v>
      </c>
      <c r="AC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V43" s="46">
        <v>1</v>
      </c>
      <c r="BY43" s="46">
        <v>1</v>
      </c>
      <c r="CB43" s="46">
        <v>1</v>
      </c>
      <c r="CG43" s="46">
        <v>1</v>
      </c>
      <c r="CK43" s="46">
        <v>1</v>
      </c>
      <c r="CM43" s="46">
        <v>1</v>
      </c>
    </row>
    <row r="44" spans="1:96">
      <c r="A44" s="46" t="s">
        <v>501</v>
      </c>
      <c r="B44" s="46" t="s">
        <v>502</v>
      </c>
      <c r="C44" s="46">
        <v>60</v>
      </c>
      <c r="D44" s="46" t="s">
        <v>503</v>
      </c>
      <c r="F44" s="46" t="s">
        <v>504</v>
      </c>
      <c r="H44" s="46">
        <v>1</v>
      </c>
      <c r="P44" s="46">
        <v>1</v>
      </c>
      <c r="R44" s="46">
        <v>1</v>
      </c>
      <c r="S44" s="46">
        <v>1</v>
      </c>
      <c r="W44" s="46" t="s">
        <v>489</v>
      </c>
      <c r="X44" s="46" t="s">
        <v>489</v>
      </c>
      <c r="Y44" s="46" t="s">
        <v>489</v>
      </c>
      <c r="Z44" s="46">
        <v>9</v>
      </c>
      <c r="AA44" s="46">
        <v>9</v>
      </c>
      <c r="AB44" s="46">
        <v>9</v>
      </c>
      <c r="AC44" s="46">
        <v>1</v>
      </c>
      <c r="AI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V44" s="46">
        <v>1</v>
      </c>
      <c r="BY44" s="46">
        <v>1</v>
      </c>
      <c r="CB44" s="46">
        <v>1</v>
      </c>
      <c r="CG44" s="46">
        <v>1</v>
      </c>
      <c r="CK44" s="46">
        <v>1</v>
      </c>
      <c r="CM44" s="46">
        <v>1</v>
      </c>
    </row>
    <row r="45" spans="1:96">
      <c r="A45" s="46" t="s">
        <v>505</v>
      </c>
      <c r="B45" s="46" t="s">
        <v>506</v>
      </c>
      <c r="C45" s="46">
        <v>30</v>
      </c>
      <c r="D45" s="46" t="s">
        <v>507</v>
      </c>
      <c r="F45" s="46" t="s">
        <v>415</v>
      </c>
      <c r="K45" s="46">
        <v>1</v>
      </c>
      <c r="M45" s="46">
        <v>1</v>
      </c>
      <c r="Q45" s="46">
        <v>1</v>
      </c>
      <c r="S45" s="46">
        <v>1</v>
      </c>
      <c r="W45" s="46">
        <v>17</v>
      </c>
      <c r="X45" s="46">
        <v>17</v>
      </c>
      <c r="Y45" s="46">
        <v>20</v>
      </c>
      <c r="Z45" s="46">
        <v>2</v>
      </c>
      <c r="AA45" s="46">
        <v>2</v>
      </c>
      <c r="AB45" s="46">
        <v>2</v>
      </c>
      <c r="AG45" s="46">
        <v>1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V45" s="46">
        <v>1</v>
      </c>
      <c r="BY45" s="46">
        <v>1</v>
      </c>
      <c r="CB45" s="46">
        <v>1</v>
      </c>
      <c r="CG45" s="46">
        <v>1</v>
      </c>
      <c r="CK45" s="46">
        <v>1</v>
      </c>
      <c r="CM45" s="46">
        <v>1</v>
      </c>
    </row>
    <row r="46" spans="1:96">
      <c r="A46" s="46" t="s">
        <v>508</v>
      </c>
      <c r="B46" s="46" t="s">
        <v>509</v>
      </c>
      <c r="C46" s="46">
        <v>22</v>
      </c>
      <c r="D46" s="46" t="s">
        <v>384</v>
      </c>
      <c r="E46" s="46" t="s">
        <v>510</v>
      </c>
      <c r="F46" s="46" t="s">
        <v>415</v>
      </c>
      <c r="H46" s="46">
        <v>1</v>
      </c>
      <c r="M46" s="46">
        <v>1</v>
      </c>
      <c r="Q46" s="46">
        <v>1</v>
      </c>
      <c r="U46" s="46">
        <v>1</v>
      </c>
      <c r="W46" s="46">
        <v>15</v>
      </c>
      <c r="X46" s="46">
        <v>18</v>
      </c>
      <c r="Y46" s="46">
        <v>20</v>
      </c>
      <c r="Z46" s="46">
        <v>3</v>
      </c>
      <c r="AA46" s="46">
        <v>1</v>
      </c>
      <c r="AB46" s="46">
        <v>1</v>
      </c>
      <c r="AG46" s="46">
        <v>1</v>
      </c>
      <c r="AH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>
        <v>1</v>
      </c>
      <c r="BV46" s="46">
        <v>1</v>
      </c>
      <c r="BY46" s="46">
        <v>1</v>
      </c>
      <c r="CB46" s="46">
        <v>1</v>
      </c>
      <c r="CG46" s="46">
        <v>1</v>
      </c>
      <c r="CK46" s="46">
        <v>1</v>
      </c>
      <c r="CM46" s="46">
        <v>1</v>
      </c>
    </row>
    <row r="47" spans="1:96">
      <c r="A47" s="46" t="s">
        <v>511</v>
      </c>
      <c r="B47" s="46" t="s">
        <v>512</v>
      </c>
      <c r="C47" s="46">
        <v>22</v>
      </c>
      <c r="D47" s="46" t="s">
        <v>513</v>
      </c>
      <c r="F47" s="46" t="s">
        <v>514</v>
      </c>
      <c r="J47" s="46">
        <v>1</v>
      </c>
      <c r="M47" s="46">
        <v>1</v>
      </c>
      <c r="Q47" s="46">
        <v>1</v>
      </c>
      <c r="T47" s="46">
        <v>1</v>
      </c>
      <c r="W47" s="46">
        <v>18</v>
      </c>
      <c r="X47" s="46">
        <v>19</v>
      </c>
      <c r="Y47" s="46">
        <v>20</v>
      </c>
      <c r="Z47" s="46">
        <v>1</v>
      </c>
      <c r="AA47" s="46">
        <v>1</v>
      </c>
      <c r="AB47" s="46">
        <v>1</v>
      </c>
      <c r="AE47" s="46">
        <v>1</v>
      </c>
      <c r="AH47" s="46">
        <v>1</v>
      </c>
      <c r="AI47" s="46">
        <v>1</v>
      </c>
      <c r="AM47" s="46">
        <v>1</v>
      </c>
      <c r="AT47" s="46">
        <v>1</v>
      </c>
      <c r="AW47" s="46">
        <v>1</v>
      </c>
      <c r="BA47" s="46">
        <v>1</v>
      </c>
      <c r="BI47" s="46">
        <v>1</v>
      </c>
      <c r="BV47" s="46">
        <v>1</v>
      </c>
      <c r="BY47" s="46">
        <v>1</v>
      </c>
      <c r="CB47" s="46">
        <v>1</v>
      </c>
      <c r="CG47" s="46">
        <v>1</v>
      </c>
      <c r="CK47" s="46">
        <v>1</v>
      </c>
      <c r="CM47" s="46">
        <v>1</v>
      </c>
    </row>
    <row r="48" spans="1:96">
      <c r="A48" s="46" t="s">
        <v>515</v>
      </c>
      <c r="B48" s="46" t="s">
        <v>516</v>
      </c>
      <c r="C48" s="46">
        <v>31</v>
      </c>
      <c r="D48" s="46" t="s">
        <v>402</v>
      </c>
      <c r="E48" s="46" t="s">
        <v>517</v>
      </c>
      <c r="F48" s="46" t="s">
        <v>112</v>
      </c>
      <c r="J48" s="46">
        <v>1</v>
      </c>
      <c r="M48" s="46">
        <v>1</v>
      </c>
      <c r="Q48" s="46">
        <v>1</v>
      </c>
      <c r="T48" s="46">
        <v>1</v>
      </c>
      <c r="W48" s="46">
        <v>15</v>
      </c>
      <c r="X48" s="46">
        <v>15</v>
      </c>
      <c r="Y48" s="46">
        <v>15</v>
      </c>
      <c r="Z48" s="46">
        <v>6</v>
      </c>
      <c r="AA48" s="46">
        <v>4</v>
      </c>
      <c r="AB48" s="46">
        <v>4</v>
      </c>
      <c r="AE48" s="46">
        <v>1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I48" s="46">
        <v>1</v>
      </c>
      <c r="BV48" s="46">
        <v>1</v>
      </c>
      <c r="BY48" s="46">
        <v>1</v>
      </c>
      <c r="CB48" s="46">
        <v>1</v>
      </c>
      <c r="CG48" s="46">
        <v>1</v>
      </c>
      <c r="CK48" s="46">
        <v>1</v>
      </c>
      <c r="CM48" s="46">
        <v>1</v>
      </c>
    </row>
    <row r="49" spans="1:91">
      <c r="A49" s="46" t="s">
        <v>518</v>
      </c>
      <c r="B49" s="46" t="s">
        <v>519</v>
      </c>
      <c r="C49" s="46">
        <v>39</v>
      </c>
      <c r="D49" s="46" t="s">
        <v>520</v>
      </c>
      <c r="E49" s="46" t="s">
        <v>521</v>
      </c>
      <c r="F49" s="46" t="s">
        <v>415</v>
      </c>
      <c r="G49" s="46">
        <v>1</v>
      </c>
      <c r="M49" s="46">
        <v>1</v>
      </c>
      <c r="Q49" s="46">
        <v>1</v>
      </c>
      <c r="T49" s="46">
        <v>1</v>
      </c>
      <c r="W49" s="46">
        <v>14</v>
      </c>
      <c r="X49" s="46">
        <v>18</v>
      </c>
      <c r="Y49" s="46">
        <v>20</v>
      </c>
      <c r="Z49" s="46">
        <v>9</v>
      </c>
      <c r="AA49" s="46">
        <v>8</v>
      </c>
      <c r="AB49" s="46">
        <v>8</v>
      </c>
      <c r="AH49" s="46">
        <v>1</v>
      </c>
      <c r="AI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V49" s="46">
        <v>1</v>
      </c>
      <c r="BY49" s="46">
        <v>1</v>
      </c>
      <c r="CB49" s="46">
        <v>1</v>
      </c>
      <c r="CG49" s="46">
        <v>1</v>
      </c>
      <c r="CK49" s="46">
        <v>1</v>
      </c>
      <c r="CM49" s="46">
        <v>1</v>
      </c>
    </row>
    <row r="50" spans="1:91">
      <c r="A50" s="46" t="s">
        <v>522</v>
      </c>
      <c r="B50" s="46" t="s">
        <v>523</v>
      </c>
      <c r="C50" s="46">
        <v>20</v>
      </c>
      <c r="D50" s="46" t="s">
        <v>395</v>
      </c>
      <c r="F50" s="46" t="s">
        <v>112</v>
      </c>
      <c r="G50" s="46">
        <v>1</v>
      </c>
      <c r="M50" s="46">
        <v>1</v>
      </c>
      <c r="R50" s="46">
        <v>1</v>
      </c>
      <c r="T50" s="46">
        <v>1</v>
      </c>
      <c r="W50" s="46" t="s">
        <v>489</v>
      </c>
      <c r="X50" s="46" t="s">
        <v>489</v>
      </c>
      <c r="Y50" s="46" t="s">
        <v>489</v>
      </c>
      <c r="Z50" s="46">
        <v>9</v>
      </c>
      <c r="AA50" s="46">
        <v>8</v>
      </c>
      <c r="AB50" s="46">
        <v>8</v>
      </c>
      <c r="AH50" s="46">
        <v>1</v>
      </c>
      <c r="AJ50" s="46">
        <v>1</v>
      </c>
      <c r="AK50" s="46">
        <v>1</v>
      </c>
      <c r="AT50" s="46">
        <v>1</v>
      </c>
      <c r="AW50" s="46">
        <v>1</v>
      </c>
      <c r="BA50" s="46">
        <v>1</v>
      </c>
      <c r="BI50" s="46">
        <v>1</v>
      </c>
      <c r="BV50" s="46">
        <v>1</v>
      </c>
      <c r="BY50" s="46">
        <v>1</v>
      </c>
      <c r="CB50" s="46">
        <v>1</v>
      </c>
      <c r="CG50" s="46">
        <v>1</v>
      </c>
      <c r="CK50" s="46">
        <v>1</v>
      </c>
      <c r="CM50" s="46">
        <v>1</v>
      </c>
    </row>
    <row r="51" spans="1:91">
      <c r="A51" s="46" t="s">
        <v>524</v>
      </c>
      <c r="B51" s="46" t="s">
        <v>525</v>
      </c>
      <c r="C51" s="46">
        <v>43</v>
      </c>
      <c r="D51" s="46" t="s">
        <v>402</v>
      </c>
      <c r="E51" s="46" t="s">
        <v>526</v>
      </c>
      <c r="F51" s="46" t="s">
        <v>112</v>
      </c>
      <c r="J51" s="46">
        <v>1</v>
      </c>
      <c r="M51" s="46">
        <v>1</v>
      </c>
      <c r="Q51" s="46">
        <v>1</v>
      </c>
      <c r="T51" s="46">
        <v>1</v>
      </c>
      <c r="W51" s="46">
        <v>11</v>
      </c>
      <c r="X51" s="46">
        <v>16</v>
      </c>
      <c r="Y51" s="46">
        <v>16</v>
      </c>
      <c r="Z51" s="46">
        <v>2</v>
      </c>
      <c r="AA51" s="46">
        <v>2</v>
      </c>
      <c r="AB51" s="46">
        <v>2</v>
      </c>
      <c r="AE51" s="46">
        <v>1</v>
      </c>
      <c r="AH51" s="46">
        <v>1</v>
      </c>
      <c r="AI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V51" s="46">
        <v>1</v>
      </c>
      <c r="BY51" s="46">
        <v>1</v>
      </c>
      <c r="CB51" s="46">
        <v>1</v>
      </c>
      <c r="CG51" s="46">
        <v>1</v>
      </c>
      <c r="CK51" s="46">
        <v>1</v>
      </c>
      <c r="CM51" s="46">
        <v>1</v>
      </c>
    </row>
    <row r="52" spans="1:91">
      <c r="A52" s="46" t="s">
        <v>527</v>
      </c>
      <c r="B52" s="46" t="s">
        <v>528</v>
      </c>
      <c r="C52" s="46">
        <v>24</v>
      </c>
      <c r="D52" s="46" t="s">
        <v>447</v>
      </c>
      <c r="E52" s="46" t="s">
        <v>529</v>
      </c>
      <c r="F52" s="46" t="s">
        <v>145</v>
      </c>
      <c r="G52" s="46">
        <v>1</v>
      </c>
      <c r="O52" s="46">
        <v>1</v>
      </c>
      <c r="Q52" s="46">
        <v>1</v>
      </c>
      <c r="U52" s="46">
        <v>1</v>
      </c>
      <c r="W52" s="46">
        <v>14</v>
      </c>
      <c r="X52" s="46">
        <v>20</v>
      </c>
      <c r="Y52" s="46">
        <v>22</v>
      </c>
      <c r="Z52" s="46">
        <v>1</v>
      </c>
      <c r="AA52" s="46">
        <v>1</v>
      </c>
      <c r="AB52" s="46">
        <v>1</v>
      </c>
      <c r="AG52" s="46">
        <v>1</v>
      </c>
      <c r="AH52" s="46">
        <v>1</v>
      </c>
      <c r="AJ52" s="46">
        <v>1</v>
      </c>
      <c r="AM52" s="46">
        <v>1</v>
      </c>
      <c r="AT52" s="46">
        <v>1</v>
      </c>
      <c r="AW52" s="46">
        <v>1</v>
      </c>
      <c r="BA52" s="46">
        <v>1</v>
      </c>
      <c r="BI52" s="46">
        <v>1</v>
      </c>
      <c r="BV52" s="46">
        <v>1</v>
      </c>
      <c r="BY52" s="46">
        <v>1</v>
      </c>
      <c r="CB52" s="46">
        <v>1</v>
      </c>
      <c r="CG52" s="46">
        <v>1</v>
      </c>
      <c r="CK52" s="46">
        <v>1</v>
      </c>
      <c r="CM52" s="46">
        <v>1</v>
      </c>
    </row>
    <row r="53" spans="1:91">
      <c r="A53" s="46" t="s">
        <v>530</v>
      </c>
      <c r="B53" s="46" t="s">
        <v>531</v>
      </c>
      <c r="C53" s="46">
        <v>18</v>
      </c>
      <c r="D53" s="46" t="s">
        <v>395</v>
      </c>
      <c r="F53" s="46" t="s">
        <v>415</v>
      </c>
      <c r="J53" s="46">
        <v>1</v>
      </c>
      <c r="M53" s="46">
        <v>1</v>
      </c>
      <c r="Q53" s="46">
        <v>1</v>
      </c>
      <c r="U53" s="46">
        <v>1</v>
      </c>
      <c r="W53" s="46">
        <v>12</v>
      </c>
      <c r="X53" s="46">
        <v>15</v>
      </c>
      <c r="Y53" s="46">
        <v>17</v>
      </c>
      <c r="Z53" s="46">
        <v>1</v>
      </c>
      <c r="AA53" s="46">
        <v>1</v>
      </c>
      <c r="AB53" s="46">
        <v>1</v>
      </c>
      <c r="AG53" s="46">
        <v>1</v>
      </c>
      <c r="AH53" s="46">
        <v>1</v>
      </c>
      <c r="AI53" s="46">
        <v>1</v>
      </c>
      <c r="AM53" s="46">
        <v>1</v>
      </c>
      <c r="AT53" s="46">
        <v>1</v>
      </c>
      <c r="AW53" s="46">
        <v>1</v>
      </c>
      <c r="BA53" s="46">
        <v>1</v>
      </c>
      <c r="BI53" s="46">
        <v>1</v>
      </c>
      <c r="BV53" s="46">
        <v>1</v>
      </c>
      <c r="BY53" s="46">
        <v>1</v>
      </c>
      <c r="CB53" s="46">
        <v>1</v>
      </c>
      <c r="CG53" s="46">
        <v>1</v>
      </c>
      <c r="CK53" s="46">
        <v>1</v>
      </c>
      <c r="CM53" s="46">
        <v>1</v>
      </c>
    </row>
    <row r="54" spans="1:91">
      <c r="A54" s="46" t="s">
        <v>532</v>
      </c>
      <c r="B54" s="46" t="s">
        <v>533</v>
      </c>
      <c r="C54" s="46">
        <v>49</v>
      </c>
      <c r="D54" s="46" t="s">
        <v>418</v>
      </c>
      <c r="F54" s="46" t="s">
        <v>415</v>
      </c>
      <c r="H54" s="46">
        <v>1</v>
      </c>
      <c r="M54" s="46">
        <v>1</v>
      </c>
      <c r="Q54" s="46">
        <v>1</v>
      </c>
      <c r="T54" s="46">
        <v>1</v>
      </c>
      <c r="W54" s="46">
        <v>14</v>
      </c>
      <c r="X54" s="46">
        <v>14</v>
      </c>
      <c r="Y54" s="46">
        <v>14</v>
      </c>
      <c r="Z54" s="46">
        <v>16</v>
      </c>
      <c r="AA54" s="46">
        <v>15</v>
      </c>
      <c r="AB54" s="46">
        <v>14</v>
      </c>
      <c r="AE54" s="46">
        <v>1</v>
      </c>
      <c r="AH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V54" s="46">
        <v>1</v>
      </c>
      <c r="BY54" s="46">
        <v>1</v>
      </c>
      <c r="CB54" s="46">
        <v>1</v>
      </c>
      <c r="CG54" s="46">
        <v>1</v>
      </c>
      <c r="CK54" s="46">
        <v>1</v>
      </c>
      <c r="CM54" s="46">
        <v>1</v>
      </c>
    </row>
    <row r="55" spans="1:91">
      <c r="A55" s="46" t="s">
        <v>534</v>
      </c>
      <c r="B55" s="46" t="s">
        <v>535</v>
      </c>
      <c r="C55" s="46">
        <v>35</v>
      </c>
      <c r="D55" s="46" t="s">
        <v>447</v>
      </c>
      <c r="F55" s="46" t="s">
        <v>145</v>
      </c>
      <c r="G55" s="46">
        <v>1</v>
      </c>
      <c r="M55" s="46">
        <v>1</v>
      </c>
      <c r="Q55" s="46">
        <v>1</v>
      </c>
      <c r="T55" s="46">
        <v>1</v>
      </c>
      <c r="W55" s="46">
        <v>18</v>
      </c>
      <c r="X55" s="46">
        <v>20</v>
      </c>
      <c r="Y55" s="46">
        <v>20</v>
      </c>
      <c r="Z55" s="46">
        <v>11</v>
      </c>
      <c r="AA55" s="46">
        <v>10</v>
      </c>
      <c r="AB55" s="46">
        <v>10</v>
      </c>
      <c r="AH55" s="46">
        <v>1</v>
      </c>
      <c r="AJ55" s="46">
        <v>1</v>
      </c>
      <c r="AK55" s="46">
        <v>1</v>
      </c>
      <c r="AT55" s="46">
        <v>1</v>
      </c>
      <c r="AW55" s="46">
        <v>1</v>
      </c>
      <c r="BA55" s="46">
        <v>1</v>
      </c>
      <c r="BI55" s="46">
        <v>1</v>
      </c>
      <c r="BV55" s="46">
        <v>1</v>
      </c>
      <c r="BY55" s="46">
        <v>1</v>
      </c>
      <c r="CB55" s="46">
        <v>1</v>
      </c>
      <c r="CG55" s="46">
        <v>1</v>
      </c>
      <c r="CK55" s="46">
        <v>1</v>
      </c>
      <c r="CM55" s="46">
        <v>1</v>
      </c>
    </row>
    <row r="56" spans="1:91">
      <c r="A56" s="46" t="s">
        <v>536</v>
      </c>
      <c r="B56" s="46" t="s">
        <v>537</v>
      </c>
      <c r="C56" s="46">
        <v>24</v>
      </c>
      <c r="D56" s="46" t="s">
        <v>418</v>
      </c>
      <c r="F56" s="46" t="s">
        <v>415</v>
      </c>
      <c r="J56" s="46">
        <v>1</v>
      </c>
      <c r="M56" s="46">
        <v>1</v>
      </c>
      <c r="R56" s="46">
        <v>1</v>
      </c>
      <c r="T56" s="46">
        <v>1</v>
      </c>
      <c r="W56" s="46">
        <v>18</v>
      </c>
      <c r="X56" s="46">
        <v>23</v>
      </c>
      <c r="Y56" s="46">
        <v>23</v>
      </c>
      <c r="Z56" s="46">
        <v>2</v>
      </c>
      <c r="AA56" s="46">
        <v>2</v>
      </c>
      <c r="AB56" s="46">
        <v>2</v>
      </c>
      <c r="AE56" s="46">
        <v>1</v>
      </c>
      <c r="AG56" s="46">
        <v>1</v>
      </c>
      <c r="AH56" s="46">
        <v>1</v>
      </c>
      <c r="AI56" s="46">
        <v>1</v>
      </c>
      <c r="AK56" s="46">
        <v>1</v>
      </c>
      <c r="AT56" s="46">
        <v>1</v>
      </c>
      <c r="AW56" s="46">
        <v>1</v>
      </c>
      <c r="BA56" s="46">
        <v>1</v>
      </c>
      <c r="BI56" s="46">
        <v>1</v>
      </c>
      <c r="BV56" s="46">
        <v>1</v>
      </c>
      <c r="BY56" s="46">
        <v>1</v>
      </c>
      <c r="CB56" s="46">
        <v>1</v>
      </c>
      <c r="CG56" s="46">
        <v>1</v>
      </c>
      <c r="CK56" s="46">
        <v>1</v>
      </c>
      <c r="CM56" s="46">
        <v>1</v>
      </c>
    </row>
    <row r="57" spans="1:91">
      <c r="A57" s="46" t="s">
        <v>538</v>
      </c>
      <c r="B57" s="46" t="s">
        <v>539</v>
      </c>
      <c r="C57" s="46">
        <v>42</v>
      </c>
      <c r="D57" s="46" t="s">
        <v>418</v>
      </c>
      <c r="E57" s="46" t="s">
        <v>540</v>
      </c>
      <c r="F57" s="46" t="s">
        <v>415</v>
      </c>
      <c r="G57" s="46">
        <v>1</v>
      </c>
      <c r="M57" s="46">
        <v>1</v>
      </c>
      <c r="Q57" s="46">
        <v>1</v>
      </c>
      <c r="T57" s="46">
        <v>1</v>
      </c>
      <c r="W57" s="46">
        <v>17</v>
      </c>
      <c r="X57" s="46">
        <v>19</v>
      </c>
      <c r="Y57" s="46">
        <v>20</v>
      </c>
      <c r="Z57" s="46">
        <v>10</v>
      </c>
      <c r="AA57" s="46">
        <v>8</v>
      </c>
      <c r="AB57" s="46">
        <v>7</v>
      </c>
      <c r="AH57" s="46">
        <v>1</v>
      </c>
      <c r="AJ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Y57" s="46">
        <v>1</v>
      </c>
      <c r="CB57" s="46">
        <v>1</v>
      </c>
      <c r="CG57" s="46">
        <v>1</v>
      </c>
      <c r="CK57" s="46">
        <v>1</v>
      </c>
      <c r="CM57" s="46">
        <v>1</v>
      </c>
    </row>
    <row r="58" spans="1:91">
      <c r="A58" s="46" t="s">
        <v>541</v>
      </c>
      <c r="B58" s="46" t="s">
        <v>542</v>
      </c>
      <c r="C58" s="46">
        <v>23</v>
      </c>
      <c r="D58" s="46" t="s">
        <v>513</v>
      </c>
      <c r="F58" s="46" t="s">
        <v>112</v>
      </c>
      <c r="H58" s="46">
        <v>1</v>
      </c>
      <c r="M58" s="46">
        <v>1</v>
      </c>
      <c r="Q58" s="46">
        <v>1</v>
      </c>
      <c r="U58" s="46">
        <v>1</v>
      </c>
      <c r="W58" s="46">
        <v>17</v>
      </c>
      <c r="X58" s="46">
        <v>18</v>
      </c>
      <c r="Y58" s="46">
        <v>20</v>
      </c>
      <c r="Z58" s="46">
        <v>2</v>
      </c>
      <c r="AA58" s="46">
        <v>2</v>
      </c>
      <c r="AB58" s="46">
        <v>2</v>
      </c>
      <c r="AH58" s="46">
        <v>1</v>
      </c>
      <c r="AJ58" s="46">
        <v>1</v>
      </c>
      <c r="AK58" s="46">
        <v>1</v>
      </c>
      <c r="AT58" s="46">
        <v>1</v>
      </c>
      <c r="AW58" s="46">
        <v>1</v>
      </c>
      <c r="BA58" s="46">
        <v>1</v>
      </c>
      <c r="BI58" s="46">
        <v>1</v>
      </c>
      <c r="BY58" s="46">
        <v>1</v>
      </c>
      <c r="CB58" s="46">
        <v>1</v>
      </c>
      <c r="CG58" s="46">
        <v>1</v>
      </c>
      <c r="CK58" s="46">
        <v>1</v>
      </c>
      <c r="CM58" s="46">
        <v>1</v>
      </c>
    </row>
    <row r="59" spans="1:91">
      <c r="A59" s="46" t="s">
        <v>543</v>
      </c>
      <c r="B59" s="46" t="s">
        <v>544</v>
      </c>
      <c r="C59" s="46">
        <v>41</v>
      </c>
      <c r="D59" s="46" t="s">
        <v>395</v>
      </c>
      <c r="E59" s="46" t="s">
        <v>545</v>
      </c>
      <c r="F59" s="46" t="s">
        <v>546</v>
      </c>
      <c r="H59" s="46">
        <v>1</v>
      </c>
      <c r="M59" s="46">
        <v>1</v>
      </c>
      <c r="R59" s="46">
        <v>1</v>
      </c>
      <c r="T59" s="46">
        <v>1</v>
      </c>
      <c r="W59" s="46">
        <v>18</v>
      </c>
      <c r="X59" s="46">
        <v>18</v>
      </c>
      <c r="Y59" s="46">
        <v>25</v>
      </c>
      <c r="Z59" s="46">
        <v>5</v>
      </c>
      <c r="AA59" s="46">
        <v>5</v>
      </c>
      <c r="AB59" s="46">
        <v>5</v>
      </c>
      <c r="AH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I59" s="46">
        <v>1</v>
      </c>
      <c r="BY59" s="46">
        <v>1</v>
      </c>
      <c r="CB59" s="46">
        <v>1</v>
      </c>
      <c r="CG59" s="46">
        <v>1</v>
      </c>
      <c r="CK59" s="46">
        <v>1</v>
      </c>
      <c r="CM59" s="46">
        <v>1</v>
      </c>
    </row>
    <row r="60" spans="1:91">
      <c r="A60" s="46" t="s">
        <v>547</v>
      </c>
      <c r="B60" s="46" t="s">
        <v>548</v>
      </c>
      <c r="C60" s="46">
        <v>44</v>
      </c>
      <c r="D60" s="46" t="s">
        <v>549</v>
      </c>
      <c r="E60" s="46" t="s">
        <v>550</v>
      </c>
      <c r="F60" s="46" t="s">
        <v>112</v>
      </c>
      <c r="G60" s="46">
        <v>1</v>
      </c>
      <c r="M60" s="46">
        <v>1</v>
      </c>
      <c r="Q60" s="46">
        <v>1</v>
      </c>
      <c r="T60" s="46">
        <v>1</v>
      </c>
      <c r="W60" s="46">
        <v>14</v>
      </c>
      <c r="X60" s="46">
        <v>14</v>
      </c>
      <c r="Y60" s="46">
        <v>16</v>
      </c>
      <c r="Z60" s="46">
        <v>10</v>
      </c>
      <c r="AA60" s="46">
        <v>8</v>
      </c>
      <c r="AB60" s="46">
        <v>8</v>
      </c>
      <c r="AD60" s="46">
        <v>1</v>
      </c>
      <c r="AH60" s="46">
        <v>1</v>
      </c>
      <c r="AI60" s="46">
        <v>1</v>
      </c>
      <c r="AK60" s="46">
        <v>1</v>
      </c>
      <c r="AT60" s="46">
        <v>1</v>
      </c>
      <c r="AW60" s="46">
        <v>1</v>
      </c>
      <c r="BA60" s="46">
        <v>1</v>
      </c>
      <c r="BI60" s="46">
        <v>1</v>
      </c>
      <c r="BY60" s="46">
        <v>1</v>
      </c>
      <c r="CB60" s="46">
        <v>1</v>
      </c>
      <c r="CG60" s="46">
        <v>1</v>
      </c>
      <c r="CK60" s="46">
        <v>1</v>
      </c>
      <c r="CM60" s="46">
        <v>1</v>
      </c>
    </row>
  </sheetData>
  <autoFilter ref="A3:CR60"/>
  <mergeCells count="28">
    <mergeCell ref="A1:B1"/>
    <mergeCell ref="C1:E1"/>
    <mergeCell ref="G1:K1"/>
    <mergeCell ref="L1:P1"/>
    <mergeCell ref="Q1:R1"/>
    <mergeCell ref="CE1:CF1"/>
    <mergeCell ref="CG1:CI1"/>
    <mergeCell ref="S1:V1"/>
    <mergeCell ref="W1:AB1"/>
    <mergeCell ref="AC1:AH1"/>
    <mergeCell ref="AI1:AJ1"/>
    <mergeCell ref="AK1:AM1"/>
    <mergeCell ref="CJ1:CK1"/>
    <mergeCell ref="CL1:CM1"/>
    <mergeCell ref="CO3:CP3"/>
    <mergeCell ref="AN1:AP1"/>
    <mergeCell ref="AQ1:AS1"/>
    <mergeCell ref="AT1:AU1"/>
    <mergeCell ref="AV1:AZ1"/>
    <mergeCell ref="CB1:CC1"/>
    <mergeCell ref="BA1:BE1"/>
    <mergeCell ref="BF1:BG1"/>
    <mergeCell ref="BH1:BL1"/>
    <mergeCell ref="BM1:BO1"/>
    <mergeCell ref="BP1:BQ1"/>
    <mergeCell ref="BT1:BX1"/>
    <mergeCell ref="BY1:CA1"/>
    <mergeCell ref="BM2:B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0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4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551</v>
      </c>
      <c r="B3" s="69">
        <v>1</v>
      </c>
      <c r="C3" s="69">
        <v>0</v>
      </c>
      <c r="D3" s="69">
        <v>1</v>
      </c>
      <c r="E3" s="69">
        <f t="shared" ref="E3:E8" si="0">SUM(B3:D3)</f>
        <v>2</v>
      </c>
      <c r="F3" s="70">
        <v>0</v>
      </c>
      <c r="G3" s="70">
        <v>2</v>
      </c>
      <c r="H3" s="70">
        <v>0</v>
      </c>
      <c r="I3" s="71">
        <f t="shared" ref="I3:I8" si="1">SUM(F3:H3)</f>
        <v>2</v>
      </c>
      <c r="J3" s="70">
        <v>0</v>
      </c>
      <c r="K3" s="70">
        <v>0</v>
      </c>
      <c r="L3" s="70">
        <v>0</v>
      </c>
      <c r="M3" s="70">
        <v>0</v>
      </c>
      <c r="N3" s="72">
        <f t="shared" ref="N3:N9" si="2">SUM(J3:M3)</f>
        <v>0</v>
      </c>
      <c r="O3" s="70"/>
      <c r="P3" s="70"/>
      <c r="Q3" s="70">
        <v>2</v>
      </c>
      <c r="R3" s="71">
        <f t="shared" ref="R3:R9" si="3">SUM(O3:Q3)</f>
        <v>2</v>
      </c>
      <c r="S3" s="70"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3">
        <v>2</v>
      </c>
      <c r="Z3" s="73">
        <v>0</v>
      </c>
      <c r="AA3" s="73">
        <v>0</v>
      </c>
      <c r="AB3" s="73">
        <v>0</v>
      </c>
      <c r="AC3" s="73">
        <f t="shared" ref="AC3:AC9" si="4">SUM(Y3:AB3)</f>
        <v>2</v>
      </c>
      <c r="AD3" s="73">
        <v>0</v>
      </c>
    </row>
    <row r="4" spans="1:30">
      <c r="A4" s="74" t="s">
        <v>552</v>
      </c>
      <c r="B4" s="69">
        <v>21</v>
      </c>
      <c r="C4" s="69">
        <v>1</v>
      </c>
      <c r="D4" s="69">
        <v>2</v>
      </c>
      <c r="E4" s="69">
        <f t="shared" si="0"/>
        <v>24</v>
      </c>
      <c r="F4" s="70">
        <v>0</v>
      </c>
      <c r="G4" s="70">
        <v>24</v>
      </c>
      <c r="H4" s="70">
        <v>0</v>
      </c>
      <c r="I4" s="71">
        <f t="shared" si="1"/>
        <v>24</v>
      </c>
      <c r="J4" s="70">
        <v>0</v>
      </c>
      <c r="K4" s="70">
        <v>0</v>
      </c>
      <c r="L4" s="70">
        <v>0</v>
      </c>
      <c r="M4" s="70">
        <v>0</v>
      </c>
      <c r="N4" s="72">
        <f t="shared" si="2"/>
        <v>0</v>
      </c>
      <c r="O4" s="70">
        <v>0</v>
      </c>
      <c r="P4" s="70">
        <v>0</v>
      </c>
      <c r="Q4" s="70">
        <v>16</v>
      </c>
      <c r="R4" s="71">
        <f t="shared" si="3"/>
        <v>16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3">
        <v>24</v>
      </c>
      <c r="Z4" s="73">
        <v>0</v>
      </c>
      <c r="AA4" s="73">
        <v>0</v>
      </c>
      <c r="AB4" s="73">
        <v>0</v>
      </c>
      <c r="AC4" s="73">
        <f t="shared" si="4"/>
        <v>24</v>
      </c>
      <c r="AD4" s="73">
        <v>0</v>
      </c>
    </row>
    <row r="5" spans="1:30">
      <c r="A5" s="77" t="s">
        <v>553</v>
      </c>
      <c r="B5" s="69">
        <v>12</v>
      </c>
      <c r="C5" s="69">
        <v>0</v>
      </c>
      <c r="D5" s="69">
        <v>0</v>
      </c>
      <c r="E5" s="69">
        <f t="shared" si="0"/>
        <v>12</v>
      </c>
      <c r="F5" s="70">
        <v>1</v>
      </c>
      <c r="G5" s="70">
        <v>11</v>
      </c>
      <c r="H5" s="70">
        <v>0</v>
      </c>
      <c r="I5" s="71">
        <f t="shared" si="1"/>
        <v>12</v>
      </c>
      <c r="J5" s="70">
        <v>0</v>
      </c>
      <c r="K5" s="70">
        <v>0</v>
      </c>
      <c r="L5" s="70">
        <v>0</v>
      </c>
      <c r="M5" s="70">
        <v>0</v>
      </c>
      <c r="N5" s="72">
        <f t="shared" si="2"/>
        <v>0</v>
      </c>
      <c r="O5" s="70">
        <v>1</v>
      </c>
      <c r="P5" s="70">
        <v>0</v>
      </c>
      <c r="Q5" s="70">
        <v>8</v>
      </c>
      <c r="R5" s="71">
        <f t="shared" si="3"/>
        <v>9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12</v>
      </c>
      <c r="Z5" s="73">
        <v>0</v>
      </c>
      <c r="AA5" s="73">
        <v>0</v>
      </c>
      <c r="AB5" s="73">
        <v>0</v>
      </c>
      <c r="AC5" s="73">
        <f t="shared" si="4"/>
        <v>12</v>
      </c>
      <c r="AD5" s="73">
        <v>0</v>
      </c>
    </row>
    <row r="6" spans="1:30">
      <c r="A6" s="77" t="s">
        <v>554</v>
      </c>
      <c r="B6" s="69">
        <v>13</v>
      </c>
      <c r="C6" s="69">
        <v>0</v>
      </c>
      <c r="D6" s="69">
        <v>0</v>
      </c>
      <c r="E6" s="69">
        <f t="shared" si="0"/>
        <v>13</v>
      </c>
      <c r="F6" s="70">
        <v>0</v>
      </c>
      <c r="G6" s="70">
        <v>13</v>
      </c>
      <c r="H6" s="70">
        <v>0</v>
      </c>
      <c r="I6" s="71">
        <f t="shared" si="1"/>
        <v>13</v>
      </c>
      <c r="J6" s="70">
        <v>0</v>
      </c>
      <c r="K6" s="70">
        <v>0</v>
      </c>
      <c r="L6" s="70">
        <v>0</v>
      </c>
      <c r="M6" s="70">
        <v>0</v>
      </c>
      <c r="N6" s="72">
        <f t="shared" si="2"/>
        <v>0</v>
      </c>
      <c r="O6" s="70">
        <v>0</v>
      </c>
      <c r="P6" s="70">
        <v>0</v>
      </c>
      <c r="Q6" s="70">
        <v>9</v>
      </c>
      <c r="R6" s="71">
        <f t="shared" si="3"/>
        <v>9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13</v>
      </c>
      <c r="Z6" s="73">
        <v>0</v>
      </c>
      <c r="AA6" s="73">
        <v>0</v>
      </c>
      <c r="AB6" s="73">
        <v>0</v>
      </c>
      <c r="AC6" s="73">
        <f t="shared" si="4"/>
        <v>13</v>
      </c>
      <c r="AD6" s="73">
        <v>0</v>
      </c>
    </row>
    <row r="7" spans="1:30">
      <c r="A7" s="77" t="s">
        <v>555</v>
      </c>
      <c r="B7" s="69">
        <v>3</v>
      </c>
      <c r="C7" s="69">
        <v>0</v>
      </c>
      <c r="D7" s="69">
        <v>2</v>
      </c>
      <c r="E7" s="69">
        <f t="shared" si="0"/>
        <v>5</v>
      </c>
      <c r="F7" s="70">
        <v>0</v>
      </c>
      <c r="G7" s="70">
        <v>5</v>
      </c>
      <c r="H7" s="70">
        <v>0</v>
      </c>
      <c r="I7" s="71">
        <f t="shared" si="1"/>
        <v>5</v>
      </c>
      <c r="J7" s="70">
        <v>0</v>
      </c>
      <c r="K7" s="70">
        <v>0</v>
      </c>
      <c r="L7" s="70">
        <v>0</v>
      </c>
      <c r="M7" s="70">
        <v>0</v>
      </c>
      <c r="N7" s="72">
        <f t="shared" si="2"/>
        <v>0</v>
      </c>
      <c r="O7" s="70">
        <v>0</v>
      </c>
      <c r="P7" s="70">
        <v>0</v>
      </c>
      <c r="Q7" s="70">
        <v>5</v>
      </c>
      <c r="R7" s="71">
        <f t="shared" si="3"/>
        <v>5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3">
        <v>5</v>
      </c>
      <c r="Z7" s="73">
        <v>0</v>
      </c>
      <c r="AA7" s="73">
        <v>0</v>
      </c>
      <c r="AB7" s="73">
        <v>0</v>
      </c>
      <c r="AC7" s="73">
        <f t="shared" si="4"/>
        <v>5</v>
      </c>
      <c r="AD7" s="73">
        <v>0</v>
      </c>
    </row>
    <row r="8" spans="1:30">
      <c r="A8" s="78" t="s">
        <v>556</v>
      </c>
      <c r="B8" s="79">
        <v>1</v>
      </c>
      <c r="C8" s="79">
        <v>0</v>
      </c>
      <c r="D8" s="79">
        <v>0</v>
      </c>
      <c r="E8" s="69">
        <f t="shared" si="0"/>
        <v>1</v>
      </c>
      <c r="F8" s="80">
        <v>0</v>
      </c>
      <c r="G8" s="80">
        <v>1</v>
      </c>
      <c r="H8" s="80">
        <v>0</v>
      </c>
      <c r="I8" s="71">
        <f t="shared" si="1"/>
        <v>1</v>
      </c>
      <c r="J8" s="80">
        <v>0</v>
      </c>
      <c r="K8" s="80">
        <v>0</v>
      </c>
      <c r="L8" s="80">
        <v>0</v>
      </c>
      <c r="M8" s="80">
        <v>0</v>
      </c>
      <c r="N8" s="72">
        <f t="shared" si="2"/>
        <v>0</v>
      </c>
      <c r="O8" s="80">
        <v>0</v>
      </c>
      <c r="P8" s="80">
        <v>0</v>
      </c>
      <c r="Q8" s="80">
        <v>1</v>
      </c>
      <c r="R8" s="71">
        <f t="shared" si="3"/>
        <v>1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2">
        <v>1</v>
      </c>
      <c r="Z8" s="82">
        <v>0</v>
      </c>
      <c r="AA8" s="82">
        <v>0</v>
      </c>
      <c r="AB8" s="82">
        <v>0</v>
      </c>
      <c r="AC8" s="73">
        <f t="shared" si="4"/>
        <v>1</v>
      </c>
      <c r="AD8" s="82">
        <v>0</v>
      </c>
    </row>
    <row r="9" spans="1:30">
      <c r="A9" s="69" t="s">
        <v>376</v>
      </c>
      <c r="B9" s="69">
        <f t="shared" ref="B9:M9" si="5">SUM(B3:B8)</f>
        <v>51</v>
      </c>
      <c r="C9" s="69">
        <f t="shared" si="5"/>
        <v>1</v>
      </c>
      <c r="D9" s="69">
        <f t="shared" si="5"/>
        <v>5</v>
      </c>
      <c r="E9" s="69">
        <f t="shared" si="5"/>
        <v>57</v>
      </c>
      <c r="F9" s="69">
        <f t="shared" si="5"/>
        <v>1</v>
      </c>
      <c r="G9" s="69">
        <f t="shared" si="5"/>
        <v>56</v>
      </c>
      <c r="H9" s="69">
        <f t="shared" si="5"/>
        <v>0</v>
      </c>
      <c r="I9" s="71">
        <f t="shared" si="5"/>
        <v>57</v>
      </c>
      <c r="J9" s="70">
        <f t="shared" si="5"/>
        <v>0</v>
      </c>
      <c r="K9" s="70">
        <f t="shared" si="5"/>
        <v>0</v>
      </c>
      <c r="L9" s="70">
        <f t="shared" si="5"/>
        <v>0</v>
      </c>
      <c r="M9" s="70">
        <f t="shared" si="5"/>
        <v>0</v>
      </c>
      <c r="N9" s="72">
        <f t="shared" si="2"/>
        <v>0</v>
      </c>
      <c r="O9" s="70">
        <f>SUM(O3:O8)</f>
        <v>1</v>
      </c>
      <c r="P9" s="70">
        <f>SUM(P3:P8)</f>
        <v>0</v>
      </c>
      <c r="Q9" s="70">
        <f>SUM(Q3:Q8)</f>
        <v>41</v>
      </c>
      <c r="R9" s="71">
        <f t="shared" si="3"/>
        <v>42</v>
      </c>
      <c r="S9" s="83">
        <f t="shared" ref="S9:AB9" si="6">SUM(S3:S8)</f>
        <v>0</v>
      </c>
      <c r="T9" s="83">
        <f t="shared" si="6"/>
        <v>0</v>
      </c>
      <c r="U9" s="83">
        <f t="shared" si="6"/>
        <v>0</v>
      </c>
      <c r="V9" s="83">
        <f t="shared" si="6"/>
        <v>0</v>
      </c>
      <c r="W9" s="83">
        <f t="shared" si="6"/>
        <v>0</v>
      </c>
      <c r="X9" s="83">
        <f t="shared" si="6"/>
        <v>0</v>
      </c>
      <c r="Y9" s="83">
        <f t="shared" si="6"/>
        <v>57</v>
      </c>
      <c r="Z9" s="83">
        <f t="shared" si="6"/>
        <v>0</v>
      </c>
      <c r="AA9" s="83">
        <f t="shared" si="6"/>
        <v>0</v>
      </c>
      <c r="AB9" s="83">
        <f t="shared" si="6"/>
        <v>0</v>
      </c>
      <c r="AC9" s="73">
        <f t="shared" si="4"/>
        <v>57</v>
      </c>
      <c r="AD9" s="73">
        <f>SUM(Z9:AC9)</f>
        <v>57</v>
      </c>
    </row>
  </sheetData>
  <mergeCells count="7">
    <mergeCell ref="S1:X1"/>
    <mergeCell ref="Y1:AC1"/>
    <mergeCell ref="A1:A2"/>
    <mergeCell ref="B1:E1"/>
    <mergeCell ref="F1:G1"/>
    <mergeCell ref="J1:N1"/>
    <mergeCell ref="O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76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0.7109375" customWidth="1"/>
    <col min="2" max="2" width="22.28515625" customWidth="1"/>
    <col min="3" max="3" width="5.7109375" customWidth="1"/>
    <col min="7" max="7" width="5.140625" customWidth="1"/>
    <col min="8" max="8" width="5.42578125" customWidth="1"/>
    <col min="9" max="9" width="5.7109375" customWidth="1"/>
    <col min="10" max="10" width="6.7109375" customWidth="1"/>
    <col min="11" max="11" width="5.85546875" customWidth="1"/>
    <col min="12" max="12" width="4.5703125" customWidth="1"/>
    <col min="13" max="13" width="5.28515625" customWidth="1"/>
    <col min="14" max="15" width="4.5703125" customWidth="1"/>
    <col min="16" max="16" width="5.28515625" customWidth="1"/>
    <col min="17" max="17" width="7.140625" customWidth="1"/>
    <col min="18" max="18" width="5.28515625" customWidth="1"/>
    <col min="19" max="19" width="6.42578125" customWidth="1"/>
    <col min="20" max="20" width="6" customWidth="1"/>
    <col min="21" max="21" width="5.42578125" customWidth="1"/>
    <col min="22" max="22" width="5.28515625" customWidth="1"/>
    <col min="23" max="23" width="9.28515625" customWidth="1"/>
    <col min="24" max="24" width="11.140625" customWidth="1"/>
    <col min="25" max="25" width="9.85546875" customWidth="1"/>
    <col min="26" max="26" width="8" customWidth="1"/>
    <col min="27" max="27" width="7" customWidth="1"/>
    <col min="28" max="28" width="9" customWidth="1"/>
    <col min="29" max="29" width="5.42578125" customWidth="1"/>
    <col min="30" max="30" width="7" customWidth="1"/>
    <col min="31" max="31" width="8" customWidth="1"/>
    <col min="32" max="33" width="8.28515625" customWidth="1"/>
    <col min="34" max="34" width="5.5703125" customWidth="1"/>
    <col min="35" max="35" width="4.5703125" customWidth="1"/>
    <col min="36" max="36" width="4" customWidth="1"/>
    <col min="37" max="37" width="5.140625" customWidth="1"/>
    <col min="38" max="38" width="5.28515625" customWidth="1"/>
    <col min="39" max="39" width="10.7109375" customWidth="1"/>
    <col min="40" max="40" width="10.28515625" customWidth="1"/>
    <col min="41" max="41" width="7.28515625" customWidth="1"/>
    <col min="42" max="42" width="7.85546875" customWidth="1"/>
    <col min="46" max="46" width="4.7109375" customWidth="1"/>
    <col min="47" max="47" width="6.140625" customWidth="1"/>
    <col min="48" max="48" width="7.140625" customWidth="1"/>
    <col min="49" max="49" width="8.42578125" customWidth="1"/>
    <col min="50" max="50" width="8.5703125" customWidth="1"/>
    <col min="51" max="51" width="8.28515625" customWidth="1"/>
    <col min="52" max="52" width="5.140625" customWidth="1"/>
    <col min="53" max="53" width="5" customWidth="1"/>
    <col min="54" max="54" width="4.85546875" customWidth="1"/>
    <col min="55" max="55" width="5.140625" customWidth="1"/>
    <col min="56" max="56" width="9.28515625" customWidth="1"/>
    <col min="57" max="57" width="7.5703125" customWidth="1"/>
    <col min="58" max="58" width="5.140625" customWidth="1"/>
    <col min="59" max="59" width="5.5703125" customWidth="1"/>
    <col min="60" max="60" width="5.140625" customWidth="1"/>
    <col min="61" max="61" width="5.5703125" customWidth="1"/>
    <col min="62" max="62" width="10" customWidth="1"/>
    <col min="64" max="64" width="6.85546875" customWidth="1"/>
    <col min="65" max="65" width="4.28515625" customWidth="1"/>
    <col min="66" max="66" width="6.7109375" customWidth="1"/>
    <col min="67" max="67" width="5" customWidth="1"/>
    <col min="68" max="68" width="4.28515625" customWidth="1"/>
    <col min="69" max="69" width="5.85546875" customWidth="1"/>
  </cols>
  <sheetData>
    <row r="1" spans="1:96">
      <c r="A1" s="479" t="s">
        <v>557</v>
      </c>
      <c r="B1" s="480"/>
      <c r="C1" s="479" t="s">
        <v>558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72" t="s">
        <v>16</v>
      </c>
      <c r="BI1" s="473"/>
      <c r="BJ1" s="473"/>
      <c r="BK1" s="473"/>
      <c r="BL1" s="474"/>
      <c r="BM1" s="455" t="s">
        <v>17</v>
      </c>
      <c r="BN1" s="456"/>
      <c r="BO1" s="461"/>
      <c r="BP1" s="475" t="s">
        <v>18</v>
      </c>
      <c r="BQ1" s="476"/>
      <c r="BR1" s="3"/>
      <c r="BS1" s="3"/>
      <c r="BT1" s="475" t="s">
        <v>19</v>
      </c>
      <c r="BU1" s="473"/>
      <c r="BV1" s="473"/>
      <c r="BW1" s="473"/>
      <c r="BX1" s="473"/>
      <c r="BY1" s="463" t="s">
        <v>20</v>
      </c>
      <c r="BZ1" s="456"/>
      <c r="CA1" s="461"/>
      <c r="CB1" s="465" t="s">
        <v>21</v>
      </c>
      <c r="CC1" s="466"/>
      <c r="CD1" s="4" t="s">
        <v>22</v>
      </c>
      <c r="CE1" s="465" t="s">
        <v>23</v>
      </c>
      <c r="CF1" s="469"/>
      <c r="CG1" s="463" t="s">
        <v>16</v>
      </c>
      <c r="CH1" s="456"/>
      <c r="CI1" s="464"/>
      <c r="CJ1" s="455" t="s">
        <v>24</v>
      </c>
      <c r="CK1" s="456"/>
      <c r="CL1" s="457" t="s">
        <v>25</v>
      </c>
      <c r="CM1" s="456"/>
      <c r="CN1" s="5"/>
      <c r="CO1" s="6" t="s">
        <v>26</v>
      </c>
      <c r="CP1" s="7"/>
      <c r="CQ1" s="8"/>
      <c r="CR1" s="9"/>
    </row>
    <row r="2" spans="1:96">
      <c r="BM2" s="477" t="s">
        <v>27</v>
      </c>
      <c r="BN2" s="478"/>
      <c r="BO2" s="478"/>
      <c r="BP2" s="478"/>
      <c r="BQ2" s="478"/>
      <c r="BR2" s="478"/>
      <c r="BS2" s="478"/>
    </row>
    <row r="3" spans="1:96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21" t="s">
        <v>74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87" t="s">
        <v>81</v>
      </c>
      <c r="BJ3" s="29" t="s">
        <v>84</v>
      </c>
      <c r="BK3" s="29" t="s">
        <v>85</v>
      </c>
      <c r="BL3" s="29" t="s">
        <v>86</v>
      </c>
      <c r="BM3" s="21" t="s">
        <v>73</v>
      </c>
      <c r="BN3" s="34" t="s">
        <v>87</v>
      </c>
      <c r="BO3" s="22" t="s">
        <v>56</v>
      </c>
      <c r="BP3" s="35" t="s">
        <v>83</v>
      </c>
      <c r="BQ3" s="36" t="s">
        <v>88</v>
      </c>
      <c r="BR3" s="37" t="s">
        <v>89</v>
      </c>
      <c r="BS3" s="37"/>
      <c r="BT3" s="35" t="s">
        <v>90</v>
      </c>
      <c r="BU3" s="38" t="s">
        <v>91</v>
      </c>
      <c r="BV3" s="38" t="s">
        <v>92</v>
      </c>
      <c r="BW3" s="38" t="s">
        <v>93</v>
      </c>
      <c r="BX3" s="39" t="s">
        <v>94</v>
      </c>
      <c r="BY3" s="40" t="s">
        <v>56</v>
      </c>
      <c r="BZ3" s="40" t="s">
        <v>73</v>
      </c>
      <c r="CA3" s="41" t="s">
        <v>22</v>
      </c>
      <c r="CB3" s="40" t="s">
        <v>56</v>
      </c>
      <c r="CC3" s="29" t="s">
        <v>73</v>
      </c>
      <c r="CD3" s="29" t="s">
        <v>95</v>
      </c>
      <c r="CE3" s="29" t="s">
        <v>83</v>
      </c>
      <c r="CF3" s="29" t="s">
        <v>88</v>
      </c>
      <c r="CG3" s="20" t="s">
        <v>96</v>
      </c>
      <c r="CH3" s="42" t="s">
        <v>97</v>
      </c>
      <c r="CI3" s="21" t="s">
        <v>98</v>
      </c>
      <c r="CJ3" s="21" t="s">
        <v>73</v>
      </c>
      <c r="CK3" s="22" t="s">
        <v>56</v>
      </c>
      <c r="CL3" s="20" t="s">
        <v>99</v>
      </c>
      <c r="CM3" s="22" t="s">
        <v>56</v>
      </c>
      <c r="CN3" s="43"/>
      <c r="CO3" s="458" t="s">
        <v>100</v>
      </c>
      <c r="CP3" s="459"/>
      <c r="CQ3" s="44" t="s">
        <v>101</v>
      </c>
      <c r="CR3" s="45" t="s">
        <v>102</v>
      </c>
    </row>
    <row r="4" spans="1:96">
      <c r="A4" s="46" t="s">
        <v>559</v>
      </c>
      <c r="B4" s="46" t="s">
        <v>560</v>
      </c>
      <c r="C4" s="46">
        <v>70</v>
      </c>
      <c r="D4" s="46" t="s">
        <v>561</v>
      </c>
      <c r="E4" s="46" t="s">
        <v>562</v>
      </c>
      <c r="F4" s="46" t="s">
        <v>455</v>
      </c>
      <c r="G4" s="46">
        <v>1</v>
      </c>
      <c r="O4" s="46">
        <v>1</v>
      </c>
      <c r="Q4" s="46">
        <v>1</v>
      </c>
      <c r="T4" s="46">
        <v>1</v>
      </c>
      <c r="W4" s="46">
        <v>15</v>
      </c>
      <c r="X4" s="46">
        <v>19</v>
      </c>
      <c r="Y4" s="46">
        <v>19</v>
      </c>
      <c r="Z4" s="46">
        <v>8</v>
      </c>
      <c r="AA4" s="46">
        <v>8</v>
      </c>
      <c r="AB4" s="46">
        <v>7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V4" s="46">
        <v>1</v>
      </c>
      <c r="BY4" s="46">
        <v>1</v>
      </c>
    </row>
    <row r="5" spans="1:96">
      <c r="A5" s="46" t="s">
        <v>563</v>
      </c>
      <c r="B5" s="46" t="s">
        <v>564</v>
      </c>
      <c r="C5" s="46">
        <v>49</v>
      </c>
      <c r="D5" s="46" t="s">
        <v>565</v>
      </c>
      <c r="F5" s="46" t="s">
        <v>399</v>
      </c>
      <c r="G5" s="46">
        <v>1</v>
      </c>
      <c r="M5" s="46">
        <v>1</v>
      </c>
      <c r="Q5" s="46">
        <v>1</v>
      </c>
      <c r="T5" s="46">
        <v>1</v>
      </c>
      <c r="W5" s="46">
        <v>12</v>
      </c>
      <c r="X5" s="46">
        <v>20</v>
      </c>
      <c r="Y5" s="46">
        <v>23</v>
      </c>
      <c r="Z5" s="46">
        <v>10</v>
      </c>
      <c r="AA5" s="46">
        <v>9</v>
      </c>
      <c r="AB5" s="46">
        <v>9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V5" s="46">
        <v>1</v>
      </c>
      <c r="BY5" s="46">
        <v>1</v>
      </c>
    </row>
    <row r="6" spans="1:96">
      <c r="A6" s="46" t="s">
        <v>566</v>
      </c>
      <c r="B6" s="46" t="s">
        <v>567</v>
      </c>
      <c r="C6" s="46">
        <v>32</v>
      </c>
      <c r="D6" s="46" t="s">
        <v>568</v>
      </c>
      <c r="E6" s="46" t="s">
        <v>569</v>
      </c>
      <c r="F6" s="46" t="s">
        <v>415</v>
      </c>
      <c r="G6" s="46">
        <v>1</v>
      </c>
      <c r="M6" s="46">
        <v>1</v>
      </c>
      <c r="Q6" s="46">
        <v>1</v>
      </c>
      <c r="T6" s="46">
        <v>1</v>
      </c>
      <c r="W6" s="46">
        <v>16</v>
      </c>
      <c r="X6" s="46">
        <v>18</v>
      </c>
      <c r="Y6" s="46">
        <v>20</v>
      </c>
      <c r="Z6" s="46">
        <v>10</v>
      </c>
      <c r="AA6" s="46">
        <v>8</v>
      </c>
      <c r="AB6" s="46">
        <v>8</v>
      </c>
      <c r="AE6" s="46">
        <v>1</v>
      </c>
      <c r="AG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V6" s="46">
        <v>1</v>
      </c>
      <c r="BY6" s="46">
        <v>1</v>
      </c>
    </row>
    <row r="7" spans="1:96">
      <c r="A7" s="46" t="s">
        <v>570</v>
      </c>
      <c r="B7" s="46" t="s">
        <v>571</v>
      </c>
      <c r="C7" s="46">
        <v>36</v>
      </c>
      <c r="D7" s="46" t="s">
        <v>565</v>
      </c>
      <c r="F7" s="46" t="s">
        <v>415</v>
      </c>
      <c r="J7" s="46">
        <v>1</v>
      </c>
      <c r="M7" s="46">
        <v>1</v>
      </c>
      <c r="Q7" s="46">
        <v>1</v>
      </c>
      <c r="T7" s="46">
        <v>1</v>
      </c>
      <c r="W7" s="46">
        <v>14</v>
      </c>
      <c r="X7" s="46">
        <v>16</v>
      </c>
      <c r="Y7" s="46">
        <v>17</v>
      </c>
      <c r="Z7" s="46">
        <v>7</v>
      </c>
      <c r="AA7" s="46">
        <v>6</v>
      </c>
      <c r="AB7" s="46">
        <v>6</v>
      </c>
      <c r="AD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V7" s="46">
        <v>1</v>
      </c>
      <c r="BY7" s="46">
        <v>1</v>
      </c>
    </row>
    <row r="8" spans="1:96">
      <c r="A8" s="46" t="s">
        <v>572</v>
      </c>
      <c r="B8" s="46" t="s">
        <v>573</v>
      </c>
      <c r="C8" s="46">
        <v>29</v>
      </c>
      <c r="D8" s="46" t="s">
        <v>574</v>
      </c>
      <c r="E8" s="46" t="s">
        <v>575</v>
      </c>
      <c r="F8" s="46" t="s">
        <v>112</v>
      </c>
      <c r="G8" s="46">
        <v>1</v>
      </c>
      <c r="M8" s="46">
        <v>1</v>
      </c>
      <c r="Q8" s="46">
        <v>1</v>
      </c>
      <c r="T8" s="46">
        <v>1</v>
      </c>
      <c r="W8" s="46">
        <v>18</v>
      </c>
      <c r="X8" s="46">
        <v>21</v>
      </c>
      <c r="Y8" s="46">
        <v>22</v>
      </c>
      <c r="Z8" s="46">
        <v>6</v>
      </c>
      <c r="AA8" s="46">
        <v>5</v>
      </c>
      <c r="AB8" s="46">
        <v>5</v>
      </c>
      <c r="AD8" s="46">
        <v>1</v>
      </c>
      <c r="AE8" s="46">
        <v>1</v>
      </c>
      <c r="AG8" s="46">
        <v>1</v>
      </c>
      <c r="AH8" s="46">
        <v>1</v>
      </c>
      <c r="AJ8" s="46">
        <v>1</v>
      </c>
      <c r="AM8" s="46">
        <v>1</v>
      </c>
      <c r="AT8" s="46">
        <v>1</v>
      </c>
      <c r="AW8" s="46">
        <v>1</v>
      </c>
      <c r="BA8" s="46">
        <v>1</v>
      </c>
      <c r="BI8" s="46">
        <v>1</v>
      </c>
      <c r="BY8" s="46">
        <v>1</v>
      </c>
    </row>
    <row r="9" spans="1:96">
      <c r="A9" s="46" t="s">
        <v>576</v>
      </c>
      <c r="B9" s="46" t="s">
        <v>577</v>
      </c>
      <c r="C9" s="46">
        <v>65</v>
      </c>
      <c r="D9" s="46" t="s">
        <v>561</v>
      </c>
      <c r="E9" s="46" t="s">
        <v>578</v>
      </c>
      <c r="F9" s="46" t="s">
        <v>112</v>
      </c>
      <c r="H9" s="46">
        <v>1</v>
      </c>
      <c r="M9" s="46">
        <v>1</v>
      </c>
      <c r="R9" s="46">
        <v>1</v>
      </c>
      <c r="T9" s="46">
        <v>1</v>
      </c>
      <c r="W9" s="46">
        <v>14</v>
      </c>
      <c r="X9" s="46">
        <v>16</v>
      </c>
      <c r="Y9" s="46" t="s">
        <v>489</v>
      </c>
      <c r="Z9" s="46">
        <v>7</v>
      </c>
      <c r="AA9" s="46">
        <v>7</v>
      </c>
      <c r="AB9" s="46">
        <v>6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Y9" s="46">
        <v>1</v>
      </c>
    </row>
    <row r="10" spans="1:96">
      <c r="A10" s="46" t="s">
        <v>579</v>
      </c>
      <c r="B10" s="46" t="s">
        <v>580</v>
      </c>
      <c r="C10" s="46">
        <v>20</v>
      </c>
      <c r="D10" s="46" t="s">
        <v>581</v>
      </c>
      <c r="F10" s="46" t="s">
        <v>399</v>
      </c>
      <c r="J10" s="46">
        <v>1</v>
      </c>
      <c r="M10" s="46">
        <v>1</v>
      </c>
      <c r="Q10" s="46">
        <v>1</v>
      </c>
      <c r="T10" s="46">
        <v>1</v>
      </c>
      <c r="W10" s="46">
        <v>13</v>
      </c>
      <c r="X10" s="46">
        <v>14</v>
      </c>
      <c r="Y10" s="46">
        <v>18</v>
      </c>
      <c r="Z10" s="46">
        <v>1</v>
      </c>
      <c r="AA10" s="46">
        <v>1</v>
      </c>
      <c r="AB10" s="46">
        <v>1</v>
      </c>
      <c r="AH10" s="46">
        <v>1</v>
      </c>
      <c r="AJ10" s="46">
        <v>1</v>
      </c>
      <c r="AK10" s="46">
        <v>1</v>
      </c>
      <c r="AT10" s="46">
        <v>1</v>
      </c>
      <c r="AY10" s="46">
        <v>1</v>
      </c>
      <c r="BA10" s="46">
        <v>1</v>
      </c>
      <c r="BI10" s="46">
        <v>1</v>
      </c>
      <c r="BV10" s="46">
        <v>1</v>
      </c>
      <c r="BY10" s="46">
        <v>1</v>
      </c>
    </row>
    <row r="11" spans="1:96">
      <c r="A11" s="46" t="s">
        <v>582</v>
      </c>
      <c r="B11" s="46" t="s">
        <v>583</v>
      </c>
      <c r="C11" s="46">
        <v>40</v>
      </c>
      <c r="D11" s="46" t="s">
        <v>584</v>
      </c>
      <c r="F11" s="46" t="s">
        <v>399</v>
      </c>
      <c r="G11" s="46">
        <v>1</v>
      </c>
      <c r="M11" s="46">
        <v>1</v>
      </c>
      <c r="Q11" s="46">
        <v>1</v>
      </c>
      <c r="T11" s="46">
        <v>1</v>
      </c>
      <c r="W11" s="46">
        <v>16</v>
      </c>
      <c r="X11" s="46">
        <v>16</v>
      </c>
      <c r="Y11" s="46">
        <v>18</v>
      </c>
      <c r="Z11" s="46">
        <v>11</v>
      </c>
      <c r="AA11" s="46">
        <v>11</v>
      </c>
      <c r="AB11" s="46">
        <v>11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X11" s="46">
        <v>1</v>
      </c>
      <c r="BA11" s="46">
        <v>1</v>
      </c>
      <c r="BI11" s="46">
        <v>1</v>
      </c>
      <c r="BV11" s="46">
        <v>1</v>
      </c>
      <c r="BY11" s="46">
        <v>1</v>
      </c>
    </row>
    <row r="12" spans="1:96">
      <c r="A12" s="46" t="s">
        <v>585</v>
      </c>
      <c r="B12" s="46" t="s">
        <v>586</v>
      </c>
      <c r="C12" s="46">
        <v>45</v>
      </c>
      <c r="D12" s="46" t="s">
        <v>584</v>
      </c>
      <c r="F12" s="46" t="s">
        <v>399</v>
      </c>
      <c r="H12" s="46">
        <v>1</v>
      </c>
      <c r="M12" s="46">
        <v>1</v>
      </c>
      <c r="R12" s="46">
        <v>1</v>
      </c>
      <c r="T12" s="46">
        <v>1</v>
      </c>
      <c r="W12" s="46">
        <v>11</v>
      </c>
      <c r="X12" s="46">
        <v>16</v>
      </c>
      <c r="Y12" s="46">
        <v>17</v>
      </c>
      <c r="Z12" s="46">
        <v>12</v>
      </c>
      <c r="AA12" s="46">
        <v>9</v>
      </c>
      <c r="AB12" s="46">
        <v>9</v>
      </c>
      <c r="AH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V12" s="46">
        <v>1</v>
      </c>
      <c r="BY12" s="46">
        <v>1</v>
      </c>
    </row>
    <row r="13" spans="1:96">
      <c r="A13" s="46" t="s">
        <v>587</v>
      </c>
      <c r="B13" s="46" t="s">
        <v>588</v>
      </c>
      <c r="C13" s="46">
        <v>49</v>
      </c>
      <c r="D13" s="46" t="s">
        <v>574</v>
      </c>
      <c r="F13" s="46" t="s">
        <v>420</v>
      </c>
      <c r="G13" s="46">
        <v>1</v>
      </c>
      <c r="M13" s="46">
        <v>1</v>
      </c>
      <c r="R13" s="46">
        <v>1</v>
      </c>
      <c r="T13" s="46">
        <v>1</v>
      </c>
      <c r="W13" s="46">
        <v>17</v>
      </c>
      <c r="X13" s="46">
        <v>18</v>
      </c>
      <c r="Y13" s="46">
        <v>19</v>
      </c>
      <c r="Z13" s="46">
        <v>1</v>
      </c>
      <c r="AA13" s="46">
        <v>1</v>
      </c>
      <c r="AB13" s="46">
        <v>1</v>
      </c>
      <c r="AE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V13" s="46">
        <v>1</v>
      </c>
      <c r="BY13" s="46">
        <v>1</v>
      </c>
    </row>
    <row r="14" spans="1:96">
      <c r="A14" s="46" t="s">
        <v>589</v>
      </c>
      <c r="B14" s="46" t="s">
        <v>590</v>
      </c>
      <c r="C14" s="46">
        <v>20</v>
      </c>
      <c r="D14" s="46" t="s">
        <v>584</v>
      </c>
      <c r="F14" s="46" t="s">
        <v>433</v>
      </c>
      <c r="I14" s="46">
        <v>1</v>
      </c>
      <c r="M14" s="46">
        <v>1</v>
      </c>
      <c r="R14" s="46">
        <v>1</v>
      </c>
      <c r="T14" s="46">
        <v>1</v>
      </c>
      <c r="W14" s="46">
        <v>14</v>
      </c>
      <c r="X14" s="46">
        <v>16</v>
      </c>
      <c r="Y14" s="46">
        <v>18</v>
      </c>
      <c r="Z14" s="46">
        <v>6</v>
      </c>
      <c r="AA14" s="46">
        <v>6</v>
      </c>
      <c r="AB14" s="46">
        <v>6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Y14" s="46">
        <v>1</v>
      </c>
    </row>
    <row r="15" spans="1:96">
      <c r="A15" s="46" t="s">
        <v>591</v>
      </c>
      <c r="B15" s="46" t="s">
        <v>592</v>
      </c>
      <c r="C15" s="46">
        <v>39</v>
      </c>
      <c r="D15" s="46" t="s">
        <v>561</v>
      </c>
      <c r="E15" s="46" t="s">
        <v>593</v>
      </c>
      <c r="F15" s="46" t="s">
        <v>594</v>
      </c>
      <c r="I15" s="46">
        <v>1</v>
      </c>
      <c r="M15" s="46">
        <v>1</v>
      </c>
      <c r="Q15" s="46">
        <v>1</v>
      </c>
      <c r="T15" s="46">
        <v>1</v>
      </c>
      <c r="W15" s="46">
        <v>15</v>
      </c>
      <c r="X15" s="46">
        <v>15</v>
      </c>
      <c r="Y15" s="46">
        <v>16</v>
      </c>
      <c r="Z15" s="46">
        <v>3</v>
      </c>
      <c r="AA15" s="46">
        <v>3</v>
      </c>
      <c r="AB15" s="46">
        <v>0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V15" s="46">
        <v>1</v>
      </c>
      <c r="BY15" s="46">
        <v>1</v>
      </c>
    </row>
    <row r="16" spans="1:96">
      <c r="A16" s="46" t="s">
        <v>595</v>
      </c>
      <c r="B16" s="46" t="s">
        <v>596</v>
      </c>
      <c r="C16" s="46">
        <v>62</v>
      </c>
      <c r="D16" s="46" t="s">
        <v>568</v>
      </c>
      <c r="F16" s="46" t="s">
        <v>415</v>
      </c>
      <c r="H16" s="46">
        <v>1</v>
      </c>
      <c r="O16" s="46">
        <v>1</v>
      </c>
      <c r="R16" s="46">
        <v>1</v>
      </c>
      <c r="S16" s="46">
        <v>1</v>
      </c>
      <c r="W16" s="46" t="s">
        <v>489</v>
      </c>
      <c r="X16" s="46">
        <v>11</v>
      </c>
      <c r="Y16" s="46">
        <v>12</v>
      </c>
      <c r="Z16" s="46">
        <v>1</v>
      </c>
      <c r="AA16" s="46">
        <v>1</v>
      </c>
      <c r="AB16" s="46">
        <v>1</v>
      </c>
      <c r="AG16" s="46">
        <v>1</v>
      </c>
      <c r="AH16" s="46">
        <v>1</v>
      </c>
      <c r="AI16" s="46">
        <v>1</v>
      </c>
      <c r="AM16" s="46">
        <v>1</v>
      </c>
      <c r="AT16" s="46">
        <v>1</v>
      </c>
      <c r="AW16" s="46">
        <v>1</v>
      </c>
      <c r="BA16" s="46">
        <v>1</v>
      </c>
      <c r="BI16" s="46">
        <v>1</v>
      </c>
      <c r="BV16" s="46">
        <v>1</v>
      </c>
      <c r="BY16" s="46">
        <v>1</v>
      </c>
    </row>
    <row r="17" spans="1:77">
      <c r="A17" s="46" t="s">
        <v>597</v>
      </c>
      <c r="B17" s="46" t="s">
        <v>598</v>
      </c>
      <c r="C17" s="46">
        <v>50</v>
      </c>
      <c r="D17" s="46" t="s">
        <v>568</v>
      </c>
      <c r="F17" s="46" t="s">
        <v>415</v>
      </c>
      <c r="H17" s="46">
        <v>1</v>
      </c>
      <c r="M17" s="46">
        <v>1</v>
      </c>
      <c r="Q17" s="46">
        <v>1</v>
      </c>
      <c r="T17" s="46">
        <v>1</v>
      </c>
      <c r="W17" s="46">
        <v>14</v>
      </c>
      <c r="X17" s="46">
        <v>15</v>
      </c>
      <c r="Y17" s="46">
        <v>16</v>
      </c>
      <c r="Z17" s="46">
        <v>10</v>
      </c>
      <c r="AA17" s="46">
        <v>10</v>
      </c>
      <c r="AB17" s="46">
        <v>7</v>
      </c>
      <c r="AD17" s="46">
        <v>1</v>
      </c>
      <c r="AE17" s="46">
        <v>1</v>
      </c>
      <c r="AG17" s="46">
        <v>1</v>
      </c>
      <c r="AH17" s="46">
        <v>1</v>
      </c>
      <c r="AJ17" s="46">
        <v>1</v>
      </c>
      <c r="AM17" s="46">
        <v>1</v>
      </c>
      <c r="AT17" s="46">
        <v>1</v>
      </c>
      <c r="AX17" s="46">
        <v>1</v>
      </c>
      <c r="BA17" s="46">
        <v>1</v>
      </c>
      <c r="BI17" s="46">
        <v>1</v>
      </c>
      <c r="BY17" s="46">
        <v>1</v>
      </c>
    </row>
    <row r="18" spans="1:77">
      <c r="A18" s="46" t="s">
        <v>599</v>
      </c>
      <c r="B18" s="46" t="s">
        <v>600</v>
      </c>
      <c r="C18" s="46">
        <v>40</v>
      </c>
      <c r="D18" s="46" t="s">
        <v>561</v>
      </c>
      <c r="F18" s="46" t="s">
        <v>145</v>
      </c>
      <c r="J18" s="46">
        <v>1</v>
      </c>
      <c r="M18" s="46">
        <v>1</v>
      </c>
      <c r="R18" s="46">
        <v>1</v>
      </c>
      <c r="T18" s="46">
        <v>1</v>
      </c>
      <c r="W18" s="46">
        <v>13</v>
      </c>
      <c r="X18" s="46">
        <v>13</v>
      </c>
      <c r="Y18" s="46">
        <v>14</v>
      </c>
      <c r="Z18" s="46">
        <v>4</v>
      </c>
      <c r="AA18" s="46">
        <v>4</v>
      </c>
      <c r="AB18" s="46">
        <v>4</v>
      </c>
      <c r="AD18" s="46">
        <v>1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V18" s="46">
        <v>1</v>
      </c>
      <c r="BY18" s="46">
        <v>1</v>
      </c>
    </row>
    <row r="19" spans="1:77">
      <c r="A19" s="46" t="s">
        <v>601</v>
      </c>
      <c r="B19" s="46" t="s">
        <v>602</v>
      </c>
      <c r="C19" s="46">
        <v>25</v>
      </c>
      <c r="D19" s="46" t="s">
        <v>561</v>
      </c>
      <c r="E19" s="46" t="s">
        <v>603</v>
      </c>
      <c r="F19" s="46" t="s">
        <v>112</v>
      </c>
      <c r="H19" s="46">
        <v>1</v>
      </c>
      <c r="M19" s="46">
        <v>1</v>
      </c>
      <c r="Q19" s="46">
        <v>1</v>
      </c>
      <c r="U19" s="46">
        <v>1</v>
      </c>
      <c r="W19" s="46">
        <v>14</v>
      </c>
      <c r="X19" s="46" t="s">
        <v>489</v>
      </c>
      <c r="Y19" s="46">
        <v>23</v>
      </c>
      <c r="Z19" s="46">
        <v>7</v>
      </c>
      <c r="AA19" s="46">
        <v>6</v>
      </c>
      <c r="AB19" s="46">
        <v>6</v>
      </c>
      <c r="AC19" s="46">
        <v>1</v>
      </c>
      <c r="AJ19" s="46">
        <v>1</v>
      </c>
      <c r="AL19" s="46">
        <v>1</v>
      </c>
      <c r="AO19" s="46">
        <v>1</v>
      </c>
      <c r="AR19" s="46">
        <v>2023</v>
      </c>
      <c r="AT19" s="46">
        <v>1</v>
      </c>
      <c r="AY19" s="46">
        <v>1</v>
      </c>
      <c r="BA19" s="46">
        <v>1</v>
      </c>
      <c r="BI19" s="46">
        <v>1</v>
      </c>
      <c r="BY19" s="46">
        <v>1</v>
      </c>
    </row>
    <row r="20" spans="1:77">
      <c r="A20" s="46" t="s">
        <v>604</v>
      </c>
      <c r="B20" s="46" t="s">
        <v>605</v>
      </c>
      <c r="C20" s="46">
        <v>35</v>
      </c>
      <c r="D20" s="46" t="s">
        <v>561</v>
      </c>
      <c r="E20" s="46" t="s">
        <v>606</v>
      </c>
      <c r="F20" s="46" t="s">
        <v>112</v>
      </c>
      <c r="G20" s="46">
        <v>1</v>
      </c>
      <c r="M20" s="46">
        <v>1</v>
      </c>
      <c r="R20" s="46">
        <v>1</v>
      </c>
      <c r="T20" s="46">
        <v>1</v>
      </c>
      <c r="W20" s="46">
        <v>12</v>
      </c>
      <c r="X20" s="46">
        <v>10</v>
      </c>
      <c r="Y20" s="46">
        <v>12</v>
      </c>
      <c r="Z20" s="46">
        <v>10</v>
      </c>
      <c r="AA20" s="46">
        <v>10</v>
      </c>
      <c r="AB20" s="46">
        <v>8</v>
      </c>
      <c r="AD20" s="46">
        <v>1</v>
      </c>
      <c r="AE20" s="46">
        <v>1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V20" s="46">
        <v>1</v>
      </c>
      <c r="BY20" s="46">
        <v>1</v>
      </c>
    </row>
    <row r="21" spans="1:77">
      <c r="A21" s="46" t="s">
        <v>607</v>
      </c>
      <c r="B21" s="46" t="s">
        <v>608</v>
      </c>
      <c r="C21" s="46">
        <v>36</v>
      </c>
      <c r="D21" s="46" t="s">
        <v>609</v>
      </c>
      <c r="E21" s="46" t="s">
        <v>610</v>
      </c>
      <c r="F21" s="46" t="s">
        <v>415</v>
      </c>
      <c r="G21" s="46">
        <v>1</v>
      </c>
      <c r="P21" s="46">
        <v>1</v>
      </c>
      <c r="Q21" s="46">
        <v>1</v>
      </c>
      <c r="T21" s="46">
        <v>1</v>
      </c>
      <c r="W21" s="46">
        <v>15</v>
      </c>
      <c r="X21" s="46">
        <v>17</v>
      </c>
      <c r="Y21" s="46">
        <v>19</v>
      </c>
      <c r="Z21" s="46">
        <v>9</v>
      </c>
      <c r="AA21" s="46">
        <v>9</v>
      </c>
      <c r="AB21" s="46">
        <v>9</v>
      </c>
      <c r="AH21" s="46">
        <v>1</v>
      </c>
      <c r="AI21" s="46">
        <v>1</v>
      </c>
      <c r="AK21" s="46">
        <v>1</v>
      </c>
      <c r="AT21" s="46">
        <v>1</v>
      </c>
      <c r="AX21" s="46">
        <v>1</v>
      </c>
      <c r="BA21" s="46">
        <v>1</v>
      </c>
      <c r="BI21" s="46">
        <v>1</v>
      </c>
      <c r="BY21" s="46">
        <v>1</v>
      </c>
    </row>
    <row r="22" spans="1:77">
      <c r="A22" s="46" t="s">
        <v>611</v>
      </c>
      <c r="B22" s="46" t="s">
        <v>612</v>
      </c>
      <c r="C22" s="46">
        <v>65</v>
      </c>
      <c r="D22" s="46" t="s">
        <v>613</v>
      </c>
      <c r="F22" s="46" t="s">
        <v>399</v>
      </c>
      <c r="I22" s="46">
        <v>1</v>
      </c>
      <c r="M22" s="46">
        <v>1</v>
      </c>
      <c r="R22" s="46">
        <v>1</v>
      </c>
      <c r="T22" s="46">
        <v>1</v>
      </c>
      <c r="W22" s="46">
        <v>14</v>
      </c>
      <c r="X22" s="46">
        <v>17</v>
      </c>
      <c r="Y22" s="46">
        <v>17</v>
      </c>
      <c r="Z22" s="46">
        <v>3</v>
      </c>
      <c r="AA22" s="46">
        <v>3</v>
      </c>
      <c r="AB22" s="46">
        <v>3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Y22" s="46">
        <v>1</v>
      </c>
    </row>
    <row r="23" spans="1:77">
      <c r="A23" s="46" t="s">
        <v>614</v>
      </c>
      <c r="B23" s="46" t="s">
        <v>615</v>
      </c>
      <c r="C23" s="46">
        <v>23</v>
      </c>
      <c r="D23" s="46" t="s">
        <v>561</v>
      </c>
      <c r="E23" s="46" t="s">
        <v>616</v>
      </c>
      <c r="F23" s="46" t="s">
        <v>415</v>
      </c>
      <c r="G23" s="46">
        <v>1</v>
      </c>
      <c r="M23" s="46">
        <v>1</v>
      </c>
      <c r="R23" s="46">
        <v>1</v>
      </c>
      <c r="T23" s="46">
        <v>1</v>
      </c>
      <c r="W23" s="46">
        <v>16</v>
      </c>
      <c r="X23" s="46">
        <v>17</v>
      </c>
      <c r="Y23" s="46">
        <v>19</v>
      </c>
      <c r="Z23" s="46">
        <v>11</v>
      </c>
      <c r="AA23" s="46">
        <v>11</v>
      </c>
      <c r="AB23" s="46">
        <v>5</v>
      </c>
      <c r="AE23" s="46">
        <v>1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V23" s="46">
        <v>1</v>
      </c>
      <c r="BY23" s="46">
        <v>1</v>
      </c>
    </row>
    <row r="24" spans="1:77">
      <c r="A24" s="46" t="s">
        <v>617</v>
      </c>
      <c r="B24" s="46" t="s">
        <v>618</v>
      </c>
      <c r="C24" s="46">
        <v>53</v>
      </c>
      <c r="D24" s="46" t="s">
        <v>561</v>
      </c>
      <c r="E24" s="46" t="s">
        <v>619</v>
      </c>
      <c r="F24" s="46" t="s">
        <v>145</v>
      </c>
      <c r="I24" s="46">
        <v>1</v>
      </c>
      <c r="M24" s="46">
        <v>1</v>
      </c>
      <c r="Q24" s="46">
        <v>1</v>
      </c>
      <c r="U24" s="46">
        <v>1</v>
      </c>
      <c r="W24" s="46">
        <v>13</v>
      </c>
      <c r="X24" s="46">
        <v>15</v>
      </c>
      <c r="Y24" s="46">
        <v>15</v>
      </c>
      <c r="Z24" s="46">
        <v>4</v>
      </c>
      <c r="AA24" s="46">
        <v>4</v>
      </c>
      <c r="AB24" s="46">
        <v>3</v>
      </c>
      <c r="AH24" s="46">
        <v>1</v>
      </c>
      <c r="AJ24" s="46">
        <v>1</v>
      </c>
      <c r="AM24" s="46">
        <v>1</v>
      </c>
      <c r="AT24" s="46">
        <v>1</v>
      </c>
      <c r="AW24" s="46">
        <v>1</v>
      </c>
      <c r="BA24" s="46">
        <v>1</v>
      </c>
      <c r="BI24" s="46">
        <v>1</v>
      </c>
      <c r="BV24" s="46">
        <v>1</v>
      </c>
      <c r="BY24" s="46">
        <v>1</v>
      </c>
    </row>
    <row r="25" spans="1:77">
      <c r="A25" s="46" t="s">
        <v>620</v>
      </c>
      <c r="B25" s="46" t="s">
        <v>621</v>
      </c>
      <c r="C25" s="46">
        <v>27</v>
      </c>
      <c r="D25" s="46" t="s">
        <v>622</v>
      </c>
      <c r="E25" s="46" t="s">
        <v>623</v>
      </c>
      <c r="F25" s="46" t="s">
        <v>624</v>
      </c>
      <c r="H25" s="46">
        <v>1</v>
      </c>
      <c r="O25" s="46">
        <v>1</v>
      </c>
      <c r="R25" s="46">
        <v>1</v>
      </c>
      <c r="S25" s="46">
        <v>1</v>
      </c>
      <c r="W25" s="46">
        <v>13</v>
      </c>
      <c r="X25" s="46">
        <v>17</v>
      </c>
      <c r="Y25" s="46">
        <v>18</v>
      </c>
      <c r="Z25" s="46">
        <v>11</v>
      </c>
      <c r="AA25" s="46">
        <v>7</v>
      </c>
      <c r="AB25" s="46">
        <v>7</v>
      </c>
      <c r="AH25" s="46">
        <v>1</v>
      </c>
      <c r="AJ25" s="46">
        <v>1</v>
      </c>
      <c r="AK25" s="46">
        <v>1</v>
      </c>
      <c r="AT25" s="46">
        <v>1</v>
      </c>
      <c r="AX25" s="46">
        <v>1</v>
      </c>
      <c r="BA25" s="46">
        <v>1</v>
      </c>
      <c r="BI25" s="46">
        <v>1</v>
      </c>
      <c r="BY25" s="46">
        <v>1</v>
      </c>
    </row>
    <row r="26" spans="1:77">
      <c r="A26" s="46" t="s">
        <v>625</v>
      </c>
      <c r="B26" s="46" t="s">
        <v>626</v>
      </c>
      <c r="C26" s="46">
        <v>28</v>
      </c>
      <c r="D26" s="46" t="s">
        <v>568</v>
      </c>
      <c r="F26" s="46" t="s">
        <v>415</v>
      </c>
      <c r="G26" s="46">
        <v>1</v>
      </c>
      <c r="O26" s="46">
        <v>1</v>
      </c>
      <c r="S26" s="46">
        <v>1</v>
      </c>
      <c r="W26" s="46">
        <v>12</v>
      </c>
      <c r="X26" s="46">
        <v>18</v>
      </c>
      <c r="Y26" s="46" t="s">
        <v>489</v>
      </c>
      <c r="Z26" s="46">
        <v>9</v>
      </c>
      <c r="AA26" s="46">
        <v>9</v>
      </c>
      <c r="AB26" s="46">
        <v>5</v>
      </c>
      <c r="AH26" s="46">
        <v>1</v>
      </c>
      <c r="AI26" s="46">
        <v>1</v>
      </c>
      <c r="AK26" s="46">
        <v>1</v>
      </c>
      <c r="AT26" s="46">
        <v>1</v>
      </c>
      <c r="AX26" s="46">
        <v>1</v>
      </c>
      <c r="BA26" s="46">
        <v>1</v>
      </c>
      <c r="BI26" s="46">
        <v>1</v>
      </c>
      <c r="BV26" s="46">
        <v>1</v>
      </c>
      <c r="BY26" s="46">
        <v>1</v>
      </c>
    </row>
    <row r="27" spans="1:77">
      <c r="A27" s="46" t="s">
        <v>627</v>
      </c>
      <c r="B27" s="46" t="s">
        <v>628</v>
      </c>
      <c r="C27" s="46">
        <v>80</v>
      </c>
      <c r="D27" s="46" t="s">
        <v>568</v>
      </c>
      <c r="F27" s="46" t="s">
        <v>415</v>
      </c>
      <c r="G27" s="46">
        <v>1</v>
      </c>
      <c r="O27" s="46">
        <v>1</v>
      </c>
      <c r="S27" s="46">
        <v>1</v>
      </c>
      <c r="W27" s="46">
        <v>13</v>
      </c>
      <c r="X27" s="46">
        <v>16</v>
      </c>
      <c r="Y27" s="46">
        <v>17</v>
      </c>
      <c r="Z27" s="46">
        <v>7</v>
      </c>
      <c r="AA27" s="46">
        <v>7</v>
      </c>
      <c r="AB27" s="46">
        <v>5</v>
      </c>
      <c r="AC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Y27" s="46">
        <v>1</v>
      </c>
    </row>
    <row r="28" spans="1:77">
      <c r="A28" s="46" t="s">
        <v>629</v>
      </c>
      <c r="B28" s="46" t="s">
        <v>630</v>
      </c>
      <c r="C28" s="46">
        <v>65</v>
      </c>
      <c r="D28" s="46" t="s">
        <v>613</v>
      </c>
      <c r="E28" s="46" t="s">
        <v>631</v>
      </c>
      <c r="F28" s="46" t="s">
        <v>112</v>
      </c>
      <c r="G28" s="46">
        <v>1</v>
      </c>
      <c r="M28" s="46">
        <v>1</v>
      </c>
      <c r="R28" s="46">
        <v>1</v>
      </c>
      <c r="T28" s="46">
        <v>1</v>
      </c>
      <c r="W28" s="46" t="s">
        <v>489</v>
      </c>
      <c r="X28" s="46" t="s">
        <v>489</v>
      </c>
      <c r="Y28" s="46" t="s">
        <v>489</v>
      </c>
      <c r="Z28" s="46">
        <v>14</v>
      </c>
      <c r="AA28" s="46">
        <v>14</v>
      </c>
      <c r="AB28" s="46">
        <v>9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Y28" s="46">
        <v>1</v>
      </c>
    </row>
    <row r="29" spans="1:77">
      <c r="A29" s="46" t="s">
        <v>632</v>
      </c>
      <c r="B29" s="46" t="s">
        <v>633</v>
      </c>
      <c r="C29" s="46">
        <v>45</v>
      </c>
      <c r="D29" s="46" t="s">
        <v>584</v>
      </c>
      <c r="F29" s="46" t="s">
        <v>112</v>
      </c>
      <c r="J29" s="46">
        <v>1</v>
      </c>
      <c r="M29" s="46">
        <v>1</v>
      </c>
      <c r="Q29" s="46">
        <v>1</v>
      </c>
      <c r="T29" s="46">
        <v>1</v>
      </c>
      <c r="W29" s="46">
        <v>16</v>
      </c>
      <c r="X29" s="46">
        <v>18</v>
      </c>
      <c r="Y29" s="46">
        <v>19</v>
      </c>
      <c r="Z29" s="46">
        <v>12</v>
      </c>
      <c r="AA29" s="46">
        <v>12</v>
      </c>
      <c r="AB29" s="46">
        <v>8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Y29" s="46">
        <v>1</v>
      </c>
    </row>
    <row r="30" spans="1:77">
      <c r="A30" s="46" t="s">
        <v>634</v>
      </c>
      <c r="B30" s="46" t="s">
        <v>635</v>
      </c>
      <c r="C30" s="46">
        <v>24</v>
      </c>
      <c r="D30" s="46" t="s">
        <v>584</v>
      </c>
      <c r="E30" s="46" t="s">
        <v>636</v>
      </c>
      <c r="F30" s="46" t="s">
        <v>415</v>
      </c>
      <c r="G30" s="46">
        <v>1</v>
      </c>
      <c r="M30" s="46">
        <v>1</v>
      </c>
      <c r="Q30" s="46">
        <v>1</v>
      </c>
      <c r="T30" s="46">
        <v>1</v>
      </c>
      <c r="W30" s="46">
        <v>15</v>
      </c>
      <c r="X30" s="46">
        <v>16</v>
      </c>
      <c r="Y30" s="46">
        <v>17</v>
      </c>
      <c r="Z30" s="46">
        <v>4</v>
      </c>
      <c r="AA30" s="46">
        <v>4</v>
      </c>
      <c r="AB30" s="46">
        <v>2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Y30" s="46">
        <v>1</v>
      </c>
    </row>
    <row r="31" spans="1:77">
      <c r="A31" s="46" t="s">
        <v>637</v>
      </c>
      <c r="B31" s="46" t="s">
        <v>638</v>
      </c>
      <c r="C31" s="46">
        <v>19</v>
      </c>
      <c r="D31" s="46" t="s">
        <v>568</v>
      </c>
      <c r="E31" s="46" t="s">
        <v>639</v>
      </c>
      <c r="F31" s="46" t="s">
        <v>112</v>
      </c>
      <c r="G31" s="46">
        <v>1</v>
      </c>
      <c r="M31" s="46">
        <v>1</v>
      </c>
      <c r="R31" s="46">
        <v>1</v>
      </c>
      <c r="T31" s="46">
        <v>1</v>
      </c>
      <c r="W31" s="46">
        <v>15</v>
      </c>
      <c r="X31" s="46">
        <v>15</v>
      </c>
      <c r="Y31" s="46">
        <v>16</v>
      </c>
      <c r="Z31" s="46">
        <v>2</v>
      </c>
      <c r="AA31" s="46">
        <v>2</v>
      </c>
      <c r="AB31" s="46">
        <v>2</v>
      </c>
      <c r="AC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V31" s="46">
        <v>1</v>
      </c>
      <c r="BY31" s="46">
        <v>1</v>
      </c>
    </row>
    <row r="32" spans="1:77">
      <c r="A32" s="46" t="s">
        <v>640</v>
      </c>
      <c r="B32" s="46" t="s">
        <v>641</v>
      </c>
      <c r="C32" s="46">
        <v>26</v>
      </c>
      <c r="D32" s="46" t="s">
        <v>613</v>
      </c>
      <c r="E32" s="46" t="s">
        <v>642</v>
      </c>
      <c r="F32" s="46" t="s">
        <v>420</v>
      </c>
      <c r="H32" s="46">
        <v>1</v>
      </c>
      <c r="M32" s="46">
        <v>1</v>
      </c>
      <c r="Q32" s="46">
        <v>1</v>
      </c>
      <c r="T32" s="46">
        <v>1</v>
      </c>
      <c r="W32" s="46">
        <v>12</v>
      </c>
      <c r="X32" s="46">
        <v>12</v>
      </c>
      <c r="Y32" s="46">
        <v>19</v>
      </c>
      <c r="Z32" s="46">
        <v>7</v>
      </c>
      <c r="AA32" s="46">
        <v>7</v>
      </c>
      <c r="AB32" s="46">
        <v>7</v>
      </c>
      <c r="AD32" s="46">
        <v>1</v>
      </c>
      <c r="AE32" s="46">
        <v>1</v>
      </c>
      <c r="AG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V32" s="46">
        <v>1</v>
      </c>
      <c r="BY32" s="46">
        <v>1</v>
      </c>
    </row>
    <row r="33" spans="1:77">
      <c r="A33" s="46" t="s">
        <v>643</v>
      </c>
      <c r="B33" s="46" t="s">
        <v>644</v>
      </c>
      <c r="C33" s="46">
        <v>46</v>
      </c>
      <c r="D33" s="46" t="s">
        <v>613</v>
      </c>
      <c r="E33" s="46" t="s">
        <v>645</v>
      </c>
      <c r="F33" s="46" t="s">
        <v>112</v>
      </c>
      <c r="G33" s="46">
        <v>1</v>
      </c>
      <c r="M33" s="46">
        <v>1</v>
      </c>
      <c r="R33" s="46">
        <v>1</v>
      </c>
      <c r="U33" s="46">
        <v>1</v>
      </c>
      <c r="W33" s="46">
        <v>16</v>
      </c>
      <c r="X33" s="46">
        <v>17</v>
      </c>
      <c r="Y33" s="46">
        <v>22</v>
      </c>
      <c r="Z33" s="46">
        <v>8</v>
      </c>
      <c r="AA33" s="46">
        <v>8</v>
      </c>
      <c r="AB33" s="46">
        <v>7</v>
      </c>
      <c r="AE33" s="46">
        <v>1</v>
      </c>
      <c r="AG33" s="46">
        <v>1</v>
      </c>
      <c r="AH33" s="46">
        <v>1</v>
      </c>
      <c r="AJ33" s="46">
        <v>1</v>
      </c>
      <c r="AL33" s="46">
        <v>1</v>
      </c>
      <c r="AO33" s="46">
        <v>1</v>
      </c>
      <c r="AR33" s="46">
        <v>2023</v>
      </c>
      <c r="AT33" s="46">
        <v>1</v>
      </c>
      <c r="AW33" s="46">
        <v>1</v>
      </c>
      <c r="BB33" s="46">
        <v>1</v>
      </c>
      <c r="BF33" s="46">
        <v>1</v>
      </c>
      <c r="BI33" s="46">
        <v>1</v>
      </c>
      <c r="BV33" s="46">
        <v>1</v>
      </c>
      <c r="BY33" s="46">
        <v>1</v>
      </c>
    </row>
    <row r="34" spans="1:77">
      <c r="A34" s="46" t="s">
        <v>646</v>
      </c>
      <c r="B34" s="46" t="s">
        <v>647</v>
      </c>
      <c r="C34" s="46">
        <v>35</v>
      </c>
      <c r="D34" s="46" t="s">
        <v>584</v>
      </c>
      <c r="E34" s="46" t="s">
        <v>648</v>
      </c>
      <c r="F34" s="46" t="s">
        <v>415</v>
      </c>
      <c r="H34" s="46">
        <v>1</v>
      </c>
      <c r="M34" s="46">
        <v>1</v>
      </c>
      <c r="R34" s="46">
        <v>1</v>
      </c>
      <c r="S34" s="46">
        <v>1</v>
      </c>
      <c r="W34" s="46">
        <v>13</v>
      </c>
      <c r="X34" s="46">
        <v>15</v>
      </c>
      <c r="Y34" s="46">
        <v>23</v>
      </c>
      <c r="Z34" s="46">
        <v>6</v>
      </c>
      <c r="AA34" s="46">
        <v>6</v>
      </c>
      <c r="AB34" s="46">
        <v>6</v>
      </c>
      <c r="AG34" s="46">
        <v>1</v>
      </c>
      <c r="AH34" s="46">
        <v>1</v>
      </c>
      <c r="AI34" s="46">
        <v>1</v>
      </c>
      <c r="AK34" s="46">
        <v>1</v>
      </c>
      <c r="AT34" s="46">
        <v>1</v>
      </c>
      <c r="AY34" s="46">
        <v>1</v>
      </c>
      <c r="BA34" s="46">
        <v>1</v>
      </c>
      <c r="BI34" s="46">
        <v>1</v>
      </c>
      <c r="BV34" s="46">
        <v>1</v>
      </c>
      <c r="BY34" s="46">
        <v>1</v>
      </c>
    </row>
    <row r="35" spans="1:77">
      <c r="A35" s="46" t="s">
        <v>649</v>
      </c>
      <c r="B35" s="46" t="s">
        <v>650</v>
      </c>
      <c r="C35" s="46">
        <v>38</v>
      </c>
      <c r="D35" s="46" t="s">
        <v>613</v>
      </c>
      <c r="E35" s="46" t="s">
        <v>651</v>
      </c>
      <c r="F35" s="46" t="s">
        <v>415</v>
      </c>
      <c r="G35" s="46">
        <v>1</v>
      </c>
      <c r="M35" s="46">
        <v>1</v>
      </c>
      <c r="R35" s="46">
        <v>1</v>
      </c>
      <c r="T35" s="46">
        <v>1</v>
      </c>
      <c r="W35" s="46">
        <v>15</v>
      </c>
      <c r="X35" s="46">
        <v>17</v>
      </c>
      <c r="Y35" s="46">
        <v>17</v>
      </c>
      <c r="Z35" s="46">
        <v>7</v>
      </c>
      <c r="AA35" s="46">
        <v>7</v>
      </c>
      <c r="AB35" s="46">
        <v>7</v>
      </c>
      <c r="AE35" s="46">
        <v>1</v>
      </c>
      <c r="AG35" s="46">
        <v>1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V35" s="46">
        <v>1</v>
      </c>
      <c r="BY35" s="46">
        <v>1</v>
      </c>
    </row>
    <row r="36" spans="1:77">
      <c r="A36" s="46" t="s">
        <v>652</v>
      </c>
      <c r="B36" s="46" t="s">
        <v>653</v>
      </c>
      <c r="C36" s="46">
        <v>22</v>
      </c>
      <c r="D36" s="46" t="s">
        <v>613</v>
      </c>
      <c r="F36" s="46" t="s">
        <v>112</v>
      </c>
      <c r="G36" s="46">
        <v>1</v>
      </c>
      <c r="M36" s="46">
        <v>1</v>
      </c>
      <c r="Q36" s="46">
        <v>1</v>
      </c>
      <c r="T36" s="46">
        <v>1</v>
      </c>
      <c r="W36" s="46">
        <v>12</v>
      </c>
      <c r="X36" s="46">
        <v>17</v>
      </c>
      <c r="Y36" s="46">
        <v>19</v>
      </c>
      <c r="Z36" s="46">
        <v>1</v>
      </c>
      <c r="AA36" s="46">
        <v>1</v>
      </c>
      <c r="AB36" s="46">
        <v>0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Y36" s="46">
        <v>1</v>
      </c>
    </row>
    <row r="37" spans="1:77">
      <c r="A37" s="46" t="s">
        <v>654</v>
      </c>
      <c r="B37" s="46" t="s">
        <v>655</v>
      </c>
      <c r="C37" s="46">
        <v>50</v>
      </c>
      <c r="D37" s="46" t="s">
        <v>561</v>
      </c>
      <c r="E37" s="46" t="s">
        <v>656</v>
      </c>
      <c r="F37" s="46" t="s">
        <v>415</v>
      </c>
      <c r="H37" s="46">
        <v>1</v>
      </c>
      <c r="M37" s="46">
        <v>1</v>
      </c>
      <c r="Q37" s="46">
        <v>1</v>
      </c>
      <c r="S37" s="46">
        <v>1</v>
      </c>
      <c r="W37" s="46" t="s">
        <v>489</v>
      </c>
      <c r="X37" s="46">
        <v>17</v>
      </c>
      <c r="Y37" s="46" t="s">
        <v>489</v>
      </c>
      <c r="Z37" s="46">
        <v>0</v>
      </c>
      <c r="AA37" s="46">
        <v>0</v>
      </c>
      <c r="AB37" s="46">
        <v>0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</row>
    <row r="38" spans="1:77">
      <c r="A38" s="46" t="s">
        <v>657</v>
      </c>
      <c r="B38" s="46" t="s">
        <v>658</v>
      </c>
      <c r="C38" s="46">
        <v>35</v>
      </c>
      <c r="D38" s="46" t="s">
        <v>613</v>
      </c>
      <c r="F38" s="46" t="s">
        <v>112</v>
      </c>
      <c r="G38" s="46">
        <v>1</v>
      </c>
      <c r="M38" s="46">
        <v>1</v>
      </c>
      <c r="Q38" s="46">
        <v>1</v>
      </c>
      <c r="T38" s="46">
        <v>1</v>
      </c>
      <c r="W38" s="46">
        <v>13</v>
      </c>
      <c r="X38" s="46">
        <v>14</v>
      </c>
      <c r="Y38" s="46">
        <v>15</v>
      </c>
      <c r="Z38" s="46">
        <v>12</v>
      </c>
      <c r="AA38" s="46">
        <v>10</v>
      </c>
      <c r="AB38" s="46">
        <v>10</v>
      </c>
      <c r="AH38" s="46">
        <v>1</v>
      </c>
      <c r="AI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Y38" s="46">
        <v>1</v>
      </c>
    </row>
    <row r="39" spans="1:77">
      <c r="A39" s="46" t="s">
        <v>659</v>
      </c>
      <c r="B39" s="46" t="s">
        <v>660</v>
      </c>
      <c r="C39" s="46">
        <v>27</v>
      </c>
      <c r="D39" s="46" t="s">
        <v>584</v>
      </c>
      <c r="E39" s="46" t="s">
        <v>661</v>
      </c>
      <c r="F39" s="46" t="s">
        <v>662</v>
      </c>
      <c r="G39" s="46">
        <v>1</v>
      </c>
      <c r="M39" s="46">
        <v>1</v>
      </c>
      <c r="R39" s="46">
        <v>1</v>
      </c>
      <c r="T39" s="46">
        <v>1</v>
      </c>
      <c r="W39" s="46">
        <v>12</v>
      </c>
      <c r="X39" s="46">
        <v>18</v>
      </c>
      <c r="Y39" s="46">
        <v>21</v>
      </c>
      <c r="Z39" s="46">
        <v>6</v>
      </c>
      <c r="AA39" s="46">
        <v>6</v>
      </c>
      <c r="AB39" s="46">
        <v>5</v>
      </c>
      <c r="AC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Y39" s="46">
        <v>1</v>
      </c>
    </row>
    <row r="40" spans="1:77">
      <c r="A40" s="46" t="s">
        <v>663</v>
      </c>
      <c r="B40" s="46" t="s">
        <v>664</v>
      </c>
      <c r="C40" s="46">
        <v>19</v>
      </c>
      <c r="D40" s="46" t="s">
        <v>584</v>
      </c>
      <c r="F40" s="46" t="s">
        <v>415</v>
      </c>
      <c r="G40" s="46">
        <v>1</v>
      </c>
      <c r="M40" s="46">
        <v>1</v>
      </c>
      <c r="Q40" s="46">
        <v>1</v>
      </c>
      <c r="T40" s="46">
        <v>1</v>
      </c>
      <c r="W40" s="46">
        <v>16</v>
      </c>
      <c r="X40" s="46">
        <v>18</v>
      </c>
      <c r="Y40" s="46">
        <v>19</v>
      </c>
      <c r="Z40" s="46">
        <v>1</v>
      </c>
      <c r="AA40" s="46">
        <v>1</v>
      </c>
      <c r="AB40" s="46">
        <v>1</v>
      </c>
      <c r="AG40" s="46">
        <v>1</v>
      </c>
      <c r="AH40" s="46">
        <v>1</v>
      </c>
      <c r="AI40" s="46">
        <v>1</v>
      </c>
      <c r="AM40" s="46">
        <v>1</v>
      </c>
      <c r="AT40" s="46">
        <v>1</v>
      </c>
      <c r="AW40" s="46">
        <v>1</v>
      </c>
      <c r="BA40" s="46">
        <v>1</v>
      </c>
      <c r="BI40" s="46">
        <v>1</v>
      </c>
      <c r="BY40" s="46">
        <v>1</v>
      </c>
    </row>
    <row r="41" spans="1:77">
      <c r="A41" s="46" t="s">
        <v>665</v>
      </c>
      <c r="B41" s="46" t="s">
        <v>666</v>
      </c>
      <c r="C41" s="46">
        <v>16</v>
      </c>
      <c r="D41" s="46" t="s">
        <v>561</v>
      </c>
      <c r="F41" s="46" t="s">
        <v>112</v>
      </c>
      <c r="I41" s="46">
        <v>1</v>
      </c>
      <c r="L41" s="46">
        <v>1</v>
      </c>
      <c r="T41" s="46">
        <v>1</v>
      </c>
      <c r="W41" s="46">
        <v>14</v>
      </c>
      <c r="X41" s="46">
        <v>16</v>
      </c>
      <c r="Z41" s="46">
        <v>0</v>
      </c>
      <c r="AA41" s="46">
        <v>0</v>
      </c>
      <c r="AB41" s="46">
        <v>0</v>
      </c>
      <c r="AH41" s="46">
        <v>1</v>
      </c>
      <c r="AI41" s="46">
        <v>1</v>
      </c>
      <c r="AM41" s="46">
        <v>1</v>
      </c>
      <c r="AT41" s="46">
        <v>1</v>
      </c>
      <c r="AW41" s="46">
        <v>1</v>
      </c>
      <c r="BA41" s="46">
        <v>1</v>
      </c>
      <c r="BI41" s="46">
        <v>1</v>
      </c>
      <c r="BY41" s="46">
        <v>1</v>
      </c>
    </row>
    <row r="42" spans="1:77">
      <c r="A42" s="46" t="s">
        <v>667</v>
      </c>
      <c r="B42" s="46" t="s">
        <v>668</v>
      </c>
      <c r="C42" s="46">
        <v>21</v>
      </c>
      <c r="D42" s="46" t="s">
        <v>669</v>
      </c>
      <c r="F42" s="46" t="s">
        <v>415</v>
      </c>
      <c r="G42" s="46">
        <v>1</v>
      </c>
      <c r="M42" s="46">
        <v>1</v>
      </c>
      <c r="Q42" s="46">
        <v>1</v>
      </c>
      <c r="T42" s="46">
        <v>1</v>
      </c>
      <c r="W42" s="46">
        <v>15</v>
      </c>
      <c r="X42" s="46">
        <v>18</v>
      </c>
      <c r="Y42" s="46">
        <v>18</v>
      </c>
      <c r="Z42" s="46">
        <v>2</v>
      </c>
      <c r="AA42" s="46">
        <v>2</v>
      </c>
      <c r="AB42" s="46">
        <v>2</v>
      </c>
      <c r="AD42" s="46">
        <v>1</v>
      </c>
      <c r="AE42" s="46">
        <v>1</v>
      </c>
      <c r="AG42" s="46">
        <v>1</v>
      </c>
      <c r="AH42" s="46">
        <v>1</v>
      </c>
      <c r="AI42" s="46">
        <v>1</v>
      </c>
      <c r="AM42" s="46">
        <v>1</v>
      </c>
      <c r="AT42" s="46">
        <v>1</v>
      </c>
      <c r="AX42" s="46">
        <v>1</v>
      </c>
      <c r="BA42" s="46">
        <v>1</v>
      </c>
      <c r="BI42" s="46">
        <v>1</v>
      </c>
      <c r="BY42" s="46">
        <v>1</v>
      </c>
    </row>
    <row r="43" spans="1:77">
      <c r="A43" s="46" t="s">
        <v>670</v>
      </c>
      <c r="B43" s="46" t="s">
        <v>671</v>
      </c>
      <c r="C43" s="46">
        <v>35</v>
      </c>
      <c r="D43" s="46" t="s">
        <v>672</v>
      </c>
      <c r="F43" s="46" t="s">
        <v>145</v>
      </c>
      <c r="G43" s="46">
        <v>1</v>
      </c>
      <c r="O43" s="46">
        <v>1</v>
      </c>
      <c r="R43" s="46">
        <v>1</v>
      </c>
      <c r="T43" s="46">
        <v>1</v>
      </c>
      <c r="W43" s="46">
        <v>16</v>
      </c>
      <c r="X43" s="46">
        <v>17</v>
      </c>
      <c r="Y43" s="46">
        <v>18</v>
      </c>
      <c r="Z43" s="46">
        <v>7</v>
      </c>
      <c r="AA43" s="46">
        <v>7</v>
      </c>
      <c r="AB43" s="46">
        <v>7</v>
      </c>
      <c r="AD43" s="46">
        <v>1</v>
      </c>
      <c r="AE43" s="46">
        <v>1</v>
      </c>
      <c r="AG43" s="46">
        <v>1</v>
      </c>
      <c r="AH43" s="46">
        <v>1</v>
      </c>
      <c r="AJ43" s="46">
        <v>1</v>
      </c>
      <c r="AM43" s="46">
        <v>1</v>
      </c>
      <c r="AT43" s="46">
        <v>1</v>
      </c>
      <c r="AX43" s="46">
        <v>1</v>
      </c>
      <c r="BA43" s="46">
        <v>1</v>
      </c>
      <c r="BI43" s="46">
        <v>1</v>
      </c>
      <c r="BY43" s="46">
        <v>1</v>
      </c>
    </row>
    <row r="44" spans="1:77">
      <c r="A44" s="46" t="s">
        <v>673</v>
      </c>
      <c r="B44" s="46" t="s">
        <v>674</v>
      </c>
      <c r="C44" s="46">
        <v>28</v>
      </c>
      <c r="D44" s="46" t="s">
        <v>675</v>
      </c>
      <c r="E44" s="46" t="s">
        <v>676</v>
      </c>
      <c r="F44" s="46" t="s">
        <v>107</v>
      </c>
      <c r="H44" s="46">
        <v>1</v>
      </c>
      <c r="M44" s="46">
        <v>1</v>
      </c>
      <c r="R44" s="46">
        <v>1</v>
      </c>
      <c r="T44" s="46">
        <v>1</v>
      </c>
      <c r="W44" s="46">
        <v>16</v>
      </c>
      <c r="X44" s="46">
        <v>17</v>
      </c>
      <c r="Y44" s="46">
        <v>18</v>
      </c>
      <c r="Z44" s="46">
        <v>3</v>
      </c>
      <c r="AA44" s="46">
        <v>3</v>
      </c>
      <c r="AB44" s="46">
        <v>3</v>
      </c>
      <c r="AE44" s="46">
        <v>1</v>
      </c>
      <c r="AG44" s="46">
        <v>1</v>
      </c>
      <c r="AH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Y44" s="46">
        <v>1</v>
      </c>
    </row>
    <row r="45" spans="1:77">
      <c r="A45" s="46" t="s">
        <v>677</v>
      </c>
      <c r="B45" s="46" t="s">
        <v>678</v>
      </c>
      <c r="C45" s="46">
        <v>24</v>
      </c>
      <c r="D45" s="46" t="s">
        <v>672</v>
      </c>
      <c r="E45" s="46" t="s">
        <v>679</v>
      </c>
      <c r="F45" s="46" t="s">
        <v>415</v>
      </c>
      <c r="I45" s="46">
        <v>1</v>
      </c>
      <c r="M45" s="46">
        <v>1</v>
      </c>
      <c r="Q45" s="46">
        <v>1</v>
      </c>
      <c r="T45" s="46">
        <v>1</v>
      </c>
      <c r="W45" s="46">
        <v>14</v>
      </c>
      <c r="X45" s="46">
        <v>17</v>
      </c>
      <c r="Y45" s="46">
        <v>18</v>
      </c>
      <c r="Z45" s="46">
        <v>3</v>
      </c>
      <c r="AA45" s="46">
        <v>3</v>
      </c>
      <c r="AB45" s="46">
        <v>3</v>
      </c>
      <c r="AE45" s="46">
        <v>1</v>
      </c>
      <c r="AG45" s="46">
        <v>1</v>
      </c>
      <c r="AH45" s="46">
        <v>1</v>
      </c>
      <c r="AJ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Y45" s="46">
        <v>1</v>
      </c>
    </row>
    <row r="46" spans="1:77">
      <c r="A46" s="46" t="s">
        <v>680</v>
      </c>
      <c r="B46" s="46" t="s">
        <v>681</v>
      </c>
      <c r="C46" s="46">
        <v>26</v>
      </c>
      <c r="D46" s="46" t="s">
        <v>561</v>
      </c>
      <c r="E46" s="46" t="s">
        <v>682</v>
      </c>
      <c r="F46" s="46" t="s">
        <v>112</v>
      </c>
      <c r="I46" s="46">
        <v>1</v>
      </c>
      <c r="M46" s="46">
        <v>1</v>
      </c>
      <c r="Q46" s="46">
        <v>1</v>
      </c>
      <c r="T46" s="46">
        <v>1</v>
      </c>
      <c r="W46" s="46">
        <v>14</v>
      </c>
      <c r="X46" s="46" t="s">
        <v>489</v>
      </c>
      <c r="Y46" s="46">
        <v>18</v>
      </c>
      <c r="Z46" s="46">
        <v>4</v>
      </c>
      <c r="AA46" s="46">
        <v>4</v>
      </c>
      <c r="AB46" s="46">
        <v>4</v>
      </c>
      <c r="AE46" s="46">
        <v>1</v>
      </c>
      <c r="AH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>
        <v>1</v>
      </c>
      <c r="BY46" s="46">
        <v>1</v>
      </c>
    </row>
    <row r="47" spans="1:77">
      <c r="A47" s="46" t="s">
        <v>683</v>
      </c>
      <c r="B47" s="46" t="s">
        <v>684</v>
      </c>
      <c r="C47" s="46">
        <v>60</v>
      </c>
      <c r="D47" s="46" t="s">
        <v>568</v>
      </c>
      <c r="F47" s="46" t="s">
        <v>415</v>
      </c>
      <c r="G47" s="46">
        <v>1</v>
      </c>
      <c r="O47" s="46">
        <v>1</v>
      </c>
      <c r="S47" s="46">
        <v>1</v>
      </c>
      <c r="W47" s="46">
        <v>16</v>
      </c>
      <c r="X47" s="46">
        <v>16</v>
      </c>
      <c r="Y47" s="46">
        <v>17</v>
      </c>
      <c r="Z47" s="46">
        <v>5</v>
      </c>
      <c r="AA47" s="46">
        <v>5</v>
      </c>
      <c r="AB47" s="46">
        <v>5</v>
      </c>
      <c r="AE47" s="46">
        <v>1</v>
      </c>
      <c r="AH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I47" s="46">
        <v>1</v>
      </c>
      <c r="BY47" s="46">
        <v>1</v>
      </c>
    </row>
    <row r="48" spans="1:77">
      <c r="A48" s="46" t="s">
        <v>685</v>
      </c>
      <c r="B48" s="46" t="s">
        <v>686</v>
      </c>
      <c r="C48" s="46">
        <v>50</v>
      </c>
      <c r="D48" s="46" t="s">
        <v>687</v>
      </c>
      <c r="F48" s="46" t="s">
        <v>112</v>
      </c>
      <c r="G48" s="46">
        <v>1</v>
      </c>
      <c r="M48" s="46">
        <v>1</v>
      </c>
      <c r="R48" s="46">
        <v>1</v>
      </c>
      <c r="S48" s="46">
        <v>1</v>
      </c>
      <c r="W48" s="46" t="s">
        <v>489</v>
      </c>
      <c r="X48" s="46">
        <v>12</v>
      </c>
      <c r="Y48" s="46" t="s">
        <v>489</v>
      </c>
      <c r="Z48" s="46">
        <v>13</v>
      </c>
      <c r="AA48" s="46">
        <v>13</v>
      </c>
      <c r="AB48" s="46">
        <v>10</v>
      </c>
      <c r="AG48" s="46">
        <v>1</v>
      </c>
      <c r="AH48" s="46">
        <v>1</v>
      </c>
      <c r="AI48" s="46">
        <v>1</v>
      </c>
      <c r="AM48" s="46">
        <v>1</v>
      </c>
      <c r="AT48" s="46">
        <v>1</v>
      </c>
      <c r="AW48" s="46">
        <v>1</v>
      </c>
      <c r="BA48" s="46">
        <v>1</v>
      </c>
      <c r="BI48" s="46">
        <v>1</v>
      </c>
      <c r="BY48" s="46">
        <v>1</v>
      </c>
    </row>
    <row r="49" spans="1:77">
      <c r="A49" s="46" t="s">
        <v>688</v>
      </c>
      <c r="B49" s="46" t="s">
        <v>689</v>
      </c>
      <c r="C49" s="46">
        <v>35</v>
      </c>
      <c r="D49" s="46" t="s">
        <v>690</v>
      </c>
      <c r="F49" s="46" t="s">
        <v>691</v>
      </c>
      <c r="I49" s="46">
        <v>1</v>
      </c>
      <c r="M49" s="46">
        <v>1</v>
      </c>
      <c r="R49" s="46">
        <v>1</v>
      </c>
      <c r="S49" s="46">
        <v>1</v>
      </c>
      <c r="W49" s="46">
        <v>15</v>
      </c>
      <c r="X49" s="46">
        <v>18</v>
      </c>
      <c r="Y49" s="46">
        <v>20</v>
      </c>
      <c r="Z49" s="46">
        <v>5</v>
      </c>
      <c r="AA49" s="46">
        <v>5</v>
      </c>
      <c r="AB49" s="46">
        <v>5</v>
      </c>
      <c r="AH49" s="46">
        <v>1</v>
      </c>
      <c r="AJ49" s="46">
        <v>1</v>
      </c>
      <c r="AM49" s="46">
        <v>1</v>
      </c>
      <c r="AT49" s="46">
        <v>1</v>
      </c>
      <c r="AW49" s="46">
        <v>1</v>
      </c>
      <c r="BA49" s="46">
        <v>1</v>
      </c>
      <c r="BI49" s="46">
        <v>1</v>
      </c>
      <c r="BV49" s="46">
        <v>1</v>
      </c>
      <c r="BY49" s="46">
        <v>1</v>
      </c>
    </row>
    <row r="50" spans="1:77">
      <c r="A50" s="46" t="s">
        <v>692</v>
      </c>
      <c r="B50" s="46" t="s">
        <v>693</v>
      </c>
      <c r="C50" s="46">
        <v>23</v>
      </c>
      <c r="D50" s="46" t="s">
        <v>561</v>
      </c>
      <c r="E50" s="46" t="s">
        <v>694</v>
      </c>
      <c r="F50" s="46" t="s">
        <v>415</v>
      </c>
      <c r="H50" s="46">
        <v>1</v>
      </c>
      <c r="L50" s="46">
        <v>1</v>
      </c>
      <c r="U50" s="46">
        <v>1</v>
      </c>
      <c r="W50" s="46">
        <v>15</v>
      </c>
      <c r="X50" s="46">
        <v>18</v>
      </c>
      <c r="Y50" s="46">
        <v>21</v>
      </c>
      <c r="Z50" s="46">
        <v>1</v>
      </c>
      <c r="AA50" s="46">
        <v>1</v>
      </c>
      <c r="AB50" s="46">
        <v>1</v>
      </c>
      <c r="AF50" s="46">
        <v>1</v>
      </c>
      <c r="AH50" s="46">
        <v>1</v>
      </c>
      <c r="AJ50" s="46">
        <v>1</v>
      </c>
      <c r="AK50" s="46">
        <v>1</v>
      </c>
      <c r="AT50" s="46">
        <v>1</v>
      </c>
      <c r="AW50" s="46">
        <v>1</v>
      </c>
      <c r="BA50" s="46">
        <v>1</v>
      </c>
      <c r="BI50" s="46">
        <v>1</v>
      </c>
      <c r="BV50" s="46">
        <v>1</v>
      </c>
      <c r="BY50" s="46">
        <v>1</v>
      </c>
    </row>
    <row r="51" spans="1:77">
      <c r="A51" s="46" t="s">
        <v>695</v>
      </c>
      <c r="B51" s="46" t="s">
        <v>696</v>
      </c>
      <c r="C51" s="46">
        <v>60</v>
      </c>
      <c r="D51" s="46" t="s">
        <v>561</v>
      </c>
      <c r="E51" s="46" t="s">
        <v>697</v>
      </c>
      <c r="F51" s="46" t="s">
        <v>112</v>
      </c>
      <c r="K51" s="46">
        <v>1</v>
      </c>
      <c r="M51" s="46">
        <v>1</v>
      </c>
      <c r="Q51" s="46">
        <v>1</v>
      </c>
      <c r="S51" s="46">
        <v>1</v>
      </c>
      <c r="W51" s="46" t="s">
        <v>489</v>
      </c>
      <c r="X51" s="46">
        <v>17</v>
      </c>
      <c r="Y51" s="46">
        <v>18</v>
      </c>
      <c r="Z51" s="46">
        <v>1</v>
      </c>
      <c r="AA51" s="46">
        <v>1</v>
      </c>
      <c r="AB51" s="46">
        <v>1</v>
      </c>
      <c r="AD51" s="46">
        <v>1</v>
      </c>
      <c r="AH51" s="46">
        <v>1</v>
      </c>
      <c r="AI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V51" s="46">
        <v>1</v>
      </c>
      <c r="BY51" s="46">
        <v>1</v>
      </c>
    </row>
    <row r="52" spans="1:77">
      <c r="A52" s="46" t="s">
        <v>698</v>
      </c>
      <c r="B52" s="46" t="s">
        <v>699</v>
      </c>
      <c r="C52" s="46">
        <v>35</v>
      </c>
      <c r="D52" s="46" t="s">
        <v>561</v>
      </c>
      <c r="E52" s="46" t="s">
        <v>700</v>
      </c>
      <c r="F52" s="46" t="s">
        <v>145</v>
      </c>
      <c r="H52" s="46">
        <v>1</v>
      </c>
      <c r="O52" s="46">
        <v>1</v>
      </c>
      <c r="Q52" s="46">
        <v>1</v>
      </c>
      <c r="U52" s="46">
        <v>1</v>
      </c>
      <c r="W52" s="46">
        <v>17</v>
      </c>
      <c r="X52" s="46">
        <v>20</v>
      </c>
      <c r="Y52" s="46">
        <v>22</v>
      </c>
      <c r="Z52" s="46">
        <v>5</v>
      </c>
      <c r="AA52" s="46">
        <v>5</v>
      </c>
      <c r="AB52" s="46">
        <v>4</v>
      </c>
      <c r="AH52" s="46">
        <v>1</v>
      </c>
      <c r="AJ52" s="46">
        <v>1</v>
      </c>
      <c r="AL52" s="46">
        <v>1</v>
      </c>
      <c r="AO52" s="46">
        <v>1</v>
      </c>
      <c r="AQ52" s="46" t="s">
        <v>701</v>
      </c>
      <c r="AT52" s="46">
        <v>1</v>
      </c>
      <c r="AX52" s="46">
        <v>1</v>
      </c>
      <c r="BA52" s="46">
        <v>1</v>
      </c>
      <c r="BI52" s="46">
        <v>1</v>
      </c>
      <c r="BY52" s="46">
        <v>1</v>
      </c>
    </row>
    <row r="53" spans="1:77">
      <c r="A53" s="46" t="s">
        <v>702</v>
      </c>
      <c r="B53" s="46" t="s">
        <v>703</v>
      </c>
      <c r="C53" s="46">
        <v>27</v>
      </c>
      <c r="D53" s="46" t="s">
        <v>704</v>
      </c>
      <c r="E53" s="46" t="s">
        <v>705</v>
      </c>
      <c r="F53" s="46" t="s">
        <v>145</v>
      </c>
      <c r="H53" s="46">
        <v>1</v>
      </c>
      <c r="O53" s="46">
        <v>1</v>
      </c>
      <c r="Q53" s="46">
        <v>1</v>
      </c>
      <c r="T53" s="46">
        <v>1</v>
      </c>
      <c r="W53" s="46">
        <v>16</v>
      </c>
      <c r="X53" s="46">
        <v>20</v>
      </c>
      <c r="Y53" s="46">
        <v>20</v>
      </c>
      <c r="Z53" s="46">
        <v>4</v>
      </c>
      <c r="AA53" s="46">
        <v>3</v>
      </c>
      <c r="AB53" s="46">
        <v>3</v>
      </c>
      <c r="AE53" s="46">
        <v>1</v>
      </c>
      <c r="AG53" s="46">
        <v>1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V53" s="46">
        <v>1</v>
      </c>
      <c r="BY53" s="46">
        <v>1</v>
      </c>
    </row>
    <row r="54" spans="1:77">
      <c r="A54" s="46" t="s">
        <v>706</v>
      </c>
      <c r="B54" s="46" t="s">
        <v>707</v>
      </c>
      <c r="C54" s="46">
        <v>21</v>
      </c>
      <c r="D54" s="46" t="s">
        <v>622</v>
      </c>
      <c r="E54" s="46" t="s">
        <v>708</v>
      </c>
      <c r="F54" s="46" t="s">
        <v>415</v>
      </c>
      <c r="G54" s="46">
        <v>1</v>
      </c>
      <c r="L54" s="46">
        <v>1</v>
      </c>
      <c r="U54" s="46">
        <v>1</v>
      </c>
      <c r="W54" s="46">
        <v>15</v>
      </c>
      <c r="X54" s="46">
        <v>17</v>
      </c>
      <c r="Y54" s="46">
        <v>0</v>
      </c>
      <c r="Z54" s="46">
        <v>0</v>
      </c>
      <c r="AA54" s="46">
        <v>0</v>
      </c>
      <c r="AB54" s="46">
        <v>0</v>
      </c>
      <c r="AH54" s="46">
        <v>1</v>
      </c>
      <c r="AJ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Y54" s="46">
        <v>1</v>
      </c>
    </row>
    <row r="55" spans="1:77">
      <c r="A55" s="46" t="s">
        <v>709</v>
      </c>
      <c r="B55" s="46" t="s">
        <v>710</v>
      </c>
      <c r="C55" s="46">
        <v>23</v>
      </c>
      <c r="D55" s="46" t="s">
        <v>711</v>
      </c>
      <c r="F55" s="46" t="s">
        <v>145</v>
      </c>
      <c r="J55" s="46">
        <v>1</v>
      </c>
      <c r="M55" s="46">
        <v>1</v>
      </c>
      <c r="Q55" s="46">
        <v>1</v>
      </c>
      <c r="T55" s="46">
        <v>1</v>
      </c>
      <c r="W55" s="46">
        <v>13</v>
      </c>
      <c r="X55" s="46">
        <v>18</v>
      </c>
      <c r="Y55" s="46">
        <v>18</v>
      </c>
      <c r="Z55" s="46">
        <v>2</v>
      </c>
      <c r="AA55" s="46">
        <v>2</v>
      </c>
      <c r="AB55" s="46">
        <v>2</v>
      </c>
      <c r="AE55" s="46">
        <v>1</v>
      </c>
      <c r="AH55" s="46">
        <v>1</v>
      </c>
      <c r="AJ55" s="46">
        <v>1</v>
      </c>
      <c r="AK55" s="46">
        <v>1</v>
      </c>
      <c r="AT55" s="46">
        <v>1</v>
      </c>
      <c r="AX55" s="46">
        <v>1</v>
      </c>
      <c r="BA55" s="46">
        <v>1</v>
      </c>
      <c r="BI55" s="46">
        <v>1</v>
      </c>
      <c r="BV55" s="46">
        <v>1</v>
      </c>
      <c r="BY55" s="46">
        <v>1</v>
      </c>
    </row>
    <row r="56" spans="1:77">
      <c r="A56" s="46" t="s">
        <v>712</v>
      </c>
      <c r="B56" s="46" t="s">
        <v>713</v>
      </c>
      <c r="C56" s="46">
        <v>35</v>
      </c>
      <c r="D56" s="46" t="s">
        <v>568</v>
      </c>
      <c r="F56" s="46" t="s">
        <v>112</v>
      </c>
      <c r="H56" s="46">
        <v>1</v>
      </c>
      <c r="M56" s="46">
        <v>1</v>
      </c>
      <c r="R56" s="46">
        <v>1</v>
      </c>
      <c r="T56" s="46">
        <v>1</v>
      </c>
      <c r="W56" s="46">
        <v>15</v>
      </c>
      <c r="X56" s="46">
        <v>18</v>
      </c>
      <c r="Y56" s="46" t="s">
        <v>489</v>
      </c>
      <c r="Z56" s="46">
        <v>7</v>
      </c>
      <c r="AA56" s="46">
        <v>7</v>
      </c>
      <c r="AB56" s="46">
        <v>7</v>
      </c>
      <c r="AE56" s="46">
        <v>1</v>
      </c>
      <c r="AG56" s="46">
        <v>1</v>
      </c>
      <c r="AH56" s="46">
        <v>1</v>
      </c>
      <c r="AJ56" s="46">
        <v>1</v>
      </c>
      <c r="AK56" s="46">
        <v>1</v>
      </c>
      <c r="AT56" s="46">
        <v>1</v>
      </c>
      <c r="AX56" s="46">
        <v>1</v>
      </c>
      <c r="BA56" s="46">
        <v>1</v>
      </c>
      <c r="BI56" s="46">
        <v>1</v>
      </c>
      <c r="BV56" s="46">
        <v>1</v>
      </c>
      <c r="BY56" s="46">
        <v>1</v>
      </c>
    </row>
    <row r="57" spans="1:77">
      <c r="A57" s="46" t="s">
        <v>714</v>
      </c>
      <c r="B57" s="46" t="s">
        <v>715</v>
      </c>
      <c r="C57" s="46">
        <v>44</v>
      </c>
      <c r="D57" s="46" t="s">
        <v>568</v>
      </c>
      <c r="E57" s="46" t="s">
        <v>716</v>
      </c>
      <c r="F57" s="46" t="s">
        <v>415</v>
      </c>
      <c r="H57" s="46">
        <v>1</v>
      </c>
      <c r="O57" s="46">
        <v>1</v>
      </c>
      <c r="R57" s="46">
        <v>1</v>
      </c>
      <c r="U57" s="46">
        <v>1</v>
      </c>
      <c r="W57" s="46">
        <v>16</v>
      </c>
      <c r="X57" s="46">
        <v>21</v>
      </c>
      <c r="Y57" s="46">
        <v>23</v>
      </c>
      <c r="Z57" s="46">
        <v>3</v>
      </c>
      <c r="AA57" s="46">
        <v>3</v>
      </c>
      <c r="AB57" s="46">
        <v>3</v>
      </c>
      <c r="AE57" s="46">
        <v>1</v>
      </c>
      <c r="AG57" s="46">
        <v>1</v>
      </c>
      <c r="AH57" s="46">
        <v>1</v>
      </c>
      <c r="AI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Y57" s="46">
        <v>1</v>
      </c>
    </row>
    <row r="58" spans="1:77">
      <c r="A58" s="46" t="s">
        <v>717</v>
      </c>
      <c r="B58" s="46" t="s">
        <v>718</v>
      </c>
      <c r="C58" s="46">
        <v>22</v>
      </c>
      <c r="D58" s="46" t="s">
        <v>561</v>
      </c>
      <c r="F58" s="46" t="s">
        <v>112</v>
      </c>
      <c r="J58" s="46">
        <v>1</v>
      </c>
      <c r="M58" s="46">
        <v>1</v>
      </c>
      <c r="Q58" s="46">
        <v>1</v>
      </c>
      <c r="T58" s="46">
        <v>1</v>
      </c>
      <c r="W58" s="46">
        <v>18</v>
      </c>
      <c r="X58" s="46">
        <v>18</v>
      </c>
      <c r="Y58" s="46">
        <v>19</v>
      </c>
      <c r="Z58" s="46">
        <v>2</v>
      </c>
      <c r="AA58" s="46">
        <v>2</v>
      </c>
      <c r="AB58" s="46">
        <v>2</v>
      </c>
      <c r="AG58" s="46">
        <v>1</v>
      </c>
      <c r="AH58" s="46">
        <v>1</v>
      </c>
      <c r="AJ58" s="46">
        <v>1</v>
      </c>
      <c r="AK58" s="46">
        <v>1</v>
      </c>
      <c r="AT58" s="46">
        <v>1</v>
      </c>
      <c r="AW58" s="46">
        <v>1</v>
      </c>
      <c r="BA58" s="46">
        <v>1</v>
      </c>
      <c r="BI58" s="46">
        <v>1</v>
      </c>
      <c r="BY58" s="46">
        <v>1</v>
      </c>
    </row>
    <row r="59" spans="1:77">
      <c r="A59" s="46" t="s">
        <v>719</v>
      </c>
      <c r="B59" s="46" t="s">
        <v>720</v>
      </c>
      <c r="C59" s="46">
        <v>26</v>
      </c>
      <c r="D59" s="46" t="s">
        <v>721</v>
      </c>
      <c r="E59" s="46" t="s">
        <v>722</v>
      </c>
      <c r="F59" s="46" t="s">
        <v>415</v>
      </c>
      <c r="H59" s="46">
        <v>1</v>
      </c>
      <c r="N59" s="46">
        <v>1</v>
      </c>
      <c r="R59" s="46">
        <v>1</v>
      </c>
      <c r="U59" s="46">
        <v>1</v>
      </c>
      <c r="W59" s="46">
        <v>14</v>
      </c>
      <c r="X59" s="46">
        <v>16</v>
      </c>
      <c r="Y59" s="46">
        <v>20</v>
      </c>
      <c r="Z59" s="46">
        <v>1</v>
      </c>
      <c r="AA59" s="46">
        <v>1</v>
      </c>
      <c r="AB59" s="46">
        <v>1</v>
      </c>
      <c r="AC59" s="46">
        <v>1</v>
      </c>
      <c r="AJ59" s="46">
        <v>1</v>
      </c>
      <c r="AK59" s="46">
        <v>1</v>
      </c>
      <c r="AT59" s="46">
        <v>1</v>
      </c>
      <c r="AY59" s="46">
        <v>1</v>
      </c>
      <c r="BA59" s="46">
        <v>1</v>
      </c>
      <c r="BI59" s="46">
        <v>1</v>
      </c>
      <c r="BY59" s="46">
        <v>1</v>
      </c>
    </row>
    <row r="60" spans="1:77">
      <c r="A60" s="46" t="s">
        <v>723</v>
      </c>
      <c r="B60" s="46" t="s">
        <v>724</v>
      </c>
      <c r="C60" s="46">
        <v>19</v>
      </c>
      <c r="D60" s="46" t="s">
        <v>721</v>
      </c>
      <c r="E60" s="46" t="s">
        <v>725</v>
      </c>
      <c r="F60" s="46" t="s">
        <v>415</v>
      </c>
      <c r="G60" s="46">
        <v>1</v>
      </c>
      <c r="L60" s="46">
        <v>1</v>
      </c>
      <c r="Q60" s="46">
        <v>1</v>
      </c>
      <c r="T60" s="46">
        <v>1</v>
      </c>
      <c r="W60" s="46">
        <v>18</v>
      </c>
      <c r="X60" s="46">
        <v>19</v>
      </c>
      <c r="Y60" s="46">
        <v>0</v>
      </c>
      <c r="Z60" s="46">
        <v>0</v>
      </c>
      <c r="AA60" s="46">
        <v>0</v>
      </c>
      <c r="AB60" s="46">
        <v>0</v>
      </c>
      <c r="AE60" s="46">
        <v>1</v>
      </c>
      <c r="AH60" s="46">
        <v>1</v>
      </c>
      <c r="AI60" s="46">
        <v>1</v>
      </c>
      <c r="AM60" s="46">
        <v>1</v>
      </c>
      <c r="AT60" s="46">
        <v>1</v>
      </c>
      <c r="AW60" s="46">
        <v>1</v>
      </c>
      <c r="BA60" s="46">
        <v>1</v>
      </c>
      <c r="BI60" s="46">
        <v>1</v>
      </c>
      <c r="BY60" s="46">
        <v>1</v>
      </c>
    </row>
    <row r="61" spans="1:77">
      <c r="A61" s="46" t="s">
        <v>726</v>
      </c>
      <c r="B61" s="46" t="s">
        <v>727</v>
      </c>
      <c r="C61" s="46">
        <v>24</v>
      </c>
      <c r="D61" s="46" t="s">
        <v>568</v>
      </c>
      <c r="F61" s="46" t="s">
        <v>173</v>
      </c>
      <c r="H61" s="46">
        <v>1</v>
      </c>
      <c r="M61" s="46">
        <v>1</v>
      </c>
      <c r="R61" s="46">
        <v>1</v>
      </c>
      <c r="T61" s="46">
        <v>1</v>
      </c>
      <c r="W61" s="46">
        <v>12</v>
      </c>
      <c r="X61" s="46">
        <v>18</v>
      </c>
      <c r="Y61" s="46">
        <v>19</v>
      </c>
      <c r="Z61" s="46">
        <v>3</v>
      </c>
      <c r="AA61" s="46">
        <v>3</v>
      </c>
      <c r="AB61" s="46">
        <v>3</v>
      </c>
      <c r="AH61" s="46">
        <v>1</v>
      </c>
      <c r="AJ61" s="46">
        <v>1</v>
      </c>
      <c r="AK61" s="46">
        <v>1</v>
      </c>
      <c r="AT61" s="46">
        <v>1</v>
      </c>
      <c r="AX61" s="46">
        <v>1</v>
      </c>
      <c r="BA61" s="46">
        <v>1</v>
      </c>
      <c r="BI61" s="46">
        <v>1</v>
      </c>
      <c r="BY61" s="46">
        <v>1</v>
      </c>
    </row>
    <row r="62" spans="1:77">
      <c r="A62" s="46" t="s">
        <v>728</v>
      </c>
      <c r="B62" s="46" t="s">
        <v>729</v>
      </c>
      <c r="C62" s="46">
        <v>40</v>
      </c>
      <c r="D62" s="46" t="s">
        <v>613</v>
      </c>
      <c r="F62" s="46" t="s">
        <v>691</v>
      </c>
      <c r="J62" s="46">
        <v>1</v>
      </c>
      <c r="O62" s="46">
        <v>1</v>
      </c>
      <c r="R62" s="46">
        <v>1</v>
      </c>
      <c r="T62" s="46">
        <v>1</v>
      </c>
      <c r="W62" s="46" t="s">
        <v>489</v>
      </c>
      <c r="X62" s="46">
        <v>13</v>
      </c>
      <c r="Y62" s="46">
        <v>13</v>
      </c>
      <c r="Z62" s="46">
        <v>8</v>
      </c>
      <c r="AA62" s="46">
        <v>8</v>
      </c>
      <c r="AB62" s="46">
        <v>8</v>
      </c>
      <c r="AE62" s="46">
        <v>1</v>
      </c>
      <c r="AG62" s="46">
        <v>1</v>
      </c>
      <c r="AH62" s="46">
        <v>1</v>
      </c>
      <c r="AJ62" s="46">
        <v>1</v>
      </c>
      <c r="AL62" s="46">
        <v>1</v>
      </c>
      <c r="AN62" s="46">
        <v>1</v>
      </c>
      <c r="AS62" s="46">
        <v>1</v>
      </c>
      <c r="AT62" s="46">
        <v>1</v>
      </c>
      <c r="AW62" s="46">
        <v>1</v>
      </c>
      <c r="BA62" s="46">
        <v>1</v>
      </c>
      <c r="BI62" s="46">
        <v>1</v>
      </c>
      <c r="BY62" s="46">
        <v>1</v>
      </c>
    </row>
    <row r="63" spans="1:77">
      <c r="A63" s="46" t="s">
        <v>730</v>
      </c>
      <c r="B63" s="46" t="s">
        <v>731</v>
      </c>
      <c r="C63" s="46">
        <v>48</v>
      </c>
      <c r="D63" s="46" t="s">
        <v>584</v>
      </c>
      <c r="E63" s="46" t="s">
        <v>732</v>
      </c>
      <c r="F63" s="46" t="s">
        <v>112</v>
      </c>
      <c r="G63" s="46">
        <v>1</v>
      </c>
      <c r="M63" s="46">
        <v>1</v>
      </c>
      <c r="R63" s="46">
        <v>1</v>
      </c>
      <c r="T63" s="46">
        <v>1</v>
      </c>
      <c r="W63" s="46">
        <v>16</v>
      </c>
      <c r="X63" s="46">
        <v>17</v>
      </c>
      <c r="Y63" s="46">
        <v>18</v>
      </c>
      <c r="Z63" s="46">
        <v>12</v>
      </c>
      <c r="AA63" s="46">
        <v>9</v>
      </c>
      <c r="AB63" s="46">
        <v>9</v>
      </c>
      <c r="AD63" s="46">
        <v>1</v>
      </c>
      <c r="AE63" s="46">
        <v>1</v>
      </c>
      <c r="AH63" s="46">
        <v>1</v>
      </c>
      <c r="AI63" s="46">
        <v>1</v>
      </c>
      <c r="AK63" s="46">
        <v>1</v>
      </c>
      <c r="AT63" s="46">
        <v>1</v>
      </c>
      <c r="AW63" s="46">
        <v>1</v>
      </c>
      <c r="BA63" s="46">
        <v>1</v>
      </c>
      <c r="BI63" s="46">
        <v>1</v>
      </c>
      <c r="BY63" s="46">
        <v>1</v>
      </c>
    </row>
    <row r="64" spans="1:77">
      <c r="A64" s="46" t="s">
        <v>733</v>
      </c>
      <c r="B64" s="46" t="s">
        <v>734</v>
      </c>
      <c r="C64" s="46">
        <v>38</v>
      </c>
      <c r="D64" s="46" t="s">
        <v>561</v>
      </c>
      <c r="E64" s="46" t="s">
        <v>735</v>
      </c>
      <c r="F64" s="46" t="s">
        <v>455</v>
      </c>
      <c r="H64" s="46">
        <v>1</v>
      </c>
      <c r="M64" s="46">
        <v>1</v>
      </c>
      <c r="Q64" s="46">
        <v>1</v>
      </c>
      <c r="U64" s="46">
        <v>1</v>
      </c>
      <c r="W64" s="46">
        <v>14</v>
      </c>
      <c r="X64" s="46">
        <v>18</v>
      </c>
      <c r="Y64" s="46">
        <v>20</v>
      </c>
      <c r="Z64" s="46">
        <v>4</v>
      </c>
      <c r="AA64" s="46">
        <v>3</v>
      </c>
      <c r="AB64" s="46">
        <v>3</v>
      </c>
      <c r="AE64" s="46">
        <v>1</v>
      </c>
      <c r="AH64" s="46">
        <v>1</v>
      </c>
      <c r="AJ64" s="46">
        <v>1</v>
      </c>
      <c r="AL64" s="46">
        <v>1</v>
      </c>
      <c r="AO64" s="46">
        <v>1</v>
      </c>
      <c r="AQ64" s="46" t="s">
        <v>736</v>
      </c>
      <c r="AR64" s="46" t="s">
        <v>737</v>
      </c>
      <c r="AT64" s="46">
        <v>1</v>
      </c>
      <c r="AX64" s="46">
        <v>1</v>
      </c>
      <c r="BB64" s="46">
        <v>1</v>
      </c>
      <c r="BF64" s="46">
        <v>1</v>
      </c>
      <c r="BI64" s="46">
        <v>1</v>
      </c>
      <c r="BY64" s="46">
        <v>1</v>
      </c>
    </row>
    <row r="65" spans="1:77">
      <c r="A65" s="46" t="s">
        <v>738</v>
      </c>
      <c r="B65" s="46" t="s">
        <v>739</v>
      </c>
      <c r="C65" s="46">
        <v>28</v>
      </c>
      <c r="D65" s="46" t="s">
        <v>584</v>
      </c>
      <c r="F65" s="46" t="s">
        <v>420</v>
      </c>
      <c r="G65" s="46">
        <v>1</v>
      </c>
      <c r="M65" s="46">
        <v>1</v>
      </c>
      <c r="Q65" s="46">
        <v>1</v>
      </c>
      <c r="S65" s="46">
        <v>1</v>
      </c>
      <c r="W65" s="46">
        <v>17</v>
      </c>
      <c r="X65" s="46">
        <v>20</v>
      </c>
      <c r="Y65" s="46">
        <v>21</v>
      </c>
      <c r="Z65" s="46">
        <v>6</v>
      </c>
      <c r="AA65" s="46">
        <v>5</v>
      </c>
      <c r="AB65" s="46">
        <v>5</v>
      </c>
      <c r="AD65" s="46">
        <v>1</v>
      </c>
      <c r="AE65" s="46">
        <v>1</v>
      </c>
      <c r="AG65" s="46">
        <v>1</v>
      </c>
      <c r="AH65" s="46">
        <v>1</v>
      </c>
      <c r="AJ65" s="46">
        <v>1</v>
      </c>
      <c r="AM65" s="46">
        <v>1</v>
      </c>
      <c r="AT65" s="46">
        <v>1</v>
      </c>
      <c r="AW65" s="46">
        <v>1</v>
      </c>
      <c r="BA65" s="46">
        <v>1</v>
      </c>
      <c r="BI65" s="46">
        <v>1</v>
      </c>
      <c r="BY65" s="46">
        <v>1</v>
      </c>
    </row>
    <row r="66" spans="1:77">
      <c r="A66" s="46" t="s">
        <v>740</v>
      </c>
      <c r="B66" s="46" t="s">
        <v>741</v>
      </c>
      <c r="C66" s="46">
        <v>19</v>
      </c>
      <c r="D66" s="46" t="s">
        <v>561</v>
      </c>
      <c r="E66" s="46" t="s">
        <v>742</v>
      </c>
      <c r="F66" s="46" t="s">
        <v>112</v>
      </c>
      <c r="G66" s="46">
        <v>1</v>
      </c>
      <c r="L66" s="46">
        <v>1</v>
      </c>
      <c r="T66" s="46">
        <v>1</v>
      </c>
      <c r="W66" s="46">
        <v>13</v>
      </c>
      <c r="X66" s="46">
        <v>15</v>
      </c>
      <c r="Z66" s="46">
        <v>0</v>
      </c>
      <c r="AA66" s="46">
        <v>0</v>
      </c>
      <c r="AB66" s="46">
        <v>0</v>
      </c>
      <c r="AE66" s="46">
        <v>1</v>
      </c>
      <c r="AG66" s="46">
        <v>1</v>
      </c>
      <c r="AH66" s="46">
        <v>1</v>
      </c>
      <c r="AJ66" s="46">
        <v>1</v>
      </c>
      <c r="AM66" s="46">
        <v>1</v>
      </c>
      <c r="AT66" s="46">
        <v>1</v>
      </c>
      <c r="AW66" s="46">
        <v>1</v>
      </c>
      <c r="BA66" s="46">
        <v>1</v>
      </c>
      <c r="BI66" s="46">
        <v>1</v>
      </c>
      <c r="BV66" s="46">
        <v>1</v>
      </c>
      <c r="BY66" s="46">
        <v>1</v>
      </c>
    </row>
    <row r="67" spans="1:77">
      <c r="A67" s="46" t="s">
        <v>743</v>
      </c>
      <c r="B67" s="46" t="s">
        <v>744</v>
      </c>
      <c r="C67" s="46">
        <v>50</v>
      </c>
      <c r="D67" s="46" t="s">
        <v>609</v>
      </c>
      <c r="E67" s="46" t="s">
        <v>745</v>
      </c>
      <c r="F67" s="46" t="s">
        <v>420</v>
      </c>
      <c r="G67" s="46">
        <v>1</v>
      </c>
      <c r="M67" s="46">
        <v>1</v>
      </c>
      <c r="Q67" s="46">
        <v>1</v>
      </c>
      <c r="T67" s="46">
        <v>1</v>
      </c>
      <c r="W67" s="46">
        <v>16</v>
      </c>
      <c r="X67" s="46">
        <v>17</v>
      </c>
      <c r="Y67" s="46">
        <v>17</v>
      </c>
      <c r="Z67" s="46">
        <v>15</v>
      </c>
      <c r="AA67" s="46">
        <v>15</v>
      </c>
      <c r="AB67" s="46">
        <v>7</v>
      </c>
      <c r="AC67" s="46">
        <v>1</v>
      </c>
      <c r="AJ67" s="46">
        <v>1</v>
      </c>
      <c r="AK67" s="46">
        <v>1</v>
      </c>
      <c r="AT67" s="46">
        <v>1</v>
      </c>
      <c r="AW67" s="46">
        <v>1</v>
      </c>
      <c r="BA67" s="46">
        <v>1</v>
      </c>
      <c r="BI67" s="46">
        <v>1</v>
      </c>
      <c r="BY67" s="46">
        <v>1</v>
      </c>
    </row>
    <row r="68" spans="1:77">
      <c r="A68" s="46" t="s">
        <v>746</v>
      </c>
      <c r="B68" s="46" t="s">
        <v>747</v>
      </c>
      <c r="C68" s="46">
        <v>27</v>
      </c>
      <c r="D68" s="46" t="s">
        <v>609</v>
      </c>
      <c r="F68" s="46" t="s">
        <v>748</v>
      </c>
      <c r="G68" s="46">
        <v>1</v>
      </c>
      <c r="M68" s="46">
        <v>1</v>
      </c>
      <c r="Q68" s="46">
        <v>1</v>
      </c>
      <c r="T68" s="46">
        <v>1</v>
      </c>
      <c r="W68" s="46">
        <v>18</v>
      </c>
      <c r="X68" s="46">
        <v>20</v>
      </c>
      <c r="Y68" s="46">
        <v>21</v>
      </c>
      <c r="Z68" s="46">
        <v>6</v>
      </c>
      <c r="AA68" s="46">
        <v>5</v>
      </c>
      <c r="AB68" s="46">
        <v>5</v>
      </c>
      <c r="AH68" s="46">
        <v>1</v>
      </c>
      <c r="AJ68" s="46">
        <v>1</v>
      </c>
      <c r="AK68" s="46">
        <v>1</v>
      </c>
      <c r="AT68" s="46">
        <v>1</v>
      </c>
      <c r="AW68" s="46">
        <v>1</v>
      </c>
      <c r="BA68" s="46">
        <v>1</v>
      </c>
      <c r="BI68" s="46">
        <v>1</v>
      </c>
      <c r="BY68" s="46">
        <v>1</v>
      </c>
    </row>
    <row r="69" spans="1:77">
      <c r="A69" s="46" t="s">
        <v>749</v>
      </c>
      <c r="B69" s="46" t="s">
        <v>750</v>
      </c>
      <c r="C69" s="46">
        <v>45</v>
      </c>
      <c r="D69" s="46" t="s">
        <v>751</v>
      </c>
      <c r="E69" s="46" t="s">
        <v>752</v>
      </c>
      <c r="F69" s="46" t="s">
        <v>420</v>
      </c>
      <c r="G69" s="46">
        <v>1</v>
      </c>
      <c r="M69" s="46">
        <v>1</v>
      </c>
      <c r="R69" s="46">
        <v>1</v>
      </c>
      <c r="T69" s="46">
        <v>1</v>
      </c>
      <c r="W69" s="46">
        <v>14</v>
      </c>
      <c r="X69" s="46">
        <v>15</v>
      </c>
      <c r="Y69" s="46">
        <v>16</v>
      </c>
      <c r="Z69" s="46">
        <v>10</v>
      </c>
      <c r="AA69" s="46">
        <v>10</v>
      </c>
      <c r="AB69" s="46">
        <v>10</v>
      </c>
      <c r="AD69" s="46">
        <v>1</v>
      </c>
      <c r="AI69" s="46">
        <v>1</v>
      </c>
      <c r="AK69" s="46">
        <v>1</v>
      </c>
      <c r="AT69" s="46">
        <v>1</v>
      </c>
      <c r="AW69" s="46">
        <v>1</v>
      </c>
      <c r="BA69" s="46">
        <v>1</v>
      </c>
      <c r="BI69" s="46">
        <v>1</v>
      </c>
      <c r="BY69" s="46">
        <v>1</v>
      </c>
    </row>
    <row r="70" spans="1:77">
      <c r="A70" s="46" t="s">
        <v>753</v>
      </c>
      <c r="B70" s="46" t="s">
        <v>754</v>
      </c>
      <c r="C70" s="46">
        <v>26</v>
      </c>
      <c r="D70" s="46" t="s">
        <v>721</v>
      </c>
      <c r="E70" s="46" t="s">
        <v>755</v>
      </c>
      <c r="F70" s="46" t="s">
        <v>756</v>
      </c>
      <c r="H70" s="46">
        <v>1</v>
      </c>
      <c r="M70" s="46">
        <v>1</v>
      </c>
      <c r="R70" s="46">
        <v>1</v>
      </c>
      <c r="T70" s="46"/>
      <c r="U70" s="46">
        <v>1</v>
      </c>
      <c r="W70" s="46">
        <v>18</v>
      </c>
      <c r="X70" s="46">
        <v>22</v>
      </c>
      <c r="Y70" s="46">
        <v>22</v>
      </c>
      <c r="Z70" s="46">
        <v>2</v>
      </c>
      <c r="AA70" s="46">
        <v>2</v>
      </c>
      <c r="AB70" s="46">
        <v>2</v>
      </c>
      <c r="AE70" s="46">
        <v>1</v>
      </c>
      <c r="AH70" s="46">
        <v>1</v>
      </c>
      <c r="AJ70" s="46">
        <v>1</v>
      </c>
      <c r="AM70" s="46">
        <v>1</v>
      </c>
      <c r="AT70" s="46">
        <v>1</v>
      </c>
      <c r="AW70" s="46">
        <v>1</v>
      </c>
      <c r="BA70" s="46">
        <v>1</v>
      </c>
      <c r="BI70" s="46">
        <v>1</v>
      </c>
      <c r="BY70" s="46">
        <v>1</v>
      </c>
    </row>
    <row r="71" spans="1:77">
      <c r="A71" s="46" t="s">
        <v>757</v>
      </c>
      <c r="B71" s="46" t="s">
        <v>758</v>
      </c>
      <c r="C71" s="46">
        <v>60</v>
      </c>
      <c r="D71" s="46" t="s">
        <v>561</v>
      </c>
      <c r="F71" s="46" t="s">
        <v>112</v>
      </c>
      <c r="G71" s="46">
        <v>1</v>
      </c>
      <c r="O71" s="46">
        <v>1</v>
      </c>
      <c r="S71" s="46">
        <v>1</v>
      </c>
      <c r="W71" s="46" t="s">
        <v>489</v>
      </c>
      <c r="X71" s="46" t="s">
        <v>489</v>
      </c>
      <c r="Y71" s="46" t="s">
        <v>489</v>
      </c>
      <c r="Z71" s="46">
        <v>8</v>
      </c>
      <c r="AA71" s="46">
        <v>8</v>
      </c>
      <c r="AB71" s="46">
        <v>8</v>
      </c>
      <c r="AH71" s="46">
        <v>1</v>
      </c>
      <c r="AK71" s="46">
        <v>1</v>
      </c>
      <c r="AT71" s="46">
        <v>1</v>
      </c>
      <c r="AW71" s="46">
        <v>1</v>
      </c>
      <c r="BA71" s="46">
        <v>1</v>
      </c>
      <c r="BJ71" s="46">
        <v>1</v>
      </c>
      <c r="BR71" s="46">
        <v>1</v>
      </c>
      <c r="BY71" s="46">
        <v>1</v>
      </c>
    </row>
    <row r="72" spans="1:77">
      <c r="A72" s="46" t="s">
        <v>759</v>
      </c>
      <c r="B72" s="46" t="s">
        <v>760</v>
      </c>
      <c r="C72" s="46">
        <v>48</v>
      </c>
      <c r="D72" s="46" t="s">
        <v>672</v>
      </c>
      <c r="F72" s="46" t="s">
        <v>420</v>
      </c>
      <c r="G72" s="46">
        <v>1</v>
      </c>
      <c r="M72" s="46">
        <v>1</v>
      </c>
      <c r="Q72" s="46">
        <v>1</v>
      </c>
      <c r="T72" s="46">
        <v>1</v>
      </c>
      <c r="W72" s="46">
        <v>13</v>
      </c>
      <c r="X72" s="46">
        <v>15</v>
      </c>
      <c r="Y72" s="46">
        <v>16</v>
      </c>
      <c r="Z72" s="46">
        <v>11</v>
      </c>
      <c r="AA72" s="46">
        <v>7</v>
      </c>
      <c r="AB72" s="46">
        <v>7</v>
      </c>
      <c r="AH72" s="46">
        <v>1</v>
      </c>
      <c r="AJ72" s="46">
        <v>1</v>
      </c>
      <c r="AL72" s="46">
        <v>1</v>
      </c>
      <c r="AO72" s="46">
        <v>1</v>
      </c>
      <c r="AQ72" s="46" t="s">
        <v>761</v>
      </c>
      <c r="AR72" s="46" t="s">
        <v>762</v>
      </c>
      <c r="AT72" s="46">
        <v>1</v>
      </c>
      <c r="AW72" s="46"/>
      <c r="AX72" s="46">
        <v>1</v>
      </c>
      <c r="BA72" s="46">
        <v>1</v>
      </c>
      <c r="BI72" s="46">
        <v>1</v>
      </c>
      <c r="BY72" s="46">
        <v>1</v>
      </c>
    </row>
    <row r="73" spans="1:77">
      <c r="A73" s="46" t="s">
        <v>763</v>
      </c>
      <c r="B73" s="46" t="s">
        <v>764</v>
      </c>
      <c r="C73" s="46">
        <v>40</v>
      </c>
      <c r="D73" s="46" t="s">
        <v>609</v>
      </c>
      <c r="E73" s="46" t="s">
        <v>765</v>
      </c>
      <c r="F73" s="46" t="s">
        <v>112</v>
      </c>
      <c r="I73" s="46">
        <v>1</v>
      </c>
      <c r="M73" s="46">
        <v>1</v>
      </c>
      <c r="Q73" s="46">
        <v>1</v>
      </c>
      <c r="T73" s="46">
        <v>1</v>
      </c>
      <c r="W73" s="46">
        <v>14</v>
      </c>
      <c r="X73" s="46">
        <v>15</v>
      </c>
      <c r="Y73" s="46">
        <v>16</v>
      </c>
      <c r="Z73" s="46">
        <v>10</v>
      </c>
      <c r="AA73" s="46">
        <v>10</v>
      </c>
      <c r="AB73" s="46">
        <v>10</v>
      </c>
      <c r="AE73" s="46">
        <v>1</v>
      </c>
      <c r="AJ73" s="46">
        <v>1</v>
      </c>
      <c r="AM73" s="46">
        <v>1</v>
      </c>
      <c r="AT73" s="46">
        <v>1</v>
      </c>
      <c r="AW73" s="46">
        <v>1</v>
      </c>
      <c r="BA73" s="46">
        <v>1</v>
      </c>
      <c r="BI73" s="46">
        <v>1</v>
      </c>
      <c r="BY73" s="46">
        <v>1</v>
      </c>
    </row>
    <row r="74" spans="1:77">
      <c r="A74" s="46" t="s">
        <v>766</v>
      </c>
      <c r="B74" s="46" t="s">
        <v>767</v>
      </c>
      <c r="C74" s="46">
        <v>65</v>
      </c>
      <c r="D74" s="46" t="s">
        <v>568</v>
      </c>
      <c r="F74" s="46" t="s">
        <v>112</v>
      </c>
      <c r="J74" s="46">
        <v>1</v>
      </c>
      <c r="O74" s="46">
        <v>1</v>
      </c>
      <c r="R74" s="46">
        <v>1</v>
      </c>
      <c r="T74" s="46">
        <v>1</v>
      </c>
      <c r="W74" s="46">
        <v>15</v>
      </c>
      <c r="X74" s="46">
        <v>20</v>
      </c>
      <c r="Z74" s="46">
        <v>0</v>
      </c>
      <c r="AA74" s="46">
        <v>0</v>
      </c>
      <c r="AB74" s="46">
        <v>0</v>
      </c>
      <c r="AE74" s="46">
        <v>1</v>
      </c>
      <c r="AI74" s="46">
        <v>1</v>
      </c>
      <c r="AM74" s="46">
        <v>1</v>
      </c>
      <c r="AT74" s="46">
        <v>1</v>
      </c>
      <c r="AW74" s="46">
        <v>1</v>
      </c>
      <c r="BA74" s="46">
        <v>1</v>
      </c>
      <c r="BI74" s="46">
        <v>1</v>
      </c>
      <c r="BY74" s="46">
        <v>1</v>
      </c>
    </row>
    <row r="75" spans="1:77">
      <c r="A75" s="46" t="s">
        <v>768</v>
      </c>
      <c r="B75" s="46" t="s">
        <v>769</v>
      </c>
      <c r="C75" s="46">
        <v>48</v>
      </c>
      <c r="D75" s="46" t="s">
        <v>584</v>
      </c>
      <c r="F75" s="46" t="s">
        <v>112</v>
      </c>
      <c r="M75" s="46">
        <v>1</v>
      </c>
      <c r="T75" s="46">
        <v>1</v>
      </c>
      <c r="W75" s="46">
        <v>14</v>
      </c>
      <c r="X75" s="46">
        <v>15</v>
      </c>
      <c r="Y75" s="46">
        <v>22</v>
      </c>
      <c r="Z75" s="46">
        <v>18</v>
      </c>
      <c r="AA75" s="46">
        <v>14</v>
      </c>
      <c r="AB75" s="46">
        <v>11</v>
      </c>
      <c r="AE75" s="46">
        <v>1</v>
      </c>
      <c r="AH75" s="46">
        <v>1</v>
      </c>
      <c r="AI75" s="46">
        <v>1</v>
      </c>
      <c r="AK75" s="46">
        <v>1</v>
      </c>
      <c r="AT75" s="46">
        <v>1</v>
      </c>
      <c r="AX75" s="46">
        <v>1</v>
      </c>
      <c r="BA75" s="46">
        <v>1</v>
      </c>
      <c r="BI75" s="46">
        <v>1</v>
      </c>
      <c r="BY75" s="46">
        <v>1</v>
      </c>
    </row>
    <row r="76" spans="1:77">
      <c r="A76" s="46" t="s">
        <v>770</v>
      </c>
      <c r="B76" s="46" t="s">
        <v>771</v>
      </c>
      <c r="C76" s="46">
        <v>40</v>
      </c>
      <c r="D76" s="46" t="s">
        <v>613</v>
      </c>
      <c r="F76" s="46" t="s">
        <v>399</v>
      </c>
      <c r="G76" s="46">
        <v>1</v>
      </c>
      <c r="M76" s="46">
        <v>1</v>
      </c>
      <c r="Q76" s="46">
        <v>1</v>
      </c>
      <c r="S76" s="46">
        <v>1</v>
      </c>
      <c r="W76" s="46">
        <v>12</v>
      </c>
      <c r="X76" s="46">
        <v>14</v>
      </c>
      <c r="Z76" s="46">
        <v>0</v>
      </c>
      <c r="AA76" s="46">
        <v>0</v>
      </c>
      <c r="AB76" s="46">
        <v>0</v>
      </c>
      <c r="AE76" s="46">
        <v>1</v>
      </c>
      <c r="AG76" s="46">
        <v>1</v>
      </c>
      <c r="AH76" s="46">
        <v>1</v>
      </c>
      <c r="AI76" s="46">
        <v>1</v>
      </c>
      <c r="AM76" s="46">
        <v>1</v>
      </c>
      <c r="AT76" s="46">
        <v>1</v>
      </c>
      <c r="AX76" s="46">
        <v>1</v>
      </c>
      <c r="BA76" s="46">
        <v>1</v>
      </c>
    </row>
  </sheetData>
  <autoFilter ref="A3:CR76"/>
  <mergeCells count="28">
    <mergeCell ref="A1:B1"/>
    <mergeCell ref="C1:E1"/>
    <mergeCell ref="G1:K1"/>
    <mergeCell ref="L1:P1"/>
    <mergeCell ref="Q1:R1"/>
    <mergeCell ref="CE1:CF1"/>
    <mergeCell ref="CG1:CI1"/>
    <mergeCell ref="S1:V1"/>
    <mergeCell ref="W1:AB1"/>
    <mergeCell ref="AC1:AH1"/>
    <mergeCell ref="AI1:AJ1"/>
    <mergeCell ref="AK1:AM1"/>
    <mergeCell ref="CJ1:CK1"/>
    <mergeCell ref="CL1:CM1"/>
    <mergeCell ref="CO3:CP3"/>
    <mergeCell ref="AN1:AP1"/>
    <mergeCell ref="AQ1:AS1"/>
    <mergeCell ref="AT1:AU1"/>
    <mergeCell ref="AV1:AZ1"/>
    <mergeCell ref="CB1:CC1"/>
    <mergeCell ref="BA1:BE1"/>
    <mergeCell ref="BF1:BG1"/>
    <mergeCell ref="BH1:BL1"/>
    <mergeCell ref="BM1:BO1"/>
    <mergeCell ref="BP1:BQ1"/>
    <mergeCell ref="BT1:BX1"/>
    <mergeCell ref="BY1:CA1"/>
    <mergeCell ref="BM2:B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0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4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772</v>
      </c>
      <c r="B3" s="69">
        <v>4</v>
      </c>
      <c r="C3" s="69">
        <v>1</v>
      </c>
      <c r="D3" s="69">
        <v>0</v>
      </c>
      <c r="E3" s="69">
        <f t="shared" ref="E3:E8" si="0">SUM(B3:D3)</f>
        <v>5</v>
      </c>
      <c r="F3" s="70">
        <v>0</v>
      </c>
      <c r="G3" s="70">
        <v>5</v>
      </c>
      <c r="H3" s="70">
        <v>0</v>
      </c>
      <c r="I3" s="71">
        <f t="shared" ref="I3:I8" si="1">SUM(F3:H3)</f>
        <v>5</v>
      </c>
      <c r="J3" s="70">
        <v>0</v>
      </c>
      <c r="K3" s="70">
        <v>0</v>
      </c>
      <c r="L3" s="70">
        <v>0</v>
      </c>
      <c r="M3" s="70">
        <v>0</v>
      </c>
      <c r="N3" s="72">
        <f t="shared" ref="N3:N9" si="2">SUM(J3:M3)</f>
        <v>0</v>
      </c>
      <c r="O3" s="70">
        <v>0</v>
      </c>
      <c r="P3" s="70">
        <v>0</v>
      </c>
      <c r="Q3" s="70">
        <v>2</v>
      </c>
      <c r="R3" s="71">
        <f t="shared" ref="R3:R9" si="3">SUM(O3:Q3)</f>
        <v>2</v>
      </c>
      <c r="S3" s="70"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3">
        <v>0</v>
      </c>
      <c r="Z3" s="73">
        <v>0</v>
      </c>
      <c r="AA3" s="73">
        <v>0</v>
      </c>
      <c r="AB3" s="73">
        <v>0</v>
      </c>
      <c r="AC3" s="73">
        <f t="shared" ref="AC3:AC9" si="4">SUM(Y3:AB3)</f>
        <v>0</v>
      </c>
      <c r="AD3" s="73">
        <v>0</v>
      </c>
    </row>
    <row r="4" spans="1:30">
      <c r="A4" s="74" t="s">
        <v>773</v>
      </c>
      <c r="B4" s="69">
        <v>20</v>
      </c>
      <c r="C4" s="69">
        <v>1</v>
      </c>
      <c r="D4" s="69">
        <v>4</v>
      </c>
      <c r="E4" s="69">
        <f t="shared" si="0"/>
        <v>25</v>
      </c>
      <c r="F4" s="70">
        <v>0</v>
      </c>
      <c r="G4" s="70">
        <v>25</v>
      </c>
      <c r="H4" s="70">
        <v>0</v>
      </c>
      <c r="I4" s="71">
        <f t="shared" si="1"/>
        <v>25</v>
      </c>
      <c r="J4" s="70">
        <v>0</v>
      </c>
      <c r="K4" s="70">
        <v>0</v>
      </c>
      <c r="L4" s="70">
        <v>0</v>
      </c>
      <c r="M4" s="70">
        <v>0</v>
      </c>
      <c r="N4" s="72">
        <f t="shared" si="2"/>
        <v>0</v>
      </c>
      <c r="O4" s="70">
        <v>0</v>
      </c>
      <c r="P4" s="70">
        <v>0</v>
      </c>
      <c r="Q4" s="70">
        <v>7</v>
      </c>
      <c r="R4" s="71">
        <f t="shared" si="3"/>
        <v>7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3">
        <v>0</v>
      </c>
      <c r="Z4" s="73">
        <v>0</v>
      </c>
      <c r="AA4" s="73">
        <v>0</v>
      </c>
      <c r="AB4" s="73">
        <v>0</v>
      </c>
      <c r="AC4" s="73">
        <f t="shared" si="4"/>
        <v>0</v>
      </c>
      <c r="AD4" s="73">
        <v>0</v>
      </c>
    </row>
    <row r="5" spans="1:30">
      <c r="A5" s="77" t="s">
        <v>774</v>
      </c>
      <c r="B5" s="69">
        <v>11</v>
      </c>
      <c r="C5" s="69">
        <v>3</v>
      </c>
      <c r="D5" s="69">
        <v>4</v>
      </c>
      <c r="E5" s="69">
        <f t="shared" si="0"/>
        <v>18</v>
      </c>
      <c r="F5" s="70">
        <v>0</v>
      </c>
      <c r="G5" s="70">
        <v>17</v>
      </c>
      <c r="H5" s="70">
        <v>1</v>
      </c>
      <c r="I5" s="71">
        <f t="shared" si="1"/>
        <v>18</v>
      </c>
      <c r="J5" s="70">
        <v>0</v>
      </c>
      <c r="K5" s="70">
        <v>0</v>
      </c>
      <c r="L5" s="70">
        <v>0</v>
      </c>
      <c r="M5" s="70">
        <v>0</v>
      </c>
      <c r="N5" s="72">
        <f t="shared" si="2"/>
        <v>0</v>
      </c>
      <c r="O5" s="70">
        <v>0</v>
      </c>
      <c r="P5" s="70">
        <v>0</v>
      </c>
      <c r="Q5" s="70">
        <v>10</v>
      </c>
      <c r="R5" s="71">
        <f t="shared" si="3"/>
        <v>10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0</v>
      </c>
      <c r="Z5" s="73">
        <v>0</v>
      </c>
      <c r="AA5" s="73">
        <v>0</v>
      </c>
      <c r="AB5" s="73">
        <v>0</v>
      </c>
      <c r="AC5" s="73">
        <f t="shared" si="4"/>
        <v>0</v>
      </c>
      <c r="AD5" s="73">
        <v>0</v>
      </c>
    </row>
    <row r="6" spans="1:30">
      <c r="A6" s="77" t="s">
        <v>775</v>
      </c>
      <c r="B6" s="69">
        <v>10</v>
      </c>
      <c r="C6" s="69">
        <v>2</v>
      </c>
      <c r="D6" s="69">
        <v>2</v>
      </c>
      <c r="E6" s="69">
        <f t="shared" si="0"/>
        <v>14</v>
      </c>
      <c r="F6" s="70">
        <v>0</v>
      </c>
      <c r="G6" s="70">
        <v>14</v>
      </c>
      <c r="H6" s="70">
        <v>0</v>
      </c>
      <c r="I6" s="71">
        <f t="shared" si="1"/>
        <v>14</v>
      </c>
      <c r="J6" s="70">
        <v>0</v>
      </c>
      <c r="K6" s="70">
        <v>0</v>
      </c>
      <c r="L6" s="70">
        <v>0</v>
      </c>
      <c r="M6" s="70">
        <v>0</v>
      </c>
      <c r="N6" s="72">
        <f t="shared" si="2"/>
        <v>0</v>
      </c>
      <c r="O6" s="70">
        <v>0</v>
      </c>
      <c r="P6" s="70">
        <v>0</v>
      </c>
      <c r="Q6" s="70">
        <v>4</v>
      </c>
      <c r="R6" s="71">
        <f t="shared" si="3"/>
        <v>4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0</v>
      </c>
      <c r="Z6" s="73">
        <v>0</v>
      </c>
      <c r="AA6" s="73">
        <v>0</v>
      </c>
      <c r="AB6" s="73">
        <v>0</v>
      </c>
      <c r="AC6" s="73">
        <f t="shared" si="4"/>
        <v>0</v>
      </c>
      <c r="AD6" s="73">
        <v>0</v>
      </c>
    </row>
    <row r="7" spans="1:30">
      <c r="A7" s="77" t="s">
        <v>776</v>
      </c>
      <c r="B7" s="69">
        <v>3</v>
      </c>
      <c r="C7" s="69">
        <v>0</v>
      </c>
      <c r="D7" s="69">
        <v>1</v>
      </c>
      <c r="E7" s="69">
        <f t="shared" si="0"/>
        <v>4</v>
      </c>
      <c r="F7" s="70">
        <v>0</v>
      </c>
      <c r="G7" s="70">
        <v>3</v>
      </c>
      <c r="H7" s="70">
        <v>0</v>
      </c>
      <c r="I7" s="71">
        <f t="shared" si="1"/>
        <v>3</v>
      </c>
      <c r="J7" s="70">
        <v>0</v>
      </c>
      <c r="K7" s="70">
        <v>1</v>
      </c>
      <c r="L7" s="70">
        <v>0</v>
      </c>
      <c r="M7" s="70">
        <v>0</v>
      </c>
      <c r="N7" s="72">
        <f t="shared" si="2"/>
        <v>1</v>
      </c>
      <c r="O7" s="70">
        <v>0</v>
      </c>
      <c r="P7" s="70">
        <v>0</v>
      </c>
      <c r="Q7" s="70">
        <v>2</v>
      </c>
      <c r="R7" s="71">
        <f t="shared" si="3"/>
        <v>2</v>
      </c>
      <c r="S7" s="75">
        <v>0</v>
      </c>
      <c r="T7" s="75">
        <v>0</v>
      </c>
      <c r="U7" s="75">
        <v>0</v>
      </c>
      <c r="V7" s="75">
        <v>1</v>
      </c>
      <c r="W7" s="75">
        <v>0</v>
      </c>
      <c r="X7" s="75">
        <v>0</v>
      </c>
      <c r="Y7" s="73">
        <v>0</v>
      </c>
      <c r="Z7" s="73">
        <v>0</v>
      </c>
      <c r="AA7" s="73">
        <v>0</v>
      </c>
      <c r="AB7" s="73">
        <v>0</v>
      </c>
      <c r="AC7" s="73">
        <f t="shared" si="4"/>
        <v>0</v>
      </c>
      <c r="AD7" s="73">
        <v>0</v>
      </c>
    </row>
    <row r="8" spans="1:30">
      <c r="A8" s="78" t="s">
        <v>777</v>
      </c>
      <c r="B8" s="79">
        <v>5</v>
      </c>
      <c r="C8" s="79">
        <v>0</v>
      </c>
      <c r="D8" s="79">
        <v>2</v>
      </c>
      <c r="E8" s="69">
        <f t="shared" si="0"/>
        <v>7</v>
      </c>
      <c r="F8" s="80">
        <v>0</v>
      </c>
      <c r="G8" s="80">
        <v>7</v>
      </c>
      <c r="H8" s="80">
        <v>0</v>
      </c>
      <c r="I8" s="71">
        <f t="shared" si="1"/>
        <v>7</v>
      </c>
      <c r="J8" s="80">
        <v>0</v>
      </c>
      <c r="K8" s="80">
        <v>0</v>
      </c>
      <c r="L8" s="80">
        <v>0</v>
      </c>
      <c r="M8" s="80">
        <v>0</v>
      </c>
      <c r="N8" s="72">
        <f t="shared" si="2"/>
        <v>0</v>
      </c>
      <c r="O8" s="80">
        <v>0</v>
      </c>
      <c r="P8" s="80">
        <v>0</v>
      </c>
      <c r="Q8" s="80">
        <v>2</v>
      </c>
      <c r="R8" s="71">
        <f t="shared" si="3"/>
        <v>2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2">
        <v>0</v>
      </c>
      <c r="Z8" s="82">
        <v>0</v>
      </c>
      <c r="AA8" s="82">
        <v>0</v>
      </c>
      <c r="AB8" s="82">
        <v>0</v>
      </c>
      <c r="AC8" s="73">
        <f t="shared" si="4"/>
        <v>0</v>
      </c>
      <c r="AD8" s="82">
        <v>0</v>
      </c>
    </row>
    <row r="9" spans="1:30">
      <c r="A9" s="69" t="s">
        <v>376</v>
      </c>
      <c r="B9" s="69">
        <f t="shared" ref="B9:M9" si="5">SUM(B3:B8)</f>
        <v>53</v>
      </c>
      <c r="C9" s="69">
        <f t="shared" si="5"/>
        <v>7</v>
      </c>
      <c r="D9" s="69">
        <f t="shared" si="5"/>
        <v>13</v>
      </c>
      <c r="E9" s="69">
        <f t="shared" si="5"/>
        <v>73</v>
      </c>
      <c r="F9" s="69">
        <f t="shared" si="5"/>
        <v>0</v>
      </c>
      <c r="G9" s="69">
        <f t="shared" si="5"/>
        <v>71</v>
      </c>
      <c r="H9" s="69">
        <f t="shared" si="5"/>
        <v>1</v>
      </c>
      <c r="I9" s="71">
        <f t="shared" si="5"/>
        <v>72</v>
      </c>
      <c r="J9" s="70">
        <f t="shared" si="5"/>
        <v>0</v>
      </c>
      <c r="K9" s="70">
        <f t="shared" si="5"/>
        <v>1</v>
      </c>
      <c r="L9" s="70">
        <f t="shared" si="5"/>
        <v>0</v>
      </c>
      <c r="M9" s="70">
        <f t="shared" si="5"/>
        <v>0</v>
      </c>
      <c r="N9" s="72">
        <f t="shared" si="2"/>
        <v>1</v>
      </c>
      <c r="O9" s="70">
        <f>SUM(O3:O8)</f>
        <v>0</v>
      </c>
      <c r="P9" s="70">
        <f>SUM(P3:P8)</f>
        <v>0</v>
      </c>
      <c r="Q9" s="70">
        <f>SUM(Q3:Q8)</f>
        <v>27</v>
      </c>
      <c r="R9" s="71">
        <f t="shared" si="3"/>
        <v>27</v>
      </c>
      <c r="S9" s="83">
        <f t="shared" ref="S9:AB9" si="6">SUM(S3:S8)</f>
        <v>0</v>
      </c>
      <c r="T9" s="83">
        <f t="shared" si="6"/>
        <v>0</v>
      </c>
      <c r="U9" s="83">
        <f t="shared" si="6"/>
        <v>0</v>
      </c>
      <c r="V9" s="83">
        <f t="shared" si="6"/>
        <v>1</v>
      </c>
      <c r="W9" s="83">
        <f t="shared" si="6"/>
        <v>0</v>
      </c>
      <c r="X9" s="83">
        <f t="shared" si="6"/>
        <v>0</v>
      </c>
      <c r="Y9" s="83">
        <f t="shared" si="6"/>
        <v>0</v>
      </c>
      <c r="Z9" s="83">
        <f t="shared" si="6"/>
        <v>0</v>
      </c>
      <c r="AA9" s="83">
        <f t="shared" si="6"/>
        <v>0</v>
      </c>
      <c r="AB9" s="83">
        <f t="shared" si="6"/>
        <v>0</v>
      </c>
      <c r="AC9" s="73">
        <f t="shared" si="4"/>
        <v>0</v>
      </c>
      <c r="AD9" s="73">
        <f>SUM(Z9:AC9)</f>
        <v>0</v>
      </c>
    </row>
  </sheetData>
  <mergeCells count="7">
    <mergeCell ref="S1:X1"/>
    <mergeCell ref="Y1:AC1"/>
    <mergeCell ref="A1:A2"/>
    <mergeCell ref="B1:E1"/>
    <mergeCell ref="F1:G1"/>
    <mergeCell ref="J1:N1"/>
    <mergeCell ref="O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43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9.42578125" customWidth="1"/>
    <col min="2" max="2" width="18" customWidth="1"/>
    <col min="3" max="3" width="7.140625" customWidth="1"/>
    <col min="4" max="4" width="11.42578125" customWidth="1"/>
    <col min="7" max="8" width="5.28515625" customWidth="1"/>
    <col min="9" max="9" width="6.42578125" customWidth="1"/>
    <col min="10" max="10" width="6.140625" customWidth="1"/>
    <col min="11" max="11" width="6.85546875" customWidth="1"/>
    <col min="12" max="12" width="5.85546875" customWidth="1"/>
    <col min="13" max="14" width="5.28515625" customWidth="1"/>
    <col min="15" max="15" width="5" customWidth="1"/>
    <col min="16" max="16" width="5.140625" customWidth="1"/>
    <col min="17" max="17" width="5.85546875" customWidth="1"/>
    <col min="18" max="18" width="5.7109375" customWidth="1"/>
    <col min="19" max="19" width="5.42578125" customWidth="1"/>
    <col min="20" max="20" width="5.28515625" customWidth="1"/>
    <col min="21" max="21" width="4.140625" customWidth="1"/>
    <col min="22" max="22" width="4.5703125" customWidth="1"/>
    <col min="23" max="23" width="9.42578125" customWidth="1"/>
    <col min="24" max="24" width="12.5703125" customWidth="1"/>
    <col min="25" max="25" width="11.28515625" customWidth="1"/>
    <col min="26" max="26" width="7" customWidth="1"/>
    <col min="27" max="27" width="8" customWidth="1"/>
    <col min="28" max="28" width="8.85546875" customWidth="1"/>
    <col min="29" max="29" width="5.28515625" customWidth="1"/>
    <col min="30" max="30" width="6.5703125" customWidth="1"/>
    <col min="31" max="31" width="6.42578125" customWidth="1"/>
    <col min="32" max="32" width="7.85546875" customWidth="1"/>
    <col min="33" max="33" width="7.5703125" customWidth="1"/>
    <col min="34" max="34" width="5.140625" customWidth="1"/>
    <col min="35" max="36" width="3.5703125" customWidth="1"/>
    <col min="37" max="37" width="5.5703125" customWidth="1"/>
    <col min="38" max="38" width="5.42578125" customWidth="1"/>
    <col min="39" max="39" width="10.5703125" customWidth="1"/>
    <col min="40" max="40" width="7.85546875" customWidth="1"/>
    <col min="41" max="41" width="6.85546875" customWidth="1"/>
    <col min="42" max="42" width="8.42578125" customWidth="1"/>
    <col min="46" max="46" width="4.7109375" customWidth="1"/>
    <col min="47" max="47" width="4.28515625" customWidth="1"/>
    <col min="48" max="48" width="6.7109375" customWidth="1"/>
    <col min="49" max="49" width="9.28515625" customWidth="1"/>
    <col min="50" max="50" width="5.140625" customWidth="1"/>
    <col min="51" max="51" width="8.140625" customWidth="1"/>
    <col min="52" max="52" width="4.85546875" customWidth="1"/>
    <col min="53" max="53" width="4.42578125" customWidth="1"/>
    <col min="54" max="54" width="4" customWidth="1"/>
    <col min="55" max="55" width="4.7109375" customWidth="1"/>
    <col min="56" max="56" width="9.5703125" customWidth="1"/>
    <col min="57" max="57" width="7.7109375" customWidth="1"/>
    <col min="58" max="58" width="4.7109375" customWidth="1"/>
    <col min="59" max="59" width="5" customWidth="1"/>
    <col min="60" max="60" width="4.85546875" customWidth="1"/>
    <col min="61" max="61" width="5.28515625" customWidth="1"/>
    <col min="62" max="62" width="10.42578125" customWidth="1"/>
    <col min="64" max="64" width="7.5703125" customWidth="1"/>
    <col min="65" max="65" width="5.5703125" customWidth="1"/>
    <col min="66" max="66" width="7.7109375" customWidth="1"/>
    <col min="67" max="67" width="4.7109375" customWidth="1"/>
    <col min="68" max="68" width="5" customWidth="1"/>
    <col min="69" max="69" width="5.5703125" customWidth="1"/>
    <col min="72" max="72" width="5.5703125" customWidth="1"/>
    <col min="73" max="73" width="8.5703125" customWidth="1"/>
    <col min="74" max="74" width="10.85546875" customWidth="1"/>
    <col min="75" max="75" width="8" customWidth="1"/>
    <col min="77" max="77" width="4.5703125" customWidth="1"/>
    <col min="78" max="78" width="5" customWidth="1"/>
    <col min="79" max="79" width="6.7109375" customWidth="1"/>
    <col min="80" max="81" width="4.5703125" customWidth="1"/>
    <col min="83" max="84" width="5.28515625" customWidth="1"/>
    <col min="88" max="88" width="4.7109375" customWidth="1"/>
    <col min="89" max="89" width="4" customWidth="1"/>
    <col min="90" max="90" width="4.28515625" customWidth="1"/>
    <col min="91" max="91" width="4.42578125" customWidth="1"/>
    <col min="92" max="92" width="5.140625" customWidth="1"/>
  </cols>
  <sheetData>
    <row r="1" spans="1:96">
      <c r="A1" s="479" t="s">
        <v>778</v>
      </c>
      <c r="B1" s="480"/>
      <c r="C1" s="479" t="s">
        <v>779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72" t="s">
        <v>16</v>
      </c>
      <c r="BI1" s="473"/>
      <c r="BJ1" s="473"/>
      <c r="BK1" s="473"/>
      <c r="BL1" s="474"/>
      <c r="BM1" s="455" t="s">
        <v>17</v>
      </c>
      <c r="BN1" s="456"/>
      <c r="BO1" s="461"/>
      <c r="BP1" s="475" t="s">
        <v>18</v>
      </c>
      <c r="BQ1" s="476"/>
      <c r="BR1" s="3"/>
      <c r="BS1" s="3"/>
      <c r="BT1" s="475" t="s">
        <v>19</v>
      </c>
      <c r="BU1" s="473"/>
      <c r="BV1" s="473"/>
      <c r="BW1" s="473"/>
      <c r="BX1" s="473"/>
      <c r="BY1" s="463" t="s">
        <v>20</v>
      </c>
      <c r="BZ1" s="456"/>
      <c r="CA1" s="461"/>
      <c r="CB1" s="465" t="s">
        <v>21</v>
      </c>
      <c r="CC1" s="466"/>
      <c r="CD1" s="4" t="s">
        <v>22</v>
      </c>
      <c r="CE1" s="465" t="s">
        <v>23</v>
      </c>
      <c r="CF1" s="469"/>
      <c r="CG1" s="463" t="s">
        <v>16</v>
      </c>
      <c r="CH1" s="456"/>
      <c r="CI1" s="464"/>
      <c r="CJ1" s="455" t="s">
        <v>24</v>
      </c>
      <c r="CK1" s="456"/>
      <c r="CL1" s="457" t="s">
        <v>25</v>
      </c>
      <c r="CM1" s="456"/>
      <c r="CN1" s="5"/>
      <c r="CO1" s="6" t="s">
        <v>26</v>
      </c>
      <c r="CP1" s="7"/>
      <c r="CQ1" s="8"/>
      <c r="CR1" s="9"/>
    </row>
    <row r="2" spans="1:96">
      <c r="BM2" s="477" t="s">
        <v>27</v>
      </c>
      <c r="BN2" s="478"/>
      <c r="BO2" s="478"/>
      <c r="BP2" s="478"/>
      <c r="BQ2" s="478"/>
      <c r="BR2" s="478"/>
      <c r="BS2" s="478"/>
    </row>
    <row r="3" spans="1:96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21" t="s">
        <v>74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29" t="s">
        <v>84</v>
      </c>
      <c r="BK3" s="29" t="s">
        <v>85</v>
      </c>
      <c r="BL3" s="29" t="s">
        <v>86</v>
      </c>
      <c r="BM3" s="21" t="s">
        <v>73</v>
      </c>
      <c r="BN3" s="34" t="s">
        <v>87</v>
      </c>
      <c r="BO3" s="22" t="s">
        <v>56</v>
      </c>
      <c r="BP3" s="35" t="s">
        <v>83</v>
      </c>
      <c r="BQ3" s="36" t="s">
        <v>88</v>
      </c>
      <c r="BR3" s="37" t="s">
        <v>89</v>
      </c>
      <c r="BS3" s="37"/>
      <c r="BT3" s="35" t="s">
        <v>90</v>
      </c>
      <c r="BU3" s="38" t="s">
        <v>91</v>
      </c>
      <c r="BV3" s="38" t="s">
        <v>92</v>
      </c>
      <c r="BW3" s="38" t="s">
        <v>93</v>
      </c>
      <c r="BX3" s="39" t="s">
        <v>94</v>
      </c>
      <c r="BY3" s="40" t="s">
        <v>56</v>
      </c>
      <c r="BZ3" s="40" t="s">
        <v>73</v>
      </c>
      <c r="CA3" s="41" t="s">
        <v>22</v>
      </c>
      <c r="CB3" s="40" t="s">
        <v>56</v>
      </c>
      <c r="CC3" s="29" t="s">
        <v>73</v>
      </c>
      <c r="CD3" s="29" t="s">
        <v>95</v>
      </c>
      <c r="CE3" s="29" t="s">
        <v>83</v>
      </c>
      <c r="CF3" s="29" t="s">
        <v>88</v>
      </c>
      <c r="CG3" s="20" t="s">
        <v>96</v>
      </c>
      <c r="CH3" s="42" t="s">
        <v>97</v>
      </c>
      <c r="CI3" s="21" t="s">
        <v>98</v>
      </c>
      <c r="CJ3" s="21" t="s">
        <v>73</v>
      </c>
      <c r="CK3" s="22" t="s">
        <v>56</v>
      </c>
      <c r="CL3" s="20" t="s">
        <v>99</v>
      </c>
      <c r="CM3" s="22" t="s">
        <v>56</v>
      </c>
      <c r="CN3" s="43"/>
      <c r="CO3" s="458" t="s">
        <v>100</v>
      </c>
      <c r="CP3" s="459"/>
      <c r="CQ3" s="44" t="s">
        <v>101</v>
      </c>
      <c r="CR3" s="45" t="s">
        <v>102</v>
      </c>
    </row>
    <row r="4" spans="1:96">
      <c r="A4" s="46" t="s">
        <v>780</v>
      </c>
      <c r="B4" s="46" t="s">
        <v>781</v>
      </c>
      <c r="C4" s="46">
        <v>36</v>
      </c>
      <c r="D4" s="46" t="s">
        <v>782</v>
      </c>
      <c r="E4" s="46" t="s">
        <v>783</v>
      </c>
      <c r="F4" s="46" t="s">
        <v>112</v>
      </c>
      <c r="H4" s="46">
        <v>1</v>
      </c>
      <c r="N4" s="46">
        <v>1</v>
      </c>
      <c r="Q4" s="46">
        <v>1</v>
      </c>
      <c r="U4" s="46">
        <v>1</v>
      </c>
      <c r="W4" s="46">
        <v>15</v>
      </c>
      <c r="X4" s="46">
        <v>24</v>
      </c>
      <c r="Y4" s="46">
        <v>25</v>
      </c>
      <c r="Z4" s="46">
        <v>3</v>
      </c>
      <c r="AA4" s="46">
        <v>3</v>
      </c>
      <c r="AB4" s="46">
        <v>3</v>
      </c>
      <c r="AE4" s="46">
        <v>1</v>
      </c>
      <c r="AI4" s="46">
        <v>1</v>
      </c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I4" s="46">
        <v>1</v>
      </c>
      <c r="BV4" s="46">
        <v>1</v>
      </c>
      <c r="BY4" s="46">
        <v>1</v>
      </c>
      <c r="CG4" s="46">
        <v>1</v>
      </c>
    </row>
    <row r="5" spans="1:96">
      <c r="A5" s="46" t="s">
        <v>784</v>
      </c>
      <c r="B5" s="46" t="s">
        <v>785</v>
      </c>
      <c r="C5" s="46">
        <v>30</v>
      </c>
      <c r="D5" s="46" t="s">
        <v>782</v>
      </c>
      <c r="E5" s="46" t="s">
        <v>786</v>
      </c>
      <c r="F5" s="46" t="s">
        <v>624</v>
      </c>
      <c r="G5" s="46">
        <v>1</v>
      </c>
      <c r="M5" s="46">
        <v>1</v>
      </c>
      <c r="Q5" s="46">
        <v>1</v>
      </c>
      <c r="U5" s="46">
        <v>1</v>
      </c>
      <c r="W5" s="46">
        <v>14</v>
      </c>
      <c r="X5" s="46" t="s">
        <v>489</v>
      </c>
      <c r="Y5" s="46">
        <v>16</v>
      </c>
      <c r="Z5" s="46">
        <v>4</v>
      </c>
      <c r="AA5" s="46">
        <v>4</v>
      </c>
      <c r="AB5" s="46">
        <v>4</v>
      </c>
      <c r="AE5" s="46">
        <v>1</v>
      </c>
      <c r="AH5" s="46">
        <v>1</v>
      </c>
      <c r="AJ5" s="46">
        <v>1</v>
      </c>
      <c r="AK5" s="46">
        <v>1</v>
      </c>
      <c r="AT5" s="46">
        <v>1</v>
      </c>
      <c r="AX5" s="46">
        <v>1</v>
      </c>
      <c r="BA5" s="46">
        <v>1</v>
      </c>
      <c r="BI5" s="46">
        <v>1</v>
      </c>
      <c r="BV5" s="46">
        <v>1</v>
      </c>
      <c r="BY5" s="46">
        <v>1</v>
      </c>
      <c r="CG5" s="46">
        <v>1</v>
      </c>
    </row>
    <row r="6" spans="1:96">
      <c r="A6" s="46" t="s">
        <v>787</v>
      </c>
      <c r="B6" s="46" t="s">
        <v>788</v>
      </c>
      <c r="C6" s="46">
        <v>23</v>
      </c>
      <c r="D6" s="46" t="s">
        <v>782</v>
      </c>
      <c r="F6" s="46" t="s">
        <v>415</v>
      </c>
      <c r="I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17</v>
      </c>
      <c r="Y6" s="46">
        <v>19</v>
      </c>
      <c r="Z6" s="46">
        <v>3</v>
      </c>
      <c r="AA6" s="46">
        <v>3</v>
      </c>
      <c r="AB6" s="46">
        <v>3</v>
      </c>
      <c r="AD6" s="46">
        <v>1</v>
      </c>
      <c r="AG6" s="46">
        <v>1</v>
      </c>
      <c r="AH6" s="46">
        <v>1</v>
      </c>
      <c r="AI6" s="46">
        <v>1</v>
      </c>
      <c r="AM6" s="46">
        <v>1</v>
      </c>
      <c r="AT6" s="46">
        <v>1</v>
      </c>
      <c r="AW6" s="46">
        <v>1</v>
      </c>
      <c r="BA6" s="46">
        <v>1</v>
      </c>
      <c r="BI6" s="46">
        <v>1</v>
      </c>
      <c r="BV6" s="46">
        <v>1</v>
      </c>
      <c r="BY6" s="46">
        <v>1</v>
      </c>
      <c r="CG6" s="46">
        <v>1</v>
      </c>
    </row>
    <row r="7" spans="1:96">
      <c r="A7" s="46" t="s">
        <v>789</v>
      </c>
      <c r="B7" s="46" t="s">
        <v>790</v>
      </c>
      <c r="C7" s="46">
        <v>30</v>
      </c>
      <c r="D7" s="46" t="s">
        <v>782</v>
      </c>
      <c r="F7" s="46" t="s">
        <v>112</v>
      </c>
      <c r="G7" s="46">
        <v>1</v>
      </c>
      <c r="N7" s="46">
        <v>1</v>
      </c>
      <c r="Q7" s="46">
        <v>1</v>
      </c>
      <c r="S7" s="46">
        <v>1</v>
      </c>
      <c r="W7" s="46">
        <v>16</v>
      </c>
      <c r="X7" s="46">
        <v>18</v>
      </c>
      <c r="Y7" s="46">
        <v>18</v>
      </c>
      <c r="Z7" s="46">
        <v>5</v>
      </c>
      <c r="AA7" s="46">
        <v>5</v>
      </c>
      <c r="AB7" s="46">
        <v>5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V7" s="46">
        <v>1</v>
      </c>
      <c r="BY7" s="46">
        <v>1</v>
      </c>
      <c r="CG7" s="46">
        <v>1</v>
      </c>
    </row>
    <row r="8" spans="1:96">
      <c r="A8" s="46" t="s">
        <v>791</v>
      </c>
      <c r="B8" s="46" t="s">
        <v>792</v>
      </c>
      <c r="C8" s="46">
        <v>54</v>
      </c>
      <c r="D8" s="46" t="s">
        <v>782</v>
      </c>
      <c r="E8" s="46" t="s">
        <v>793</v>
      </c>
      <c r="F8" s="46" t="s">
        <v>415</v>
      </c>
      <c r="I8" s="46">
        <v>1</v>
      </c>
      <c r="N8" s="46">
        <v>1</v>
      </c>
      <c r="R8" s="46">
        <v>1</v>
      </c>
      <c r="S8" s="46">
        <v>1</v>
      </c>
      <c r="W8" s="46">
        <v>16</v>
      </c>
      <c r="X8" s="46">
        <v>18</v>
      </c>
      <c r="Y8" s="46">
        <v>19</v>
      </c>
      <c r="Z8" s="46">
        <v>7</v>
      </c>
      <c r="AA8" s="46">
        <v>6</v>
      </c>
      <c r="AB8" s="46">
        <v>6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V8" s="46">
        <v>1</v>
      </c>
      <c r="BY8" s="46">
        <v>1</v>
      </c>
      <c r="CG8" s="46">
        <v>1</v>
      </c>
    </row>
    <row r="9" spans="1:96">
      <c r="A9" s="46" t="s">
        <v>794</v>
      </c>
      <c r="B9" s="46" t="s">
        <v>795</v>
      </c>
      <c r="C9" s="46">
        <v>40</v>
      </c>
      <c r="D9" s="46" t="s">
        <v>782</v>
      </c>
      <c r="E9" s="46" t="s">
        <v>796</v>
      </c>
      <c r="F9" s="46" t="s">
        <v>415</v>
      </c>
      <c r="I9" s="46">
        <v>1</v>
      </c>
      <c r="M9" s="46">
        <v>1</v>
      </c>
      <c r="Q9" s="46">
        <v>1</v>
      </c>
      <c r="S9" s="46">
        <v>1</v>
      </c>
      <c r="W9" s="46">
        <v>18</v>
      </c>
      <c r="X9" s="46">
        <v>17</v>
      </c>
      <c r="Y9" s="46">
        <v>20</v>
      </c>
      <c r="Z9" s="46">
        <v>9</v>
      </c>
      <c r="AA9" s="46">
        <v>9</v>
      </c>
      <c r="AB9" s="46">
        <v>6</v>
      </c>
      <c r="AH9" s="46">
        <v>1</v>
      </c>
      <c r="AI9" s="46">
        <v>1</v>
      </c>
      <c r="AM9" s="46">
        <v>1</v>
      </c>
      <c r="AT9" s="46">
        <v>1</v>
      </c>
      <c r="AW9" s="46">
        <v>1</v>
      </c>
      <c r="BA9" s="46">
        <v>1</v>
      </c>
      <c r="BI9" s="46">
        <v>1</v>
      </c>
      <c r="BY9" s="46">
        <v>1</v>
      </c>
      <c r="CG9" s="46">
        <v>1</v>
      </c>
    </row>
    <row r="10" spans="1:96">
      <c r="A10" s="46" t="s">
        <v>797</v>
      </c>
      <c r="B10" s="46" t="s">
        <v>798</v>
      </c>
      <c r="C10" s="46">
        <v>53</v>
      </c>
      <c r="D10" s="46" t="s">
        <v>799</v>
      </c>
      <c r="E10" s="46" t="s">
        <v>800</v>
      </c>
      <c r="F10" s="46" t="s">
        <v>415</v>
      </c>
      <c r="J10" s="46">
        <v>1</v>
      </c>
      <c r="M10" s="46">
        <v>1</v>
      </c>
      <c r="R10" s="46">
        <v>1</v>
      </c>
      <c r="U10" s="46">
        <v>1</v>
      </c>
      <c r="W10" s="46">
        <v>16</v>
      </c>
      <c r="X10" s="46">
        <v>16</v>
      </c>
      <c r="Y10" s="46">
        <v>21</v>
      </c>
      <c r="Z10" s="46">
        <v>7</v>
      </c>
      <c r="AA10" s="46">
        <v>7</v>
      </c>
      <c r="AB10" s="46">
        <v>6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Y10" s="46">
        <v>1</v>
      </c>
      <c r="CG10" s="46">
        <v>1</v>
      </c>
    </row>
    <row r="11" spans="1:96">
      <c r="A11" s="46" t="s">
        <v>801</v>
      </c>
      <c r="B11" s="46" t="s">
        <v>802</v>
      </c>
      <c r="C11" s="46">
        <v>47</v>
      </c>
      <c r="D11" s="46" t="s">
        <v>782</v>
      </c>
      <c r="F11" s="46" t="s">
        <v>112</v>
      </c>
      <c r="I11" s="46">
        <v>1</v>
      </c>
      <c r="M11" s="46">
        <v>1</v>
      </c>
      <c r="Q11" s="46">
        <v>1</v>
      </c>
      <c r="T11" s="46">
        <v>1</v>
      </c>
      <c r="W11" s="46">
        <v>16</v>
      </c>
      <c r="X11" s="46">
        <v>18</v>
      </c>
      <c r="Y11" s="46">
        <v>19</v>
      </c>
      <c r="Z11" s="46">
        <v>10</v>
      </c>
      <c r="AA11" s="46">
        <v>10</v>
      </c>
      <c r="AB11" s="46">
        <v>9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Y11" s="46">
        <v>1</v>
      </c>
      <c r="CG11" s="46">
        <v>1</v>
      </c>
    </row>
    <row r="12" spans="1:96">
      <c r="A12" s="46" t="s">
        <v>803</v>
      </c>
      <c r="B12" s="46" t="s">
        <v>804</v>
      </c>
      <c r="C12" s="46">
        <v>50</v>
      </c>
      <c r="D12" s="46" t="s">
        <v>805</v>
      </c>
      <c r="F12" s="46" t="s">
        <v>112</v>
      </c>
      <c r="H12" s="46">
        <v>1</v>
      </c>
      <c r="P12" s="46">
        <v>1</v>
      </c>
      <c r="S12" s="46">
        <v>1</v>
      </c>
      <c r="W12" s="46">
        <v>16</v>
      </c>
      <c r="X12" s="46">
        <v>18</v>
      </c>
      <c r="Y12" s="46">
        <v>18</v>
      </c>
      <c r="Z12" s="46">
        <v>9</v>
      </c>
      <c r="AA12" s="46">
        <v>9</v>
      </c>
      <c r="AB12" s="46">
        <v>9</v>
      </c>
      <c r="AC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Y12" s="46">
        <v>1</v>
      </c>
      <c r="CG12" s="46">
        <v>1</v>
      </c>
    </row>
    <row r="13" spans="1:96">
      <c r="A13" s="46" t="s">
        <v>806</v>
      </c>
      <c r="B13" s="46" t="s">
        <v>807</v>
      </c>
      <c r="C13" s="46">
        <v>31</v>
      </c>
      <c r="D13" s="46" t="s">
        <v>805</v>
      </c>
      <c r="F13" s="46" t="s">
        <v>112</v>
      </c>
      <c r="J13" s="46">
        <v>1</v>
      </c>
      <c r="N13" s="46">
        <v>1</v>
      </c>
      <c r="R13" s="46">
        <v>1</v>
      </c>
      <c r="T13" s="46">
        <v>1</v>
      </c>
      <c r="W13" s="46">
        <v>13</v>
      </c>
      <c r="X13" s="46">
        <v>16</v>
      </c>
      <c r="Y13" s="46">
        <v>19</v>
      </c>
      <c r="Z13" s="46">
        <v>6</v>
      </c>
      <c r="AA13" s="46">
        <v>6</v>
      </c>
      <c r="AB13" s="46">
        <v>6</v>
      </c>
      <c r="AC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Y13" s="46">
        <v>1</v>
      </c>
      <c r="CG13" s="46">
        <v>1</v>
      </c>
    </row>
    <row r="14" spans="1:96">
      <c r="A14" s="46" t="s">
        <v>808</v>
      </c>
      <c r="B14" s="46" t="s">
        <v>809</v>
      </c>
      <c r="C14" s="46">
        <v>53</v>
      </c>
      <c r="D14" s="46" t="s">
        <v>782</v>
      </c>
      <c r="F14" s="46" t="s">
        <v>112</v>
      </c>
      <c r="H14" s="46">
        <v>1</v>
      </c>
      <c r="M14" s="46">
        <v>1</v>
      </c>
      <c r="R14" s="46">
        <v>1</v>
      </c>
      <c r="T14" s="46">
        <v>1</v>
      </c>
      <c r="W14" s="46">
        <v>15</v>
      </c>
      <c r="X14" s="46">
        <v>17</v>
      </c>
      <c r="Y14" s="46">
        <v>19</v>
      </c>
      <c r="Z14" s="46">
        <v>10</v>
      </c>
      <c r="AA14" s="46">
        <v>10</v>
      </c>
      <c r="AB14" s="46">
        <v>10</v>
      </c>
      <c r="AE14" s="46">
        <v>1</v>
      </c>
      <c r="AG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Y14" s="46">
        <v>1</v>
      </c>
      <c r="CG14" s="46">
        <v>1</v>
      </c>
    </row>
    <row r="15" spans="1:96">
      <c r="A15" s="46" t="s">
        <v>810</v>
      </c>
      <c r="B15" s="46" t="s">
        <v>811</v>
      </c>
      <c r="C15" s="46">
        <v>30</v>
      </c>
      <c r="D15" s="46" t="s">
        <v>782</v>
      </c>
      <c r="E15" s="46" t="s">
        <v>812</v>
      </c>
      <c r="F15" s="46" t="s">
        <v>112</v>
      </c>
      <c r="G15" s="46">
        <v>1</v>
      </c>
      <c r="N15" s="46">
        <v>1</v>
      </c>
      <c r="R15" s="46">
        <v>1</v>
      </c>
      <c r="S15" s="46">
        <v>1</v>
      </c>
      <c r="W15" s="46">
        <v>13</v>
      </c>
      <c r="X15" s="46">
        <v>13</v>
      </c>
      <c r="Y15" s="46">
        <v>15</v>
      </c>
      <c r="Z15" s="46">
        <v>7</v>
      </c>
      <c r="AA15" s="46">
        <v>7</v>
      </c>
      <c r="AB15" s="46">
        <v>7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Y15" s="46">
        <v>1</v>
      </c>
      <c r="CG15" s="46">
        <v>1</v>
      </c>
    </row>
    <row r="16" spans="1:96">
      <c r="A16" s="46" t="s">
        <v>813</v>
      </c>
      <c r="B16" s="46" t="s">
        <v>814</v>
      </c>
      <c r="C16" s="46">
        <v>30</v>
      </c>
      <c r="D16" s="46" t="s">
        <v>815</v>
      </c>
      <c r="F16" s="46" t="s">
        <v>112</v>
      </c>
      <c r="I16" s="46">
        <v>1</v>
      </c>
      <c r="M16" s="46">
        <v>1</v>
      </c>
      <c r="Q16" s="46">
        <v>1</v>
      </c>
      <c r="T16" s="46">
        <v>1</v>
      </c>
      <c r="W16" s="46">
        <v>18</v>
      </c>
      <c r="X16" s="46">
        <v>20</v>
      </c>
      <c r="Y16" s="46">
        <v>20</v>
      </c>
      <c r="Z16" s="46">
        <v>5</v>
      </c>
      <c r="AA16" s="46">
        <v>5</v>
      </c>
      <c r="AB16" s="46">
        <v>5</v>
      </c>
      <c r="AE16" s="46">
        <v>1</v>
      </c>
      <c r="AG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Y16" s="46">
        <v>1</v>
      </c>
      <c r="CG16" s="46">
        <v>1</v>
      </c>
    </row>
    <row r="17" spans="1:85">
      <c r="A17" s="46" t="s">
        <v>816</v>
      </c>
      <c r="B17" s="46" t="s">
        <v>817</v>
      </c>
      <c r="C17" s="46">
        <v>47</v>
      </c>
      <c r="D17" s="46" t="s">
        <v>782</v>
      </c>
      <c r="E17" s="46" t="s">
        <v>818</v>
      </c>
      <c r="F17" s="46" t="s">
        <v>112</v>
      </c>
      <c r="H17" s="46">
        <v>1</v>
      </c>
      <c r="O17" s="46">
        <v>1</v>
      </c>
      <c r="Q17" s="46">
        <v>1</v>
      </c>
      <c r="U17" s="46">
        <v>1</v>
      </c>
      <c r="W17" s="46">
        <v>15</v>
      </c>
      <c r="X17" s="46">
        <v>16</v>
      </c>
      <c r="Y17" s="46">
        <v>16</v>
      </c>
      <c r="Z17" s="46">
        <v>6</v>
      </c>
      <c r="AA17" s="46">
        <v>5</v>
      </c>
      <c r="AB17" s="46">
        <v>4</v>
      </c>
      <c r="AD17" s="46">
        <v>1</v>
      </c>
      <c r="AG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Y17" s="46">
        <v>1</v>
      </c>
      <c r="CG17" s="46">
        <v>1</v>
      </c>
    </row>
    <row r="18" spans="1:85">
      <c r="A18" s="46" t="s">
        <v>819</v>
      </c>
      <c r="B18" s="46" t="s">
        <v>820</v>
      </c>
      <c r="C18" s="46">
        <v>50</v>
      </c>
      <c r="D18" s="46" t="s">
        <v>782</v>
      </c>
      <c r="F18" s="46" t="s">
        <v>112</v>
      </c>
      <c r="I18" s="46">
        <v>1</v>
      </c>
      <c r="M18" s="46">
        <v>1</v>
      </c>
      <c r="R18" s="46">
        <v>1</v>
      </c>
      <c r="T18" s="46">
        <v>1</v>
      </c>
      <c r="W18" s="46">
        <v>15</v>
      </c>
      <c r="X18" s="46">
        <v>15</v>
      </c>
      <c r="Y18" s="46">
        <v>17</v>
      </c>
      <c r="Z18" s="46">
        <v>10</v>
      </c>
      <c r="AA18" s="46">
        <v>10</v>
      </c>
      <c r="AB18" s="46">
        <v>10</v>
      </c>
      <c r="AE18" s="46">
        <v>1</v>
      </c>
      <c r="AG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V18" s="46">
        <v>1</v>
      </c>
      <c r="BY18" s="46">
        <v>1</v>
      </c>
      <c r="CG18" s="46">
        <v>1</v>
      </c>
    </row>
    <row r="19" spans="1:85">
      <c r="A19" s="46" t="s">
        <v>821</v>
      </c>
      <c r="B19" s="46" t="s">
        <v>822</v>
      </c>
      <c r="C19" s="46">
        <v>26</v>
      </c>
      <c r="D19" s="46" t="s">
        <v>782</v>
      </c>
      <c r="F19" s="46" t="s">
        <v>112</v>
      </c>
      <c r="G19" s="46">
        <v>1</v>
      </c>
      <c r="M19" s="46">
        <v>1</v>
      </c>
      <c r="Q19" s="46">
        <v>1</v>
      </c>
      <c r="T19" s="46">
        <v>1</v>
      </c>
      <c r="W19" s="46">
        <v>16</v>
      </c>
      <c r="X19" s="46">
        <v>16</v>
      </c>
      <c r="Y19" s="46">
        <v>20</v>
      </c>
      <c r="Z19" s="46">
        <v>3</v>
      </c>
      <c r="AA19" s="46">
        <v>3</v>
      </c>
      <c r="AB19" s="46">
        <v>3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Y19" s="46">
        <v>1</v>
      </c>
      <c r="CG19" s="46">
        <v>1</v>
      </c>
    </row>
    <row r="20" spans="1:85">
      <c r="A20" s="46" t="s">
        <v>823</v>
      </c>
      <c r="B20" s="46" t="s">
        <v>824</v>
      </c>
      <c r="C20" s="46">
        <v>49</v>
      </c>
      <c r="D20" s="46" t="s">
        <v>782</v>
      </c>
      <c r="E20" s="46" t="s">
        <v>825</v>
      </c>
      <c r="F20" s="46" t="s">
        <v>112</v>
      </c>
      <c r="H20" s="46">
        <v>1</v>
      </c>
      <c r="M20" s="46">
        <v>1</v>
      </c>
      <c r="R20" s="46">
        <v>1</v>
      </c>
      <c r="T20" s="46">
        <v>1</v>
      </c>
      <c r="W20" s="46">
        <v>14</v>
      </c>
      <c r="X20" s="46">
        <v>15</v>
      </c>
      <c r="Y20" s="46">
        <v>16</v>
      </c>
      <c r="Z20" s="46">
        <v>11</v>
      </c>
      <c r="AA20" s="46">
        <v>11</v>
      </c>
      <c r="AB20" s="46">
        <v>7</v>
      </c>
      <c r="AE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Z20" s="46">
        <v>1</v>
      </c>
      <c r="BA20" s="46">
        <v>1</v>
      </c>
      <c r="BI20" s="46">
        <v>1</v>
      </c>
      <c r="BV20" s="46">
        <v>1</v>
      </c>
      <c r="BY20" s="46">
        <v>1</v>
      </c>
      <c r="CG20" s="46">
        <v>1</v>
      </c>
    </row>
    <row r="21" spans="1:85">
      <c r="A21" s="46" t="s">
        <v>826</v>
      </c>
      <c r="B21" s="46" t="s">
        <v>827</v>
      </c>
      <c r="C21" s="46">
        <v>38</v>
      </c>
      <c r="D21" s="46" t="s">
        <v>828</v>
      </c>
      <c r="E21" s="46" t="s">
        <v>829</v>
      </c>
      <c r="F21" s="46" t="s">
        <v>112</v>
      </c>
      <c r="I21" s="46">
        <v>1</v>
      </c>
      <c r="N21" s="46">
        <v>1</v>
      </c>
      <c r="R21" s="46">
        <v>1</v>
      </c>
      <c r="S21" s="46"/>
      <c r="T21" s="46">
        <v>1</v>
      </c>
      <c r="W21" s="46">
        <v>16</v>
      </c>
      <c r="X21" s="46">
        <v>17</v>
      </c>
      <c r="Y21" s="46">
        <v>18</v>
      </c>
      <c r="Z21" s="46">
        <v>7</v>
      </c>
      <c r="AA21" s="46">
        <v>7</v>
      </c>
      <c r="AB21" s="46">
        <v>7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Y21" s="46">
        <v>1</v>
      </c>
      <c r="CG21" s="46">
        <v>1</v>
      </c>
    </row>
    <row r="22" spans="1:85">
      <c r="A22" s="46" t="s">
        <v>830</v>
      </c>
      <c r="B22" s="46" t="s">
        <v>831</v>
      </c>
      <c r="C22" s="46">
        <v>20</v>
      </c>
      <c r="D22" s="46" t="s">
        <v>805</v>
      </c>
      <c r="F22" s="46" t="s">
        <v>145</v>
      </c>
      <c r="H22" s="46">
        <v>1</v>
      </c>
      <c r="N22" s="46">
        <v>1</v>
      </c>
      <c r="Q22" s="46">
        <v>1</v>
      </c>
      <c r="S22" s="46">
        <v>1</v>
      </c>
      <c r="W22" s="46">
        <v>13</v>
      </c>
      <c r="X22" s="46">
        <v>14</v>
      </c>
      <c r="Y22" s="46">
        <v>14</v>
      </c>
      <c r="Z22" s="46">
        <v>2</v>
      </c>
      <c r="AA22" s="46">
        <v>2</v>
      </c>
      <c r="AB22" s="46">
        <v>2</v>
      </c>
      <c r="AD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Y22" s="46">
        <v>1</v>
      </c>
      <c r="CG22" s="46">
        <v>1</v>
      </c>
    </row>
    <row r="23" spans="1:85">
      <c r="A23" s="46" t="s">
        <v>832</v>
      </c>
      <c r="B23" s="46" t="s">
        <v>833</v>
      </c>
      <c r="C23" s="46">
        <v>52</v>
      </c>
      <c r="D23" s="46" t="s">
        <v>805</v>
      </c>
      <c r="E23" s="46" t="s">
        <v>834</v>
      </c>
      <c r="F23" s="46" t="s">
        <v>112</v>
      </c>
      <c r="J23" s="46">
        <v>1</v>
      </c>
      <c r="P23" s="46">
        <v>1</v>
      </c>
      <c r="S23" s="46">
        <v>1</v>
      </c>
      <c r="W23" s="46">
        <v>14</v>
      </c>
      <c r="X23" s="46">
        <v>16</v>
      </c>
      <c r="Y23" s="46">
        <v>17</v>
      </c>
      <c r="Z23" s="46">
        <v>8</v>
      </c>
      <c r="AA23" s="46">
        <v>8</v>
      </c>
      <c r="AB23" s="46">
        <v>6</v>
      </c>
      <c r="AE23" s="46">
        <v>1</v>
      </c>
      <c r="AG23" s="46">
        <v>1</v>
      </c>
      <c r="AH23" s="46">
        <v>1</v>
      </c>
      <c r="AI23" s="46">
        <v>1</v>
      </c>
      <c r="AM23" s="46">
        <v>1</v>
      </c>
      <c r="AT23" s="46">
        <v>1</v>
      </c>
      <c r="AX23" s="46">
        <v>1</v>
      </c>
      <c r="BA23" s="46">
        <v>1</v>
      </c>
      <c r="BI23" s="46">
        <v>1</v>
      </c>
      <c r="BY23" s="46">
        <v>1</v>
      </c>
      <c r="CG23" s="46">
        <v>1</v>
      </c>
    </row>
    <row r="24" spans="1:85">
      <c r="A24" s="46" t="s">
        <v>835</v>
      </c>
      <c r="B24" s="46" t="s">
        <v>836</v>
      </c>
      <c r="C24" s="46">
        <v>57</v>
      </c>
      <c r="D24" s="46" t="s">
        <v>782</v>
      </c>
      <c r="F24" s="46" t="s">
        <v>112</v>
      </c>
      <c r="H24" s="46">
        <v>1</v>
      </c>
      <c r="O24" s="46">
        <v>1</v>
      </c>
      <c r="Q24" s="46">
        <v>1</v>
      </c>
      <c r="S24" s="46">
        <v>1</v>
      </c>
      <c r="W24" s="46">
        <v>15</v>
      </c>
      <c r="X24" s="46">
        <v>20</v>
      </c>
      <c r="Y24" s="46">
        <v>28</v>
      </c>
      <c r="Z24" s="46">
        <v>10</v>
      </c>
      <c r="AA24" s="46">
        <v>10</v>
      </c>
      <c r="AB24" s="46">
        <v>8</v>
      </c>
      <c r="AH24" s="46">
        <v>1</v>
      </c>
      <c r="AI24" s="46">
        <v>1</v>
      </c>
      <c r="AL24" s="46">
        <v>1</v>
      </c>
      <c r="AO24" s="46">
        <v>1</v>
      </c>
      <c r="AQ24" s="46" t="s">
        <v>736</v>
      </c>
      <c r="AR24" s="46">
        <v>2023</v>
      </c>
      <c r="AT24" s="46">
        <v>1</v>
      </c>
      <c r="AX24" s="46">
        <v>1</v>
      </c>
      <c r="BA24" s="46">
        <v>1</v>
      </c>
      <c r="BI24" s="46">
        <v>1</v>
      </c>
      <c r="BY24" s="46">
        <v>1</v>
      </c>
      <c r="CG24" s="46">
        <v>1</v>
      </c>
    </row>
    <row r="25" spans="1:85">
      <c r="A25" s="46" t="s">
        <v>837</v>
      </c>
      <c r="B25" s="46" t="s">
        <v>838</v>
      </c>
      <c r="C25" s="46">
        <v>36</v>
      </c>
      <c r="D25" s="46" t="s">
        <v>839</v>
      </c>
      <c r="E25" s="46" t="s">
        <v>840</v>
      </c>
      <c r="F25" s="46" t="s">
        <v>415</v>
      </c>
      <c r="H25" s="46">
        <v>1</v>
      </c>
      <c r="N25" s="46">
        <v>1</v>
      </c>
      <c r="Q25" s="46">
        <v>1</v>
      </c>
      <c r="T25" s="46">
        <v>1</v>
      </c>
      <c r="W25" s="46">
        <v>13</v>
      </c>
      <c r="X25" s="46">
        <v>15</v>
      </c>
      <c r="Y25" s="46">
        <v>21</v>
      </c>
      <c r="Z25" s="46">
        <v>2</v>
      </c>
      <c r="AA25" s="46">
        <v>2</v>
      </c>
      <c r="AB25" s="46">
        <v>2</v>
      </c>
      <c r="AC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V25" s="46">
        <v>1</v>
      </c>
      <c r="BY25" s="46">
        <v>1</v>
      </c>
      <c r="CG25" s="46">
        <v>1</v>
      </c>
    </row>
    <row r="26" spans="1:85">
      <c r="A26" s="46" t="s">
        <v>841</v>
      </c>
      <c r="B26" s="46" t="s">
        <v>842</v>
      </c>
      <c r="C26" s="46">
        <v>30</v>
      </c>
      <c r="D26" s="46" t="s">
        <v>782</v>
      </c>
      <c r="F26" s="46" t="s">
        <v>415</v>
      </c>
      <c r="I26" s="46">
        <v>1</v>
      </c>
      <c r="M26" s="46">
        <v>1</v>
      </c>
      <c r="R26" s="46">
        <v>1</v>
      </c>
      <c r="T26" s="46">
        <v>1</v>
      </c>
      <c r="W26" s="46">
        <v>14</v>
      </c>
      <c r="X26" s="46">
        <v>18</v>
      </c>
      <c r="Y26" s="46">
        <v>20</v>
      </c>
      <c r="Z26" s="46">
        <v>4</v>
      </c>
      <c r="AA26" s="46">
        <v>4</v>
      </c>
      <c r="AB26" s="46">
        <v>4</v>
      </c>
      <c r="AE26" s="46">
        <v>1</v>
      </c>
      <c r="AH26" s="46">
        <v>1</v>
      </c>
      <c r="AJ26" s="46">
        <v>1</v>
      </c>
      <c r="AM26" s="46">
        <v>1</v>
      </c>
      <c r="AT26" s="46">
        <v>1</v>
      </c>
      <c r="AW26" s="46">
        <v>1</v>
      </c>
      <c r="BA26" s="46">
        <v>1</v>
      </c>
      <c r="BI26" s="46">
        <v>1</v>
      </c>
      <c r="BY26" s="46">
        <v>1</v>
      </c>
      <c r="CG26" s="46">
        <v>1</v>
      </c>
    </row>
    <row r="27" spans="1:85">
      <c r="A27" s="46" t="s">
        <v>843</v>
      </c>
      <c r="B27" s="46" t="s">
        <v>844</v>
      </c>
      <c r="C27" s="46">
        <v>19</v>
      </c>
      <c r="D27" s="46" t="s">
        <v>782</v>
      </c>
      <c r="E27" s="46" t="s">
        <v>845</v>
      </c>
      <c r="F27" s="46" t="s">
        <v>662</v>
      </c>
      <c r="G27" s="46">
        <v>1</v>
      </c>
      <c r="M27" s="46">
        <v>1</v>
      </c>
      <c r="Q27" s="46">
        <v>1</v>
      </c>
      <c r="T27" s="46">
        <v>1</v>
      </c>
      <c r="W27" s="46">
        <v>15</v>
      </c>
      <c r="X27" s="46">
        <v>18</v>
      </c>
      <c r="Y27" s="46">
        <v>19</v>
      </c>
      <c r="Z27" s="46">
        <v>1</v>
      </c>
      <c r="AA27" s="46">
        <v>1</v>
      </c>
      <c r="AB27" s="46">
        <v>1</v>
      </c>
      <c r="AE27" s="46">
        <v>1</v>
      </c>
      <c r="AH27" s="46">
        <v>1</v>
      </c>
      <c r="AJ27" s="46">
        <v>1</v>
      </c>
      <c r="AM27" s="46">
        <v>1</v>
      </c>
      <c r="AT27" s="46">
        <v>1</v>
      </c>
      <c r="AW27" s="46">
        <v>1</v>
      </c>
      <c r="BA27" s="46">
        <v>1</v>
      </c>
      <c r="BI27" s="46">
        <v>1</v>
      </c>
      <c r="BV27" s="46">
        <v>1</v>
      </c>
      <c r="BY27" s="46">
        <v>1</v>
      </c>
      <c r="CG27" s="46">
        <v>1</v>
      </c>
    </row>
    <row r="28" spans="1:85">
      <c r="A28" s="46" t="s">
        <v>846</v>
      </c>
      <c r="B28" s="46" t="s">
        <v>847</v>
      </c>
      <c r="C28" s="46">
        <v>40</v>
      </c>
      <c r="D28" s="46" t="s">
        <v>782</v>
      </c>
      <c r="F28" s="46" t="s">
        <v>415</v>
      </c>
      <c r="H28" s="46">
        <v>1</v>
      </c>
      <c r="N28" s="46">
        <v>1</v>
      </c>
      <c r="Q28" s="46">
        <v>1</v>
      </c>
      <c r="S28" s="46">
        <v>1</v>
      </c>
      <c r="W28" s="46">
        <v>15</v>
      </c>
      <c r="X28" s="46">
        <v>20</v>
      </c>
      <c r="Y28" s="46">
        <v>21</v>
      </c>
      <c r="Z28" s="46">
        <v>9</v>
      </c>
      <c r="AA28" s="46">
        <v>9</v>
      </c>
      <c r="AB28" s="46">
        <v>7</v>
      </c>
      <c r="AG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V28" s="46">
        <v>1</v>
      </c>
      <c r="BY28" s="46">
        <v>1</v>
      </c>
      <c r="CG28" s="46">
        <v>1</v>
      </c>
    </row>
    <row r="29" spans="1:85">
      <c r="A29" s="46" t="s">
        <v>848</v>
      </c>
      <c r="B29" s="46" t="s">
        <v>849</v>
      </c>
      <c r="C29" s="46">
        <v>26</v>
      </c>
      <c r="D29" s="46" t="s">
        <v>805</v>
      </c>
      <c r="E29" s="46" t="s">
        <v>850</v>
      </c>
      <c r="F29" s="46" t="s">
        <v>112</v>
      </c>
      <c r="H29" s="46">
        <v>1</v>
      </c>
      <c r="N29" s="46">
        <v>1</v>
      </c>
      <c r="Q29" s="46">
        <v>1</v>
      </c>
      <c r="T29" s="46">
        <v>1</v>
      </c>
      <c r="W29" s="46">
        <v>14</v>
      </c>
      <c r="X29" s="46">
        <v>15</v>
      </c>
      <c r="Y29" s="46">
        <v>16</v>
      </c>
      <c r="Z29" s="46">
        <v>3</v>
      </c>
      <c r="AA29" s="46">
        <v>3</v>
      </c>
      <c r="AB29" s="46">
        <v>3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V29" s="46">
        <v>1</v>
      </c>
      <c r="BY29" s="46">
        <v>1</v>
      </c>
      <c r="CG29" s="46">
        <v>1</v>
      </c>
    </row>
    <row r="30" spans="1:85">
      <c r="A30" s="46" t="s">
        <v>851</v>
      </c>
      <c r="B30" s="46" t="s">
        <v>852</v>
      </c>
      <c r="C30" s="46">
        <v>40</v>
      </c>
      <c r="D30" s="46" t="s">
        <v>805</v>
      </c>
      <c r="E30" s="46" t="s">
        <v>853</v>
      </c>
      <c r="F30" s="46" t="s">
        <v>112</v>
      </c>
      <c r="I30" s="46">
        <v>1</v>
      </c>
      <c r="M30" s="46">
        <v>1</v>
      </c>
      <c r="R30" s="46">
        <v>1</v>
      </c>
      <c r="T30" s="46">
        <v>1</v>
      </c>
      <c r="W30" s="46">
        <v>13</v>
      </c>
      <c r="X30" s="46">
        <v>15</v>
      </c>
      <c r="Y30" s="46">
        <v>15</v>
      </c>
      <c r="Z30" s="46">
        <v>10</v>
      </c>
      <c r="AA30" s="46">
        <v>10</v>
      </c>
      <c r="AB30" s="46">
        <v>10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Y30" s="46">
        <v>1</v>
      </c>
      <c r="CG30" s="46">
        <v>1</v>
      </c>
    </row>
    <row r="31" spans="1:85">
      <c r="A31" s="46" t="s">
        <v>854</v>
      </c>
      <c r="B31" s="46" t="s">
        <v>855</v>
      </c>
      <c r="C31" s="46">
        <v>40</v>
      </c>
      <c r="D31" s="46" t="s">
        <v>805</v>
      </c>
      <c r="F31" s="46" t="s">
        <v>112</v>
      </c>
      <c r="I31" s="46">
        <v>1</v>
      </c>
      <c r="M31" s="46">
        <v>1</v>
      </c>
      <c r="R31" s="46">
        <v>1</v>
      </c>
      <c r="S31" s="46">
        <v>1</v>
      </c>
      <c r="W31" s="46">
        <v>14</v>
      </c>
      <c r="X31" s="46">
        <v>16</v>
      </c>
      <c r="Y31" s="46">
        <v>19</v>
      </c>
      <c r="Z31" s="46">
        <v>9</v>
      </c>
      <c r="AA31" s="46">
        <v>9</v>
      </c>
      <c r="AB31" s="46">
        <v>5</v>
      </c>
      <c r="AE31" s="46">
        <v>1</v>
      </c>
      <c r="AH31" s="46">
        <v>1</v>
      </c>
      <c r="AI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Y31" s="46">
        <v>1</v>
      </c>
      <c r="CG31" s="46">
        <v>1</v>
      </c>
    </row>
    <row r="32" spans="1:85">
      <c r="A32" s="46" t="s">
        <v>856</v>
      </c>
      <c r="B32" s="46" t="s">
        <v>857</v>
      </c>
      <c r="C32" s="46">
        <v>27</v>
      </c>
      <c r="D32" s="46" t="s">
        <v>858</v>
      </c>
      <c r="F32" s="46" t="s">
        <v>112</v>
      </c>
      <c r="I32" s="46">
        <v>1</v>
      </c>
      <c r="M32" s="46">
        <v>1</v>
      </c>
      <c r="R32" s="46">
        <v>1</v>
      </c>
      <c r="U32" s="46">
        <v>1</v>
      </c>
      <c r="W32" s="46">
        <v>16</v>
      </c>
      <c r="X32" s="46">
        <v>17</v>
      </c>
      <c r="Y32" s="46">
        <v>17</v>
      </c>
      <c r="Z32" s="46">
        <v>4</v>
      </c>
      <c r="AA32" s="46">
        <v>4</v>
      </c>
      <c r="AB32" s="46">
        <v>4</v>
      </c>
      <c r="AE32" s="46">
        <v>1</v>
      </c>
      <c r="AG32" s="46">
        <v>1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Y32" s="46">
        <v>1</v>
      </c>
      <c r="CG32" s="46">
        <v>1</v>
      </c>
    </row>
    <row r="33" spans="1:85">
      <c r="A33" s="46" t="s">
        <v>859</v>
      </c>
      <c r="B33" s="46" t="s">
        <v>658</v>
      </c>
      <c r="C33" s="46">
        <v>35</v>
      </c>
      <c r="D33" s="46" t="s">
        <v>805</v>
      </c>
      <c r="E33" s="46" t="s">
        <v>860</v>
      </c>
      <c r="F33" s="46" t="s">
        <v>861</v>
      </c>
      <c r="G33" s="46">
        <v>1</v>
      </c>
      <c r="M33" s="46">
        <v>1</v>
      </c>
      <c r="R33" s="46">
        <v>1</v>
      </c>
      <c r="T33" s="46">
        <v>1</v>
      </c>
      <c r="W33" s="46">
        <v>16</v>
      </c>
      <c r="X33" s="46">
        <v>17</v>
      </c>
      <c r="Y33" s="46">
        <v>18</v>
      </c>
      <c r="Z33" s="46">
        <v>10</v>
      </c>
      <c r="AA33" s="46">
        <v>10</v>
      </c>
      <c r="AB33" s="46">
        <v>7</v>
      </c>
      <c r="AE33" s="46">
        <v>1</v>
      </c>
      <c r="AG33" s="46">
        <v>1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Y33" s="46">
        <v>1</v>
      </c>
      <c r="CG33" s="46">
        <v>1</v>
      </c>
    </row>
    <row r="34" spans="1:85">
      <c r="A34" s="46" t="s">
        <v>862</v>
      </c>
      <c r="B34" s="46" t="s">
        <v>863</v>
      </c>
      <c r="C34" s="46">
        <v>80</v>
      </c>
      <c r="D34" s="46" t="s">
        <v>805</v>
      </c>
      <c r="F34" s="46" t="s">
        <v>415</v>
      </c>
      <c r="J34" s="46">
        <v>1</v>
      </c>
      <c r="P34" s="46">
        <v>1</v>
      </c>
      <c r="Q34" s="46">
        <v>1</v>
      </c>
      <c r="S34" s="46">
        <v>1</v>
      </c>
      <c r="W34" s="46">
        <v>16</v>
      </c>
      <c r="X34" s="46">
        <v>20</v>
      </c>
      <c r="Y34" s="46">
        <v>30</v>
      </c>
      <c r="Z34" s="46">
        <v>2</v>
      </c>
      <c r="AA34" s="46">
        <v>2</v>
      </c>
      <c r="AB34" s="46">
        <v>1</v>
      </c>
      <c r="AC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Y34" s="46">
        <v>1</v>
      </c>
      <c r="CG34" s="46">
        <v>1</v>
      </c>
    </row>
    <row r="35" spans="1:85">
      <c r="A35" s="46" t="s">
        <v>864</v>
      </c>
      <c r="B35" s="46" t="s">
        <v>865</v>
      </c>
      <c r="C35" s="46">
        <v>24</v>
      </c>
      <c r="D35" s="46" t="s">
        <v>805</v>
      </c>
      <c r="E35" s="46" t="s">
        <v>866</v>
      </c>
      <c r="F35" s="46" t="s">
        <v>112</v>
      </c>
      <c r="H35" s="46">
        <v>1</v>
      </c>
      <c r="N35" s="46">
        <v>1</v>
      </c>
      <c r="Q35" s="46">
        <v>1</v>
      </c>
      <c r="S35" s="46">
        <v>1</v>
      </c>
      <c r="W35" s="46">
        <v>16</v>
      </c>
      <c r="X35" s="46">
        <v>18</v>
      </c>
      <c r="Y35" s="46">
        <v>19</v>
      </c>
      <c r="Z35" s="46">
        <v>5</v>
      </c>
      <c r="AA35" s="46">
        <v>5</v>
      </c>
      <c r="AB35" s="46">
        <v>5</v>
      </c>
      <c r="AH35" s="46">
        <v>1</v>
      </c>
      <c r="AJ35" s="46">
        <v>1</v>
      </c>
      <c r="AM35" s="46">
        <v>1</v>
      </c>
      <c r="AT35" s="46">
        <v>1</v>
      </c>
      <c r="AW35" s="46">
        <v>1</v>
      </c>
      <c r="BA35" s="46">
        <v>1</v>
      </c>
      <c r="BH35" s="46">
        <v>1</v>
      </c>
      <c r="BU35" s="46">
        <v>1</v>
      </c>
      <c r="BV35" s="46">
        <v>1</v>
      </c>
      <c r="BY35" s="46">
        <v>1</v>
      </c>
      <c r="CG35" s="46">
        <v>1</v>
      </c>
    </row>
    <row r="36" spans="1:85">
      <c r="A36" s="46" t="s">
        <v>867</v>
      </c>
      <c r="B36" s="46" t="s">
        <v>868</v>
      </c>
      <c r="C36" s="46">
        <v>24</v>
      </c>
      <c r="D36" s="46" t="s">
        <v>782</v>
      </c>
      <c r="E36" s="46" t="s">
        <v>869</v>
      </c>
      <c r="F36" s="46" t="s">
        <v>112</v>
      </c>
      <c r="I36" s="46">
        <v>1</v>
      </c>
      <c r="M36" s="46">
        <v>1</v>
      </c>
      <c r="Q36" s="46">
        <v>1</v>
      </c>
      <c r="T36" s="46">
        <v>1</v>
      </c>
      <c r="W36" s="46">
        <v>13</v>
      </c>
      <c r="X36" s="46">
        <v>15</v>
      </c>
      <c r="Y36" s="46">
        <v>15</v>
      </c>
      <c r="Z36" s="46">
        <v>4</v>
      </c>
      <c r="AA36" s="46">
        <v>3</v>
      </c>
      <c r="AB36" s="46">
        <v>3</v>
      </c>
      <c r="AC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V36" s="46">
        <v>1</v>
      </c>
      <c r="BY36" s="46">
        <v>1</v>
      </c>
      <c r="CG36" s="46">
        <v>1</v>
      </c>
    </row>
    <row r="37" spans="1:85">
      <c r="A37" s="46" t="s">
        <v>870</v>
      </c>
      <c r="B37" s="46" t="s">
        <v>871</v>
      </c>
      <c r="C37" s="46">
        <v>49</v>
      </c>
      <c r="D37" s="46" t="s">
        <v>805</v>
      </c>
      <c r="E37" s="46" t="s">
        <v>872</v>
      </c>
      <c r="F37" s="46" t="s">
        <v>112</v>
      </c>
      <c r="J37" s="46">
        <v>1</v>
      </c>
      <c r="N37" s="46">
        <v>1</v>
      </c>
      <c r="R37" s="46">
        <v>1</v>
      </c>
      <c r="S37" s="46">
        <v>1</v>
      </c>
      <c r="W37" s="46">
        <v>12</v>
      </c>
      <c r="X37" s="46">
        <v>14</v>
      </c>
      <c r="Y37" s="46">
        <v>14</v>
      </c>
      <c r="Z37" s="46">
        <v>8</v>
      </c>
      <c r="AA37" s="46">
        <v>8</v>
      </c>
      <c r="AB37" s="46">
        <v>6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  <c r="CG37" s="46">
        <v>1</v>
      </c>
    </row>
    <row r="38" spans="1:85">
      <c r="A38" s="46" t="s">
        <v>873</v>
      </c>
      <c r="B38" s="46" t="s">
        <v>874</v>
      </c>
      <c r="C38" s="46">
        <v>33</v>
      </c>
      <c r="D38" s="46" t="s">
        <v>805</v>
      </c>
      <c r="E38" s="46" t="s">
        <v>875</v>
      </c>
      <c r="F38" s="46" t="s">
        <v>112</v>
      </c>
      <c r="I38" s="46">
        <v>1</v>
      </c>
      <c r="M38" s="46">
        <v>1</v>
      </c>
      <c r="Q38" s="46">
        <v>1</v>
      </c>
      <c r="U38" s="46">
        <v>1</v>
      </c>
      <c r="W38" s="46">
        <v>14</v>
      </c>
      <c r="X38" s="46">
        <v>16</v>
      </c>
      <c r="Y38" s="46">
        <v>18</v>
      </c>
      <c r="Z38" s="46">
        <v>5</v>
      </c>
      <c r="AA38" s="46">
        <v>5</v>
      </c>
      <c r="AB38" s="46">
        <v>5</v>
      </c>
      <c r="AC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Y38" s="46">
        <v>1</v>
      </c>
      <c r="CG38" s="46">
        <v>1</v>
      </c>
    </row>
    <row r="39" spans="1:85">
      <c r="A39" s="46" t="s">
        <v>876</v>
      </c>
      <c r="B39" s="46" t="s">
        <v>877</v>
      </c>
      <c r="C39" s="46">
        <v>45</v>
      </c>
      <c r="D39" s="46" t="s">
        <v>805</v>
      </c>
      <c r="F39" s="46" t="s">
        <v>112</v>
      </c>
      <c r="I39" s="46">
        <v>1</v>
      </c>
      <c r="P39" s="46">
        <v>1</v>
      </c>
      <c r="R39" s="46">
        <v>1</v>
      </c>
      <c r="T39" s="46">
        <v>1</v>
      </c>
      <c r="W39" s="46">
        <v>13</v>
      </c>
      <c r="X39" s="46">
        <v>15</v>
      </c>
      <c r="Y39" s="46">
        <v>17</v>
      </c>
      <c r="Z39" s="46">
        <v>15</v>
      </c>
      <c r="AA39" s="46">
        <v>15</v>
      </c>
      <c r="AB39" s="46">
        <v>10</v>
      </c>
      <c r="AH39" s="46">
        <v>1</v>
      </c>
      <c r="AM39" s="46">
        <v>1</v>
      </c>
      <c r="AT39" s="46">
        <v>1</v>
      </c>
      <c r="AW39" s="46">
        <v>1</v>
      </c>
      <c r="BA39" s="46">
        <v>1</v>
      </c>
      <c r="BI39" s="46">
        <v>1</v>
      </c>
      <c r="BY39" s="46">
        <v>1</v>
      </c>
      <c r="CG39" s="46">
        <v>1</v>
      </c>
    </row>
    <row r="40" spans="1:85">
      <c r="A40" s="46" t="s">
        <v>878</v>
      </c>
      <c r="B40" s="46" t="s">
        <v>879</v>
      </c>
      <c r="C40" s="46">
        <v>18</v>
      </c>
      <c r="D40" s="46" t="s">
        <v>805</v>
      </c>
      <c r="F40" s="46" t="s">
        <v>145</v>
      </c>
      <c r="J40" s="46">
        <v>1</v>
      </c>
      <c r="M40" s="46">
        <v>1</v>
      </c>
      <c r="Q40" s="46">
        <v>1</v>
      </c>
      <c r="S40" s="46">
        <v>1</v>
      </c>
      <c r="W40" s="46">
        <v>14</v>
      </c>
      <c r="X40" s="46">
        <v>15</v>
      </c>
      <c r="Y40" s="46">
        <v>15</v>
      </c>
      <c r="Z40" s="46">
        <v>2</v>
      </c>
      <c r="AA40" s="46">
        <v>1</v>
      </c>
      <c r="AB40" s="46">
        <v>1</v>
      </c>
      <c r="AH40" s="46">
        <v>1</v>
      </c>
      <c r="AJ40" s="46">
        <v>1</v>
      </c>
      <c r="AK40" s="46">
        <v>1</v>
      </c>
      <c r="AT40" s="46">
        <v>1</v>
      </c>
      <c r="AW40" s="46">
        <v>1</v>
      </c>
      <c r="BA40" s="46">
        <v>1</v>
      </c>
      <c r="BY40" s="46">
        <v>1</v>
      </c>
      <c r="CG40" s="46">
        <v>1</v>
      </c>
    </row>
    <row r="41" spans="1:85">
      <c r="A41" s="46" t="s">
        <v>880</v>
      </c>
      <c r="B41" s="46" t="s">
        <v>881</v>
      </c>
      <c r="C41" s="46">
        <v>40</v>
      </c>
      <c r="D41" s="46" t="s">
        <v>882</v>
      </c>
      <c r="E41" s="46" t="s">
        <v>883</v>
      </c>
      <c r="F41" s="46" t="s">
        <v>112</v>
      </c>
      <c r="G41" s="46">
        <v>1</v>
      </c>
      <c r="M41" s="46">
        <v>1</v>
      </c>
      <c r="Q41" s="46">
        <v>1</v>
      </c>
      <c r="T41" s="46">
        <v>1</v>
      </c>
      <c r="W41" s="46">
        <v>22</v>
      </c>
      <c r="X41" s="46">
        <v>22</v>
      </c>
      <c r="Y41" s="46">
        <v>25</v>
      </c>
      <c r="Z41" s="46">
        <v>11</v>
      </c>
      <c r="AA41" s="46">
        <v>11</v>
      </c>
      <c r="AB41" s="46">
        <v>11</v>
      </c>
      <c r="AE41" s="46">
        <v>1</v>
      </c>
      <c r="AH41" s="46">
        <v>1</v>
      </c>
      <c r="AK41" s="46">
        <v>1</v>
      </c>
      <c r="AT41" s="46">
        <v>1</v>
      </c>
      <c r="AX41" s="46">
        <v>1</v>
      </c>
      <c r="BA41" s="46">
        <v>1</v>
      </c>
      <c r="BI41" s="46">
        <v>1</v>
      </c>
      <c r="BV41" s="46">
        <v>1</v>
      </c>
      <c r="BY41" s="46">
        <v>1</v>
      </c>
      <c r="CG41" s="46">
        <v>1</v>
      </c>
    </row>
    <row r="42" spans="1:85">
      <c r="A42" s="46" t="s">
        <v>884</v>
      </c>
      <c r="B42" s="46" t="s">
        <v>885</v>
      </c>
      <c r="C42" s="46">
        <v>60</v>
      </c>
      <c r="D42" s="46" t="s">
        <v>805</v>
      </c>
      <c r="E42" s="46" t="s">
        <v>886</v>
      </c>
      <c r="F42" s="46" t="s">
        <v>112</v>
      </c>
      <c r="I42" s="46">
        <v>1</v>
      </c>
      <c r="M42" s="46">
        <v>1</v>
      </c>
      <c r="Q42" s="46">
        <v>1</v>
      </c>
      <c r="S42" s="46">
        <v>1</v>
      </c>
      <c r="W42" s="46" t="s">
        <v>489</v>
      </c>
      <c r="X42" s="46">
        <v>15</v>
      </c>
      <c r="Y42" s="46" t="s">
        <v>489</v>
      </c>
      <c r="Z42" s="46">
        <v>4</v>
      </c>
      <c r="AA42" s="46">
        <v>4</v>
      </c>
      <c r="AB42" s="46">
        <v>3</v>
      </c>
      <c r="AE42" s="46">
        <v>1</v>
      </c>
      <c r="AH42" s="46">
        <v>1</v>
      </c>
      <c r="AI42" s="46">
        <v>1</v>
      </c>
      <c r="AM42" s="46">
        <v>1</v>
      </c>
      <c r="AT42" s="46">
        <v>1</v>
      </c>
      <c r="AY42" s="46">
        <v>1</v>
      </c>
      <c r="BA42" s="46">
        <v>1</v>
      </c>
      <c r="BJ42" s="46">
        <v>1</v>
      </c>
      <c r="BY42" s="46">
        <v>1</v>
      </c>
      <c r="CG42" s="46">
        <v>1</v>
      </c>
    </row>
    <row r="43" spans="1:85">
      <c r="A43" s="46"/>
    </row>
  </sheetData>
  <autoFilter ref="A3:CR42"/>
  <mergeCells count="28">
    <mergeCell ref="A1:B1"/>
    <mergeCell ref="C1:E1"/>
    <mergeCell ref="G1:K1"/>
    <mergeCell ref="L1:P1"/>
    <mergeCell ref="Q1:R1"/>
    <mergeCell ref="CE1:CF1"/>
    <mergeCell ref="CG1:CI1"/>
    <mergeCell ref="S1:V1"/>
    <mergeCell ref="W1:AB1"/>
    <mergeCell ref="AC1:AH1"/>
    <mergeCell ref="AI1:AJ1"/>
    <mergeCell ref="AK1:AM1"/>
    <mergeCell ref="CJ1:CK1"/>
    <mergeCell ref="CL1:CM1"/>
    <mergeCell ref="CO3:CP3"/>
    <mergeCell ref="AN1:AP1"/>
    <mergeCell ref="AQ1:AS1"/>
    <mergeCell ref="AT1:AU1"/>
    <mergeCell ref="AV1:AZ1"/>
    <mergeCell ref="CB1:CC1"/>
    <mergeCell ref="BA1:BE1"/>
    <mergeCell ref="BF1:BG1"/>
    <mergeCell ref="BH1:BL1"/>
    <mergeCell ref="BM1:BO1"/>
    <mergeCell ref="BP1:BQ1"/>
    <mergeCell ref="BT1:BX1"/>
    <mergeCell ref="BY1:CA1"/>
    <mergeCell ref="BM2:B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0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4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551</v>
      </c>
      <c r="B3" s="69">
        <v>1</v>
      </c>
      <c r="C3" s="69">
        <v>0</v>
      </c>
      <c r="D3" s="69">
        <v>1</v>
      </c>
      <c r="E3" s="69">
        <f t="shared" ref="E3:E8" si="0">SUM(B3:D3)</f>
        <v>2</v>
      </c>
      <c r="F3" s="70">
        <v>0</v>
      </c>
      <c r="G3" s="70">
        <v>1</v>
      </c>
      <c r="H3" s="70">
        <v>1</v>
      </c>
      <c r="I3" s="71">
        <f t="shared" ref="I3:I8" si="1">SUM(F3:H3)</f>
        <v>2</v>
      </c>
      <c r="J3" s="70">
        <v>0</v>
      </c>
      <c r="K3" s="70">
        <v>0</v>
      </c>
      <c r="L3" s="70">
        <v>0</v>
      </c>
      <c r="M3" s="70">
        <v>0</v>
      </c>
      <c r="N3" s="72">
        <f t="shared" ref="N3:N9" si="2">SUM(J3:M3)</f>
        <v>0</v>
      </c>
      <c r="O3" s="70">
        <v>0</v>
      </c>
      <c r="P3" s="70">
        <v>0</v>
      </c>
      <c r="Q3" s="70">
        <v>1</v>
      </c>
      <c r="R3" s="71">
        <f t="shared" ref="R3:R9" si="3">SUM(O3:Q3)</f>
        <v>1</v>
      </c>
      <c r="S3" s="70"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3">
        <v>0</v>
      </c>
      <c r="Z3" s="73">
        <v>0</v>
      </c>
      <c r="AA3" s="73">
        <v>0</v>
      </c>
      <c r="AB3" s="73">
        <v>0</v>
      </c>
      <c r="AC3" s="73">
        <f t="shared" ref="AC3:AC9" si="4">SUM(Y3:AB3)</f>
        <v>0</v>
      </c>
      <c r="AD3" s="73">
        <v>0</v>
      </c>
    </row>
    <row r="4" spans="1:30">
      <c r="A4" s="74" t="s">
        <v>887</v>
      </c>
      <c r="B4" s="69">
        <v>9</v>
      </c>
      <c r="C4" s="69">
        <v>0</v>
      </c>
      <c r="D4" s="69">
        <v>3</v>
      </c>
      <c r="E4" s="69">
        <f t="shared" si="0"/>
        <v>12</v>
      </c>
      <c r="F4" s="70">
        <v>1</v>
      </c>
      <c r="G4" s="70">
        <v>10</v>
      </c>
      <c r="H4" s="70">
        <v>0</v>
      </c>
      <c r="I4" s="71">
        <f t="shared" si="1"/>
        <v>11</v>
      </c>
      <c r="J4" s="70">
        <v>0</v>
      </c>
      <c r="K4" s="70">
        <v>0</v>
      </c>
      <c r="L4" s="70">
        <v>0</v>
      </c>
      <c r="M4" s="70">
        <v>0</v>
      </c>
      <c r="N4" s="72">
        <f t="shared" si="2"/>
        <v>0</v>
      </c>
      <c r="O4" s="70">
        <v>1</v>
      </c>
      <c r="P4" s="70">
        <v>0</v>
      </c>
      <c r="Q4" s="70">
        <v>6</v>
      </c>
      <c r="R4" s="71">
        <f t="shared" si="3"/>
        <v>7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3">
        <v>12</v>
      </c>
      <c r="Z4" s="73">
        <v>0</v>
      </c>
      <c r="AA4" s="73">
        <v>0</v>
      </c>
      <c r="AB4" s="73">
        <v>0</v>
      </c>
      <c r="AC4" s="73">
        <f t="shared" si="4"/>
        <v>12</v>
      </c>
      <c r="AD4" s="73">
        <v>0</v>
      </c>
    </row>
    <row r="5" spans="1:30">
      <c r="A5" s="77" t="s">
        <v>888</v>
      </c>
      <c r="B5" s="69">
        <v>10</v>
      </c>
      <c r="C5" s="69">
        <v>0</v>
      </c>
      <c r="D5" s="69">
        <v>1</v>
      </c>
      <c r="E5" s="69">
        <f t="shared" si="0"/>
        <v>11</v>
      </c>
      <c r="F5" s="70">
        <v>0</v>
      </c>
      <c r="G5" s="70">
        <v>10</v>
      </c>
      <c r="H5" s="70">
        <v>0</v>
      </c>
      <c r="I5" s="71">
        <f t="shared" si="1"/>
        <v>10</v>
      </c>
      <c r="J5" s="70">
        <v>0</v>
      </c>
      <c r="K5" s="70">
        <v>0</v>
      </c>
      <c r="L5" s="70">
        <v>0</v>
      </c>
      <c r="M5" s="70">
        <v>0</v>
      </c>
      <c r="N5" s="72">
        <f t="shared" si="2"/>
        <v>0</v>
      </c>
      <c r="O5" s="70">
        <v>0</v>
      </c>
      <c r="P5" s="70">
        <v>0</v>
      </c>
      <c r="Q5" s="70">
        <v>4</v>
      </c>
      <c r="R5" s="71">
        <f t="shared" si="3"/>
        <v>4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11</v>
      </c>
      <c r="Z5" s="73">
        <v>0</v>
      </c>
      <c r="AA5" s="73">
        <v>0</v>
      </c>
      <c r="AB5" s="73">
        <v>0</v>
      </c>
      <c r="AC5" s="73">
        <f t="shared" si="4"/>
        <v>11</v>
      </c>
      <c r="AD5" s="73">
        <v>0</v>
      </c>
    </row>
    <row r="6" spans="1:30">
      <c r="A6" s="77" t="s">
        <v>889</v>
      </c>
      <c r="B6" s="69">
        <v>6</v>
      </c>
      <c r="C6" s="69">
        <v>0</v>
      </c>
      <c r="D6" s="69">
        <v>1</v>
      </c>
      <c r="E6" s="69">
        <f t="shared" si="0"/>
        <v>7</v>
      </c>
      <c r="F6" s="70">
        <v>0</v>
      </c>
      <c r="G6" s="70">
        <v>7</v>
      </c>
      <c r="H6" s="70">
        <v>0</v>
      </c>
      <c r="I6" s="71">
        <f t="shared" si="1"/>
        <v>7</v>
      </c>
      <c r="J6" s="70">
        <v>0</v>
      </c>
      <c r="K6" s="70">
        <v>0</v>
      </c>
      <c r="L6" s="70">
        <v>0</v>
      </c>
      <c r="M6" s="70">
        <v>0</v>
      </c>
      <c r="N6" s="72">
        <f t="shared" si="2"/>
        <v>0</v>
      </c>
      <c r="O6" s="70">
        <v>0</v>
      </c>
      <c r="P6" s="70">
        <v>0</v>
      </c>
      <c r="Q6" s="70">
        <v>2</v>
      </c>
      <c r="R6" s="71">
        <f t="shared" si="3"/>
        <v>2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7</v>
      </c>
      <c r="Z6" s="73">
        <v>0</v>
      </c>
      <c r="AA6" s="73">
        <v>0</v>
      </c>
      <c r="AB6" s="73">
        <v>0</v>
      </c>
      <c r="AC6" s="73">
        <f t="shared" si="4"/>
        <v>7</v>
      </c>
      <c r="AD6" s="73">
        <v>0</v>
      </c>
    </row>
    <row r="7" spans="1:30">
      <c r="A7" s="77" t="s">
        <v>890</v>
      </c>
      <c r="B7" s="69">
        <v>3</v>
      </c>
      <c r="C7" s="69">
        <v>1</v>
      </c>
      <c r="D7" s="69">
        <v>2</v>
      </c>
      <c r="E7" s="69">
        <f t="shared" si="0"/>
        <v>6</v>
      </c>
      <c r="F7" s="70">
        <v>0</v>
      </c>
      <c r="G7" s="70">
        <v>5</v>
      </c>
      <c r="H7" s="70">
        <v>0</v>
      </c>
      <c r="I7" s="71">
        <f t="shared" si="1"/>
        <v>5</v>
      </c>
      <c r="J7" s="70">
        <v>0</v>
      </c>
      <c r="K7" s="70">
        <v>1</v>
      </c>
      <c r="L7" s="70">
        <v>0</v>
      </c>
      <c r="M7" s="70">
        <v>0</v>
      </c>
      <c r="N7" s="72">
        <f t="shared" si="2"/>
        <v>1</v>
      </c>
      <c r="O7" s="70">
        <v>0</v>
      </c>
      <c r="P7" s="70">
        <v>0</v>
      </c>
      <c r="Q7" s="70">
        <v>1</v>
      </c>
      <c r="R7" s="71">
        <f t="shared" si="3"/>
        <v>1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3">
        <v>6</v>
      </c>
      <c r="Z7" s="73">
        <v>0</v>
      </c>
      <c r="AA7" s="73">
        <v>0</v>
      </c>
      <c r="AB7" s="73">
        <v>0</v>
      </c>
      <c r="AC7" s="73">
        <f t="shared" si="4"/>
        <v>6</v>
      </c>
      <c r="AD7" s="73">
        <v>0</v>
      </c>
    </row>
    <row r="8" spans="1:30">
      <c r="A8" s="78" t="s">
        <v>556</v>
      </c>
      <c r="B8" s="79">
        <v>1</v>
      </c>
      <c r="C8" s="79">
        <v>0</v>
      </c>
      <c r="D8" s="79">
        <v>0</v>
      </c>
      <c r="E8" s="69">
        <f t="shared" si="0"/>
        <v>1</v>
      </c>
      <c r="F8" s="80">
        <v>0</v>
      </c>
      <c r="G8" s="80">
        <v>1</v>
      </c>
      <c r="H8" s="80">
        <v>0</v>
      </c>
      <c r="I8" s="71">
        <f t="shared" si="1"/>
        <v>1</v>
      </c>
      <c r="J8" s="80">
        <v>1</v>
      </c>
      <c r="K8" s="80">
        <v>0</v>
      </c>
      <c r="L8" s="80">
        <v>0</v>
      </c>
      <c r="M8" s="80">
        <v>0</v>
      </c>
      <c r="N8" s="72">
        <f t="shared" si="2"/>
        <v>1</v>
      </c>
      <c r="O8" s="80">
        <v>0</v>
      </c>
      <c r="P8" s="80">
        <v>0</v>
      </c>
      <c r="Q8" s="80">
        <v>0</v>
      </c>
      <c r="R8" s="71">
        <f t="shared" si="3"/>
        <v>0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2">
        <v>1</v>
      </c>
      <c r="Z8" s="82">
        <v>0</v>
      </c>
      <c r="AA8" s="82">
        <v>0</v>
      </c>
      <c r="AB8" s="82">
        <v>0</v>
      </c>
      <c r="AC8" s="73">
        <f t="shared" si="4"/>
        <v>1</v>
      </c>
      <c r="AD8" s="82">
        <v>0</v>
      </c>
    </row>
    <row r="9" spans="1:30">
      <c r="A9" s="69" t="s">
        <v>376</v>
      </c>
      <c r="B9" s="69">
        <f t="shared" ref="B9:M9" si="5">SUM(B3:B8)</f>
        <v>30</v>
      </c>
      <c r="C9" s="69">
        <f t="shared" si="5"/>
        <v>1</v>
      </c>
      <c r="D9" s="69">
        <f t="shared" si="5"/>
        <v>8</v>
      </c>
      <c r="E9" s="69">
        <f t="shared" si="5"/>
        <v>39</v>
      </c>
      <c r="F9" s="69">
        <f t="shared" si="5"/>
        <v>1</v>
      </c>
      <c r="G9" s="69">
        <f t="shared" si="5"/>
        <v>34</v>
      </c>
      <c r="H9" s="69">
        <f t="shared" si="5"/>
        <v>1</v>
      </c>
      <c r="I9" s="71">
        <f t="shared" si="5"/>
        <v>36</v>
      </c>
      <c r="J9" s="70">
        <f t="shared" si="5"/>
        <v>1</v>
      </c>
      <c r="K9" s="70">
        <f t="shared" si="5"/>
        <v>1</v>
      </c>
      <c r="L9" s="70">
        <f t="shared" si="5"/>
        <v>0</v>
      </c>
      <c r="M9" s="70">
        <f t="shared" si="5"/>
        <v>0</v>
      </c>
      <c r="N9" s="72">
        <f t="shared" si="2"/>
        <v>2</v>
      </c>
      <c r="O9" s="70">
        <f>SUM(O3:O8)</f>
        <v>1</v>
      </c>
      <c r="P9" s="70">
        <f>SUM(P3:P8)</f>
        <v>0</v>
      </c>
      <c r="Q9" s="70">
        <f>SUM(Q3:Q8)</f>
        <v>14</v>
      </c>
      <c r="R9" s="71">
        <f t="shared" si="3"/>
        <v>15</v>
      </c>
      <c r="S9" s="83">
        <f t="shared" ref="S9:AB9" si="6">SUM(S3:S8)</f>
        <v>0</v>
      </c>
      <c r="T9" s="83">
        <f t="shared" si="6"/>
        <v>0</v>
      </c>
      <c r="U9" s="83">
        <f t="shared" si="6"/>
        <v>0</v>
      </c>
      <c r="V9" s="83">
        <f t="shared" si="6"/>
        <v>0</v>
      </c>
      <c r="W9" s="83">
        <f t="shared" si="6"/>
        <v>0</v>
      </c>
      <c r="X9" s="83">
        <f t="shared" si="6"/>
        <v>0</v>
      </c>
      <c r="Y9" s="83">
        <f t="shared" si="6"/>
        <v>37</v>
      </c>
      <c r="Z9" s="83">
        <f t="shared" si="6"/>
        <v>0</v>
      </c>
      <c r="AA9" s="83">
        <f t="shared" si="6"/>
        <v>0</v>
      </c>
      <c r="AB9" s="83">
        <f t="shared" si="6"/>
        <v>0</v>
      </c>
      <c r="AC9" s="73">
        <f t="shared" si="4"/>
        <v>37</v>
      </c>
      <c r="AD9" s="73">
        <f>SUM(Z9:AC9)</f>
        <v>37</v>
      </c>
    </row>
  </sheetData>
  <mergeCells count="7">
    <mergeCell ref="S1:X1"/>
    <mergeCell ref="Y1:AC1"/>
    <mergeCell ref="A1:A2"/>
    <mergeCell ref="B1:E1"/>
    <mergeCell ref="F1:G1"/>
    <mergeCell ref="J1:N1"/>
    <mergeCell ref="O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S10"/>
  <sheetViews>
    <sheetView workbookViewId="0"/>
  </sheetViews>
  <sheetFormatPr defaultColWidth="14.42578125" defaultRowHeight="15" customHeight="1"/>
  <cols>
    <col min="1" max="1" width="10.42578125" customWidth="1"/>
    <col min="2" max="2" width="31.7109375" customWidth="1"/>
    <col min="3" max="3" width="8" customWidth="1"/>
    <col min="5" max="5" width="18.28515625" customWidth="1"/>
    <col min="77" max="77" width="5.7109375" customWidth="1"/>
    <col min="78" max="78" width="5" customWidth="1"/>
    <col min="80" max="80" width="5" customWidth="1"/>
    <col min="81" max="81" width="6.140625" customWidth="1"/>
    <col min="83" max="83" width="6" customWidth="1"/>
    <col min="84" max="84" width="6.42578125" customWidth="1"/>
    <col min="87" max="87" width="18.28515625" customWidth="1"/>
  </cols>
  <sheetData>
    <row r="1" spans="1:97">
      <c r="A1" s="479" t="s">
        <v>891</v>
      </c>
      <c r="B1" s="480"/>
      <c r="C1" s="479" t="s">
        <v>892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90" t="s">
        <v>16</v>
      </c>
      <c r="BI1" s="491"/>
      <c r="BJ1" s="491"/>
      <c r="BK1" s="491"/>
      <c r="BL1" s="492"/>
      <c r="BM1" s="455" t="s">
        <v>17</v>
      </c>
      <c r="BN1" s="456"/>
      <c r="BO1" s="461"/>
      <c r="BP1" s="475" t="s">
        <v>18</v>
      </c>
      <c r="BQ1" s="476"/>
      <c r="BR1" s="3"/>
      <c r="BS1" s="3"/>
      <c r="BT1" s="475" t="s">
        <v>19</v>
      </c>
      <c r="BU1" s="473"/>
      <c r="BV1" s="473"/>
      <c r="BW1" s="473"/>
      <c r="BX1" s="473"/>
      <c r="BY1" s="463" t="s">
        <v>20</v>
      </c>
      <c r="BZ1" s="456"/>
      <c r="CA1" s="461"/>
      <c r="CB1" s="465" t="s">
        <v>21</v>
      </c>
      <c r="CC1" s="493"/>
      <c r="CD1" s="88" t="s">
        <v>22</v>
      </c>
      <c r="CE1" s="465" t="s">
        <v>23</v>
      </c>
      <c r="CF1" s="468"/>
      <c r="CG1" s="469"/>
      <c r="CH1" s="463" t="s">
        <v>16</v>
      </c>
      <c r="CI1" s="456"/>
      <c r="CJ1" s="464"/>
      <c r="CK1" s="455" t="s">
        <v>24</v>
      </c>
      <c r="CL1" s="456"/>
      <c r="CM1" s="457" t="s">
        <v>25</v>
      </c>
      <c r="CN1" s="456"/>
      <c r="CO1" s="5"/>
      <c r="CP1" s="6" t="s">
        <v>26</v>
      </c>
      <c r="CQ1" s="7"/>
      <c r="CR1" s="8"/>
      <c r="CS1" s="9"/>
    </row>
    <row r="2" spans="1:97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104"/>
      <c r="BG2" s="100"/>
      <c r="BH2" s="489" t="s">
        <v>78</v>
      </c>
      <c r="BI2" s="480"/>
      <c r="BJ2" s="489" t="s">
        <v>354</v>
      </c>
      <c r="BK2" s="481"/>
      <c r="BL2" s="480"/>
      <c r="BM2" s="102"/>
      <c r="BN2" s="102"/>
      <c r="BO2" s="102"/>
      <c r="BP2" s="2"/>
      <c r="BQ2" s="3"/>
      <c r="BR2" s="3"/>
      <c r="BS2" s="3"/>
      <c r="BT2" s="2"/>
      <c r="BU2" s="3"/>
      <c r="BV2" s="3"/>
      <c r="BW2" s="3"/>
      <c r="BX2" s="3"/>
      <c r="BY2" s="102"/>
      <c r="BZ2" s="102"/>
      <c r="CA2" s="103"/>
      <c r="CB2" s="102"/>
      <c r="CC2" s="102"/>
      <c r="CD2" s="102"/>
      <c r="CE2" s="102"/>
      <c r="CF2" s="102"/>
      <c r="CG2" s="102"/>
      <c r="CH2" s="101"/>
      <c r="CI2" s="102"/>
      <c r="CJ2" s="102"/>
      <c r="CK2" s="100"/>
      <c r="CL2" s="102"/>
      <c r="CM2" s="96"/>
      <c r="CN2" s="105"/>
      <c r="CO2" s="105" t="s">
        <v>893</v>
      </c>
      <c r="CP2" s="106"/>
      <c r="CQ2" s="107"/>
      <c r="CR2" s="8"/>
      <c r="CS2" s="8"/>
    </row>
    <row r="3" spans="1:97" ht="31.5" customHeight="1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17" t="s">
        <v>894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29" t="s">
        <v>84</v>
      </c>
      <c r="BK3" s="29" t="s">
        <v>85</v>
      </c>
      <c r="BL3" s="29" t="s">
        <v>86</v>
      </c>
      <c r="BM3" s="21" t="s">
        <v>73</v>
      </c>
      <c r="BN3" s="34" t="s">
        <v>87</v>
      </c>
      <c r="BO3" s="22" t="s">
        <v>56</v>
      </c>
      <c r="BP3" s="35" t="s">
        <v>83</v>
      </c>
      <c r="BQ3" s="36" t="s">
        <v>88</v>
      </c>
      <c r="BR3" s="37" t="s">
        <v>89</v>
      </c>
      <c r="BS3" s="37"/>
      <c r="BT3" s="35" t="s">
        <v>90</v>
      </c>
      <c r="BU3" s="38" t="s">
        <v>91</v>
      </c>
      <c r="BV3" s="38" t="s">
        <v>92</v>
      </c>
      <c r="BW3" s="38" t="s">
        <v>93</v>
      </c>
      <c r="BX3" s="39" t="s">
        <v>94</v>
      </c>
      <c r="BY3" s="40" t="s">
        <v>56</v>
      </c>
      <c r="BZ3" s="40" t="s">
        <v>73</v>
      </c>
      <c r="CA3" s="41" t="s">
        <v>22</v>
      </c>
      <c r="CB3" s="40" t="s">
        <v>56</v>
      </c>
      <c r="CC3" s="29" t="s">
        <v>73</v>
      </c>
      <c r="CD3" s="29" t="s">
        <v>95</v>
      </c>
      <c r="CE3" s="29" t="s">
        <v>83</v>
      </c>
      <c r="CF3" s="29" t="s">
        <v>88</v>
      </c>
      <c r="CG3" s="29" t="s">
        <v>896</v>
      </c>
      <c r="CH3" s="20" t="s">
        <v>96</v>
      </c>
      <c r="CI3" s="42" t="s">
        <v>97</v>
      </c>
      <c r="CJ3" s="21" t="s">
        <v>98</v>
      </c>
      <c r="CK3" s="21" t="s">
        <v>73</v>
      </c>
      <c r="CL3" s="22" t="s">
        <v>56</v>
      </c>
      <c r="CM3" s="20" t="s">
        <v>99</v>
      </c>
      <c r="CN3" s="22" t="s">
        <v>56</v>
      </c>
      <c r="CO3" s="43"/>
      <c r="CP3" s="458" t="s">
        <v>100</v>
      </c>
      <c r="CQ3" s="459"/>
      <c r="CR3" s="44" t="s">
        <v>101</v>
      </c>
      <c r="CS3" s="45" t="s">
        <v>102</v>
      </c>
    </row>
    <row r="4" spans="1:97" hidden="1">
      <c r="A4" s="46" t="s">
        <v>897</v>
      </c>
      <c r="B4" s="46" t="s">
        <v>898</v>
      </c>
      <c r="C4" s="46">
        <v>23</v>
      </c>
      <c r="D4" s="46" t="s">
        <v>899</v>
      </c>
      <c r="E4" s="46" t="s">
        <v>900</v>
      </c>
      <c r="F4" s="46" t="s">
        <v>112</v>
      </c>
      <c r="G4" s="46">
        <v>1</v>
      </c>
      <c r="N4" s="46">
        <v>1</v>
      </c>
      <c r="T4" s="46">
        <v>1</v>
      </c>
      <c r="W4" s="46">
        <v>13</v>
      </c>
      <c r="X4" s="46">
        <v>16</v>
      </c>
      <c r="Y4" s="46">
        <v>16</v>
      </c>
      <c r="Z4" s="46">
        <v>1</v>
      </c>
      <c r="AA4" s="46">
        <v>1</v>
      </c>
      <c r="AB4" s="46">
        <v>1</v>
      </c>
      <c r="AE4" s="46">
        <v>1</v>
      </c>
      <c r="AG4" s="46">
        <v>1</v>
      </c>
      <c r="AH4" s="46">
        <v>1</v>
      </c>
      <c r="AI4" s="46">
        <v>1</v>
      </c>
      <c r="AK4" s="46">
        <v>1</v>
      </c>
      <c r="AT4" s="46">
        <v>1</v>
      </c>
      <c r="AX4" s="46">
        <v>1</v>
      </c>
      <c r="BA4" s="46">
        <v>1</v>
      </c>
      <c r="BI4" s="46">
        <v>1</v>
      </c>
      <c r="BO4" s="46">
        <v>1</v>
      </c>
      <c r="BV4" s="46">
        <v>1</v>
      </c>
      <c r="BY4" s="46">
        <v>1</v>
      </c>
      <c r="CB4" s="46">
        <v>1</v>
      </c>
      <c r="CH4" s="46">
        <v>1</v>
      </c>
      <c r="CL4" s="46">
        <v>1</v>
      </c>
      <c r="CN4" s="46">
        <v>1</v>
      </c>
    </row>
    <row r="5" spans="1:97" hidden="1">
      <c r="A5" s="46" t="s">
        <v>901</v>
      </c>
      <c r="B5" s="46" t="s">
        <v>902</v>
      </c>
      <c r="C5" s="46">
        <v>25</v>
      </c>
      <c r="D5" s="46" t="s">
        <v>903</v>
      </c>
      <c r="F5" s="46" t="s">
        <v>112</v>
      </c>
      <c r="I5" s="46">
        <v>1</v>
      </c>
      <c r="M5" s="46">
        <v>1</v>
      </c>
      <c r="R5" s="46">
        <v>1</v>
      </c>
      <c r="S5" s="46">
        <v>1</v>
      </c>
      <c r="W5" s="46">
        <v>14</v>
      </c>
      <c r="X5" s="46">
        <v>16</v>
      </c>
      <c r="Y5" s="46">
        <v>0</v>
      </c>
      <c r="Z5" s="46">
        <v>0</v>
      </c>
      <c r="AA5" s="46">
        <v>0</v>
      </c>
      <c r="AB5" s="46">
        <v>0</v>
      </c>
      <c r="AD5" s="46">
        <v>1</v>
      </c>
      <c r="AE5" s="46">
        <v>1</v>
      </c>
      <c r="AJ5" s="46">
        <v>1</v>
      </c>
      <c r="AM5" s="46">
        <v>1</v>
      </c>
      <c r="AT5" s="46">
        <v>1</v>
      </c>
      <c r="AW5" s="46">
        <v>1</v>
      </c>
      <c r="BA5" s="46">
        <v>1</v>
      </c>
      <c r="BI5" s="46">
        <v>1</v>
      </c>
      <c r="BO5" s="46">
        <v>1</v>
      </c>
      <c r="BV5" s="46">
        <v>1</v>
      </c>
      <c r="BY5" s="46">
        <v>1</v>
      </c>
      <c r="CB5" s="46">
        <v>1</v>
      </c>
      <c r="CH5" s="46">
        <v>1</v>
      </c>
      <c r="CL5" s="46">
        <v>1</v>
      </c>
      <c r="CN5" s="46">
        <v>1</v>
      </c>
    </row>
    <row r="6" spans="1:97">
      <c r="A6" s="108" t="s">
        <v>904</v>
      </c>
      <c r="B6" s="108" t="s">
        <v>905</v>
      </c>
      <c r="C6" s="108">
        <v>65</v>
      </c>
      <c r="D6" s="108" t="s">
        <v>906</v>
      </c>
      <c r="E6" s="108" t="s">
        <v>907</v>
      </c>
      <c r="F6" s="108" t="s">
        <v>112</v>
      </c>
      <c r="G6" s="109"/>
      <c r="H6" s="108">
        <v>1</v>
      </c>
      <c r="I6" s="109"/>
      <c r="J6" s="109"/>
      <c r="K6" s="109"/>
      <c r="L6" s="109"/>
      <c r="M6" s="109"/>
      <c r="N6" s="109"/>
      <c r="O6" s="109"/>
      <c r="P6" s="108">
        <v>1</v>
      </c>
      <c r="Q6" s="108">
        <v>1</v>
      </c>
      <c r="R6" s="109"/>
      <c r="S6" s="108">
        <v>1</v>
      </c>
      <c r="T6" s="109"/>
      <c r="U6" s="109"/>
      <c r="V6" s="109"/>
      <c r="W6" s="108">
        <v>14</v>
      </c>
      <c r="X6" s="108">
        <v>15</v>
      </c>
      <c r="Y6" s="108">
        <v>18</v>
      </c>
      <c r="Z6" s="108">
        <v>8</v>
      </c>
      <c r="AA6" s="108">
        <v>8</v>
      </c>
      <c r="AB6" s="108">
        <v>5</v>
      </c>
      <c r="AC6" s="109"/>
      <c r="AD6" s="108">
        <v>1</v>
      </c>
      <c r="AE6" s="108">
        <v>1</v>
      </c>
      <c r="AF6" s="109"/>
      <c r="AG6" s="108">
        <v>1</v>
      </c>
      <c r="AH6" s="108">
        <v>1</v>
      </c>
      <c r="AI6" s="108">
        <v>1</v>
      </c>
      <c r="AJ6" s="109"/>
      <c r="AK6" s="108">
        <v>1</v>
      </c>
      <c r="AL6" s="109"/>
      <c r="AM6" s="109"/>
      <c r="AN6" s="109"/>
      <c r="AO6" s="109"/>
      <c r="AP6" s="109"/>
      <c r="AQ6" s="109"/>
      <c r="AR6" s="109"/>
      <c r="AS6" s="109"/>
      <c r="AT6" s="108">
        <v>1</v>
      </c>
      <c r="AU6" s="109"/>
      <c r="AV6" s="109"/>
      <c r="AW6" s="108">
        <v>1</v>
      </c>
      <c r="AX6" s="109"/>
      <c r="AY6" s="109"/>
      <c r="AZ6" s="109"/>
      <c r="BA6" s="109"/>
      <c r="BB6" s="108">
        <v>1</v>
      </c>
      <c r="BC6" s="109"/>
      <c r="BD6" s="109"/>
      <c r="BE6" s="109"/>
      <c r="BF6" s="108">
        <v>1</v>
      </c>
      <c r="BG6" s="108" t="s">
        <v>908</v>
      </c>
      <c r="BH6" s="109"/>
      <c r="BI6" s="109"/>
      <c r="BJ6" s="108">
        <v>1</v>
      </c>
      <c r="BK6" s="109"/>
      <c r="BL6" s="109"/>
      <c r="BM6" s="109"/>
      <c r="BN6" s="109"/>
      <c r="BO6" s="108">
        <v>1</v>
      </c>
      <c r="BP6" s="109"/>
      <c r="BQ6" s="109"/>
      <c r="BR6" s="109"/>
      <c r="BS6" s="109"/>
      <c r="BT6" s="109"/>
      <c r="BU6" s="109"/>
      <c r="BV6" s="109"/>
      <c r="BW6" s="109"/>
      <c r="BX6" s="108">
        <v>1</v>
      </c>
      <c r="BY6" s="108">
        <v>1</v>
      </c>
      <c r="BZ6" s="109"/>
      <c r="CA6" s="109"/>
      <c r="CB6" s="108">
        <v>1</v>
      </c>
      <c r="CC6" s="109"/>
      <c r="CD6" s="109"/>
      <c r="CE6" s="109"/>
      <c r="CF6" s="109"/>
      <c r="CG6" s="109"/>
      <c r="CH6" s="108">
        <v>1</v>
      </c>
      <c r="CI6" s="109"/>
      <c r="CJ6" s="109"/>
      <c r="CK6" s="109"/>
      <c r="CL6" s="108">
        <v>1</v>
      </c>
      <c r="CM6" s="109"/>
      <c r="CN6" s="109"/>
      <c r="CO6" s="109"/>
      <c r="CP6" s="109"/>
      <c r="CQ6" s="109"/>
      <c r="CR6" s="109"/>
      <c r="CS6" s="109"/>
    </row>
    <row r="7" spans="1:97" hidden="1">
      <c r="A7" s="46" t="s">
        <v>909</v>
      </c>
      <c r="B7" s="46" t="s">
        <v>910</v>
      </c>
      <c r="C7" s="46">
        <v>28</v>
      </c>
      <c r="D7" s="46" t="s">
        <v>911</v>
      </c>
      <c r="E7" s="46" t="s">
        <v>912</v>
      </c>
      <c r="F7" s="46" t="s">
        <v>112</v>
      </c>
      <c r="H7" s="46">
        <v>1</v>
      </c>
      <c r="N7" s="46">
        <v>1</v>
      </c>
      <c r="Q7" s="46">
        <v>1</v>
      </c>
      <c r="T7" s="46">
        <v>1</v>
      </c>
      <c r="W7" s="46">
        <v>17</v>
      </c>
      <c r="X7" s="46">
        <v>20</v>
      </c>
      <c r="Y7" s="46">
        <v>21</v>
      </c>
      <c r="Z7" s="46">
        <v>4</v>
      </c>
      <c r="AA7" s="46">
        <v>3</v>
      </c>
      <c r="AB7" s="46">
        <v>2</v>
      </c>
      <c r="AD7" s="46">
        <v>1</v>
      </c>
      <c r="AE7" s="46">
        <v>1</v>
      </c>
      <c r="AH7" s="46">
        <v>1</v>
      </c>
      <c r="AJ7" s="46">
        <v>1</v>
      </c>
      <c r="AK7" s="46">
        <v>1</v>
      </c>
      <c r="AT7" s="46">
        <v>1</v>
      </c>
      <c r="AX7" s="46">
        <v>1</v>
      </c>
      <c r="BA7" s="46">
        <v>1</v>
      </c>
      <c r="BI7" s="46">
        <v>1</v>
      </c>
      <c r="BO7" s="46">
        <v>1</v>
      </c>
      <c r="BV7" s="46">
        <v>1</v>
      </c>
      <c r="BY7" s="46">
        <v>1</v>
      </c>
      <c r="CB7" s="46">
        <v>1</v>
      </c>
      <c r="CH7" s="46">
        <v>1</v>
      </c>
      <c r="CL7" s="46">
        <v>1</v>
      </c>
      <c r="CN7" s="46">
        <v>1</v>
      </c>
    </row>
    <row r="8" spans="1:97" hidden="1">
      <c r="A8" s="46" t="s">
        <v>913</v>
      </c>
      <c r="B8" s="46" t="s">
        <v>914</v>
      </c>
      <c r="C8" s="46">
        <v>43</v>
      </c>
      <c r="D8" s="46" t="s">
        <v>915</v>
      </c>
      <c r="E8" s="46" t="s">
        <v>916</v>
      </c>
      <c r="F8" s="46" t="s">
        <v>112</v>
      </c>
      <c r="H8" s="46">
        <v>1</v>
      </c>
      <c r="M8" s="46">
        <v>1</v>
      </c>
      <c r="R8" s="46">
        <v>1</v>
      </c>
      <c r="S8" s="46">
        <v>1</v>
      </c>
      <c r="W8" s="46">
        <v>16</v>
      </c>
      <c r="X8" s="46">
        <v>17</v>
      </c>
      <c r="Y8" s="46">
        <v>18</v>
      </c>
      <c r="Z8" s="46">
        <v>10</v>
      </c>
      <c r="AA8" s="46">
        <v>11</v>
      </c>
      <c r="AB8" s="46">
        <v>10</v>
      </c>
      <c r="AE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O8" s="46">
        <v>1</v>
      </c>
      <c r="BV8" s="46">
        <v>1</v>
      </c>
      <c r="BY8" s="46">
        <v>1</v>
      </c>
      <c r="CB8" s="46">
        <v>1</v>
      </c>
      <c r="CH8" s="46">
        <v>1</v>
      </c>
      <c r="CL8" s="46">
        <v>1</v>
      </c>
      <c r="CN8" s="46">
        <v>1</v>
      </c>
    </row>
    <row r="9" spans="1:97" hidden="1">
      <c r="A9" s="46" t="s">
        <v>917</v>
      </c>
      <c r="B9" s="46" t="s">
        <v>918</v>
      </c>
      <c r="C9" s="46">
        <v>30</v>
      </c>
      <c r="D9" s="46" t="s">
        <v>919</v>
      </c>
      <c r="E9" s="46" t="s">
        <v>920</v>
      </c>
      <c r="F9" s="46" t="s">
        <v>112</v>
      </c>
      <c r="G9" s="46">
        <v>1</v>
      </c>
      <c r="O9" s="46">
        <v>1</v>
      </c>
      <c r="Q9" s="46">
        <v>1</v>
      </c>
      <c r="T9" s="46">
        <v>1</v>
      </c>
      <c r="W9" s="46">
        <v>13</v>
      </c>
      <c r="X9" s="46">
        <v>15</v>
      </c>
      <c r="Y9" s="46">
        <v>15</v>
      </c>
      <c r="Z9" s="46">
        <v>3</v>
      </c>
      <c r="AA9" s="46">
        <v>3</v>
      </c>
      <c r="AB9" s="46">
        <v>3</v>
      </c>
      <c r="AD9" s="46">
        <v>1</v>
      </c>
      <c r="AE9" s="46">
        <v>1</v>
      </c>
      <c r="AH9" s="46">
        <v>1</v>
      </c>
      <c r="AJ9" s="46">
        <v>1</v>
      </c>
      <c r="AL9" s="46">
        <v>1</v>
      </c>
      <c r="AO9" s="46">
        <v>1</v>
      </c>
      <c r="AS9" s="46">
        <v>1</v>
      </c>
      <c r="AT9" s="46">
        <v>1</v>
      </c>
      <c r="AW9" s="46">
        <v>1</v>
      </c>
      <c r="BA9" s="46">
        <v>1</v>
      </c>
      <c r="BI9" s="46">
        <v>1</v>
      </c>
      <c r="BO9" s="46">
        <v>1</v>
      </c>
      <c r="BV9" s="46">
        <v>1</v>
      </c>
      <c r="BY9" s="46">
        <v>1</v>
      </c>
      <c r="CB9" s="46">
        <v>1</v>
      </c>
      <c r="CH9" s="46">
        <v>1</v>
      </c>
      <c r="CL9" s="46">
        <v>1</v>
      </c>
      <c r="CN9" s="46">
        <v>1</v>
      </c>
    </row>
    <row r="10" spans="1:97" hidden="1">
      <c r="A10" s="46" t="s">
        <v>921</v>
      </c>
      <c r="B10" s="46" t="s">
        <v>922</v>
      </c>
      <c r="C10" s="46">
        <v>46</v>
      </c>
      <c r="D10" s="46" t="s">
        <v>923</v>
      </c>
      <c r="F10" s="46" t="s">
        <v>112</v>
      </c>
      <c r="I10" s="46">
        <v>1</v>
      </c>
      <c r="M10" s="46">
        <v>1</v>
      </c>
      <c r="R10" s="46">
        <v>1</v>
      </c>
      <c r="S10" s="46">
        <v>1</v>
      </c>
      <c r="W10" s="46">
        <v>13</v>
      </c>
      <c r="X10" s="46">
        <v>15</v>
      </c>
      <c r="Y10" s="46">
        <v>18</v>
      </c>
      <c r="Z10" s="46">
        <v>11</v>
      </c>
      <c r="AA10" s="46">
        <v>9</v>
      </c>
      <c r="AB10" s="46">
        <v>6</v>
      </c>
      <c r="AD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O10" s="46">
        <v>1</v>
      </c>
      <c r="BV10" s="46">
        <v>1</v>
      </c>
      <c r="BY10" s="46">
        <v>1</v>
      </c>
      <c r="CB10" s="46">
        <v>1</v>
      </c>
      <c r="CH10" s="46">
        <v>1</v>
      </c>
      <c r="CL10" s="46">
        <v>1</v>
      </c>
      <c r="CN10" s="46">
        <v>1</v>
      </c>
    </row>
  </sheetData>
  <autoFilter ref="A3:CS10">
    <filterColumn colId="2">
      <filters>
        <filter val="65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B1:CC1"/>
    <mergeCell ref="BM1:BO1"/>
    <mergeCell ref="BP1:BQ1"/>
    <mergeCell ref="BT1:BX1"/>
    <mergeCell ref="BY1:CA1"/>
    <mergeCell ref="CE1:CG1"/>
    <mergeCell ref="CH1:CJ1"/>
    <mergeCell ref="CK1:CL1"/>
    <mergeCell ref="CM1:CN1"/>
    <mergeCell ref="CP3:CQ3"/>
    <mergeCell ref="BH2:BI2"/>
    <mergeCell ref="BJ2:BL2"/>
    <mergeCell ref="BA1:BE1"/>
    <mergeCell ref="BF1:BG1"/>
    <mergeCell ref="BH1:B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4:AE9"/>
  <sheetViews>
    <sheetView workbookViewId="0"/>
  </sheetViews>
  <sheetFormatPr defaultColWidth="14.42578125" defaultRowHeight="15" customHeight="1"/>
  <sheetData>
    <row r="4" spans="2:31">
      <c r="B4" s="486" t="s">
        <v>351</v>
      </c>
      <c r="C4" s="488" t="s">
        <v>352</v>
      </c>
      <c r="D4" s="481"/>
      <c r="E4" s="481"/>
      <c r="F4" s="480"/>
      <c r="G4" s="484" t="s">
        <v>353</v>
      </c>
      <c r="H4" s="480"/>
      <c r="I4" s="61"/>
      <c r="J4" s="61"/>
      <c r="K4" s="484" t="s">
        <v>354</v>
      </c>
      <c r="L4" s="481"/>
      <c r="M4" s="481"/>
      <c r="N4" s="481"/>
      <c r="O4" s="480"/>
      <c r="P4" s="484" t="s">
        <v>355</v>
      </c>
      <c r="Q4" s="481"/>
      <c r="R4" s="481"/>
      <c r="S4" s="480"/>
      <c r="T4" s="484" t="s">
        <v>356</v>
      </c>
      <c r="U4" s="481"/>
      <c r="V4" s="481"/>
      <c r="W4" s="481"/>
      <c r="X4" s="481"/>
      <c r="Y4" s="480"/>
      <c r="Z4" s="485" t="s">
        <v>357</v>
      </c>
      <c r="AA4" s="481"/>
      <c r="AB4" s="481"/>
      <c r="AC4" s="481"/>
      <c r="AD4" s="480"/>
      <c r="AE4" s="62" t="s">
        <v>356</v>
      </c>
    </row>
    <row r="5" spans="2:31">
      <c r="B5" s="487"/>
      <c r="C5" s="63" t="s">
        <v>358</v>
      </c>
      <c r="D5" s="63" t="s">
        <v>359</v>
      </c>
      <c r="E5" s="63" t="s">
        <v>360</v>
      </c>
      <c r="F5" s="63" t="s">
        <v>361</v>
      </c>
      <c r="G5" s="64" t="s">
        <v>359</v>
      </c>
      <c r="H5" s="64" t="s">
        <v>358</v>
      </c>
      <c r="I5" s="64" t="s">
        <v>362</v>
      </c>
      <c r="J5" s="65" t="s">
        <v>361</v>
      </c>
      <c r="K5" s="64" t="s">
        <v>96</v>
      </c>
      <c r="L5" s="64" t="s">
        <v>84</v>
      </c>
      <c r="M5" s="64" t="s">
        <v>98</v>
      </c>
      <c r="N5" s="64" t="s">
        <v>38</v>
      </c>
      <c r="O5" s="64" t="s">
        <v>361</v>
      </c>
      <c r="P5" s="64" t="s">
        <v>91</v>
      </c>
      <c r="Q5" s="64" t="s">
        <v>362</v>
      </c>
      <c r="R5" s="64" t="s">
        <v>363</v>
      </c>
      <c r="S5" s="65" t="s">
        <v>361</v>
      </c>
      <c r="T5" s="64" t="s">
        <v>364</v>
      </c>
      <c r="U5" s="64" t="s">
        <v>91</v>
      </c>
      <c r="V5" s="64" t="s">
        <v>365</v>
      </c>
      <c r="W5" s="64" t="s">
        <v>366</v>
      </c>
      <c r="X5" s="64" t="s">
        <v>367</v>
      </c>
      <c r="Y5" s="64"/>
      <c r="Z5" s="66" t="s">
        <v>96</v>
      </c>
      <c r="AA5" s="66" t="s">
        <v>368</v>
      </c>
      <c r="AB5" s="66" t="s">
        <v>98</v>
      </c>
      <c r="AC5" s="67" t="s">
        <v>362</v>
      </c>
      <c r="AD5" s="66" t="s">
        <v>369</v>
      </c>
      <c r="AE5" s="64" t="s">
        <v>365</v>
      </c>
    </row>
    <row r="6" spans="2:31">
      <c r="B6" s="74" t="s">
        <v>924</v>
      </c>
      <c r="C6" s="69">
        <v>2</v>
      </c>
      <c r="D6" s="69">
        <v>1</v>
      </c>
      <c r="E6" s="69">
        <v>1</v>
      </c>
      <c r="F6" s="69">
        <f>SUM(C6:E6)</f>
        <v>4</v>
      </c>
      <c r="G6" s="70">
        <v>0</v>
      </c>
      <c r="H6" s="70">
        <v>4</v>
      </c>
      <c r="I6" s="70">
        <v>0</v>
      </c>
      <c r="J6" s="71">
        <f>SUM(G6:I6)</f>
        <v>4</v>
      </c>
      <c r="K6" s="70">
        <v>0</v>
      </c>
      <c r="L6" s="70">
        <v>0</v>
      </c>
      <c r="M6" s="70">
        <v>0</v>
      </c>
      <c r="N6" s="70">
        <v>0</v>
      </c>
      <c r="O6" s="72">
        <f>SUM(K6:N6)</f>
        <v>0</v>
      </c>
      <c r="P6" s="70">
        <v>0</v>
      </c>
      <c r="Q6" s="70">
        <v>0</v>
      </c>
      <c r="R6" s="70">
        <v>4</v>
      </c>
      <c r="S6" s="71">
        <f>SUM(P6:R6)</f>
        <v>4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3">
        <v>4</v>
      </c>
      <c r="AA6" s="73">
        <v>0</v>
      </c>
      <c r="AB6" s="73">
        <v>0</v>
      </c>
      <c r="AC6" s="73">
        <v>0</v>
      </c>
      <c r="AD6" s="73">
        <f>SUM(Z6:AC6)</f>
        <v>4</v>
      </c>
      <c r="AE6" s="73">
        <v>0</v>
      </c>
    </row>
    <row r="7" spans="2:31">
      <c r="B7" s="77" t="s">
        <v>925</v>
      </c>
      <c r="C7" s="69">
        <v>2</v>
      </c>
      <c r="D7" s="69">
        <v>0</v>
      </c>
      <c r="E7" s="69">
        <v>0</v>
      </c>
      <c r="F7" s="69">
        <f>SUM(C7:E7)</f>
        <v>2</v>
      </c>
      <c r="G7" s="70">
        <v>0</v>
      </c>
      <c r="H7" s="70">
        <v>2</v>
      </c>
      <c r="I7" s="70">
        <v>0</v>
      </c>
      <c r="J7" s="71">
        <f>SUM(G7:I7)</f>
        <v>2</v>
      </c>
      <c r="K7" s="70">
        <v>0</v>
      </c>
      <c r="L7" s="70">
        <v>0</v>
      </c>
      <c r="M7" s="70">
        <v>0</v>
      </c>
      <c r="N7" s="70">
        <v>0</v>
      </c>
      <c r="O7" s="72">
        <f>SUM(K7:N7)</f>
        <v>0</v>
      </c>
      <c r="P7" s="70">
        <v>0</v>
      </c>
      <c r="Q7" s="70">
        <v>0</v>
      </c>
      <c r="R7" s="70">
        <v>2</v>
      </c>
      <c r="S7" s="71">
        <f>SUM(P7:R7)</f>
        <v>2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3">
        <v>2</v>
      </c>
      <c r="AA7" s="73">
        <v>0</v>
      </c>
      <c r="AB7" s="73">
        <v>0</v>
      </c>
      <c r="AC7" s="73">
        <v>0</v>
      </c>
      <c r="AD7" s="73">
        <f>SUM(Z7:AC7)</f>
        <v>2</v>
      </c>
      <c r="AE7" s="73">
        <v>0</v>
      </c>
    </row>
    <row r="8" spans="2:31">
      <c r="B8" s="78" t="s">
        <v>926</v>
      </c>
      <c r="C8" s="79">
        <v>1</v>
      </c>
      <c r="D8" s="79">
        <v>0</v>
      </c>
      <c r="E8" s="79">
        <v>0</v>
      </c>
      <c r="F8" s="69">
        <f>SUM(C8:E8)</f>
        <v>1</v>
      </c>
      <c r="G8" s="80">
        <v>0</v>
      </c>
      <c r="H8" s="80">
        <v>0</v>
      </c>
      <c r="I8" s="80">
        <v>0</v>
      </c>
      <c r="J8" s="71">
        <f>SUM(G8:I8)</f>
        <v>0</v>
      </c>
      <c r="K8" s="80">
        <v>0</v>
      </c>
      <c r="L8" s="80">
        <v>1</v>
      </c>
      <c r="M8" s="80">
        <v>0</v>
      </c>
      <c r="N8" s="80">
        <v>0</v>
      </c>
      <c r="O8" s="72">
        <f>SUM(K8:N8)</f>
        <v>1</v>
      </c>
      <c r="P8" s="80">
        <v>0</v>
      </c>
      <c r="Q8" s="80">
        <v>0</v>
      </c>
      <c r="R8" s="80">
        <v>0</v>
      </c>
      <c r="S8" s="71">
        <f>SUM(P8:R8)</f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2">
        <v>1</v>
      </c>
      <c r="AA8" s="82">
        <v>0</v>
      </c>
      <c r="AB8" s="82">
        <v>0</v>
      </c>
      <c r="AC8" s="82">
        <v>0</v>
      </c>
      <c r="AD8" s="73">
        <f>SUM(Z8:AC8)</f>
        <v>1</v>
      </c>
      <c r="AE8" s="82">
        <v>0</v>
      </c>
    </row>
    <row r="9" spans="2:31">
      <c r="B9" s="69" t="s">
        <v>376</v>
      </c>
      <c r="C9" s="69">
        <f t="shared" ref="C9:N9" si="0">SUM(C6:C8)</f>
        <v>5</v>
      </c>
      <c r="D9" s="69">
        <f t="shared" si="0"/>
        <v>1</v>
      </c>
      <c r="E9" s="69">
        <f t="shared" si="0"/>
        <v>1</v>
      </c>
      <c r="F9" s="69">
        <f t="shared" si="0"/>
        <v>7</v>
      </c>
      <c r="G9" s="69">
        <f t="shared" si="0"/>
        <v>0</v>
      </c>
      <c r="H9" s="69">
        <f t="shared" si="0"/>
        <v>6</v>
      </c>
      <c r="I9" s="69">
        <f t="shared" si="0"/>
        <v>0</v>
      </c>
      <c r="J9" s="71">
        <f t="shared" si="0"/>
        <v>6</v>
      </c>
      <c r="K9" s="70">
        <f t="shared" si="0"/>
        <v>0</v>
      </c>
      <c r="L9" s="70">
        <f t="shared" si="0"/>
        <v>1</v>
      </c>
      <c r="M9" s="70">
        <f t="shared" si="0"/>
        <v>0</v>
      </c>
      <c r="N9" s="70">
        <f t="shared" si="0"/>
        <v>0</v>
      </c>
      <c r="O9" s="72">
        <f>SUM(K9:N9)</f>
        <v>1</v>
      </c>
      <c r="P9" s="70">
        <f>SUM(P6:P8)</f>
        <v>0</v>
      </c>
      <c r="Q9" s="70">
        <f>SUM(Q6:Q8)</f>
        <v>0</v>
      </c>
      <c r="R9" s="70">
        <f>SUM(R6:R8)</f>
        <v>6</v>
      </c>
      <c r="S9" s="71">
        <f>SUM(P9:R9)</f>
        <v>6</v>
      </c>
      <c r="T9" s="70"/>
      <c r="U9" s="70"/>
      <c r="V9" s="70"/>
      <c r="W9" s="70"/>
      <c r="X9" s="70"/>
      <c r="Y9" s="70"/>
      <c r="Z9" s="83">
        <f>SUM(Z6:Z8)</f>
        <v>7</v>
      </c>
      <c r="AA9" s="83">
        <f>SUM(AA6:AA8)</f>
        <v>0</v>
      </c>
      <c r="AB9" s="83">
        <f>SUM(AB6:AB8)</f>
        <v>0</v>
      </c>
      <c r="AC9" s="83">
        <f>SUM(AC6:AC8)</f>
        <v>0</v>
      </c>
      <c r="AD9" s="73">
        <f>SUM(Z9:AC9)</f>
        <v>7</v>
      </c>
      <c r="AE9" s="83"/>
    </row>
  </sheetData>
  <mergeCells count="7">
    <mergeCell ref="T4:Y4"/>
    <mergeCell ref="Z4:AD4"/>
    <mergeCell ref="B4:B5"/>
    <mergeCell ref="C4:F4"/>
    <mergeCell ref="G4:H4"/>
    <mergeCell ref="K4:O4"/>
    <mergeCell ref="P4:S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8.7109375" customWidth="1"/>
    <col min="2" max="2" width="18.85546875" customWidth="1"/>
    <col min="3" max="3" width="6.85546875" customWidth="1"/>
    <col min="4" max="4" width="11.42578125" customWidth="1"/>
    <col min="5" max="5" width="12.85546875" customWidth="1"/>
    <col min="6" max="6" width="11.28515625" customWidth="1"/>
    <col min="7" max="80" width="8.7109375" customWidth="1"/>
    <col min="81" max="81" width="10.42578125" customWidth="1"/>
    <col min="82" max="98" width="8.7109375" customWidth="1"/>
    <col min="99" max="99" width="6.42578125" customWidth="1"/>
    <col min="100" max="100" width="14.5703125" customWidth="1"/>
  </cols>
  <sheetData>
    <row r="1" spans="1:100">
      <c r="A1" s="479" t="s">
        <v>927</v>
      </c>
      <c r="B1" s="480"/>
      <c r="C1" s="479" t="s">
        <v>928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56"/>
      <c r="AN1" s="461"/>
      <c r="AO1" s="460" t="s">
        <v>10</v>
      </c>
      <c r="AP1" s="456"/>
      <c r="AQ1" s="461"/>
      <c r="AR1" s="462" t="s">
        <v>11</v>
      </c>
      <c r="AS1" s="456"/>
      <c r="AT1" s="456"/>
      <c r="AU1" s="463" t="s">
        <v>12</v>
      </c>
      <c r="AV1" s="464"/>
      <c r="AW1" s="460" t="s">
        <v>13</v>
      </c>
      <c r="AX1" s="456"/>
      <c r="AY1" s="456"/>
      <c r="AZ1" s="456"/>
      <c r="BA1" s="461"/>
      <c r="BB1" s="467" t="s">
        <v>14</v>
      </c>
      <c r="BC1" s="468"/>
      <c r="BD1" s="468"/>
      <c r="BE1" s="468"/>
      <c r="BF1" s="469"/>
      <c r="BG1" s="470" t="s">
        <v>15</v>
      </c>
      <c r="BH1" s="471"/>
      <c r="BI1" s="490" t="s">
        <v>16</v>
      </c>
      <c r="BJ1" s="491"/>
      <c r="BK1" s="491"/>
      <c r="BL1" s="491"/>
      <c r="BM1" s="491"/>
      <c r="BN1" s="492"/>
      <c r="BO1" s="455" t="s">
        <v>17</v>
      </c>
      <c r="BP1" s="456"/>
      <c r="BQ1" s="461"/>
      <c r="BR1" s="475" t="s">
        <v>18</v>
      </c>
      <c r="BS1" s="476"/>
      <c r="BT1" s="3"/>
      <c r="BU1" s="3"/>
      <c r="BV1" s="475" t="s">
        <v>19</v>
      </c>
      <c r="BW1" s="473"/>
      <c r="BX1" s="473"/>
      <c r="BY1" s="473"/>
      <c r="BZ1" s="473"/>
      <c r="CA1" s="463" t="s">
        <v>20</v>
      </c>
      <c r="CB1" s="456"/>
      <c r="CC1" s="461"/>
      <c r="CD1" s="465" t="s">
        <v>21</v>
      </c>
      <c r="CE1" s="466"/>
      <c r="CF1" s="4" t="s">
        <v>22</v>
      </c>
      <c r="CG1" s="465" t="s">
        <v>23</v>
      </c>
      <c r="CH1" s="468"/>
      <c r="CI1" s="469"/>
      <c r="CJ1" s="463" t="s">
        <v>16</v>
      </c>
      <c r="CK1" s="456"/>
      <c r="CL1" s="456"/>
      <c r="CM1" s="464"/>
      <c r="CN1" s="455" t="s">
        <v>24</v>
      </c>
      <c r="CO1" s="456"/>
      <c r="CP1" s="457" t="s">
        <v>25</v>
      </c>
      <c r="CQ1" s="456"/>
      <c r="CR1" s="5"/>
      <c r="CS1" s="6" t="s">
        <v>26</v>
      </c>
      <c r="CT1" s="7"/>
      <c r="CU1" s="8"/>
      <c r="CV1" s="9"/>
    </row>
    <row r="2" spans="1:100" ht="30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4"/>
      <c r="AN2" s="95"/>
      <c r="AO2" s="101"/>
      <c r="AP2" s="102"/>
      <c r="AQ2" s="103"/>
      <c r="AR2" s="93"/>
      <c r="AS2" s="94"/>
      <c r="AT2" s="94"/>
      <c r="AU2" s="98"/>
      <c r="AV2" s="100"/>
      <c r="AW2" s="101"/>
      <c r="AX2" s="102"/>
      <c r="AY2" s="102"/>
      <c r="AZ2" s="102"/>
      <c r="BA2" s="103"/>
      <c r="BB2" s="102"/>
      <c r="BC2" s="102"/>
      <c r="BD2" s="102"/>
      <c r="BE2" s="102"/>
      <c r="BF2" s="103"/>
      <c r="BG2" s="104"/>
      <c r="BH2" s="100"/>
      <c r="BI2" s="489" t="s">
        <v>78</v>
      </c>
      <c r="BJ2" s="480"/>
      <c r="BK2" s="489" t="s">
        <v>354</v>
      </c>
      <c r="BL2" s="481"/>
      <c r="BM2" s="481"/>
      <c r="BN2" s="480"/>
      <c r="BO2" s="102"/>
      <c r="BP2" s="102"/>
      <c r="BQ2" s="102"/>
      <c r="BR2" s="2"/>
      <c r="BS2" s="3"/>
      <c r="BT2" s="3"/>
      <c r="BU2" s="3"/>
      <c r="BV2" s="2"/>
      <c r="BW2" s="3"/>
      <c r="BX2" s="3"/>
      <c r="BY2" s="3"/>
      <c r="BZ2" s="3"/>
      <c r="CA2" s="102"/>
      <c r="CB2" s="102"/>
      <c r="CC2" s="103"/>
      <c r="CD2" s="102"/>
      <c r="CE2" s="102"/>
      <c r="CF2" s="102"/>
      <c r="CG2" s="102"/>
      <c r="CH2" s="102"/>
      <c r="CI2" s="102"/>
      <c r="CJ2" s="494"/>
      <c r="CK2" s="495"/>
      <c r="CL2" s="495"/>
      <c r="CM2" s="495"/>
      <c r="CN2" s="100"/>
      <c r="CO2" s="102"/>
      <c r="CP2" s="96"/>
      <c r="CQ2" s="105"/>
      <c r="CR2" s="105" t="s">
        <v>893</v>
      </c>
      <c r="CS2" s="106"/>
      <c r="CT2" s="107"/>
      <c r="CU2" s="8"/>
      <c r="CV2" s="8"/>
    </row>
    <row r="3" spans="1:100" ht="30.75" customHeight="1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110" t="s">
        <v>894</v>
      </c>
      <c r="AN3" s="26" t="s">
        <v>929</v>
      </c>
      <c r="AO3" s="20" t="s">
        <v>67</v>
      </c>
      <c r="AP3" s="21" t="s">
        <v>68</v>
      </c>
      <c r="AQ3" s="23" t="s">
        <v>69</v>
      </c>
      <c r="AR3" s="20" t="s">
        <v>70</v>
      </c>
      <c r="AS3" s="21" t="s">
        <v>71</v>
      </c>
      <c r="AT3" s="22" t="s">
        <v>72</v>
      </c>
      <c r="AU3" s="20" t="s">
        <v>56</v>
      </c>
      <c r="AV3" s="22" t="s">
        <v>73</v>
      </c>
      <c r="AW3" s="20" t="s">
        <v>46</v>
      </c>
      <c r="AX3" s="21" t="s">
        <v>74</v>
      </c>
      <c r="AY3" s="27" t="s">
        <v>75</v>
      </c>
      <c r="AZ3" s="27" t="s">
        <v>76</v>
      </c>
      <c r="BA3" s="23" t="s">
        <v>77</v>
      </c>
      <c r="BB3" s="28" t="s">
        <v>56</v>
      </c>
      <c r="BC3" s="29" t="s">
        <v>78</v>
      </c>
      <c r="BD3" s="29" t="s">
        <v>79</v>
      </c>
      <c r="BE3" s="29" t="s">
        <v>80</v>
      </c>
      <c r="BF3" s="30" t="s">
        <v>38</v>
      </c>
      <c r="BG3" s="31" t="s">
        <v>81</v>
      </c>
      <c r="BH3" s="32" t="s">
        <v>82</v>
      </c>
      <c r="BI3" s="33" t="s">
        <v>83</v>
      </c>
      <c r="BJ3" s="29" t="s">
        <v>81</v>
      </c>
      <c r="BK3" s="111" t="s">
        <v>96</v>
      </c>
      <c r="BL3" s="29" t="s">
        <v>84</v>
      </c>
      <c r="BM3" s="29" t="s">
        <v>85</v>
      </c>
      <c r="BN3" s="29" t="s">
        <v>86</v>
      </c>
      <c r="BO3" s="21" t="s">
        <v>73</v>
      </c>
      <c r="BP3" s="34" t="s">
        <v>87</v>
      </c>
      <c r="BQ3" s="22" t="s">
        <v>56</v>
      </c>
      <c r="BR3" s="35" t="s">
        <v>83</v>
      </c>
      <c r="BS3" s="36" t="s">
        <v>88</v>
      </c>
      <c r="BT3" s="37" t="s">
        <v>89</v>
      </c>
      <c r="BU3" s="37"/>
      <c r="BV3" s="35" t="s">
        <v>90</v>
      </c>
      <c r="BW3" s="38" t="s">
        <v>91</v>
      </c>
      <c r="BX3" s="38" t="s">
        <v>92</v>
      </c>
      <c r="BY3" s="38" t="s">
        <v>93</v>
      </c>
      <c r="BZ3" s="39" t="s">
        <v>94</v>
      </c>
      <c r="CA3" s="40" t="s">
        <v>56</v>
      </c>
      <c r="CB3" s="40" t="s">
        <v>73</v>
      </c>
      <c r="CC3" s="41" t="s">
        <v>22</v>
      </c>
      <c r="CD3" s="40" t="s">
        <v>56</v>
      </c>
      <c r="CE3" s="29" t="s">
        <v>73</v>
      </c>
      <c r="CF3" s="29" t="s">
        <v>95</v>
      </c>
      <c r="CG3" s="29" t="s">
        <v>83</v>
      </c>
      <c r="CH3" s="29" t="s">
        <v>88</v>
      </c>
      <c r="CI3" s="29" t="s">
        <v>896</v>
      </c>
      <c r="CJ3" s="20" t="s">
        <v>96</v>
      </c>
      <c r="CK3" s="42" t="s">
        <v>97</v>
      </c>
      <c r="CL3" s="21" t="s">
        <v>98</v>
      </c>
      <c r="CM3" s="42" t="s">
        <v>930</v>
      </c>
      <c r="CN3" s="21" t="s">
        <v>73</v>
      </c>
      <c r="CO3" s="22" t="s">
        <v>56</v>
      </c>
      <c r="CP3" s="20" t="s">
        <v>99</v>
      </c>
      <c r="CQ3" s="22" t="s">
        <v>56</v>
      </c>
      <c r="CR3" s="43"/>
      <c r="CS3" s="458" t="s">
        <v>100</v>
      </c>
      <c r="CT3" s="459"/>
      <c r="CU3" s="44" t="s">
        <v>101</v>
      </c>
      <c r="CV3" s="45" t="s">
        <v>102</v>
      </c>
    </row>
    <row r="4" spans="1:100">
      <c r="A4" s="46" t="s">
        <v>931</v>
      </c>
      <c r="B4" s="46" t="s">
        <v>932</v>
      </c>
      <c r="C4" s="47">
        <v>17</v>
      </c>
      <c r="D4" s="46" t="s">
        <v>933</v>
      </c>
      <c r="E4" s="46" t="s">
        <v>191</v>
      </c>
      <c r="F4" s="46" t="s">
        <v>145</v>
      </c>
      <c r="J4" s="46">
        <v>1</v>
      </c>
      <c r="M4" s="46">
        <v>1</v>
      </c>
      <c r="Q4" s="46">
        <v>1</v>
      </c>
      <c r="U4" s="46">
        <v>1</v>
      </c>
      <c r="W4" s="46">
        <v>14</v>
      </c>
      <c r="X4" s="46">
        <v>16</v>
      </c>
      <c r="Y4" s="46">
        <v>16</v>
      </c>
      <c r="Z4" s="46">
        <v>1</v>
      </c>
      <c r="AA4" s="46">
        <v>1</v>
      </c>
      <c r="AB4" s="46">
        <v>1</v>
      </c>
      <c r="AE4" s="46">
        <v>1</v>
      </c>
      <c r="AH4" s="46">
        <v>1</v>
      </c>
      <c r="AJ4" s="46">
        <v>1</v>
      </c>
      <c r="AK4" s="46">
        <v>1</v>
      </c>
      <c r="AU4" s="46">
        <v>1</v>
      </c>
      <c r="AX4" s="46">
        <v>1</v>
      </c>
      <c r="BB4" s="46">
        <v>1</v>
      </c>
      <c r="BJ4" s="46">
        <v>1</v>
      </c>
      <c r="CA4" s="46">
        <v>1</v>
      </c>
      <c r="CD4" s="46">
        <v>1</v>
      </c>
      <c r="CJ4" s="46">
        <v>1</v>
      </c>
      <c r="CV4" s="50">
        <v>46419</v>
      </c>
    </row>
    <row r="5" spans="1:100">
      <c r="A5" s="46" t="s">
        <v>934</v>
      </c>
      <c r="B5" s="46" t="s">
        <v>935</v>
      </c>
      <c r="C5" s="47">
        <v>24</v>
      </c>
      <c r="D5" s="46" t="s">
        <v>936</v>
      </c>
      <c r="E5" s="46" t="s">
        <v>937</v>
      </c>
      <c r="F5" s="46" t="s">
        <v>330</v>
      </c>
      <c r="G5" s="46">
        <v>1</v>
      </c>
      <c r="M5" s="46">
        <v>1</v>
      </c>
      <c r="Q5" s="46">
        <v>1</v>
      </c>
      <c r="U5" s="46">
        <v>1</v>
      </c>
      <c r="W5" s="46">
        <v>13</v>
      </c>
      <c r="X5" s="46">
        <v>20</v>
      </c>
      <c r="Y5" s="46">
        <v>20</v>
      </c>
      <c r="Z5" s="46">
        <v>3</v>
      </c>
      <c r="AA5" s="46">
        <v>2</v>
      </c>
      <c r="AB5" s="46">
        <v>2</v>
      </c>
      <c r="AC5" s="46">
        <v>1</v>
      </c>
      <c r="AJ5" s="46">
        <v>1</v>
      </c>
      <c r="AK5" s="46">
        <v>1</v>
      </c>
      <c r="AU5" s="46">
        <v>1</v>
      </c>
      <c r="AX5" s="46">
        <v>1</v>
      </c>
      <c r="BB5" s="46">
        <v>1</v>
      </c>
      <c r="BJ5" s="46">
        <v>1</v>
      </c>
      <c r="CB5" s="46">
        <v>1</v>
      </c>
      <c r="CC5" s="46" t="s">
        <v>938</v>
      </c>
      <c r="CD5" s="46">
        <v>1</v>
      </c>
      <c r="CJ5" s="52"/>
      <c r="CM5" s="46">
        <v>1</v>
      </c>
      <c r="CV5" s="50">
        <v>45352</v>
      </c>
    </row>
    <row r="6" spans="1:100">
      <c r="A6" s="46" t="s">
        <v>939</v>
      </c>
      <c r="B6" s="46" t="s">
        <v>940</v>
      </c>
      <c r="C6" s="47">
        <v>54</v>
      </c>
      <c r="D6" s="46" t="s">
        <v>941</v>
      </c>
      <c r="E6" s="46" t="s">
        <v>191</v>
      </c>
      <c r="F6" s="46" t="s">
        <v>942</v>
      </c>
      <c r="G6" s="46">
        <v>1</v>
      </c>
      <c r="P6" s="46">
        <v>1</v>
      </c>
      <c r="Q6" s="46">
        <v>1</v>
      </c>
      <c r="S6" s="46">
        <v>1</v>
      </c>
      <c r="W6" s="46">
        <v>13</v>
      </c>
      <c r="X6" s="46">
        <v>23</v>
      </c>
      <c r="Y6" s="46">
        <v>24</v>
      </c>
      <c r="Z6" s="46">
        <v>8</v>
      </c>
      <c r="AA6" s="46">
        <v>8</v>
      </c>
      <c r="AB6" s="46">
        <v>8</v>
      </c>
      <c r="AD6" s="46">
        <v>1</v>
      </c>
      <c r="AG6" s="46">
        <v>1</v>
      </c>
      <c r="AH6" s="46">
        <v>1</v>
      </c>
      <c r="AI6" s="46">
        <v>1</v>
      </c>
      <c r="AK6" s="46">
        <v>1</v>
      </c>
      <c r="AU6" s="46">
        <v>1</v>
      </c>
      <c r="AX6" s="46">
        <v>1</v>
      </c>
      <c r="BB6" s="46">
        <v>1</v>
      </c>
      <c r="BK6" s="46"/>
      <c r="BL6" s="46">
        <v>1</v>
      </c>
      <c r="BT6" s="46">
        <v>1</v>
      </c>
      <c r="BY6" s="46">
        <v>1</v>
      </c>
      <c r="CA6" s="46">
        <v>1</v>
      </c>
      <c r="CD6" s="46">
        <v>1</v>
      </c>
      <c r="CJ6" s="46">
        <v>1</v>
      </c>
      <c r="CV6" s="46" t="s">
        <v>943</v>
      </c>
    </row>
    <row r="7" spans="1:100">
      <c r="A7" s="108" t="s">
        <v>944</v>
      </c>
      <c r="B7" s="108" t="s">
        <v>945</v>
      </c>
      <c r="C7" s="112">
        <v>19</v>
      </c>
      <c r="D7" s="108" t="s">
        <v>941</v>
      </c>
      <c r="E7" s="108" t="s">
        <v>946</v>
      </c>
      <c r="F7" s="108" t="s">
        <v>107</v>
      </c>
      <c r="G7" s="109"/>
      <c r="H7" s="109"/>
      <c r="I7" s="108">
        <v>1</v>
      </c>
      <c r="J7" s="109"/>
      <c r="K7" s="109"/>
      <c r="L7" s="109"/>
      <c r="M7" s="109"/>
      <c r="N7" s="108">
        <v>1</v>
      </c>
      <c r="O7" s="109"/>
      <c r="P7" s="109"/>
      <c r="Q7" s="108">
        <v>1</v>
      </c>
      <c r="R7" s="109"/>
      <c r="S7" s="109"/>
      <c r="T7" s="108">
        <v>1</v>
      </c>
      <c r="U7" s="109"/>
      <c r="V7" s="109"/>
      <c r="W7" s="108">
        <v>13</v>
      </c>
      <c r="X7" s="108">
        <v>17</v>
      </c>
      <c r="Y7" s="108">
        <v>18</v>
      </c>
      <c r="Z7" s="108">
        <v>1</v>
      </c>
      <c r="AA7" s="108">
        <v>1</v>
      </c>
      <c r="AB7" s="108">
        <v>1</v>
      </c>
      <c r="AC7" s="109"/>
      <c r="AD7" s="109"/>
      <c r="AE7" s="109"/>
      <c r="AF7" s="109"/>
      <c r="AG7" s="108">
        <v>1</v>
      </c>
      <c r="AH7" s="108">
        <v>1</v>
      </c>
      <c r="AI7" s="109"/>
      <c r="AJ7" s="108">
        <v>1</v>
      </c>
      <c r="AK7" s="108">
        <v>1</v>
      </c>
      <c r="AL7" s="109"/>
      <c r="AM7" s="109"/>
      <c r="AN7" s="109"/>
      <c r="AO7" s="109"/>
      <c r="AP7" s="109"/>
      <c r="AQ7" s="109"/>
      <c r="AR7" s="109"/>
      <c r="AS7" s="109"/>
      <c r="AT7" s="109"/>
      <c r="AU7" s="108">
        <v>1</v>
      </c>
      <c r="AV7" s="109"/>
      <c r="AW7" s="109"/>
      <c r="AX7" s="108">
        <v>1</v>
      </c>
      <c r="AY7" s="109"/>
      <c r="AZ7" s="109"/>
      <c r="BA7" s="109"/>
      <c r="BB7" s="108">
        <v>1</v>
      </c>
      <c r="BC7" s="109"/>
      <c r="BD7" s="109"/>
      <c r="BE7" s="109"/>
      <c r="BF7" s="109"/>
      <c r="BG7" s="109"/>
      <c r="BH7" s="109"/>
      <c r="BI7" s="109"/>
      <c r="BJ7" s="109"/>
      <c r="BK7" s="108">
        <v>1</v>
      </c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8">
        <v>1</v>
      </c>
      <c r="BX7" s="108">
        <v>1</v>
      </c>
      <c r="BY7" s="109"/>
      <c r="BZ7" s="109"/>
      <c r="CA7" s="108">
        <v>1</v>
      </c>
      <c r="CB7" s="109"/>
      <c r="CC7" s="109"/>
      <c r="CD7" s="108">
        <v>1</v>
      </c>
      <c r="CE7" s="109"/>
      <c r="CF7" s="109"/>
      <c r="CG7" s="109"/>
      <c r="CH7" s="109"/>
      <c r="CI7" s="109"/>
      <c r="CJ7" s="108">
        <v>1</v>
      </c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8" t="s">
        <v>947</v>
      </c>
    </row>
    <row r="8" spans="1:100">
      <c r="A8" s="46" t="s">
        <v>948</v>
      </c>
      <c r="B8" s="46" t="s">
        <v>949</v>
      </c>
      <c r="C8" s="47">
        <v>47</v>
      </c>
      <c r="D8" s="46" t="s">
        <v>933</v>
      </c>
      <c r="E8" s="46" t="s">
        <v>950</v>
      </c>
      <c r="F8" s="46" t="s">
        <v>951</v>
      </c>
      <c r="I8" s="46">
        <v>1</v>
      </c>
      <c r="O8" s="46">
        <v>1</v>
      </c>
      <c r="R8" s="46">
        <v>1</v>
      </c>
      <c r="T8" s="46">
        <v>1</v>
      </c>
      <c r="W8" s="46">
        <v>14</v>
      </c>
      <c r="X8" s="46">
        <v>17</v>
      </c>
      <c r="Y8" s="46">
        <v>18</v>
      </c>
      <c r="Z8" s="46">
        <v>17</v>
      </c>
      <c r="AA8" s="46">
        <v>17</v>
      </c>
      <c r="AB8" s="46">
        <v>5</v>
      </c>
      <c r="AE8" s="46">
        <v>1</v>
      </c>
      <c r="AG8" s="46">
        <v>1</v>
      </c>
      <c r="AH8" s="46">
        <v>1</v>
      </c>
      <c r="AM8" s="46"/>
      <c r="AN8" s="46">
        <v>1</v>
      </c>
      <c r="AU8" s="46">
        <v>1</v>
      </c>
      <c r="AX8" s="46">
        <v>1</v>
      </c>
      <c r="BB8" s="46">
        <v>1</v>
      </c>
      <c r="BK8" s="46"/>
      <c r="BL8" s="46">
        <v>1</v>
      </c>
      <c r="BO8" s="46">
        <v>1</v>
      </c>
      <c r="BP8" s="46" t="s">
        <v>952</v>
      </c>
      <c r="BY8" s="52"/>
      <c r="CA8" s="46">
        <v>1</v>
      </c>
      <c r="CD8" s="46">
        <v>1</v>
      </c>
      <c r="CJ8" s="46">
        <v>1</v>
      </c>
      <c r="CV8" s="46" t="s">
        <v>947</v>
      </c>
    </row>
    <row r="9" spans="1:100">
      <c r="A9" s="46" t="s">
        <v>953</v>
      </c>
      <c r="B9" s="46" t="s">
        <v>954</v>
      </c>
      <c r="C9" s="47">
        <v>20</v>
      </c>
      <c r="D9" s="46" t="s">
        <v>941</v>
      </c>
      <c r="E9" s="46" t="s">
        <v>955</v>
      </c>
      <c r="F9" s="46" t="s">
        <v>942</v>
      </c>
      <c r="G9" s="46">
        <v>1</v>
      </c>
      <c r="M9" s="46">
        <v>1</v>
      </c>
      <c r="Q9" s="46">
        <v>1</v>
      </c>
      <c r="S9" s="46">
        <v>1</v>
      </c>
      <c r="W9" s="46">
        <v>17</v>
      </c>
      <c r="X9" s="46">
        <v>18</v>
      </c>
      <c r="Y9" s="54" t="s">
        <v>191</v>
      </c>
      <c r="Z9" s="46">
        <v>0</v>
      </c>
      <c r="AA9" s="46">
        <v>0</v>
      </c>
      <c r="AB9" s="46">
        <v>0</v>
      </c>
      <c r="AG9" s="46">
        <v>1</v>
      </c>
      <c r="AH9" s="46">
        <v>1</v>
      </c>
      <c r="AI9" s="113"/>
      <c r="AJ9" s="113"/>
      <c r="AK9" s="46">
        <v>1</v>
      </c>
      <c r="AU9" s="46">
        <v>1</v>
      </c>
      <c r="AX9" s="46">
        <v>1</v>
      </c>
      <c r="BB9" s="46">
        <v>1</v>
      </c>
      <c r="BJ9" s="46">
        <v>1</v>
      </c>
      <c r="CA9" s="46">
        <v>1</v>
      </c>
      <c r="CD9" s="46">
        <v>1</v>
      </c>
      <c r="CJ9" s="52"/>
      <c r="CM9" s="46">
        <v>1</v>
      </c>
      <c r="CV9" s="50">
        <v>46424</v>
      </c>
    </row>
    <row r="10" spans="1:100">
      <c r="A10" s="46" t="s">
        <v>956</v>
      </c>
      <c r="B10" s="46" t="s">
        <v>957</v>
      </c>
      <c r="C10" s="47">
        <v>19</v>
      </c>
      <c r="D10" s="46" t="s">
        <v>941</v>
      </c>
      <c r="E10" s="46" t="s">
        <v>958</v>
      </c>
      <c r="F10" s="46" t="s">
        <v>145</v>
      </c>
      <c r="G10" s="46">
        <v>1</v>
      </c>
      <c r="N10" s="46">
        <v>1</v>
      </c>
      <c r="Q10" s="46">
        <v>1</v>
      </c>
      <c r="U10" s="46">
        <v>1</v>
      </c>
      <c r="W10" s="46">
        <v>14</v>
      </c>
      <c r="X10" s="46">
        <v>15</v>
      </c>
      <c r="Y10" s="46">
        <v>16</v>
      </c>
      <c r="Z10" s="46">
        <v>1</v>
      </c>
      <c r="AA10" s="46">
        <v>1</v>
      </c>
      <c r="AB10" s="46">
        <v>1</v>
      </c>
      <c r="AH10" s="46">
        <v>1</v>
      </c>
      <c r="AI10" s="46">
        <v>1</v>
      </c>
      <c r="AK10" s="46">
        <v>1</v>
      </c>
      <c r="AU10" s="46">
        <v>1</v>
      </c>
      <c r="AX10" s="46">
        <v>1</v>
      </c>
      <c r="BB10" s="46">
        <v>1</v>
      </c>
      <c r="BJ10" s="46">
        <v>1</v>
      </c>
      <c r="CA10" s="46">
        <v>1</v>
      </c>
      <c r="CD10" s="46">
        <v>1</v>
      </c>
      <c r="CM10" s="46">
        <v>1</v>
      </c>
      <c r="CV10" s="50">
        <v>46425</v>
      </c>
    </row>
    <row r="11" spans="1:100">
      <c r="A11" s="46" t="s">
        <v>959</v>
      </c>
      <c r="B11" s="46" t="s">
        <v>960</v>
      </c>
      <c r="C11" s="47">
        <v>24</v>
      </c>
      <c r="D11" s="46" t="s">
        <v>936</v>
      </c>
      <c r="E11" s="46" t="s">
        <v>961</v>
      </c>
      <c r="F11" s="46" t="s">
        <v>107</v>
      </c>
      <c r="I11" s="46">
        <v>1</v>
      </c>
      <c r="N11" s="46">
        <v>1</v>
      </c>
      <c r="Q11" s="46">
        <v>1</v>
      </c>
      <c r="U11" s="46">
        <v>1</v>
      </c>
      <c r="W11" s="46">
        <v>15</v>
      </c>
      <c r="X11" s="46">
        <v>20</v>
      </c>
      <c r="Y11" s="46">
        <v>23</v>
      </c>
      <c r="Z11" s="46">
        <v>1</v>
      </c>
      <c r="AA11" s="46">
        <v>1</v>
      </c>
      <c r="AB11" s="46">
        <v>1</v>
      </c>
      <c r="AC11" s="46">
        <v>1</v>
      </c>
      <c r="AJ11" s="46">
        <v>1</v>
      </c>
      <c r="AK11" s="46">
        <v>1</v>
      </c>
      <c r="AU11" s="46">
        <v>1</v>
      </c>
      <c r="AX11" s="46">
        <v>1</v>
      </c>
      <c r="BC11" s="46">
        <v>1</v>
      </c>
      <c r="BG11" s="46">
        <v>1</v>
      </c>
      <c r="BJ11" s="46">
        <v>1</v>
      </c>
      <c r="CA11" s="46">
        <v>1</v>
      </c>
      <c r="CD11" s="46">
        <v>1</v>
      </c>
      <c r="CJ11" s="52"/>
      <c r="CM11" s="46">
        <v>1</v>
      </c>
      <c r="CV11" s="50">
        <v>46426</v>
      </c>
    </row>
    <row r="12" spans="1:100">
      <c r="A12" s="46" t="s">
        <v>962</v>
      </c>
      <c r="B12" s="46" t="s">
        <v>963</v>
      </c>
      <c r="C12" s="47">
        <v>40</v>
      </c>
      <c r="D12" s="46" t="s">
        <v>941</v>
      </c>
      <c r="E12" s="46" t="s">
        <v>964</v>
      </c>
      <c r="F12" s="46" t="s">
        <v>107</v>
      </c>
      <c r="K12" s="46">
        <v>1</v>
      </c>
      <c r="M12" s="46">
        <v>1</v>
      </c>
      <c r="Q12" s="46">
        <v>1</v>
      </c>
      <c r="U12" s="46">
        <v>1</v>
      </c>
      <c r="W12" s="46">
        <v>13</v>
      </c>
      <c r="X12" s="46">
        <v>17</v>
      </c>
      <c r="Y12" s="46">
        <v>18</v>
      </c>
      <c r="Z12" s="46">
        <v>9</v>
      </c>
      <c r="AA12" s="46">
        <v>7</v>
      </c>
      <c r="AB12" s="46">
        <v>7</v>
      </c>
      <c r="AG12" s="46">
        <v>1</v>
      </c>
      <c r="AH12" s="46">
        <v>1</v>
      </c>
      <c r="AI12" s="46">
        <v>1</v>
      </c>
      <c r="AK12" s="46">
        <v>1</v>
      </c>
      <c r="AU12" s="46">
        <v>1</v>
      </c>
      <c r="AY12" s="46">
        <v>1</v>
      </c>
      <c r="BB12" s="46">
        <v>1</v>
      </c>
      <c r="BJ12" s="46">
        <v>1</v>
      </c>
      <c r="CA12" s="46">
        <v>1</v>
      </c>
      <c r="CD12" s="46">
        <v>1</v>
      </c>
      <c r="CM12" s="46">
        <v>1</v>
      </c>
      <c r="CV12" s="50">
        <v>46427</v>
      </c>
    </row>
    <row r="13" spans="1:100">
      <c r="A13" s="46" t="s">
        <v>965</v>
      </c>
      <c r="B13" s="46" t="s">
        <v>966</v>
      </c>
      <c r="C13" s="47">
        <v>24</v>
      </c>
      <c r="D13" s="46" t="s">
        <v>941</v>
      </c>
      <c r="E13" s="46" t="s">
        <v>191</v>
      </c>
      <c r="F13" s="46" t="s">
        <v>942</v>
      </c>
      <c r="G13" s="46">
        <v>1</v>
      </c>
      <c r="M13" s="46">
        <v>1</v>
      </c>
      <c r="R13" s="46">
        <v>1</v>
      </c>
      <c r="T13" s="46">
        <v>1</v>
      </c>
      <c r="W13" s="46">
        <v>9</v>
      </c>
      <c r="X13" s="46">
        <v>14</v>
      </c>
      <c r="Y13" s="46">
        <v>18</v>
      </c>
      <c r="Z13" s="46">
        <v>3</v>
      </c>
      <c r="AA13" s="46">
        <v>1</v>
      </c>
      <c r="AB13" s="46">
        <v>1</v>
      </c>
      <c r="AE13" s="46">
        <v>1</v>
      </c>
      <c r="AG13" s="46">
        <v>1</v>
      </c>
      <c r="AI13" s="46">
        <v>1</v>
      </c>
      <c r="AK13" s="46">
        <v>1</v>
      </c>
      <c r="AU13" s="46">
        <v>1</v>
      </c>
      <c r="AX13" s="46">
        <v>1</v>
      </c>
      <c r="BB13" s="46">
        <v>1</v>
      </c>
      <c r="BJ13" s="46">
        <v>1</v>
      </c>
      <c r="CA13" s="46">
        <v>1</v>
      </c>
      <c r="CD13" s="46">
        <v>1</v>
      </c>
      <c r="CJ13" s="46">
        <v>1</v>
      </c>
      <c r="CV13" s="50">
        <v>46428</v>
      </c>
    </row>
    <row r="14" spans="1:100">
      <c r="A14" s="46" t="s">
        <v>967</v>
      </c>
      <c r="B14" s="46" t="s">
        <v>968</v>
      </c>
      <c r="C14" s="47">
        <v>26</v>
      </c>
      <c r="D14" s="46" t="s">
        <v>933</v>
      </c>
      <c r="E14" s="46" t="s">
        <v>191</v>
      </c>
      <c r="F14" s="46" t="s">
        <v>942</v>
      </c>
      <c r="G14" s="46">
        <v>1</v>
      </c>
      <c r="M14" s="46">
        <v>1</v>
      </c>
      <c r="R14" s="46">
        <v>1</v>
      </c>
      <c r="T14" s="46">
        <v>1</v>
      </c>
      <c r="W14" s="46">
        <v>16</v>
      </c>
      <c r="X14" s="46">
        <v>16</v>
      </c>
      <c r="Y14" s="46">
        <v>18</v>
      </c>
      <c r="Z14" s="46">
        <v>4</v>
      </c>
      <c r="AA14" s="46">
        <v>3</v>
      </c>
      <c r="AB14" s="46">
        <v>3</v>
      </c>
      <c r="AG14" s="46">
        <v>1</v>
      </c>
      <c r="AI14" s="46">
        <v>1</v>
      </c>
      <c r="AK14" s="46">
        <v>1</v>
      </c>
      <c r="AU14" s="46">
        <v>1</v>
      </c>
      <c r="AX14" s="46">
        <v>1</v>
      </c>
      <c r="BB14" s="46">
        <v>1</v>
      </c>
      <c r="BJ14" s="46">
        <v>1</v>
      </c>
      <c r="CA14" s="46">
        <v>1</v>
      </c>
      <c r="CD14" s="46">
        <v>1</v>
      </c>
      <c r="CM14" s="46">
        <v>1</v>
      </c>
      <c r="CV14" s="50">
        <v>46429</v>
      </c>
    </row>
    <row r="15" spans="1:100">
      <c r="A15" s="46" t="s">
        <v>969</v>
      </c>
      <c r="B15" s="46" t="s">
        <v>970</v>
      </c>
      <c r="C15" s="47">
        <v>41</v>
      </c>
      <c r="D15" s="46" t="s">
        <v>933</v>
      </c>
      <c r="E15" s="46" t="s">
        <v>971</v>
      </c>
      <c r="F15" s="46" t="s">
        <v>972</v>
      </c>
      <c r="J15" s="46">
        <v>1</v>
      </c>
      <c r="N15" s="46">
        <v>1</v>
      </c>
      <c r="R15" s="46">
        <v>1</v>
      </c>
      <c r="T15" s="46">
        <v>1</v>
      </c>
      <c r="W15" s="46">
        <v>15</v>
      </c>
      <c r="X15" s="46">
        <v>20</v>
      </c>
      <c r="Y15" s="46">
        <v>20</v>
      </c>
      <c r="Z15" s="46">
        <v>6</v>
      </c>
      <c r="AA15" s="46">
        <v>5</v>
      </c>
      <c r="AB15" s="46">
        <v>5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U15" s="46">
        <v>1</v>
      </c>
      <c r="AX15" s="46">
        <v>1</v>
      </c>
      <c r="BC15" s="46">
        <v>1</v>
      </c>
      <c r="BG15" s="46">
        <v>1</v>
      </c>
      <c r="BJ15" s="46">
        <v>1</v>
      </c>
      <c r="CA15" s="46">
        <v>1</v>
      </c>
      <c r="CD15" s="46">
        <v>1</v>
      </c>
      <c r="CM15" s="46">
        <v>1</v>
      </c>
      <c r="CV15" s="50">
        <v>46430</v>
      </c>
    </row>
    <row r="16" spans="1:100">
      <c r="A16" s="46" t="s">
        <v>973</v>
      </c>
      <c r="B16" s="46" t="s">
        <v>974</v>
      </c>
      <c r="C16" s="47">
        <v>24</v>
      </c>
      <c r="D16" s="46" t="s">
        <v>941</v>
      </c>
      <c r="E16" s="46" t="s">
        <v>975</v>
      </c>
      <c r="F16" s="46" t="s">
        <v>145</v>
      </c>
      <c r="J16" s="46">
        <v>1</v>
      </c>
      <c r="N16" s="46">
        <v>1</v>
      </c>
      <c r="Q16" s="46">
        <v>1</v>
      </c>
      <c r="U16" s="46">
        <v>1</v>
      </c>
      <c r="W16" s="46">
        <v>18</v>
      </c>
      <c r="X16" s="46">
        <v>18</v>
      </c>
      <c r="Y16" s="46">
        <v>19</v>
      </c>
      <c r="Z16" s="46">
        <v>2</v>
      </c>
      <c r="AA16" s="46">
        <v>2</v>
      </c>
      <c r="AB16" s="46">
        <v>2</v>
      </c>
      <c r="AD16" s="46">
        <v>1</v>
      </c>
      <c r="AE16" s="46">
        <v>1</v>
      </c>
      <c r="AG16" s="46">
        <v>1</v>
      </c>
      <c r="AH16" s="46">
        <v>1</v>
      </c>
      <c r="AJ16" s="46">
        <v>1</v>
      </c>
      <c r="AK16" s="46">
        <v>1</v>
      </c>
      <c r="AU16" s="46">
        <v>1</v>
      </c>
      <c r="AX16" s="46">
        <v>1</v>
      </c>
      <c r="BB16" s="46">
        <v>1</v>
      </c>
      <c r="BJ16" s="46">
        <v>1</v>
      </c>
      <c r="BX16" s="46">
        <v>1</v>
      </c>
      <c r="CA16" s="46">
        <v>1</v>
      </c>
      <c r="CD16" s="46">
        <v>1</v>
      </c>
      <c r="CM16" s="46">
        <v>1</v>
      </c>
      <c r="CV16" s="50">
        <v>46431</v>
      </c>
    </row>
    <row r="17" spans="1:100">
      <c r="A17" s="46" t="s">
        <v>976</v>
      </c>
      <c r="B17" s="46" t="s">
        <v>977</v>
      </c>
      <c r="C17" s="47">
        <v>39</v>
      </c>
      <c r="D17" s="46" t="s">
        <v>941</v>
      </c>
      <c r="E17" s="46" t="s">
        <v>978</v>
      </c>
      <c r="F17" s="46" t="s">
        <v>107</v>
      </c>
      <c r="G17" s="113"/>
      <c r="H17" s="113"/>
      <c r="I17" s="113"/>
      <c r="J17" s="113"/>
      <c r="K17" s="113"/>
      <c r="M17" s="46">
        <v>1</v>
      </c>
      <c r="Q17" s="46">
        <v>1</v>
      </c>
      <c r="T17" s="46">
        <v>1</v>
      </c>
      <c r="W17" s="46">
        <v>15</v>
      </c>
      <c r="X17" s="46">
        <v>22</v>
      </c>
      <c r="Y17" s="46">
        <v>23</v>
      </c>
      <c r="Z17" s="46">
        <v>4</v>
      </c>
      <c r="AA17" s="46">
        <v>3</v>
      </c>
      <c r="AB17" s="46">
        <v>3</v>
      </c>
      <c r="AC17" s="46">
        <v>1</v>
      </c>
      <c r="AJ17" s="46">
        <v>1</v>
      </c>
      <c r="AK17" s="46">
        <v>1</v>
      </c>
      <c r="AU17" s="46">
        <v>1</v>
      </c>
      <c r="AX17" s="46">
        <v>1</v>
      </c>
      <c r="BC17" s="46">
        <v>1</v>
      </c>
      <c r="BG17" s="46">
        <v>1</v>
      </c>
      <c r="BJ17" s="46">
        <v>1</v>
      </c>
      <c r="CA17" s="46">
        <v>1</v>
      </c>
      <c r="CD17" s="46">
        <v>1</v>
      </c>
      <c r="CM17" s="46">
        <v>1</v>
      </c>
      <c r="CV17" s="50">
        <v>46432</v>
      </c>
    </row>
    <row r="18" spans="1:100">
      <c r="A18" s="46" t="s">
        <v>979</v>
      </c>
      <c r="B18" s="46" t="s">
        <v>980</v>
      </c>
      <c r="C18" s="47">
        <v>25</v>
      </c>
      <c r="D18" s="46" t="s">
        <v>941</v>
      </c>
      <c r="E18" s="46" t="s">
        <v>981</v>
      </c>
      <c r="F18" s="46" t="s">
        <v>982</v>
      </c>
      <c r="J18" s="46">
        <v>1</v>
      </c>
      <c r="M18" s="46">
        <v>1</v>
      </c>
      <c r="Q18" s="46">
        <v>1</v>
      </c>
      <c r="T18" s="46">
        <v>1</v>
      </c>
      <c r="W18" s="46">
        <v>16</v>
      </c>
      <c r="X18" s="46">
        <v>17</v>
      </c>
      <c r="Y18" s="46">
        <v>18</v>
      </c>
      <c r="Z18" s="46">
        <v>3</v>
      </c>
      <c r="AA18" s="46">
        <v>2</v>
      </c>
      <c r="AB18" s="46">
        <v>2</v>
      </c>
      <c r="AG18" s="46">
        <v>1</v>
      </c>
      <c r="AH18" s="46">
        <v>1</v>
      </c>
      <c r="AI18" s="46">
        <v>1</v>
      </c>
      <c r="AK18" s="46">
        <v>1</v>
      </c>
      <c r="AU18" s="46">
        <v>1</v>
      </c>
      <c r="AX18" s="46">
        <v>1</v>
      </c>
      <c r="BB18" s="46">
        <v>1</v>
      </c>
      <c r="BJ18" s="46">
        <v>1</v>
      </c>
      <c r="BX18" s="46">
        <v>1</v>
      </c>
      <c r="CB18" s="46">
        <v>1</v>
      </c>
      <c r="CC18" s="46" t="s">
        <v>983</v>
      </c>
      <c r="CD18" s="46">
        <v>1</v>
      </c>
      <c r="CM18" s="46">
        <v>1</v>
      </c>
      <c r="CV18" s="50">
        <v>46433</v>
      </c>
    </row>
    <row r="19" spans="1:100">
      <c r="A19" s="46" t="s">
        <v>984</v>
      </c>
      <c r="B19" s="46" t="s">
        <v>985</v>
      </c>
      <c r="C19" s="47">
        <v>20</v>
      </c>
      <c r="D19" s="46" t="s">
        <v>936</v>
      </c>
      <c r="E19" s="46" t="s">
        <v>986</v>
      </c>
      <c r="F19" s="46" t="s">
        <v>112</v>
      </c>
      <c r="I19" s="46">
        <v>1</v>
      </c>
      <c r="M19" s="46">
        <v>1</v>
      </c>
      <c r="Q19" s="46">
        <v>1</v>
      </c>
      <c r="U19" s="46">
        <v>1</v>
      </c>
      <c r="W19" s="46">
        <v>13</v>
      </c>
      <c r="X19" s="46">
        <v>18</v>
      </c>
      <c r="Y19" s="54" t="s">
        <v>191</v>
      </c>
      <c r="Z19" s="46">
        <v>0</v>
      </c>
      <c r="AA19" s="46">
        <v>0</v>
      </c>
      <c r="AB19" s="46">
        <v>0</v>
      </c>
      <c r="AD19" s="46">
        <v>1</v>
      </c>
      <c r="AH19" s="46">
        <v>1</v>
      </c>
      <c r="AI19" s="46">
        <v>1</v>
      </c>
      <c r="AK19" s="46">
        <v>1</v>
      </c>
      <c r="AU19" s="46">
        <v>1</v>
      </c>
      <c r="AX19" s="46">
        <v>1</v>
      </c>
      <c r="BB19" s="46">
        <v>1</v>
      </c>
      <c r="BJ19" s="46">
        <v>1</v>
      </c>
      <c r="CA19" s="46">
        <v>1</v>
      </c>
      <c r="CD19" s="46">
        <v>1</v>
      </c>
      <c r="CM19" s="46">
        <v>1</v>
      </c>
      <c r="CV19" s="50">
        <v>46434</v>
      </c>
    </row>
    <row r="20" spans="1:100">
      <c r="A20" s="46" t="s">
        <v>987</v>
      </c>
      <c r="B20" s="46" t="s">
        <v>988</v>
      </c>
      <c r="C20" s="47">
        <v>29</v>
      </c>
      <c r="D20" s="46" t="s">
        <v>941</v>
      </c>
      <c r="E20" s="46" t="s">
        <v>989</v>
      </c>
      <c r="F20" s="46" t="s">
        <v>112</v>
      </c>
      <c r="J20" s="46">
        <v>1</v>
      </c>
      <c r="M20" s="46">
        <v>1</v>
      </c>
      <c r="Q20" s="46">
        <v>1</v>
      </c>
      <c r="T20" s="46">
        <v>1</v>
      </c>
      <c r="W20" s="46">
        <v>12</v>
      </c>
      <c r="X20" s="46">
        <v>12</v>
      </c>
      <c r="Y20" s="46">
        <v>18</v>
      </c>
      <c r="Z20" s="46">
        <v>2</v>
      </c>
      <c r="AA20" s="46">
        <v>2</v>
      </c>
      <c r="AB20" s="46">
        <v>2</v>
      </c>
      <c r="AH20" s="46">
        <v>1</v>
      </c>
      <c r="AI20" s="113"/>
      <c r="AJ20" s="113"/>
      <c r="AK20" s="46">
        <v>1</v>
      </c>
      <c r="AU20" s="46">
        <v>1</v>
      </c>
      <c r="AX20" s="46">
        <v>1</v>
      </c>
      <c r="BB20" s="46">
        <v>1</v>
      </c>
      <c r="BJ20" s="46">
        <v>1</v>
      </c>
      <c r="CA20" s="46">
        <v>1</v>
      </c>
      <c r="CD20" s="46">
        <v>1</v>
      </c>
      <c r="CM20" s="46">
        <v>1</v>
      </c>
      <c r="CV20" s="50">
        <v>46435</v>
      </c>
    </row>
    <row r="21" spans="1:100" ht="15.75" customHeight="1">
      <c r="A21" s="46" t="s">
        <v>990</v>
      </c>
      <c r="B21" s="46" t="s">
        <v>991</v>
      </c>
      <c r="C21" s="47">
        <v>41</v>
      </c>
      <c r="D21" s="46" t="s">
        <v>941</v>
      </c>
      <c r="E21" s="46" t="s">
        <v>191</v>
      </c>
      <c r="F21" s="46" t="s">
        <v>112</v>
      </c>
      <c r="J21" s="46">
        <v>1</v>
      </c>
      <c r="N21" s="46">
        <v>1</v>
      </c>
      <c r="R21" s="46">
        <v>1</v>
      </c>
      <c r="S21" s="46">
        <v>1</v>
      </c>
      <c r="W21" s="46">
        <v>13</v>
      </c>
      <c r="X21" s="46">
        <v>15</v>
      </c>
      <c r="Y21" s="46">
        <v>16</v>
      </c>
      <c r="Z21" s="46">
        <v>7</v>
      </c>
      <c r="AA21" s="46">
        <v>6</v>
      </c>
      <c r="AB21" s="46">
        <v>6</v>
      </c>
      <c r="AC21" s="46">
        <v>1</v>
      </c>
      <c r="AI21" s="46">
        <v>1</v>
      </c>
      <c r="AL21" s="46">
        <v>1</v>
      </c>
      <c r="AQ21" s="46">
        <v>1</v>
      </c>
      <c r="AT21" s="46">
        <v>1</v>
      </c>
      <c r="AU21" s="46">
        <v>1</v>
      </c>
      <c r="AX21" s="46">
        <v>1</v>
      </c>
      <c r="BB21" s="46">
        <v>1</v>
      </c>
      <c r="BJ21" s="46">
        <v>1</v>
      </c>
      <c r="CA21" s="46">
        <v>1</v>
      </c>
      <c r="CD21" s="46">
        <v>1</v>
      </c>
      <c r="CM21" s="46">
        <v>1</v>
      </c>
      <c r="CV21" s="50">
        <v>46436</v>
      </c>
    </row>
    <row r="22" spans="1:100" ht="15.75" customHeight="1">
      <c r="A22" s="46" t="s">
        <v>992</v>
      </c>
      <c r="B22" s="46" t="s">
        <v>993</v>
      </c>
      <c r="C22" s="47">
        <v>26</v>
      </c>
      <c r="D22" s="46" t="s">
        <v>941</v>
      </c>
      <c r="E22" s="46" t="s">
        <v>191</v>
      </c>
      <c r="F22" s="46" t="s">
        <v>942</v>
      </c>
      <c r="G22" s="113"/>
      <c r="H22" s="113"/>
      <c r="I22" s="113"/>
      <c r="J22" s="113"/>
      <c r="K22" s="113"/>
      <c r="M22" s="46">
        <v>1</v>
      </c>
      <c r="Q22" s="46">
        <v>1</v>
      </c>
      <c r="S22" s="46">
        <v>1</v>
      </c>
      <c r="W22" s="46">
        <v>13</v>
      </c>
      <c r="X22" s="46">
        <v>13</v>
      </c>
      <c r="Y22" s="46">
        <v>14</v>
      </c>
      <c r="Z22" s="46">
        <v>7</v>
      </c>
      <c r="AA22" s="46">
        <v>6</v>
      </c>
      <c r="AB22" s="46">
        <v>5</v>
      </c>
      <c r="AE22" s="46">
        <v>1</v>
      </c>
      <c r="AH22" s="46">
        <v>1</v>
      </c>
      <c r="AI22" s="46">
        <v>1</v>
      </c>
      <c r="AK22" s="46">
        <v>1</v>
      </c>
      <c r="AU22" s="46">
        <v>1</v>
      </c>
      <c r="AX22" s="46">
        <v>1</v>
      </c>
      <c r="BB22" s="46">
        <v>1</v>
      </c>
      <c r="BJ22" s="46">
        <v>1</v>
      </c>
      <c r="CA22" s="46">
        <v>1</v>
      </c>
      <c r="CD22" s="46">
        <v>1</v>
      </c>
      <c r="CM22" s="46">
        <v>1</v>
      </c>
      <c r="CV22" s="50">
        <v>46437</v>
      </c>
    </row>
    <row r="23" spans="1:100" ht="15.75" customHeight="1">
      <c r="A23" s="46" t="s">
        <v>994</v>
      </c>
      <c r="B23" s="46" t="s">
        <v>995</v>
      </c>
      <c r="C23" s="47">
        <v>30</v>
      </c>
      <c r="D23" s="46" t="s">
        <v>941</v>
      </c>
      <c r="E23" s="46" t="s">
        <v>191</v>
      </c>
      <c r="F23" s="46" t="s">
        <v>145</v>
      </c>
      <c r="G23" s="46">
        <v>1</v>
      </c>
      <c r="N23" s="46">
        <v>1</v>
      </c>
      <c r="Q23" s="46">
        <v>1</v>
      </c>
      <c r="S23" s="46">
        <v>1</v>
      </c>
      <c r="W23" s="46">
        <v>14</v>
      </c>
      <c r="X23" s="46">
        <v>15</v>
      </c>
      <c r="Y23" s="46">
        <v>17</v>
      </c>
      <c r="Z23" s="46">
        <v>6</v>
      </c>
      <c r="AA23" s="46">
        <v>6</v>
      </c>
      <c r="AB23" s="46">
        <v>6</v>
      </c>
      <c r="AC23" s="46">
        <v>1</v>
      </c>
      <c r="AJ23" s="46">
        <v>1</v>
      </c>
      <c r="AK23" s="46">
        <v>1</v>
      </c>
      <c r="AU23" s="46">
        <v>1</v>
      </c>
      <c r="AX23" s="46">
        <v>1</v>
      </c>
      <c r="BB23" s="46">
        <v>1</v>
      </c>
      <c r="BJ23" s="46">
        <v>1</v>
      </c>
      <c r="CA23" s="46">
        <v>1</v>
      </c>
      <c r="CD23" s="46">
        <v>1</v>
      </c>
      <c r="CM23" s="46">
        <v>1</v>
      </c>
      <c r="CV23" s="50">
        <v>46438</v>
      </c>
    </row>
    <row r="24" spans="1:100" ht="15.75" customHeight="1">
      <c r="A24" s="46" t="s">
        <v>996</v>
      </c>
      <c r="B24" s="46" t="s">
        <v>997</v>
      </c>
      <c r="C24" s="47">
        <v>23</v>
      </c>
      <c r="D24" s="46" t="s">
        <v>941</v>
      </c>
      <c r="E24" s="46" t="s">
        <v>191</v>
      </c>
      <c r="F24" s="46" t="s">
        <v>145</v>
      </c>
      <c r="I24" s="46">
        <v>1</v>
      </c>
      <c r="N24" s="46">
        <v>1</v>
      </c>
      <c r="Q24" s="46">
        <v>1</v>
      </c>
      <c r="T24" s="46">
        <v>1</v>
      </c>
      <c r="W24" s="46">
        <v>11</v>
      </c>
      <c r="X24" s="46">
        <v>22</v>
      </c>
      <c r="Y24" s="54" t="s">
        <v>191</v>
      </c>
      <c r="Z24" s="46">
        <v>0</v>
      </c>
      <c r="AA24" s="46">
        <v>0</v>
      </c>
      <c r="AB24" s="46">
        <v>0</v>
      </c>
      <c r="AE24" s="46">
        <v>1</v>
      </c>
      <c r="AF24" s="46">
        <v>1</v>
      </c>
      <c r="AH24" s="46">
        <v>1</v>
      </c>
      <c r="AI24" s="46">
        <v>1</v>
      </c>
      <c r="AK24" s="46">
        <v>1</v>
      </c>
      <c r="AU24" s="46">
        <v>1</v>
      </c>
      <c r="AX24" s="46">
        <v>1</v>
      </c>
      <c r="BB24" s="46">
        <v>1</v>
      </c>
      <c r="BJ24" s="46">
        <v>1</v>
      </c>
      <c r="BX24" s="46">
        <v>1</v>
      </c>
      <c r="CA24" s="46">
        <v>1</v>
      </c>
      <c r="CD24" s="46">
        <v>1</v>
      </c>
      <c r="CM24" s="46">
        <v>1</v>
      </c>
      <c r="CV24" s="50">
        <v>46439</v>
      </c>
    </row>
    <row r="25" spans="1:100" ht="15.75" customHeight="1">
      <c r="A25" s="46" t="s">
        <v>998</v>
      </c>
      <c r="B25" s="46" t="s">
        <v>999</v>
      </c>
      <c r="C25" s="47">
        <v>23</v>
      </c>
      <c r="D25" s="46" t="s">
        <v>941</v>
      </c>
      <c r="E25" s="46" t="s">
        <v>1000</v>
      </c>
      <c r="F25" s="46" t="s">
        <v>145</v>
      </c>
      <c r="J25" s="46">
        <v>1</v>
      </c>
      <c r="N25" s="46">
        <v>1</v>
      </c>
      <c r="Q25" s="46">
        <v>1</v>
      </c>
      <c r="U25" s="46">
        <v>1</v>
      </c>
      <c r="W25" s="46">
        <v>10</v>
      </c>
      <c r="X25" s="46">
        <v>21</v>
      </c>
      <c r="Y25" s="46">
        <v>22</v>
      </c>
      <c r="Z25" s="46">
        <v>1</v>
      </c>
      <c r="AA25" s="46">
        <v>1</v>
      </c>
      <c r="AB25" s="46">
        <v>1</v>
      </c>
      <c r="AC25" s="46">
        <v>1</v>
      </c>
      <c r="AI25" s="46">
        <v>1</v>
      </c>
      <c r="AK25" s="46">
        <v>1</v>
      </c>
      <c r="AU25" s="46">
        <v>1</v>
      </c>
      <c r="AX25" s="46">
        <v>1</v>
      </c>
      <c r="BB25" s="46">
        <v>1</v>
      </c>
      <c r="BJ25" s="46">
        <v>1</v>
      </c>
      <c r="CA25" s="46">
        <v>1</v>
      </c>
      <c r="CD25" s="46">
        <v>1</v>
      </c>
      <c r="CM25" s="46">
        <v>1</v>
      </c>
      <c r="CV25" s="50">
        <v>46440</v>
      </c>
    </row>
    <row r="26" spans="1:100" ht="15.75" customHeight="1">
      <c r="A26" s="46" t="s">
        <v>1001</v>
      </c>
      <c r="B26" s="46" t="s">
        <v>1002</v>
      </c>
      <c r="C26" s="47">
        <v>20</v>
      </c>
      <c r="D26" s="46" t="s">
        <v>941</v>
      </c>
      <c r="E26" s="46" t="s">
        <v>191</v>
      </c>
      <c r="F26" s="46" t="s">
        <v>145</v>
      </c>
      <c r="G26" s="46">
        <v>1</v>
      </c>
      <c r="N26" s="46">
        <v>1</v>
      </c>
      <c r="Q26" s="46">
        <v>1</v>
      </c>
      <c r="U26" s="46">
        <v>1</v>
      </c>
      <c r="W26" s="46">
        <v>16</v>
      </c>
      <c r="X26" s="46">
        <v>17</v>
      </c>
      <c r="Y26" s="46">
        <v>18</v>
      </c>
      <c r="Z26" s="46">
        <v>3</v>
      </c>
      <c r="AA26" s="46">
        <v>2</v>
      </c>
      <c r="AB26" s="46">
        <v>2</v>
      </c>
      <c r="AH26" s="46">
        <v>1</v>
      </c>
      <c r="AJ26" s="46">
        <v>1</v>
      </c>
      <c r="AK26" s="46">
        <v>1</v>
      </c>
      <c r="AU26" s="46">
        <v>1</v>
      </c>
      <c r="AX26" s="46">
        <v>1</v>
      </c>
      <c r="BB26" s="46">
        <v>1</v>
      </c>
      <c r="BJ26" s="46">
        <v>1</v>
      </c>
      <c r="CA26" s="46">
        <v>1</v>
      </c>
      <c r="CD26" s="46">
        <v>1</v>
      </c>
      <c r="CM26" s="46">
        <v>1</v>
      </c>
      <c r="CV26" s="50">
        <v>46441</v>
      </c>
    </row>
    <row r="27" spans="1:100" ht="15.75" customHeight="1">
      <c r="A27" s="46" t="s">
        <v>1003</v>
      </c>
      <c r="B27" s="46" t="s">
        <v>1004</v>
      </c>
      <c r="C27" s="47">
        <v>28</v>
      </c>
      <c r="D27" s="46" t="s">
        <v>933</v>
      </c>
      <c r="E27" s="46" t="s">
        <v>191</v>
      </c>
      <c r="F27" s="46" t="s">
        <v>942</v>
      </c>
      <c r="G27" s="46">
        <v>1</v>
      </c>
      <c r="M27" s="46">
        <v>1</v>
      </c>
      <c r="R27" s="46">
        <v>1</v>
      </c>
      <c r="S27" s="113"/>
      <c r="T27" s="113"/>
      <c r="U27" s="113"/>
      <c r="V27" s="113"/>
      <c r="W27" s="46">
        <v>13</v>
      </c>
      <c r="X27" s="46">
        <v>16</v>
      </c>
      <c r="Y27" s="46">
        <v>17</v>
      </c>
      <c r="Z27" s="46">
        <v>4</v>
      </c>
      <c r="AA27" s="46">
        <v>2</v>
      </c>
      <c r="AB27" s="46">
        <v>2</v>
      </c>
      <c r="AE27" s="46">
        <v>1</v>
      </c>
      <c r="AG27" s="46">
        <v>1</v>
      </c>
      <c r="AH27" s="46">
        <v>1</v>
      </c>
      <c r="AI27" s="46">
        <v>1</v>
      </c>
      <c r="AK27" s="46">
        <v>1</v>
      </c>
      <c r="AU27" s="46">
        <v>1</v>
      </c>
      <c r="AX27" s="46">
        <v>1</v>
      </c>
      <c r="BB27" s="46">
        <v>1</v>
      </c>
      <c r="BJ27" s="46">
        <v>1</v>
      </c>
      <c r="CA27" s="46">
        <v>1</v>
      </c>
      <c r="CD27" s="46">
        <v>1</v>
      </c>
      <c r="CM27" s="46">
        <v>1</v>
      </c>
      <c r="CV27" s="50">
        <v>46442</v>
      </c>
    </row>
    <row r="28" spans="1:100" ht="15.75" customHeight="1">
      <c r="A28" s="46" t="s">
        <v>1005</v>
      </c>
      <c r="B28" s="46" t="s">
        <v>1006</v>
      </c>
      <c r="C28" s="47">
        <v>18</v>
      </c>
      <c r="D28" s="46" t="s">
        <v>941</v>
      </c>
      <c r="E28" s="46" t="s">
        <v>1007</v>
      </c>
      <c r="F28" s="46" t="s">
        <v>145</v>
      </c>
      <c r="G28" s="46">
        <v>1</v>
      </c>
      <c r="O28" s="46">
        <v>1</v>
      </c>
      <c r="Q28" s="46">
        <v>1</v>
      </c>
      <c r="U28" s="46">
        <v>1</v>
      </c>
      <c r="W28" s="46">
        <v>16</v>
      </c>
      <c r="X28" s="46">
        <v>16</v>
      </c>
      <c r="Y28" s="46">
        <v>16</v>
      </c>
      <c r="Z28" s="46">
        <v>1</v>
      </c>
      <c r="AA28" s="46">
        <v>1</v>
      </c>
      <c r="AB28" s="46">
        <v>1</v>
      </c>
      <c r="AH28" s="46">
        <v>1</v>
      </c>
      <c r="AI28" s="46">
        <v>1</v>
      </c>
      <c r="AK28" s="46">
        <v>1</v>
      </c>
      <c r="AU28" s="46">
        <v>1</v>
      </c>
      <c r="AX28" s="46">
        <v>1</v>
      </c>
      <c r="BB28" s="46">
        <v>1</v>
      </c>
      <c r="BJ28" s="46">
        <v>1</v>
      </c>
      <c r="CA28" s="46">
        <v>1</v>
      </c>
      <c r="CD28" s="46">
        <v>1</v>
      </c>
      <c r="CM28" s="46">
        <v>1</v>
      </c>
      <c r="CV28" s="50">
        <v>46443</v>
      </c>
    </row>
    <row r="29" spans="1:100" ht="15.75" customHeight="1">
      <c r="A29" s="46" t="s">
        <v>1008</v>
      </c>
      <c r="B29" s="46" t="s">
        <v>1009</v>
      </c>
      <c r="C29" s="47">
        <v>26</v>
      </c>
      <c r="D29" s="46" t="s">
        <v>941</v>
      </c>
      <c r="E29" s="46" t="s">
        <v>1010</v>
      </c>
      <c r="F29" s="46" t="s">
        <v>112</v>
      </c>
      <c r="I29" s="46">
        <v>1</v>
      </c>
      <c r="N29" s="46">
        <v>1</v>
      </c>
      <c r="Q29" s="46">
        <v>1</v>
      </c>
      <c r="T29" s="46">
        <v>1</v>
      </c>
      <c r="W29" s="46">
        <v>13</v>
      </c>
      <c r="X29" s="46">
        <v>16</v>
      </c>
      <c r="Y29" s="46">
        <v>17</v>
      </c>
      <c r="Z29" s="46">
        <v>4</v>
      </c>
      <c r="AA29" s="46">
        <v>3</v>
      </c>
      <c r="AB29" s="46">
        <v>3</v>
      </c>
      <c r="AE29" s="46">
        <v>1</v>
      </c>
      <c r="AG29" s="46">
        <v>1</v>
      </c>
      <c r="AH29" s="46">
        <v>1</v>
      </c>
      <c r="AI29" s="46">
        <v>1</v>
      </c>
      <c r="AK29" s="46">
        <v>1</v>
      </c>
      <c r="AU29" s="46">
        <v>1</v>
      </c>
      <c r="AX29" s="46">
        <v>1</v>
      </c>
      <c r="BB29" s="46">
        <v>1</v>
      </c>
      <c r="BJ29" s="46">
        <v>1</v>
      </c>
      <c r="BX29" s="46">
        <v>1</v>
      </c>
      <c r="CA29" s="46">
        <v>1</v>
      </c>
      <c r="CD29" s="46">
        <v>1</v>
      </c>
      <c r="CM29" s="46">
        <v>1</v>
      </c>
      <c r="CV29" s="50">
        <v>46444</v>
      </c>
    </row>
    <row r="30" spans="1:100" ht="15.75" customHeight="1">
      <c r="A30" s="46" t="s">
        <v>1011</v>
      </c>
      <c r="B30" s="46" t="s">
        <v>1012</v>
      </c>
      <c r="C30" s="47">
        <v>70</v>
      </c>
      <c r="D30" s="46" t="s">
        <v>941</v>
      </c>
      <c r="E30" s="46" t="s">
        <v>191</v>
      </c>
      <c r="F30" s="46" t="s">
        <v>942</v>
      </c>
      <c r="G30" s="46">
        <v>1</v>
      </c>
      <c r="P30" s="46">
        <v>1</v>
      </c>
      <c r="R30" s="46">
        <v>1</v>
      </c>
      <c r="S30" s="46">
        <v>1</v>
      </c>
      <c r="W30" s="46">
        <v>14</v>
      </c>
      <c r="X30" s="46">
        <v>14</v>
      </c>
      <c r="Y30" s="46">
        <v>15</v>
      </c>
      <c r="Z30" s="46">
        <v>9</v>
      </c>
      <c r="AA30" s="46">
        <v>9</v>
      </c>
      <c r="AB30" s="46">
        <v>5</v>
      </c>
      <c r="AE30" s="46">
        <v>1</v>
      </c>
      <c r="AF30" s="46">
        <v>1</v>
      </c>
      <c r="AG30" s="46">
        <v>1</v>
      </c>
      <c r="AH30" s="46">
        <v>1</v>
      </c>
      <c r="AI30" s="46">
        <v>1</v>
      </c>
      <c r="AM30" s="46"/>
      <c r="AN30" s="46">
        <v>1</v>
      </c>
      <c r="AU30" s="46">
        <v>1</v>
      </c>
      <c r="AX30" s="46">
        <v>1</v>
      </c>
      <c r="BB30" s="46">
        <v>1</v>
      </c>
      <c r="BK30" s="46">
        <v>1</v>
      </c>
      <c r="CA30" s="46">
        <v>1</v>
      </c>
      <c r="CD30" s="46">
        <v>1</v>
      </c>
      <c r="CJ30" s="46">
        <v>1</v>
      </c>
      <c r="CV30" s="50">
        <v>46445</v>
      </c>
    </row>
    <row r="31" spans="1:100" ht="15.75" customHeight="1">
      <c r="A31" s="46" t="s">
        <v>1013</v>
      </c>
      <c r="B31" s="46" t="s">
        <v>1014</v>
      </c>
      <c r="C31" s="47">
        <v>40</v>
      </c>
      <c r="D31" s="46" t="s">
        <v>941</v>
      </c>
      <c r="E31" s="46" t="s">
        <v>191</v>
      </c>
      <c r="F31" s="46" t="s">
        <v>942</v>
      </c>
      <c r="J31" s="46">
        <v>1</v>
      </c>
      <c r="N31" s="46">
        <v>1</v>
      </c>
      <c r="R31" s="46">
        <v>1</v>
      </c>
      <c r="T31" s="46">
        <v>1</v>
      </c>
      <c r="W31" s="46">
        <v>13</v>
      </c>
      <c r="X31" s="46">
        <v>13</v>
      </c>
      <c r="Y31" s="46">
        <v>13</v>
      </c>
      <c r="Z31" s="46">
        <v>9</v>
      </c>
      <c r="AA31" s="46">
        <v>9</v>
      </c>
      <c r="AB31" s="46">
        <v>8</v>
      </c>
      <c r="AE31" s="46">
        <v>1</v>
      </c>
      <c r="AG31" s="46">
        <v>1</v>
      </c>
      <c r="AH31" s="46">
        <v>1</v>
      </c>
      <c r="AI31" s="46">
        <v>1</v>
      </c>
      <c r="AL31" s="46">
        <v>1</v>
      </c>
      <c r="AP31" s="46">
        <v>1</v>
      </c>
      <c r="AT31" s="46">
        <v>1</v>
      </c>
      <c r="AU31" s="46">
        <v>1</v>
      </c>
      <c r="AX31" s="46">
        <v>1</v>
      </c>
      <c r="BB31" s="46">
        <v>1</v>
      </c>
      <c r="BJ31" s="46">
        <v>1</v>
      </c>
      <c r="BX31" s="46">
        <v>1</v>
      </c>
      <c r="CA31" s="46">
        <v>1</v>
      </c>
      <c r="CD31" s="46">
        <v>1</v>
      </c>
      <c r="CJ31" s="46">
        <v>1</v>
      </c>
      <c r="CV31" s="50">
        <v>46446</v>
      </c>
    </row>
    <row r="32" spans="1:100" ht="15.75" customHeight="1">
      <c r="A32" s="46" t="s">
        <v>1015</v>
      </c>
      <c r="B32" s="46" t="s">
        <v>1016</v>
      </c>
      <c r="C32" s="47">
        <v>24</v>
      </c>
      <c r="D32" s="46" t="s">
        <v>933</v>
      </c>
      <c r="E32" s="46" t="s">
        <v>1017</v>
      </c>
      <c r="F32" s="46" t="s">
        <v>942</v>
      </c>
      <c r="G32" s="46">
        <v>1</v>
      </c>
      <c r="M32" s="46">
        <v>1</v>
      </c>
      <c r="Q32" s="46">
        <v>1</v>
      </c>
      <c r="U32" s="46">
        <v>1</v>
      </c>
      <c r="W32" s="46">
        <v>15</v>
      </c>
      <c r="X32" s="46">
        <v>20</v>
      </c>
      <c r="Y32" s="46">
        <v>22</v>
      </c>
      <c r="Z32" s="46">
        <v>4</v>
      </c>
      <c r="AA32" s="46">
        <v>1</v>
      </c>
      <c r="AB32" s="46">
        <v>1</v>
      </c>
      <c r="AD32" s="46">
        <v>1</v>
      </c>
      <c r="AI32" s="46">
        <v>1</v>
      </c>
      <c r="AK32" s="46">
        <v>1</v>
      </c>
      <c r="AU32" s="46">
        <v>1</v>
      </c>
      <c r="AX32" s="46">
        <v>1</v>
      </c>
      <c r="BB32" s="46">
        <v>1</v>
      </c>
      <c r="BJ32" s="46">
        <v>1</v>
      </c>
      <c r="CA32" s="46">
        <v>1</v>
      </c>
      <c r="CD32" s="46">
        <v>1</v>
      </c>
      <c r="CJ32" s="46">
        <v>1</v>
      </c>
      <c r="CV32" s="50">
        <v>46419</v>
      </c>
    </row>
    <row r="33" spans="1:100" ht="15.75" customHeight="1">
      <c r="A33" s="46" t="s">
        <v>1018</v>
      </c>
      <c r="B33" s="46" t="s">
        <v>1019</v>
      </c>
      <c r="C33" s="47">
        <v>25</v>
      </c>
      <c r="D33" s="46" t="s">
        <v>941</v>
      </c>
      <c r="E33" s="46" t="s">
        <v>1020</v>
      </c>
      <c r="F33" s="46" t="s">
        <v>942</v>
      </c>
      <c r="H33" s="46">
        <v>1</v>
      </c>
      <c r="M33" s="46">
        <v>1</v>
      </c>
      <c r="Q33" s="46">
        <v>1</v>
      </c>
      <c r="T33" s="46">
        <v>1</v>
      </c>
      <c r="W33" s="46">
        <v>15</v>
      </c>
      <c r="X33" s="46">
        <v>20</v>
      </c>
      <c r="Y33" s="46">
        <v>20</v>
      </c>
      <c r="Z33" s="46">
        <v>4</v>
      </c>
      <c r="AA33" s="46">
        <v>4</v>
      </c>
      <c r="AB33" s="46">
        <v>4</v>
      </c>
      <c r="AH33" s="46">
        <v>1</v>
      </c>
      <c r="AI33" s="113"/>
      <c r="AJ33" s="113"/>
      <c r="AK33" s="46">
        <v>1</v>
      </c>
      <c r="AU33" s="46">
        <v>1</v>
      </c>
      <c r="AX33" s="46">
        <v>1</v>
      </c>
      <c r="BC33" s="46">
        <v>1</v>
      </c>
      <c r="BG33" s="46">
        <v>1</v>
      </c>
      <c r="BJ33" s="46">
        <v>1</v>
      </c>
      <c r="CA33" s="46">
        <v>1</v>
      </c>
      <c r="CD33" s="46">
        <v>1</v>
      </c>
      <c r="CJ33" s="46">
        <v>1</v>
      </c>
      <c r="CV33" s="50">
        <v>46420</v>
      </c>
    </row>
    <row r="34" spans="1:100" ht="15.75" customHeight="1">
      <c r="A34" s="46" t="s">
        <v>1021</v>
      </c>
      <c r="B34" s="46" t="s">
        <v>1022</v>
      </c>
      <c r="C34" s="47">
        <v>20</v>
      </c>
      <c r="D34" s="46" t="s">
        <v>941</v>
      </c>
      <c r="E34" s="46" t="s">
        <v>1023</v>
      </c>
      <c r="F34" s="46" t="s">
        <v>112</v>
      </c>
      <c r="H34" s="46">
        <v>1</v>
      </c>
      <c r="L34" s="46">
        <v>1</v>
      </c>
      <c r="Q34" s="46" t="s">
        <v>191</v>
      </c>
      <c r="U34" s="46">
        <v>1</v>
      </c>
      <c r="W34" s="46">
        <v>16</v>
      </c>
      <c r="X34" s="46">
        <v>16</v>
      </c>
      <c r="Y34" s="46">
        <v>17</v>
      </c>
      <c r="Z34" s="46">
        <v>2</v>
      </c>
      <c r="AA34" s="46">
        <v>1</v>
      </c>
      <c r="AB34" s="46">
        <v>1</v>
      </c>
      <c r="AE34" s="46">
        <v>1</v>
      </c>
      <c r="AI34" s="46">
        <v>1</v>
      </c>
      <c r="AK34" s="46">
        <v>1</v>
      </c>
      <c r="AU34" s="46">
        <v>1</v>
      </c>
      <c r="AX34" s="46">
        <v>1</v>
      </c>
      <c r="BB34" s="46">
        <v>1</v>
      </c>
      <c r="BJ34" s="46">
        <v>1</v>
      </c>
      <c r="CA34" s="46">
        <v>1</v>
      </c>
      <c r="CD34" s="46">
        <v>1</v>
      </c>
      <c r="CJ34" s="46">
        <v>1</v>
      </c>
      <c r="CV34" s="50">
        <v>46421</v>
      </c>
    </row>
    <row r="35" spans="1:100" ht="15.75" customHeight="1">
      <c r="A35" s="46" t="s">
        <v>1024</v>
      </c>
      <c r="B35" s="46" t="s">
        <v>1025</v>
      </c>
      <c r="C35" s="47">
        <v>28</v>
      </c>
      <c r="D35" s="46" t="s">
        <v>933</v>
      </c>
      <c r="E35" s="46" t="s">
        <v>1026</v>
      </c>
      <c r="F35" s="46" t="s">
        <v>942</v>
      </c>
      <c r="G35" s="46">
        <v>1</v>
      </c>
      <c r="M35" s="46">
        <v>1</v>
      </c>
      <c r="Q35" s="46">
        <v>1</v>
      </c>
      <c r="T35" s="46">
        <v>1</v>
      </c>
      <c r="W35" s="46">
        <v>14</v>
      </c>
      <c r="X35" s="46">
        <v>18</v>
      </c>
      <c r="Y35" s="46">
        <v>26</v>
      </c>
      <c r="Z35" s="46">
        <v>1</v>
      </c>
      <c r="AA35" s="46">
        <v>0</v>
      </c>
      <c r="AB35" s="46">
        <v>0</v>
      </c>
      <c r="AD35" s="46">
        <v>1</v>
      </c>
      <c r="AE35" s="46">
        <v>1</v>
      </c>
      <c r="AF35" s="46">
        <v>1</v>
      </c>
      <c r="AG35" s="46">
        <v>1</v>
      </c>
      <c r="AH35" s="46">
        <v>1</v>
      </c>
      <c r="AI35" s="46">
        <v>1</v>
      </c>
      <c r="AK35" s="46">
        <v>1</v>
      </c>
      <c r="AU35" s="46">
        <v>1</v>
      </c>
      <c r="AX35" s="46">
        <v>1</v>
      </c>
      <c r="BB35" s="46">
        <v>1</v>
      </c>
      <c r="BN35" s="46">
        <v>1</v>
      </c>
      <c r="BX35" s="46">
        <v>1</v>
      </c>
      <c r="CA35" s="46">
        <v>1</v>
      </c>
      <c r="CD35" s="46">
        <v>1</v>
      </c>
      <c r="CM35" s="46">
        <v>1</v>
      </c>
      <c r="CV35" s="46" t="s">
        <v>1027</v>
      </c>
    </row>
    <row r="36" spans="1:100" ht="15.75" customHeight="1">
      <c r="A36" s="46" t="s">
        <v>1028</v>
      </c>
      <c r="B36" s="46" t="s">
        <v>1029</v>
      </c>
      <c r="C36" s="47">
        <v>28</v>
      </c>
      <c r="D36" s="46" t="s">
        <v>933</v>
      </c>
      <c r="E36" s="46" t="s">
        <v>191</v>
      </c>
      <c r="F36" s="46" t="s">
        <v>942</v>
      </c>
      <c r="G36" s="46">
        <v>1</v>
      </c>
      <c r="M36" s="46">
        <v>1</v>
      </c>
      <c r="Q36" s="46">
        <v>1</v>
      </c>
      <c r="S36" s="46">
        <v>1</v>
      </c>
      <c r="W36" s="46">
        <v>15</v>
      </c>
      <c r="X36" s="46">
        <v>17</v>
      </c>
      <c r="Y36" s="46">
        <v>20</v>
      </c>
      <c r="Z36" s="46">
        <v>3</v>
      </c>
      <c r="AA36" s="46">
        <v>4</v>
      </c>
      <c r="AB36" s="46">
        <v>3</v>
      </c>
      <c r="AE36" s="46">
        <v>1</v>
      </c>
      <c r="AH36" s="46">
        <v>1</v>
      </c>
      <c r="AI36" s="46">
        <v>1</v>
      </c>
      <c r="AK36" s="46">
        <v>1</v>
      </c>
      <c r="AU36" s="46">
        <v>1</v>
      </c>
      <c r="AX36" s="46">
        <v>1</v>
      </c>
      <c r="BB36" s="46">
        <v>1</v>
      </c>
      <c r="BJ36" s="46">
        <v>1</v>
      </c>
      <c r="CA36" s="46">
        <v>1</v>
      </c>
      <c r="CD36" s="46">
        <v>1</v>
      </c>
      <c r="CJ36" s="46">
        <v>1</v>
      </c>
      <c r="CV36" s="50">
        <v>46423</v>
      </c>
    </row>
    <row r="37" spans="1:100" ht="15.75" customHeight="1">
      <c r="A37" s="46" t="s">
        <v>1030</v>
      </c>
      <c r="B37" s="46" t="s">
        <v>1031</v>
      </c>
      <c r="C37" s="47">
        <v>28</v>
      </c>
      <c r="D37" s="46" t="s">
        <v>941</v>
      </c>
      <c r="E37" s="46" t="s">
        <v>1032</v>
      </c>
      <c r="F37" s="46" t="s">
        <v>107</v>
      </c>
      <c r="H37" s="46">
        <v>1</v>
      </c>
      <c r="N37" s="46">
        <v>1</v>
      </c>
      <c r="Q37" s="46">
        <v>1</v>
      </c>
      <c r="U37" s="46">
        <v>1</v>
      </c>
      <c r="W37" s="46">
        <v>16</v>
      </c>
      <c r="X37" s="46">
        <v>23</v>
      </c>
      <c r="Y37" s="46">
        <v>24</v>
      </c>
      <c r="Z37" s="46">
        <v>2</v>
      </c>
      <c r="AA37" s="46">
        <v>1</v>
      </c>
      <c r="AB37" s="46">
        <v>1</v>
      </c>
      <c r="AE37" s="46">
        <v>1</v>
      </c>
      <c r="AH37" s="46">
        <v>1</v>
      </c>
      <c r="AI37" s="46">
        <v>1</v>
      </c>
      <c r="AK37" s="46">
        <v>1</v>
      </c>
      <c r="AU37" s="46">
        <v>1</v>
      </c>
      <c r="AY37" s="46">
        <v>1</v>
      </c>
      <c r="BB37" s="46">
        <v>1</v>
      </c>
      <c r="BJ37" s="46">
        <v>1</v>
      </c>
      <c r="CA37" s="46">
        <v>1</v>
      </c>
      <c r="CD37" s="46">
        <v>1</v>
      </c>
      <c r="CJ37" s="46">
        <v>1</v>
      </c>
      <c r="CV37" s="50">
        <v>46424</v>
      </c>
    </row>
    <row r="38" spans="1:100" ht="15.75" customHeight="1">
      <c r="A38" s="46" t="s">
        <v>1033</v>
      </c>
      <c r="B38" s="46" t="s">
        <v>1034</v>
      </c>
      <c r="C38" s="47">
        <v>23</v>
      </c>
      <c r="D38" s="46" t="s">
        <v>941</v>
      </c>
      <c r="E38" s="46" t="s">
        <v>1035</v>
      </c>
      <c r="F38" s="46" t="s">
        <v>330</v>
      </c>
      <c r="G38" s="46">
        <v>1</v>
      </c>
      <c r="L38" s="46">
        <v>1</v>
      </c>
      <c r="Q38" s="46" t="s">
        <v>191</v>
      </c>
      <c r="U38" s="46">
        <v>1</v>
      </c>
      <c r="W38" s="46">
        <v>16</v>
      </c>
      <c r="X38" s="46">
        <v>17</v>
      </c>
      <c r="Y38" s="54" t="s">
        <v>191</v>
      </c>
      <c r="Z38" s="46">
        <v>0</v>
      </c>
      <c r="AA38" s="46">
        <v>0</v>
      </c>
      <c r="AB38" s="46">
        <v>0</v>
      </c>
      <c r="AD38" s="46">
        <v>1</v>
      </c>
      <c r="AG38" s="46">
        <v>1</v>
      </c>
      <c r="AI38" s="46">
        <v>1</v>
      </c>
      <c r="AK38" s="46">
        <v>1</v>
      </c>
      <c r="AU38" s="46">
        <v>1</v>
      </c>
      <c r="AX38" s="46">
        <v>1</v>
      </c>
      <c r="BB38" s="46">
        <v>1</v>
      </c>
      <c r="BJ38" s="46">
        <v>1</v>
      </c>
      <c r="BX38" s="46">
        <v>1</v>
      </c>
      <c r="CA38" s="46">
        <v>1</v>
      </c>
      <c r="CD38" s="46">
        <v>1</v>
      </c>
      <c r="CJ38" s="46">
        <v>1</v>
      </c>
      <c r="CV38" s="50">
        <v>46425</v>
      </c>
    </row>
    <row r="39" spans="1:100" ht="15.75" customHeight="1">
      <c r="A39" s="46" t="s">
        <v>1036</v>
      </c>
      <c r="B39" s="46" t="s">
        <v>1037</v>
      </c>
      <c r="C39" s="47">
        <v>37</v>
      </c>
      <c r="D39" s="46" t="s">
        <v>941</v>
      </c>
      <c r="E39" s="46" t="s">
        <v>1038</v>
      </c>
      <c r="F39" s="46" t="s">
        <v>112</v>
      </c>
      <c r="J39" s="46">
        <v>1</v>
      </c>
      <c r="M39" s="46">
        <v>1</v>
      </c>
      <c r="R39" s="46">
        <v>1</v>
      </c>
      <c r="T39" s="46">
        <v>1</v>
      </c>
      <c r="W39" s="46">
        <v>14</v>
      </c>
      <c r="X39" s="46">
        <v>23</v>
      </c>
      <c r="Y39" s="46">
        <v>23</v>
      </c>
      <c r="Z39" s="46">
        <v>4</v>
      </c>
      <c r="AA39" s="46">
        <v>4</v>
      </c>
      <c r="AB39" s="46">
        <v>4</v>
      </c>
      <c r="AH39" s="46">
        <v>1</v>
      </c>
      <c r="AI39" s="46">
        <v>1</v>
      </c>
      <c r="AK39" s="46">
        <v>1</v>
      </c>
      <c r="AU39" s="46">
        <v>1</v>
      </c>
      <c r="AX39" s="46">
        <v>1</v>
      </c>
      <c r="BB39" s="46">
        <v>1</v>
      </c>
      <c r="BJ39" s="46">
        <v>1</v>
      </c>
      <c r="BX39" s="46">
        <v>1</v>
      </c>
      <c r="CA39" s="46">
        <v>1</v>
      </c>
      <c r="CD39" s="46">
        <v>1</v>
      </c>
      <c r="CJ39" s="46">
        <v>1</v>
      </c>
      <c r="CV39" s="50">
        <v>46426</v>
      </c>
    </row>
    <row r="40" spans="1:100" ht="15.75" customHeight="1">
      <c r="A40" s="46" t="s">
        <v>1039</v>
      </c>
      <c r="B40" s="46" t="s">
        <v>1040</v>
      </c>
      <c r="C40" s="47">
        <v>17</v>
      </c>
      <c r="D40" s="46" t="s">
        <v>941</v>
      </c>
      <c r="E40" s="46" t="s">
        <v>1041</v>
      </c>
      <c r="F40" s="46" t="s">
        <v>112</v>
      </c>
      <c r="J40" s="46">
        <v>1</v>
      </c>
      <c r="N40" s="46">
        <v>1</v>
      </c>
      <c r="Q40" s="46">
        <v>1</v>
      </c>
      <c r="U40" s="46">
        <v>1</v>
      </c>
      <c r="W40" s="46">
        <v>15</v>
      </c>
      <c r="X40" s="46">
        <v>16</v>
      </c>
      <c r="Y40" s="54" t="s">
        <v>191</v>
      </c>
      <c r="Z40" s="46">
        <v>0</v>
      </c>
      <c r="AA40" s="46">
        <v>0</v>
      </c>
      <c r="AB40" s="46">
        <v>0</v>
      </c>
      <c r="AE40" s="46">
        <v>1</v>
      </c>
      <c r="AH40" s="46">
        <v>1</v>
      </c>
      <c r="AI40" s="113"/>
      <c r="AJ40" s="113"/>
      <c r="AK40" s="46">
        <v>1</v>
      </c>
      <c r="AU40" s="46">
        <v>1</v>
      </c>
      <c r="AX40" s="46">
        <v>1</v>
      </c>
      <c r="BB40" s="46">
        <v>1</v>
      </c>
      <c r="BJ40" s="46">
        <v>1</v>
      </c>
      <c r="CA40" s="46">
        <v>1</v>
      </c>
      <c r="CD40" s="46">
        <v>1</v>
      </c>
      <c r="CJ40" s="46">
        <v>1</v>
      </c>
      <c r="CV40" s="50">
        <v>46427</v>
      </c>
    </row>
    <row r="41" spans="1:100" ht="15.75" customHeight="1">
      <c r="A41" s="46" t="s">
        <v>1042</v>
      </c>
      <c r="B41" s="46" t="s">
        <v>1043</v>
      </c>
      <c r="C41" s="47">
        <v>30</v>
      </c>
      <c r="D41" s="46" t="s">
        <v>933</v>
      </c>
      <c r="E41" s="46" t="s">
        <v>1044</v>
      </c>
      <c r="F41" s="46" t="s">
        <v>1045</v>
      </c>
      <c r="J41" s="46">
        <v>1</v>
      </c>
      <c r="M41" s="46">
        <v>1</v>
      </c>
      <c r="Q41" s="46">
        <v>1</v>
      </c>
      <c r="T41" s="46">
        <v>1</v>
      </c>
      <c r="W41" s="46">
        <v>18</v>
      </c>
      <c r="X41" s="46">
        <v>18</v>
      </c>
      <c r="Y41" s="46">
        <v>22</v>
      </c>
      <c r="Z41" s="46">
        <v>7</v>
      </c>
      <c r="AA41" s="46">
        <v>5</v>
      </c>
      <c r="AB41" s="46">
        <v>5</v>
      </c>
      <c r="AG41" s="46">
        <v>1</v>
      </c>
      <c r="AI41" s="46">
        <v>1</v>
      </c>
      <c r="AK41" s="46">
        <v>1</v>
      </c>
      <c r="AU41" s="46">
        <v>1</v>
      </c>
      <c r="AX41" s="46">
        <v>1</v>
      </c>
      <c r="BB41" s="46">
        <v>1</v>
      </c>
      <c r="BJ41" s="46">
        <v>1</v>
      </c>
      <c r="CA41" s="46">
        <v>1</v>
      </c>
      <c r="CD41" s="46">
        <v>1</v>
      </c>
      <c r="CJ41" s="46">
        <v>1</v>
      </c>
      <c r="CV41" s="50">
        <v>46428</v>
      </c>
    </row>
    <row r="42" spans="1:100" ht="15.75" customHeight="1">
      <c r="A42" s="46" t="s">
        <v>1046</v>
      </c>
      <c r="B42" s="46" t="s">
        <v>1047</v>
      </c>
      <c r="C42" s="47">
        <v>25</v>
      </c>
      <c r="D42" s="46" t="s">
        <v>941</v>
      </c>
      <c r="E42" s="46" t="s">
        <v>1048</v>
      </c>
      <c r="F42" s="46" t="s">
        <v>145</v>
      </c>
      <c r="J42" s="46">
        <v>1</v>
      </c>
      <c r="M42" s="46">
        <v>1</v>
      </c>
      <c r="Q42" s="46">
        <v>1</v>
      </c>
      <c r="U42" s="46">
        <v>1</v>
      </c>
      <c r="W42" s="46">
        <v>15</v>
      </c>
      <c r="X42" s="46">
        <v>20</v>
      </c>
      <c r="Y42" s="46">
        <v>22</v>
      </c>
      <c r="Z42" s="46">
        <v>3</v>
      </c>
      <c r="AA42" s="46">
        <v>2</v>
      </c>
      <c r="AB42" s="46">
        <v>2</v>
      </c>
      <c r="AC42" s="46">
        <v>1</v>
      </c>
      <c r="AI42" s="46">
        <v>1</v>
      </c>
      <c r="AK42" s="46">
        <v>1</v>
      </c>
      <c r="AU42" s="46">
        <v>1</v>
      </c>
      <c r="AX42" s="46">
        <v>1</v>
      </c>
      <c r="BB42" s="46">
        <v>1</v>
      </c>
      <c r="BJ42" s="46">
        <v>1</v>
      </c>
      <c r="CA42" s="46">
        <v>1</v>
      </c>
      <c r="CD42" s="46">
        <v>1</v>
      </c>
      <c r="CJ42" s="46">
        <v>1</v>
      </c>
      <c r="CV42" s="50">
        <v>46429</v>
      </c>
    </row>
    <row r="43" spans="1:100" ht="15.75" customHeight="1">
      <c r="A43" s="46" t="s">
        <v>1049</v>
      </c>
      <c r="B43" s="46" t="s">
        <v>1050</v>
      </c>
      <c r="C43" s="47">
        <v>28</v>
      </c>
      <c r="D43" s="46" t="s">
        <v>941</v>
      </c>
      <c r="E43" s="46" t="s">
        <v>1051</v>
      </c>
      <c r="F43" s="46" t="s">
        <v>1045</v>
      </c>
      <c r="J43" s="46">
        <v>1</v>
      </c>
      <c r="O43" s="46">
        <v>1</v>
      </c>
      <c r="Q43" s="46">
        <v>1</v>
      </c>
      <c r="T43" s="46">
        <v>1</v>
      </c>
      <c r="W43" s="46">
        <v>13</v>
      </c>
      <c r="X43" s="46">
        <v>14</v>
      </c>
      <c r="Y43" s="46">
        <v>15</v>
      </c>
      <c r="Z43" s="46">
        <v>3</v>
      </c>
      <c r="AA43" s="46">
        <v>3</v>
      </c>
      <c r="AB43" s="46">
        <v>3</v>
      </c>
      <c r="AH43" s="46">
        <v>1</v>
      </c>
      <c r="AK43" s="46">
        <v>1</v>
      </c>
      <c r="AU43" s="46">
        <v>1</v>
      </c>
      <c r="AX43" s="46">
        <v>1</v>
      </c>
      <c r="BB43" s="46">
        <v>1</v>
      </c>
      <c r="BJ43" s="46">
        <v>1</v>
      </c>
      <c r="CA43" s="46">
        <v>1</v>
      </c>
      <c r="CD43" s="46">
        <v>1</v>
      </c>
      <c r="CJ43" s="46">
        <v>1</v>
      </c>
      <c r="CV43" s="50">
        <v>46430</v>
      </c>
    </row>
    <row r="44" spans="1:100" ht="15.75" customHeight="1">
      <c r="A44" s="46" t="s">
        <v>1052</v>
      </c>
      <c r="B44" s="46" t="s">
        <v>1053</v>
      </c>
      <c r="C44" s="47">
        <v>19</v>
      </c>
      <c r="D44" s="46" t="s">
        <v>941</v>
      </c>
      <c r="E44" s="46" t="s">
        <v>1054</v>
      </c>
      <c r="F44" s="46" t="s">
        <v>330</v>
      </c>
      <c r="J44" s="46">
        <v>1</v>
      </c>
      <c r="M44" s="46">
        <v>1</v>
      </c>
      <c r="Q44" s="46">
        <v>1</v>
      </c>
      <c r="T44" s="46">
        <v>1</v>
      </c>
      <c r="W44" s="46">
        <v>16</v>
      </c>
      <c r="X44" s="46">
        <v>16</v>
      </c>
      <c r="Y44" s="46">
        <v>17</v>
      </c>
      <c r="Z44" s="46">
        <v>1</v>
      </c>
      <c r="AA44" s="46">
        <v>1</v>
      </c>
      <c r="AB44" s="46">
        <v>1</v>
      </c>
      <c r="AC44" s="46">
        <v>1</v>
      </c>
      <c r="AI44" s="46">
        <v>1</v>
      </c>
      <c r="AK44" s="46">
        <v>1</v>
      </c>
      <c r="AU44" s="46">
        <v>1</v>
      </c>
      <c r="AX44" s="46">
        <v>1</v>
      </c>
      <c r="BB44" s="46">
        <v>1</v>
      </c>
      <c r="BJ44" s="46">
        <v>1</v>
      </c>
      <c r="CA44" s="46">
        <v>1</v>
      </c>
      <c r="CD44" s="46">
        <v>1</v>
      </c>
      <c r="CJ44" s="46">
        <v>1</v>
      </c>
      <c r="CV44" s="50">
        <v>46431</v>
      </c>
    </row>
    <row r="45" spans="1:100" ht="15.75" customHeight="1">
      <c r="A45" s="46" t="s">
        <v>1055</v>
      </c>
      <c r="B45" s="46" t="s">
        <v>1056</v>
      </c>
      <c r="C45" s="47">
        <v>45</v>
      </c>
      <c r="D45" s="46" t="s">
        <v>933</v>
      </c>
      <c r="E45" s="46" t="s">
        <v>1057</v>
      </c>
      <c r="F45" s="46" t="s">
        <v>112</v>
      </c>
      <c r="I45" s="46">
        <v>1</v>
      </c>
      <c r="N45" s="46">
        <v>1</v>
      </c>
      <c r="Q45" s="46">
        <v>1</v>
      </c>
      <c r="T45" s="46">
        <v>1</v>
      </c>
      <c r="W45" s="46">
        <v>18</v>
      </c>
      <c r="X45" s="46">
        <v>21</v>
      </c>
      <c r="Y45" s="46">
        <v>22</v>
      </c>
      <c r="Z45" s="46">
        <v>7</v>
      </c>
      <c r="AA45" s="46">
        <v>4</v>
      </c>
      <c r="AB45" s="46">
        <v>4</v>
      </c>
      <c r="AE45" s="46">
        <v>1</v>
      </c>
      <c r="AH45" s="46">
        <v>1</v>
      </c>
      <c r="AI45" s="46">
        <v>1</v>
      </c>
      <c r="AK45" s="46">
        <v>1</v>
      </c>
      <c r="AU45" s="46">
        <v>1</v>
      </c>
      <c r="AX45" s="46">
        <v>1</v>
      </c>
      <c r="BB45" s="46">
        <v>1</v>
      </c>
      <c r="BJ45" s="46">
        <v>1</v>
      </c>
      <c r="CA45" s="46">
        <v>1</v>
      </c>
      <c r="CD45" s="46">
        <v>1</v>
      </c>
      <c r="CJ45" s="46">
        <v>1</v>
      </c>
      <c r="CV45" s="50">
        <v>46432</v>
      </c>
    </row>
    <row r="46" spans="1:100" ht="15.75" customHeight="1">
      <c r="A46" s="46" t="s">
        <v>1058</v>
      </c>
      <c r="B46" s="46" t="s">
        <v>1059</v>
      </c>
      <c r="C46" s="47">
        <v>20</v>
      </c>
      <c r="D46" s="46" t="s">
        <v>941</v>
      </c>
      <c r="E46" s="46" t="s">
        <v>1060</v>
      </c>
      <c r="F46" s="46" t="s">
        <v>145</v>
      </c>
      <c r="J46" s="46">
        <v>1</v>
      </c>
      <c r="M46" s="46">
        <v>1</v>
      </c>
      <c r="Q46" s="46">
        <v>1</v>
      </c>
      <c r="T46" s="46">
        <v>1</v>
      </c>
      <c r="W46" s="46">
        <v>11</v>
      </c>
      <c r="X46" s="46">
        <v>15</v>
      </c>
      <c r="Y46" s="46">
        <v>16</v>
      </c>
      <c r="Z46" s="46">
        <v>3</v>
      </c>
      <c r="AA46" s="46">
        <v>3</v>
      </c>
      <c r="AB46" s="46">
        <v>3</v>
      </c>
      <c r="AC46" s="46">
        <v>1</v>
      </c>
      <c r="AI46" s="46">
        <v>1</v>
      </c>
      <c r="AK46" s="46">
        <v>1</v>
      </c>
      <c r="AU46" s="46">
        <v>1</v>
      </c>
      <c r="AX46" s="46">
        <v>1</v>
      </c>
      <c r="BB46" s="46">
        <v>1</v>
      </c>
      <c r="BJ46" s="46">
        <v>1</v>
      </c>
      <c r="CA46" s="46">
        <v>1</v>
      </c>
      <c r="CD46" s="46">
        <v>1</v>
      </c>
      <c r="CJ46" s="46">
        <v>1</v>
      </c>
      <c r="CV46" s="50">
        <v>46433</v>
      </c>
    </row>
    <row r="47" spans="1:100" ht="15.75" customHeight="1">
      <c r="A47" s="46" t="s">
        <v>1061</v>
      </c>
      <c r="B47" s="46" t="s">
        <v>1062</v>
      </c>
      <c r="C47" s="47">
        <v>18</v>
      </c>
      <c r="D47" s="46" t="s">
        <v>941</v>
      </c>
      <c r="E47" s="46" t="s">
        <v>1063</v>
      </c>
      <c r="F47" s="46" t="s">
        <v>112</v>
      </c>
      <c r="J47" s="46">
        <v>1</v>
      </c>
      <c r="L47" s="46">
        <v>1</v>
      </c>
      <c r="Q47" s="46" t="s">
        <v>191</v>
      </c>
      <c r="U47" s="46">
        <v>1</v>
      </c>
      <c r="W47" s="46">
        <v>17</v>
      </c>
      <c r="X47" s="46">
        <v>17</v>
      </c>
      <c r="Y47" s="54" t="s">
        <v>191</v>
      </c>
      <c r="Z47" s="46">
        <v>0</v>
      </c>
      <c r="AA47" s="46">
        <v>0</v>
      </c>
      <c r="AB47" s="46">
        <v>0</v>
      </c>
      <c r="AE47" s="46">
        <v>1</v>
      </c>
      <c r="AI47" s="46">
        <v>1</v>
      </c>
      <c r="AK47" s="46">
        <v>1</v>
      </c>
      <c r="AU47" s="46">
        <v>1</v>
      </c>
      <c r="AX47" s="46">
        <v>1</v>
      </c>
      <c r="BB47" s="46">
        <v>1</v>
      </c>
      <c r="BJ47" s="46">
        <v>1</v>
      </c>
      <c r="BX47" s="46">
        <v>1</v>
      </c>
      <c r="CA47" s="46">
        <v>1</v>
      </c>
      <c r="CD47" s="46">
        <v>1</v>
      </c>
      <c r="CJ47" s="46">
        <v>1</v>
      </c>
      <c r="CV47" s="50">
        <v>46434</v>
      </c>
    </row>
    <row r="48" spans="1:100" ht="15.75" customHeight="1">
      <c r="A48" s="46" t="s">
        <v>1064</v>
      </c>
      <c r="B48" s="46" t="s">
        <v>1065</v>
      </c>
      <c r="C48" s="47">
        <v>21</v>
      </c>
      <c r="D48" s="46" t="s">
        <v>936</v>
      </c>
      <c r="E48" s="46" t="s">
        <v>1066</v>
      </c>
      <c r="F48" s="46" t="s">
        <v>173</v>
      </c>
      <c r="G48" s="46">
        <v>1</v>
      </c>
      <c r="N48" s="46">
        <v>1</v>
      </c>
      <c r="Q48" s="46">
        <v>1</v>
      </c>
      <c r="U48" s="46">
        <v>1</v>
      </c>
      <c r="W48" s="46">
        <v>17</v>
      </c>
      <c r="X48" s="46">
        <v>17</v>
      </c>
      <c r="Y48" s="46">
        <v>18</v>
      </c>
      <c r="Z48" s="46">
        <v>1</v>
      </c>
      <c r="AA48" s="46">
        <v>1</v>
      </c>
      <c r="AB48" s="46">
        <v>1</v>
      </c>
      <c r="AD48" s="46">
        <v>1</v>
      </c>
      <c r="AE48" s="46">
        <v>1</v>
      </c>
      <c r="AG48" s="46">
        <v>1</v>
      </c>
      <c r="AH48" s="46">
        <v>1</v>
      </c>
      <c r="AJ48" s="46">
        <v>1</v>
      </c>
      <c r="AM48" s="46"/>
      <c r="AN48" s="46">
        <v>1</v>
      </c>
      <c r="AU48" s="46">
        <v>1</v>
      </c>
      <c r="AX48" s="46">
        <v>1</v>
      </c>
      <c r="BB48" s="46">
        <v>1</v>
      </c>
      <c r="BJ48" s="46">
        <v>1</v>
      </c>
      <c r="BX48" s="46">
        <v>1</v>
      </c>
      <c r="CA48" s="46">
        <v>1</v>
      </c>
      <c r="CD48" s="46">
        <v>1</v>
      </c>
      <c r="CJ48" s="46">
        <v>1</v>
      </c>
      <c r="CV48" s="50">
        <v>46435</v>
      </c>
    </row>
    <row r="49" spans="1:100" ht="15.75" customHeight="1">
      <c r="A49" s="46" t="s">
        <v>1067</v>
      </c>
      <c r="B49" s="46" t="s">
        <v>1068</v>
      </c>
      <c r="C49" s="47">
        <v>38</v>
      </c>
      <c r="D49" s="46" t="s">
        <v>933</v>
      </c>
      <c r="E49" s="46" t="s">
        <v>191</v>
      </c>
      <c r="F49" s="46" t="s">
        <v>107</v>
      </c>
      <c r="H49" s="46">
        <v>1</v>
      </c>
      <c r="M49" s="46">
        <v>1</v>
      </c>
      <c r="R49" s="46">
        <v>1</v>
      </c>
      <c r="T49" s="46">
        <v>1</v>
      </c>
      <c r="W49" s="46">
        <v>13</v>
      </c>
      <c r="X49" s="46">
        <v>17</v>
      </c>
      <c r="Y49" s="46">
        <v>24</v>
      </c>
      <c r="Z49" s="46">
        <v>5</v>
      </c>
      <c r="AA49" s="46">
        <v>6</v>
      </c>
      <c r="AB49" s="46">
        <v>4</v>
      </c>
      <c r="AC49" s="46">
        <v>1</v>
      </c>
      <c r="AI49" s="46">
        <v>1</v>
      </c>
      <c r="AK49" s="46">
        <v>1</v>
      </c>
      <c r="AU49" s="46">
        <v>1</v>
      </c>
      <c r="AX49" s="46">
        <v>1</v>
      </c>
      <c r="BB49" s="46">
        <v>1</v>
      </c>
      <c r="BJ49" s="46">
        <v>1</v>
      </c>
      <c r="BX49" s="46">
        <v>1</v>
      </c>
      <c r="CA49" s="46">
        <v>1</v>
      </c>
      <c r="CD49" s="46">
        <v>1</v>
      </c>
      <c r="CJ49" s="46">
        <v>1</v>
      </c>
      <c r="CV49" s="50">
        <v>46436</v>
      </c>
    </row>
    <row r="50" spans="1:100" ht="15.75" customHeight="1">
      <c r="A50" s="46" t="s">
        <v>1069</v>
      </c>
      <c r="B50" s="46" t="s">
        <v>1070</v>
      </c>
      <c r="C50" s="47">
        <v>29</v>
      </c>
      <c r="D50" s="46" t="s">
        <v>941</v>
      </c>
      <c r="E50" s="46" t="s">
        <v>1071</v>
      </c>
      <c r="F50" s="46" t="s">
        <v>112</v>
      </c>
      <c r="J50" s="46">
        <v>1</v>
      </c>
      <c r="M50" s="46">
        <v>1</v>
      </c>
      <c r="Q50" s="46">
        <v>1</v>
      </c>
      <c r="U50" s="46">
        <v>1</v>
      </c>
      <c r="W50" s="46">
        <v>17</v>
      </c>
      <c r="X50" s="46">
        <v>19</v>
      </c>
      <c r="Y50" s="46">
        <v>21</v>
      </c>
      <c r="Z50" s="46">
        <v>5</v>
      </c>
      <c r="AA50" s="46">
        <v>3</v>
      </c>
      <c r="AB50" s="46">
        <v>3</v>
      </c>
      <c r="AE50" s="46">
        <v>1</v>
      </c>
      <c r="AF50" s="46">
        <v>1</v>
      </c>
      <c r="AH50" s="46">
        <v>1</v>
      </c>
      <c r="AI50" s="46">
        <v>1</v>
      </c>
      <c r="AK50" s="46">
        <v>1</v>
      </c>
      <c r="AU50" s="46">
        <v>1</v>
      </c>
      <c r="AX50" s="46">
        <v>1</v>
      </c>
      <c r="BB50" s="46">
        <v>1</v>
      </c>
      <c r="BJ50" s="46">
        <v>1</v>
      </c>
      <c r="BX50" s="46">
        <v>1</v>
      </c>
      <c r="CA50" s="46">
        <v>1</v>
      </c>
      <c r="CD50" s="46">
        <v>1</v>
      </c>
      <c r="CJ50" s="46">
        <v>1</v>
      </c>
      <c r="CV50" s="50">
        <v>46437</v>
      </c>
    </row>
    <row r="51" spans="1:100" ht="15.75" customHeight="1">
      <c r="A51" s="46" t="s">
        <v>1072</v>
      </c>
      <c r="B51" s="46" t="s">
        <v>1073</v>
      </c>
      <c r="C51" s="47">
        <v>38</v>
      </c>
      <c r="D51" s="46" t="s">
        <v>941</v>
      </c>
      <c r="E51" s="46" t="s">
        <v>1074</v>
      </c>
      <c r="F51" s="46" t="s">
        <v>145</v>
      </c>
      <c r="G51" s="46">
        <v>1</v>
      </c>
      <c r="O51" s="46">
        <v>1</v>
      </c>
      <c r="R51" s="46">
        <v>1</v>
      </c>
      <c r="U51" s="46">
        <v>1</v>
      </c>
      <c r="W51" s="46">
        <v>16</v>
      </c>
      <c r="X51" s="46">
        <v>23</v>
      </c>
      <c r="Y51" s="46">
        <v>25</v>
      </c>
      <c r="Z51" s="46">
        <v>5</v>
      </c>
      <c r="AA51" s="46">
        <v>3</v>
      </c>
      <c r="AB51" s="46">
        <v>3</v>
      </c>
      <c r="AE51" s="46">
        <v>1</v>
      </c>
      <c r="AG51" s="46">
        <v>1</v>
      </c>
      <c r="AH51" s="46">
        <v>1</v>
      </c>
      <c r="AI51" s="46">
        <v>1</v>
      </c>
      <c r="AK51" s="46">
        <v>1</v>
      </c>
      <c r="AU51" s="46">
        <v>1</v>
      </c>
      <c r="AX51" s="46">
        <v>1</v>
      </c>
      <c r="BC51" s="46">
        <v>1</v>
      </c>
      <c r="BG51" s="46">
        <v>1</v>
      </c>
      <c r="BN51" s="46">
        <v>1</v>
      </c>
      <c r="CA51" s="46">
        <v>1</v>
      </c>
      <c r="CD51" s="46">
        <v>1</v>
      </c>
      <c r="CJ51" s="46">
        <v>1</v>
      </c>
      <c r="CV51" s="50">
        <v>46438</v>
      </c>
    </row>
    <row r="52" spans="1:100" ht="15.75" customHeight="1">
      <c r="A52" s="46" t="s">
        <v>1075</v>
      </c>
      <c r="B52" s="46" t="s">
        <v>1076</v>
      </c>
      <c r="C52" s="47">
        <v>17</v>
      </c>
      <c r="D52" s="46" t="s">
        <v>941</v>
      </c>
      <c r="E52" s="46" t="s">
        <v>1077</v>
      </c>
      <c r="F52" s="46" t="s">
        <v>662</v>
      </c>
      <c r="J52" s="46">
        <v>1</v>
      </c>
      <c r="N52" s="46">
        <v>1</v>
      </c>
      <c r="Q52" s="46">
        <v>1</v>
      </c>
      <c r="T52" s="46">
        <v>1</v>
      </c>
      <c r="W52" s="46">
        <v>12</v>
      </c>
      <c r="X52" s="46">
        <v>15</v>
      </c>
      <c r="Y52" s="54" t="s">
        <v>191</v>
      </c>
      <c r="Z52" s="46">
        <v>0</v>
      </c>
      <c r="AA52" s="46">
        <v>0</v>
      </c>
      <c r="AB52" s="46">
        <v>0</v>
      </c>
      <c r="AE52" s="46">
        <v>1</v>
      </c>
      <c r="AH52" s="46">
        <v>1</v>
      </c>
      <c r="AI52" s="46">
        <v>1</v>
      </c>
      <c r="AM52" s="46"/>
      <c r="AN52" s="46">
        <v>1</v>
      </c>
      <c r="AU52" s="46">
        <v>1</v>
      </c>
      <c r="AX52" s="46">
        <v>1</v>
      </c>
      <c r="BB52" s="46">
        <v>1</v>
      </c>
      <c r="BJ52" s="46">
        <v>1</v>
      </c>
      <c r="CA52" s="46">
        <v>1</v>
      </c>
      <c r="CD52" s="46">
        <v>1</v>
      </c>
      <c r="CJ52" s="46">
        <v>1</v>
      </c>
      <c r="CV52" s="50">
        <v>46439</v>
      </c>
    </row>
    <row r="53" spans="1:100" ht="15.75" customHeight="1">
      <c r="A53" s="46" t="s">
        <v>1078</v>
      </c>
      <c r="B53" s="46" t="s">
        <v>1079</v>
      </c>
      <c r="C53" s="47">
        <v>30</v>
      </c>
      <c r="D53" s="46" t="s">
        <v>933</v>
      </c>
      <c r="E53" s="46" t="s">
        <v>191</v>
      </c>
      <c r="F53" s="46" t="s">
        <v>942</v>
      </c>
      <c r="G53" s="46">
        <v>1</v>
      </c>
      <c r="M53" s="46">
        <v>1</v>
      </c>
      <c r="R53" s="46">
        <v>1</v>
      </c>
      <c r="S53" s="46">
        <v>1</v>
      </c>
      <c r="W53" s="46">
        <v>15</v>
      </c>
      <c r="X53" s="46">
        <v>19</v>
      </c>
      <c r="Y53" s="46">
        <v>20</v>
      </c>
      <c r="Z53" s="46">
        <v>3</v>
      </c>
      <c r="AA53" s="46">
        <v>3</v>
      </c>
      <c r="AB53" s="46">
        <v>3</v>
      </c>
      <c r="AE53" s="46">
        <v>1</v>
      </c>
      <c r="AH53" s="46">
        <v>1</v>
      </c>
      <c r="AI53" s="113"/>
      <c r="AJ53" s="113"/>
      <c r="AK53" s="46">
        <v>1</v>
      </c>
      <c r="AU53" s="46">
        <v>1</v>
      </c>
      <c r="AX53" s="46">
        <v>1</v>
      </c>
      <c r="BB53" s="46">
        <v>1</v>
      </c>
      <c r="BJ53" s="46">
        <v>1</v>
      </c>
      <c r="CA53" s="46">
        <v>1</v>
      </c>
      <c r="CD53" s="46">
        <v>1</v>
      </c>
      <c r="CJ53" s="46">
        <v>1</v>
      </c>
      <c r="CV53" s="50">
        <v>46440</v>
      </c>
    </row>
    <row r="54" spans="1:100" ht="15.75" customHeight="1">
      <c r="A54" s="46" t="s">
        <v>1080</v>
      </c>
      <c r="B54" s="46" t="s">
        <v>1081</v>
      </c>
      <c r="C54" s="47">
        <v>18</v>
      </c>
      <c r="D54" s="46" t="s">
        <v>941</v>
      </c>
      <c r="E54" s="46" t="s">
        <v>1082</v>
      </c>
      <c r="F54" s="46" t="s">
        <v>1083</v>
      </c>
      <c r="J54" s="46">
        <v>1</v>
      </c>
      <c r="N54" s="46">
        <v>1</v>
      </c>
      <c r="Q54" s="46">
        <v>1</v>
      </c>
      <c r="U54" s="46">
        <v>1</v>
      </c>
      <c r="W54" s="46">
        <v>14</v>
      </c>
      <c r="X54" s="46">
        <v>15</v>
      </c>
      <c r="Y54" s="46">
        <v>17</v>
      </c>
      <c r="Z54" s="46">
        <v>1</v>
      </c>
      <c r="AA54" s="46">
        <v>1</v>
      </c>
      <c r="AB54" s="46">
        <v>1</v>
      </c>
      <c r="AC54" s="46">
        <v>1</v>
      </c>
      <c r="AJ54" s="46">
        <v>1</v>
      </c>
      <c r="AK54" s="46">
        <v>1</v>
      </c>
      <c r="AU54" s="46">
        <v>1</v>
      </c>
      <c r="AX54" s="46">
        <v>1</v>
      </c>
      <c r="BB54" s="46">
        <v>1</v>
      </c>
      <c r="BJ54" s="46">
        <v>1</v>
      </c>
      <c r="CA54" s="46">
        <v>1</v>
      </c>
      <c r="CD54" s="46">
        <v>1</v>
      </c>
      <c r="CJ54" s="46">
        <v>1</v>
      </c>
      <c r="CV54" s="50">
        <v>46441</v>
      </c>
    </row>
    <row r="55" spans="1:100" ht="15.75" customHeight="1">
      <c r="A55" s="46" t="s">
        <v>1084</v>
      </c>
      <c r="B55" s="46" t="s">
        <v>1085</v>
      </c>
      <c r="C55" s="47">
        <v>24</v>
      </c>
      <c r="D55" s="46" t="s">
        <v>941</v>
      </c>
      <c r="E55" s="46" t="s">
        <v>1086</v>
      </c>
      <c r="F55" s="46" t="s">
        <v>112</v>
      </c>
      <c r="J55" s="46">
        <v>1</v>
      </c>
      <c r="M55" s="46">
        <v>1</v>
      </c>
      <c r="R55" s="46">
        <v>1</v>
      </c>
      <c r="U55" s="46">
        <v>1</v>
      </c>
      <c r="W55" s="46">
        <v>14</v>
      </c>
      <c r="X55" s="46">
        <v>16</v>
      </c>
      <c r="Y55" s="46">
        <v>17</v>
      </c>
      <c r="Z55" s="46">
        <v>5</v>
      </c>
      <c r="AA55" s="46">
        <v>3</v>
      </c>
      <c r="AB55" s="46">
        <v>3</v>
      </c>
      <c r="AE55" s="46">
        <v>1</v>
      </c>
      <c r="AG55" s="46">
        <v>1</v>
      </c>
      <c r="AI55" s="46">
        <v>1</v>
      </c>
      <c r="AK55" s="46">
        <v>1</v>
      </c>
      <c r="AU55" s="46">
        <v>1</v>
      </c>
      <c r="AZ55" s="46">
        <v>1</v>
      </c>
      <c r="BB55" s="46">
        <v>1</v>
      </c>
      <c r="BJ55" s="46">
        <v>1</v>
      </c>
      <c r="BX55" s="46">
        <v>1</v>
      </c>
      <c r="CA55" s="46">
        <v>1</v>
      </c>
      <c r="CD55" s="46">
        <v>1</v>
      </c>
      <c r="CJ55" s="46">
        <v>1</v>
      </c>
      <c r="CV55" s="50">
        <v>46442</v>
      </c>
    </row>
    <row r="56" spans="1:100" ht="15.75" customHeight="1">
      <c r="A56" s="46" t="s">
        <v>1087</v>
      </c>
      <c r="B56" s="46" t="s">
        <v>1088</v>
      </c>
      <c r="C56" s="47">
        <v>28</v>
      </c>
      <c r="D56" s="46" t="s">
        <v>941</v>
      </c>
      <c r="E56" s="46" t="s">
        <v>1089</v>
      </c>
      <c r="F56" s="46" t="s">
        <v>112</v>
      </c>
      <c r="G56" s="46">
        <v>1</v>
      </c>
      <c r="N56" s="46">
        <v>1</v>
      </c>
      <c r="Q56" s="46">
        <v>1</v>
      </c>
      <c r="U56" s="46">
        <v>1</v>
      </c>
      <c r="W56" s="46">
        <v>14</v>
      </c>
      <c r="X56" s="46">
        <v>18</v>
      </c>
      <c r="Y56" s="46">
        <v>19</v>
      </c>
      <c r="Z56" s="46">
        <v>4</v>
      </c>
      <c r="AA56" s="46">
        <v>3</v>
      </c>
      <c r="AB56" s="46">
        <v>3</v>
      </c>
      <c r="AD56" s="46">
        <v>1</v>
      </c>
      <c r="AE56" s="46">
        <v>1</v>
      </c>
      <c r="AH56" s="46">
        <v>1</v>
      </c>
      <c r="AI56" s="46">
        <v>1</v>
      </c>
      <c r="AK56" s="46">
        <v>1</v>
      </c>
      <c r="AU56" s="46">
        <v>1</v>
      </c>
      <c r="AX56" s="46">
        <v>1</v>
      </c>
      <c r="BB56" s="46">
        <v>1</v>
      </c>
      <c r="BJ56" s="46">
        <v>1</v>
      </c>
      <c r="BX56" s="46">
        <v>1</v>
      </c>
      <c r="CA56" s="46">
        <v>1</v>
      </c>
      <c r="CD56" s="46">
        <v>1</v>
      </c>
      <c r="CJ56" s="46">
        <v>1</v>
      </c>
      <c r="CV56" s="50">
        <v>46443</v>
      </c>
    </row>
    <row r="57" spans="1:100" ht="15.75" customHeight="1">
      <c r="A57" s="46" t="s">
        <v>1090</v>
      </c>
      <c r="B57" s="46" t="s">
        <v>1091</v>
      </c>
      <c r="C57" s="47">
        <v>19</v>
      </c>
      <c r="D57" s="46" t="s">
        <v>933</v>
      </c>
      <c r="E57" s="46" t="s">
        <v>1092</v>
      </c>
      <c r="F57" s="46" t="s">
        <v>389</v>
      </c>
      <c r="J57" s="46">
        <v>1</v>
      </c>
      <c r="N57" s="46">
        <v>1</v>
      </c>
      <c r="Q57" s="46">
        <v>1</v>
      </c>
      <c r="U57" s="46">
        <v>1</v>
      </c>
      <c r="W57" s="46">
        <v>16</v>
      </c>
      <c r="X57" s="46">
        <v>16</v>
      </c>
      <c r="Y57" s="54" t="s">
        <v>191</v>
      </c>
      <c r="Z57" s="46">
        <v>0</v>
      </c>
      <c r="AA57" s="46">
        <v>0</v>
      </c>
      <c r="AB57" s="46">
        <v>0</v>
      </c>
      <c r="AE57" s="46">
        <v>1</v>
      </c>
      <c r="AG57" s="46">
        <v>1</v>
      </c>
      <c r="AH57" s="46">
        <v>1</v>
      </c>
      <c r="AI57" s="113"/>
      <c r="AJ57" s="113"/>
      <c r="AK57" s="46">
        <v>1</v>
      </c>
      <c r="AU57" s="46">
        <v>1</v>
      </c>
      <c r="AX57" s="46">
        <v>1</v>
      </c>
      <c r="BB57" s="46">
        <v>1</v>
      </c>
      <c r="BJ57" s="46">
        <v>1</v>
      </c>
      <c r="BX57" s="46">
        <v>1</v>
      </c>
      <c r="CA57" s="46">
        <v>1</v>
      </c>
      <c r="CD57" s="46">
        <v>1</v>
      </c>
      <c r="CJ57" s="46">
        <v>1</v>
      </c>
      <c r="CV57" s="50">
        <v>46444</v>
      </c>
    </row>
    <row r="58" spans="1:100" ht="15.75" customHeight="1">
      <c r="C58" s="59"/>
    </row>
    <row r="59" spans="1:100" ht="15.75" customHeight="1">
      <c r="C59" s="59"/>
    </row>
    <row r="60" spans="1:100" ht="15.75" customHeight="1">
      <c r="C60" s="59"/>
    </row>
    <row r="61" spans="1:100" ht="15.75" customHeight="1">
      <c r="C61" s="59"/>
    </row>
    <row r="62" spans="1:100" ht="15.75" customHeight="1">
      <c r="C62" s="59"/>
    </row>
    <row r="63" spans="1:100" ht="15.75" customHeight="1">
      <c r="C63" s="59"/>
    </row>
    <row r="64" spans="1:100" ht="15.75" customHeight="1">
      <c r="C64" s="59"/>
    </row>
    <row r="65" spans="3:3" ht="15.75" customHeight="1">
      <c r="C65" s="59"/>
    </row>
    <row r="66" spans="3:3" ht="15.75" customHeight="1">
      <c r="C66" s="59"/>
    </row>
    <row r="67" spans="3:3" ht="15.75" customHeight="1">
      <c r="C67" s="59"/>
    </row>
    <row r="68" spans="3:3" ht="15.75" customHeight="1">
      <c r="C68" s="59"/>
    </row>
    <row r="69" spans="3:3" ht="15.75" customHeight="1">
      <c r="C69" s="59"/>
    </row>
    <row r="70" spans="3:3" ht="15.75" customHeight="1">
      <c r="C70" s="59"/>
    </row>
    <row r="71" spans="3:3" ht="15.75" customHeight="1">
      <c r="C71" s="59"/>
    </row>
    <row r="72" spans="3:3" ht="15.75" customHeight="1">
      <c r="C72" s="59"/>
    </row>
    <row r="73" spans="3:3" ht="15.75" customHeight="1">
      <c r="C73" s="59"/>
    </row>
    <row r="74" spans="3:3" ht="15.75" customHeight="1">
      <c r="C74" s="59"/>
    </row>
    <row r="75" spans="3:3" ht="15.75" customHeight="1">
      <c r="C75" s="59"/>
    </row>
    <row r="76" spans="3:3" ht="15.75" customHeight="1">
      <c r="C76" s="59"/>
    </row>
    <row r="77" spans="3:3" ht="15.75" customHeight="1">
      <c r="C77" s="59"/>
    </row>
    <row r="78" spans="3:3" ht="15.75" customHeight="1">
      <c r="C78" s="59"/>
    </row>
    <row r="79" spans="3:3" ht="15.75" customHeight="1"/>
    <row r="80" spans="3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CV57"/>
  <mergeCells count="30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N1"/>
    <mergeCell ref="AO1:AQ1"/>
    <mergeCell ref="AR1:AT1"/>
    <mergeCell ref="AU1:AV1"/>
    <mergeCell ref="AW1:BA1"/>
    <mergeCell ref="CD1:CE1"/>
    <mergeCell ref="CS3:CT3"/>
    <mergeCell ref="BI2:BJ2"/>
    <mergeCell ref="BK2:BN2"/>
    <mergeCell ref="BB1:BF1"/>
    <mergeCell ref="BG1:BH1"/>
    <mergeCell ref="BI1:BN1"/>
    <mergeCell ref="BO1:BQ1"/>
    <mergeCell ref="BR1:BS1"/>
    <mergeCell ref="BV1:BZ1"/>
    <mergeCell ref="CA1:CC1"/>
    <mergeCell ref="CG1:CI1"/>
    <mergeCell ref="CJ1:CM1"/>
    <mergeCell ref="CN1:CO1"/>
    <mergeCell ref="CP1:CQ1"/>
    <mergeCell ref="CJ2:CM2"/>
  </mergeCells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1093</v>
      </c>
      <c r="B3" s="69">
        <v>9</v>
      </c>
      <c r="C3" s="69"/>
      <c r="D3" s="69">
        <v>1</v>
      </c>
      <c r="E3" s="69">
        <f t="shared" ref="E3:E8" si="0">SUM(B3:D3)</f>
        <v>10</v>
      </c>
      <c r="F3" s="70"/>
      <c r="G3" s="70">
        <v>9</v>
      </c>
      <c r="H3" s="70">
        <v>1</v>
      </c>
      <c r="I3" s="71">
        <f t="shared" ref="I3:I9" si="1">SUM(F3:H3)</f>
        <v>10</v>
      </c>
      <c r="J3" s="70"/>
      <c r="K3" s="70"/>
      <c r="L3" s="70"/>
      <c r="M3" s="70"/>
      <c r="N3" s="71">
        <f t="shared" ref="N3:N9" si="2">SUM(J3:M3)</f>
        <v>0</v>
      </c>
      <c r="O3" s="70">
        <v>1</v>
      </c>
      <c r="P3" s="70"/>
      <c r="Q3" s="70">
        <v>3</v>
      </c>
      <c r="R3" s="71">
        <f t="shared" ref="R3:R8" si="3">SUM(O3:Q3)</f>
        <v>4</v>
      </c>
      <c r="S3" s="70"/>
      <c r="T3" s="70"/>
      <c r="U3" s="70"/>
      <c r="V3" s="70"/>
      <c r="W3" s="70"/>
      <c r="X3" s="70"/>
      <c r="Y3" s="73">
        <v>8</v>
      </c>
      <c r="Z3" s="73"/>
      <c r="AA3" s="73"/>
      <c r="AB3" s="73">
        <v>2</v>
      </c>
      <c r="AC3" s="73">
        <f t="shared" ref="AC3:AC8" si="4">SUM(Y3:AB3)</f>
        <v>10</v>
      </c>
      <c r="AD3" s="73"/>
    </row>
    <row r="4" spans="1:30">
      <c r="A4" s="74" t="s">
        <v>1094</v>
      </c>
      <c r="B4" s="69">
        <v>31</v>
      </c>
      <c r="C4" s="69"/>
      <c r="D4" s="69">
        <v>1</v>
      </c>
      <c r="E4" s="69">
        <f t="shared" si="0"/>
        <v>32</v>
      </c>
      <c r="F4" s="70"/>
      <c r="G4" s="70">
        <v>31</v>
      </c>
      <c r="H4" s="70">
        <v>1</v>
      </c>
      <c r="I4" s="71">
        <f t="shared" si="1"/>
        <v>32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10</v>
      </c>
      <c r="R4" s="71">
        <f t="shared" si="3"/>
        <v>10</v>
      </c>
      <c r="S4" s="75"/>
      <c r="T4" s="75"/>
      <c r="U4" s="75"/>
      <c r="V4" s="75"/>
      <c r="W4" s="75"/>
      <c r="X4" s="76"/>
      <c r="Y4" s="73">
        <v>16</v>
      </c>
      <c r="Z4" s="73"/>
      <c r="AA4" s="73"/>
      <c r="AB4" s="73">
        <v>16</v>
      </c>
      <c r="AC4" s="73">
        <f t="shared" si="4"/>
        <v>32</v>
      </c>
      <c r="AD4" s="73"/>
    </row>
    <row r="5" spans="1:30">
      <c r="A5" s="77" t="s">
        <v>1095</v>
      </c>
      <c r="B5" s="69">
        <v>5</v>
      </c>
      <c r="C5" s="69">
        <v>1</v>
      </c>
      <c r="D5" s="69"/>
      <c r="E5" s="69">
        <f t="shared" si="0"/>
        <v>6</v>
      </c>
      <c r="F5" s="70"/>
      <c r="G5" s="70">
        <v>5</v>
      </c>
      <c r="H5" s="70">
        <v>1</v>
      </c>
      <c r="I5" s="71">
        <f t="shared" si="1"/>
        <v>6</v>
      </c>
      <c r="J5" s="70"/>
      <c r="K5" s="70"/>
      <c r="L5" s="70"/>
      <c r="M5" s="70"/>
      <c r="N5" s="71">
        <f t="shared" si="2"/>
        <v>0</v>
      </c>
      <c r="O5" s="70"/>
      <c r="P5" s="70"/>
      <c r="Q5" s="70">
        <v>3</v>
      </c>
      <c r="R5" s="71">
        <f t="shared" si="3"/>
        <v>3</v>
      </c>
      <c r="S5" s="75"/>
      <c r="T5" s="75"/>
      <c r="U5" s="75"/>
      <c r="V5" s="75"/>
      <c r="W5" s="75"/>
      <c r="X5" s="76"/>
      <c r="Y5" s="73">
        <v>4</v>
      </c>
      <c r="Z5" s="73"/>
      <c r="AA5" s="73"/>
      <c r="AB5" s="73">
        <v>2</v>
      </c>
      <c r="AC5" s="73">
        <f t="shared" si="4"/>
        <v>6</v>
      </c>
      <c r="AD5" s="73"/>
    </row>
    <row r="6" spans="1:30">
      <c r="A6" s="77" t="s">
        <v>1096</v>
      </c>
      <c r="B6" s="69">
        <v>2</v>
      </c>
      <c r="C6" s="69">
        <v>1</v>
      </c>
      <c r="D6" s="69">
        <v>1</v>
      </c>
      <c r="E6" s="69">
        <f t="shared" si="0"/>
        <v>4</v>
      </c>
      <c r="F6" s="70"/>
      <c r="G6" s="70">
        <v>3</v>
      </c>
      <c r="H6" s="70"/>
      <c r="I6" s="71">
        <f t="shared" si="1"/>
        <v>3</v>
      </c>
      <c r="J6" s="70"/>
      <c r="K6" s="70">
        <v>1</v>
      </c>
      <c r="L6" s="70"/>
      <c r="M6" s="70"/>
      <c r="N6" s="71">
        <f t="shared" si="2"/>
        <v>1</v>
      </c>
      <c r="O6" s="70"/>
      <c r="P6" s="70"/>
      <c r="Q6" s="70"/>
      <c r="R6" s="71">
        <f t="shared" si="3"/>
        <v>0</v>
      </c>
      <c r="S6" s="75"/>
      <c r="T6" s="75"/>
      <c r="U6" s="75"/>
      <c r="V6" s="75"/>
      <c r="W6" s="75"/>
      <c r="X6" s="76"/>
      <c r="Y6" s="73">
        <v>2</v>
      </c>
      <c r="Z6" s="73"/>
      <c r="AA6" s="73"/>
      <c r="AB6" s="73">
        <v>2</v>
      </c>
      <c r="AC6" s="73">
        <f t="shared" si="4"/>
        <v>4</v>
      </c>
      <c r="AD6" s="73"/>
    </row>
    <row r="7" spans="1:30">
      <c r="A7" s="77" t="s">
        <v>1097</v>
      </c>
      <c r="B7" s="69">
        <v>1</v>
      </c>
      <c r="C7" s="69"/>
      <c r="D7" s="69"/>
      <c r="E7" s="69">
        <f t="shared" si="0"/>
        <v>1</v>
      </c>
      <c r="F7" s="70"/>
      <c r="G7" s="70"/>
      <c r="H7" s="70"/>
      <c r="I7" s="71">
        <f t="shared" si="1"/>
        <v>0</v>
      </c>
      <c r="J7" s="70"/>
      <c r="K7" s="70">
        <v>1</v>
      </c>
      <c r="L7" s="70"/>
      <c r="M7" s="70"/>
      <c r="N7" s="71">
        <f t="shared" si="2"/>
        <v>1</v>
      </c>
      <c r="O7" s="70"/>
      <c r="P7" s="70"/>
      <c r="Q7" s="70"/>
      <c r="R7" s="71">
        <f t="shared" si="3"/>
        <v>0</v>
      </c>
      <c r="S7" s="75"/>
      <c r="T7" s="75"/>
      <c r="U7" s="75"/>
      <c r="V7" s="75">
        <v>1</v>
      </c>
      <c r="W7" s="75"/>
      <c r="X7" s="76"/>
      <c r="Y7" s="73">
        <v>1</v>
      </c>
      <c r="Z7" s="73"/>
      <c r="AA7" s="73"/>
      <c r="AB7" s="73"/>
      <c r="AC7" s="73">
        <f t="shared" si="4"/>
        <v>1</v>
      </c>
      <c r="AD7" s="73"/>
    </row>
    <row r="8" spans="1:30">
      <c r="A8" s="78" t="s">
        <v>556</v>
      </c>
      <c r="B8" s="79"/>
      <c r="C8" s="79"/>
      <c r="D8" s="79">
        <v>1</v>
      </c>
      <c r="E8" s="69">
        <f t="shared" si="0"/>
        <v>1</v>
      </c>
      <c r="F8" s="80"/>
      <c r="G8" s="80">
        <v>1</v>
      </c>
      <c r="H8" s="80"/>
      <c r="I8" s="71">
        <f t="shared" si="1"/>
        <v>1</v>
      </c>
      <c r="J8" s="80"/>
      <c r="K8" s="80"/>
      <c r="L8" s="80"/>
      <c r="M8" s="80"/>
      <c r="N8" s="71">
        <f t="shared" si="2"/>
        <v>0</v>
      </c>
      <c r="O8" s="80"/>
      <c r="P8" s="80"/>
      <c r="Q8" s="80"/>
      <c r="R8" s="71">
        <f t="shared" si="3"/>
        <v>0</v>
      </c>
      <c r="S8" s="80"/>
      <c r="T8" s="80"/>
      <c r="U8" s="80"/>
      <c r="V8" s="80"/>
      <c r="W8" s="80"/>
      <c r="X8" s="81"/>
      <c r="Y8" s="82">
        <v>1</v>
      </c>
      <c r="Z8" s="82"/>
      <c r="AA8" s="82"/>
      <c r="AB8" s="82"/>
      <c r="AC8" s="73">
        <f t="shared" si="4"/>
        <v>1</v>
      </c>
      <c r="AD8" s="82"/>
    </row>
    <row r="9" spans="1:30">
      <c r="A9" s="69" t="s">
        <v>376</v>
      </c>
      <c r="B9" s="69">
        <f t="shared" ref="B9:H9" si="5">SUM(B3:B8)</f>
        <v>48</v>
      </c>
      <c r="C9" s="69">
        <f t="shared" si="5"/>
        <v>2</v>
      </c>
      <c r="D9" s="69">
        <f t="shared" si="5"/>
        <v>4</v>
      </c>
      <c r="E9" s="69">
        <f t="shared" si="5"/>
        <v>54</v>
      </c>
      <c r="F9" s="69">
        <f t="shared" si="5"/>
        <v>0</v>
      </c>
      <c r="G9" s="69">
        <f t="shared" si="5"/>
        <v>49</v>
      </c>
      <c r="H9" s="69">
        <f t="shared" si="5"/>
        <v>3</v>
      </c>
      <c r="I9" s="71">
        <f t="shared" si="1"/>
        <v>52</v>
      </c>
      <c r="J9" s="114">
        <f>SUM(J3:J8)</f>
        <v>0</v>
      </c>
      <c r="K9" s="114">
        <f>SUM(K3:K8)</f>
        <v>2</v>
      </c>
      <c r="L9" s="114">
        <f>SUM(L3:L8)</f>
        <v>0</v>
      </c>
      <c r="M9" s="114">
        <f>SUM(M3:M8)</f>
        <v>0</v>
      </c>
      <c r="N9" s="71">
        <f t="shared" si="2"/>
        <v>2</v>
      </c>
      <c r="O9" s="114">
        <f t="shared" ref="O9:AC9" si="6">SUM(O3:O8)</f>
        <v>1</v>
      </c>
      <c r="P9" s="114">
        <f t="shared" si="6"/>
        <v>0</v>
      </c>
      <c r="Q9" s="114">
        <f t="shared" si="6"/>
        <v>16</v>
      </c>
      <c r="R9" s="71">
        <f t="shared" si="6"/>
        <v>17</v>
      </c>
      <c r="S9" s="114">
        <f t="shared" si="6"/>
        <v>0</v>
      </c>
      <c r="T9" s="114">
        <f t="shared" si="6"/>
        <v>0</v>
      </c>
      <c r="U9" s="114">
        <f t="shared" si="6"/>
        <v>0</v>
      </c>
      <c r="V9" s="114">
        <f t="shared" si="6"/>
        <v>1</v>
      </c>
      <c r="W9" s="114">
        <f t="shared" si="6"/>
        <v>0</v>
      </c>
      <c r="X9" s="114">
        <f t="shared" si="6"/>
        <v>0</v>
      </c>
      <c r="Y9" s="73">
        <f t="shared" si="6"/>
        <v>32</v>
      </c>
      <c r="Z9" s="73">
        <f t="shared" si="6"/>
        <v>0</v>
      </c>
      <c r="AA9" s="73">
        <f t="shared" si="6"/>
        <v>0</v>
      </c>
      <c r="AB9" s="73">
        <f t="shared" si="6"/>
        <v>22</v>
      </c>
      <c r="AC9" s="73">
        <f t="shared" si="6"/>
        <v>54</v>
      </c>
      <c r="AD9" s="83"/>
    </row>
    <row r="10" spans="1:30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</row>
    <row r="11" spans="1:30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</row>
    <row r="12" spans="1:30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</row>
    <row r="13" spans="1:30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</row>
    <row r="14" spans="1:30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</row>
    <row r="15" spans="1:30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</row>
    <row r="16" spans="1:30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</row>
    <row r="17" spans="1:23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</row>
    <row r="18" spans="1:23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</row>
    <row r="19" spans="1:2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1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42578125" customWidth="1"/>
    <col min="2" max="2" width="20.85546875" customWidth="1"/>
    <col min="3" max="3" width="9.7109375" customWidth="1"/>
    <col min="7" max="7" width="9.140625" customWidth="1"/>
    <col min="8" max="8" width="8.28515625" customWidth="1"/>
    <col min="9" max="9" width="9.42578125" customWidth="1"/>
    <col min="10" max="10" width="10.28515625" customWidth="1"/>
    <col min="11" max="11" width="9.85546875" customWidth="1"/>
    <col min="12" max="12" width="8.85546875" customWidth="1"/>
    <col min="13" max="13" width="8.140625" customWidth="1"/>
    <col min="14" max="14" width="7.5703125" customWidth="1"/>
    <col min="15" max="16" width="8.140625" customWidth="1"/>
    <col min="17" max="17" width="8.42578125" customWidth="1"/>
    <col min="18" max="18" width="7.140625" customWidth="1"/>
    <col min="19" max="19" width="9.28515625" customWidth="1"/>
    <col min="20" max="20" width="9" customWidth="1"/>
    <col min="21" max="21" width="7.85546875" customWidth="1"/>
    <col min="22" max="22" width="7.42578125" customWidth="1"/>
    <col min="23" max="23" width="9.140625" customWidth="1"/>
    <col min="24" max="24" width="8.85546875" customWidth="1"/>
    <col min="25" max="25" width="7.5703125" customWidth="1"/>
    <col min="26" max="26" width="7.7109375" customWidth="1"/>
    <col min="27" max="27" width="8.28515625" customWidth="1"/>
    <col min="28" max="28" width="8.7109375" customWidth="1"/>
    <col min="29" max="29" width="7" customWidth="1"/>
    <col min="30" max="30" width="9.140625" customWidth="1"/>
    <col min="31" max="31" width="10" customWidth="1"/>
    <col min="32" max="32" width="10.5703125" customWidth="1"/>
    <col min="33" max="33" width="11.42578125" customWidth="1"/>
    <col min="34" max="34" width="9.140625" customWidth="1"/>
    <col min="35" max="35" width="6.5703125" customWidth="1"/>
    <col min="36" max="36" width="7.85546875" customWidth="1"/>
    <col min="37" max="38" width="8.42578125" customWidth="1"/>
    <col min="39" max="39" width="8" customWidth="1"/>
    <col min="40" max="40" width="14" customWidth="1"/>
    <col min="41" max="41" width="11" customWidth="1"/>
    <col min="42" max="42" width="11.42578125" customWidth="1"/>
    <col min="46" max="47" width="7" customWidth="1"/>
    <col min="48" max="48" width="8.85546875" customWidth="1"/>
    <col min="49" max="49" width="12.28515625" customWidth="1"/>
    <col min="50" max="50" width="10.28515625" customWidth="1"/>
    <col min="51" max="51" width="10.7109375" customWidth="1"/>
    <col min="52" max="52" width="7.85546875" customWidth="1"/>
    <col min="53" max="53" width="8.85546875" customWidth="1"/>
    <col min="54" max="54" width="9" customWidth="1"/>
    <col min="55" max="55" width="8.28515625" customWidth="1"/>
    <col min="56" max="56" width="12.5703125" customWidth="1"/>
    <col min="57" max="57" width="7.85546875" customWidth="1"/>
    <col min="58" max="58" width="7" customWidth="1"/>
    <col min="59" max="59" width="8" customWidth="1"/>
    <col min="60" max="60" width="7.7109375" customWidth="1"/>
    <col min="61" max="61" width="8.5703125" customWidth="1"/>
    <col min="62" max="62" width="12.28515625" customWidth="1"/>
    <col min="63" max="63" width="12.5703125" customWidth="1"/>
    <col min="65" max="65" width="10.140625" customWidth="1"/>
    <col min="66" max="66" width="9.140625" customWidth="1"/>
    <col min="67" max="67" width="11.42578125" customWidth="1"/>
    <col min="68" max="68" width="7.7109375" customWidth="1"/>
    <col min="69" max="69" width="7.85546875" customWidth="1"/>
    <col min="70" max="70" width="9.140625" customWidth="1"/>
    <col min="72" max="72" width="3.28515625" customWidth="1"/>
    <col min="73" max="73" width="8.7109375" customWidth="1"/>
    <col min="74" max="74" width="10.85546875" customWidth="1"/>
    <col min="75" max="75" width="12.5703125" customWidth="1"/>
    <col min="76" max="76" width="11.28515625" customWidth="1"/>
    <col min="78" max="78" width="7.42578125" customWidth="1"/>
    <col min="79" max="79" width="8.42578125" customWidth="1"/>
    <col min="80" max="80" width="11.85546875" customWidth="1"/>
    <col min="81" max="81" width="10" customWidth="1"/>
    <col min="82" max="82" width="9.85546875" customWidth="1"/>
    <col min="83" max="83" width="12.5703125" customWidth="1"/>
    <col min="84" max="84" width="10.7109375" customWidth="1"/>
    <col min="85" max="85" width="13.140625" customWidth="1"/>
    <col min="86" max="86" width="9.140625" customWidth="1"/>
    <col min="87" max="87" width="10.7109375" customWidth="1"/>
    <col min="88" max="88" width="12.28515625" customWidth="1"/>
    <col min="89" max="89" width="11.7109375" customWidth="1"/>
    <col min="90" max="90" width="7.42578125" customWidth="1"/>
    <col min="92" max="92" width="7.85546875" customWidth="1"/>
    <col min="93" max="93" width="9" customWidth="1"/>
    <col min="94" max="94" width="13.140625" customWidth="1"/>
    <col min="97" max="97" width="12.140625" customWidth="1"/>
  </cols>
  <sheetData>
    <row r="1" spans="1:98">
      <c r="A1" s="479" t="s">
        <v>1098</v>
      </c>
      <c r="B1" s="480"/>
      <c r="C1" s="479" t="s">
        <v>1099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455" t="s">
        <v>24</v>
      </c>
      <c r="CM1" s="456"/>
      <c r="CN1" s="457" t="s">
        <v>25</v>
      </c>
      <c r="CO1" s="456"/>
      <c r="CP1" s="5"/>
      <c r="CQ1" s="6" t="s">
        <v>26</v>
      </c>
      <c r="CR1" s="7"/>
      <c r="CS1" s="8"/>
      <c r="CT1" s="9"/>
    </row>
    <row r="2" spans="1:98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104"/>
      <c r="BG2" s="100"/>
      <c r="BH2" s="489" t="s">
        <v>78</v>
      </c>
      <c r="BI2" s="480"/>
      <c r="BJ2" s="116"/>
      <c r="BK2" s="489" t="s">
        <v>354</v>
      </c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0"/>
      <c r="CM2" s="102"/>
      <c r="CN2" s="96"/>
      <c r="CO2" s="105"/>
      <c r="CP2" s="105" t="s">
        <v>893</v>
      </c>
      <c r="CQ2" s="106"/>
      <c r="CR2" s="107"/>
      <c r="CS2" s="8"/>
      <c r="CT2" s="8"/>
    </row>
    <row r="3" spans="1:98" ht="21.75" customHeight="1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17" t="s">
        <v>894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21" t="s">
        <v>74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29" t="s">
        <v>95</v>
      </c>
      <c r="CF3" s="29" t="s">
        <v>83</v>
      </c>
      <c r="CG3" s="29" t="s">
        <v>88</v>
      </c>
      <c r="CH3" s="29" t="s">
        <v>896</v>
      </c>
      <c r="CI3" s="20" t="s">
        <v>96</v>
      </c>
      <c r="CJ3" s="42" t="s">
        <v>97</v>
      </c>
      <c r="CK3" s="21" t="s">
        <v>98</v>
      </c>
      <c r="CL3" s="21" t="s">
        <v>73</v>
      </c>
      <c r="CM3" s="22" t="s">
        <v>56</v>
      </c>
      <c r="CN3" s="20" t="s">
        <v>99</v>
      </c>
      <c r="CO3" s="22" t="s">
        <v>56</v>
      </c>
      <c r="CP3" s="43"/>
      <c r="CQ3" s="458" t="s">
        <v>100</v>
      </c>
      <c r="CR3" s="459"/>
      <c r="CS3" s="44" t="s">
        <v>101</v>
      </c>
      <c r="CT3" s="45" t="s">
        <v>102</v>
      </c>
    </row>
    <row r="4" spans="1:98">
      <c r="A4" s="46" t="s">
        <v>1100</v>
      </c>
      <c r="B4" s="46" t="s">
        <v>1101</v>
      </c>
      <c r="C4" s="47">
        <v>28</v>
      </c>
      <c r="D4" s="46" t="s">
        <v>1102</v>
      </c>
      <c r="E4" s="46" t="s">
        <v>1103</v>
      </c>
      <c r="F4" s="46" t="s">
        <v>112</v>
      </c>
      <c r="H4" s="46">
        <v>1</v>
      </c>
      <c r="O4" s="46">
        <v>1</v>
      </c>
      <c r="R4" s="46">
        <v>1</v>
      </c>
      <c r="T4" s="46">
        <v>1</v>
      </c>
      <c r="W4" s="46">
        <v>15</v>
      </c>
      <c r="X4" s="46">
        <v>18</v>
      </c>
      <c r="Y4" s="46">
        <v>19</v>
      </c>
      <c r="Z4" s="46">
        <v>3</v>
      </c>
      <c r="AA4" s="46">
        <v>4</v>
      </c>
      <c r="AB4" s="46">
        <v>4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CA4" s="46">
        <v>1</v>
      </c>
      <c r="CB4" s="46" t="s">
        <v>1104</v>
      </c>
      <c r="CC4" s="46">
        <v>1</v>
      </c>
      <c r="CI4" s="46">
        <v>1</v>
      </c>
      <c r="CT4" s="50">
        <v>46419</v>
      </c>
    </row>
    <row r="5" spans="1:98">
      <c r="A5" s="46" t="s">
        <v>1105</v>
      </c>
      <c r="B5" s="46" t="s">
        <v>1106</v>
      </c>
      <c r="C5" s="47">
        <v>37</v>
      </c>
      <c r="D5" s="46" t="s">
        <v>1107</v>
      </c>
      <c r="E5" s="46" t="s">
        <v>1108</v>
      </c>
      <c r="F5" s="46" t="s">
        <v>1109</v>
      </c>
      <c r="H5" s="46">
        <v>1</v>
      </c>
      <c r="O5" s="46">
        <v>1</v>
      </c>
      <c r="Q5" s="46">
        <v>1</v>
      </c>
      <c r="V5" s="46">
        <v>1</v>
      </c>
      <c r="W5" s="46">
        <v>12</v>
      </c>
      <c r="X5" s="46">
        <v>20</v>
      </c>
      <c r="Y5" s="46">
        <v>24</v>
      </c>
      <c r="Z5" s="46">
        <v>3</v>
      </c>
      <c r="AA5" s="46">
        <v>3</v>
      </c>
      <c r="AB5" s="46">
        <v>3</v>
      </c>
      <c r="AC5" s="46">
        <v>1</v>
      </c>
      <c r="AI5" s="113"/>
      <c r="AJ5" s="113"/>
      <c r="AK5" s="46">
        <v>1</v>
      </c>
      <c r="AT5" s="46">
        <v>1</v>
      </c>
      <c r="AW5" s="46">
        <v>1</v>
      </c>
      <c r="BB5" s="46">
        <v>1</v>
      </c>
      <c r="BF5" s="46">
        <v>1</v>
      </c>
      <c r="BM5" s="46">
        <v>1</v>
      </c>
      <c r="BZ5" s="46">
        <v>1</v>
      </c>
      <c r="CC5" s="46">
        <v>1</v>
      </c>
      <c r="CI5" s="46">
        <v>1</v>
      </c>
      <c r="CT5" s="50">
        <v>46420</v>
      </c>
    </row>
    <row r="6" spans="1:98">
      <c r="A6" s="46" t="s">
        <v>1110</v>
      </c>
      <c r="B6" s="46" t="s">
        <v>1111</v>
      </c>
      <c r="C6" s="47">
        <v>27</v>
      </c>
      <c r="D6" s="46" t="s">
        <v>1112</v>
      </c>
      <c r="E6" s="46" t="s">
        <v>191</v>
      </c>
      <c r="F6" s="46" t="s">
        <v>112</v>
      </c>
      <c r="H6" s="46">
        <v>1</v>
      </c>
      <c r="L6" s="46">
        <v>1</v>
      </c>
      <c r="Q6" s="46" t="s">
        <v>191</v>
      </c>
      <c r="V6" s="46">
        <v>1</v>
      </c>
      <c r="W6" s="46">
        <v>14</v>
      </c>
      <c r="X6" s="46">
        <v>23</v>
      </c>
      <c r="Y6" s="46">
        <v>25</v>
      </c>
      <c r="Z6" s="46">
        <v>1</v>
      </c>
      <c r="AA6" s="46">
        <v>1</v>
      </c>
      <c r="AB6" s="46">
        <v>1</v>
      </c>
      <c r="AC6" s="46">
        <v>1</v>
      </c>
      <c r="AI6" s="46">
        <v>1</v>
      </c>
      <c r="AK6" s="46">
        <v>1</v>
      </c>
      <c r="AT6" s="46">
        <v>1</v>
      </c>
      <c r="AW6" s="46">
        <v>1</v>
      </c>
      <c r="BB6" s="46">
        <v>1</v>
      </c>
      <c r="BF6" s="46">
        <v>1</v>
      </c>
      <c r="BI6" s="46">
        <v>1</v>
      </c>
      <c r="BZ6" s="46">
        <v>1</v>
      </c>
      <c r="CD6" s="46">
        <v>1</v>
      </c>
      <c r="CE6" s="46" t="s">
        <v>1113</v>
      </c>
      <c r="CI6" s="46">
        <v>1</v>
      </c>
      <c r="CT6" s="50">
        <v>46421</v>
      </c>
    </row>
    <row r="7" spans="1:98">
      <c r="A7" s="46" t="s">
        <v>1114</v>
      </c>
      <c r="B7" s="46" t="s">
        <v>1115</v>
      </c>
      <c r="C7" s="47">
        <v>35</v>
      </c>
      <c r="D7" s="46" t="s">
        <v>1116</v>
      </c>
      <c r="E7" s="46" t="s">
        <v>1117</v>
      </c>
      <c r="F7" s="46" t="s">
        <v>112</v>
      </c>
      <c r="H7" s="46">
        <v>1</v>
      </c>
      <c r="O7" s="46">
        <v>1</v>
      </c>
      <c r="R7" s="46">
        <v>1</v>
      </c>
      <c r="U7" s="46">
        <v>1</v>
      </c>
      <c r="W7" s="46">
        <v>14</v>
      </c>
      <c r="X7" s="46">
        <v>20</v>
      </c>
      <c r="Y7" s="46">
        <v>23</v>
      </c>
      <c r="Z7" s="46">
        <v>5</v>
      </c>
      <c r="AA7" s="46">
        <v>5</v>
      </c>
      <c r="AB7" s="46">
        <v>5</v>
      </c>
      <c r="AD7" s="46">
        <v>1</v>
      </c>
      <c r="AE7" s="46">
        <v>1</v>
      </c>
      <c r="AG7" s="46">
        <v>1</v>
      </c>
      <c r="AH7" s="46">
        <v>1</v>
      </c>
      <c r="AI7" s="46">
        <v>1</v>
      </c>
      <c r="AK7" s="46">
        <v>1</v>
      </c>
      <c r="AT7" s="46">
        <v>1</v>
      </c>
      <c r="AX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I7" s="46">
        <v>1</v>
      </c>
      <c r="CT7" s="50">
        <v>46422</v>
      </c>
    </row>
    <row r="8" spans="1:98">
      <c r="A8" s="46" t="s">
        <v>1118</v>
      </c>
      <c r="B8" s="46" t="s">
        <v>1119</v>
      </c>
      <c r="C8" s="47">
        <v>35</v>
      </c>
      <c r="D8" s="46" t="s">
        <v>1120</v>
      </c>
      <c r="E8" s="46" t="s">
        <v>1121</v>
      </c>
      <c r="F8" s="46" t="s">
        <v>127</v>
      </c>
      <c r="H8" s="46">
        <v>1</v>
      </c>
      <c r="M8" s="46">
        <v>1</v>
      </c>
      <c r="Q8" s="46">
        <v>1</v>
      </c>
      <c r="U8" s="46">
        <v>1</v>
      </c>
      <c r="W8" s="46">
        <v>15</v>
      </c>
      <c r="X8" s="46">
        <v>18</v>
      </c>
      <c r="Y8" s="46">
        <v>25</v>
      </c>
      <c r="Z8" s="46">
        <v>5</v>
      </c>
      <c r="AA8" s="46">
        <v>5</v>
      </c>
      <c r="AB8" s="46">
        <v>5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113"/>
      <c r="CA8" s="113"/>
      <c r="CC8" s="46">
        <v>1</v>
      </c>
      <c r="CI8" s="46">
        <v>1</v>
      </c>
      <c r="CT8" s="50">
        <v>46423</v>
      </c>
    </row>
    <row r="9" spans="1:98">
      <c r="A9" s="46" t="s">
        <v>1122</v>
      </c>
      <c r="B9" s="46" t="s">
        <v>1123</v>
      </c>
      <c r="C9" s="47">
        <v>23</v>
      </c>
      <c r="D9" s="46" t="s">
        <v>933</v>
      </c>
      <c r="E9" s="46" t="s">
        <v>1124</v>
      </c>
      <c r="F9" s="46" t="s">
        <v>1125</v>
      </c>
      <c r="J9" s="46">
        <v>1</v>
      </c>
      <c r="O9" s="46">
        <v>1</v>
      </c>
      <c r="Q9" s="46">
        <v>1</v>
      </c>
      <c r="U9" s="46">
        <v>1</v>
      </c>
      <c r="W9" s="46">
        <v>15</v>
      </c>
      <c r="X9" s="46">
        <v>15</v>
      </c>
      <c r="Y9" s="46">
        <v>15</v>
      </c>
      <c r="Z9" s="46">
        <v>3</v>
      </c>
      <c r="AA9" s="46">
        <v>3</v>
      </c>
      <c r="AB9" s="46">
        <v>3</v>
      </c>
      <c r="AC9" s="46">
        <v>1</v>
      </c>
      <c r="AI9" s="46">
        <v>1</v>
      </c>
      <c r="AK9" s="46">
        <v>1</v>
      </c>
      <c r="AU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I9" s="46">
        <v>1</v>
      </c>
      <c r="CT9" s="50">
        <v>46424</v>
      </c>
    </row>
    <row r="10" spans="1:98">
      <c r="A10" s="46" t="s">
        <v>1126</v>
      </c>
      <c r="B10" s="46" t="s">
        <v>1127</v>
      </c>
      <c r="C10" s="47">
        <v>33</v>
      </c>
      <c r="D10" s="46" t="s">
        <v>933</v>
      </c>
      <c r="E10" s="46" t="s">
        <v>1128</v>
      </c>
      <c r="F10" s="46" t="s">
        <v>942</v>
      </c>
      <c r="G10" s="46">
        <v>1</v>
      </c>
      <c r="M10" s="46">
        <v>1</v>
      </c>
      <c r="R10" s="46">
        <v>1</v>
      </c>
      <c r="S10" s="46">
        <v>1</v>
      </c>
      <c r="W10" s="46">
        <v>14</v>
      </c>
      <c r="X10" s="46">
        <v>15</v>
      </c>
      <c r="Y10" s="46">
        <v>18</v>
      </c>
      <c r="Z10" s="46">
        <v>4</v>
      </c>
      <c r="AA10" s="46">
        <v>3</v>
      </c>
      <c r="AB10" s="46">
        <v>3</v>
      </c>
      <c r="AE10" s="46">
        <v>1</v>
      </c>
      <c r="AF10" s="46">
        <v>1</v>
      </c>
      <c r="AG10" s="46">
        <v>1</v>
      </c>
      <c r="AI10" s="113"/>
      <c r="AJ10" s="113"/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W10" s="46">
        <v>1</v>
      </c>
      <c r="BZ10" s="46">
        <v>1</v>
      </c>
      <c r="CC10" s="46">
        <v>1</v>
      </c>
      <c r="CI10" s="46">
        <v>1</v>
      </c>
      <c r="CT10" s="50">
        <v>46425</v>
      </c>
    </row>
    <row r="11" spans="1:98">
      <c r="A11" s="46" t="s">
        <v>1129</v>
      </c>
      <c r="B11" s="46" t="s">
        <v>1130</v>
      </c>
      <c r="C11" s="47">
        <v>29</v>
      </c>
      <c r="D11" s="46" t="s">
        <v>1131</v>
      </c>
      <c r="E11" s="46" t="s">
        <v>1132</v>
      </c>
      <c r="F11" s="46" t="s">
        <v>107</v>
      </c>
      <c r="I11" s="46">
        <v>1</v>
      </c>
      <c r="M11" s="46">
        <v>1</v>
      </c>
      <c r="R11" s="46">
        <v>1</v>
      </c>
      <c r="V11" s="46">
        <v>1</v>
      </c>
      <c r="W11" s="46">
        <v>13</v>
      </c>
      <c r="X11" s="46">
        <v>19</v>
      </c>
      <c r="Y11" s="46">
        <v>25</v>
      </c>
      <c r="Z11" s="46">
        <v>2</v>
      </c>
      <c r="AA11" s="46">
        <v>1</v>
      </c>
      <c r="AB11" s="46">
        <v>1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/>
      <c r="BK11" s="46">
        <v>1</v>
      </c>
      <c r="BN11" s="46">
        <v>1</v>
      </c>
      <c r="BO11" s="46" t="s">
        <v>1133</v>
      </c>
      <c r="BZ11" s="46">
        <v>1</v>
      </c>
      <c r="CC11" s="46">
        <v>1</v>
      </c>
      <c r="CI11" s="46">
        <v>1</v>
      </c>
      <c r="CT11" s="46" t="s">
        <v>117</v>
      </c>
    </row>
    <row r="12" spans="1:98">
      <c r="A12" s="46" t="s">
        <v>1134</v>
      </c>
      <c r="B12" s="46" t="s">
        <v>1135</v>
      </c>
      <c r="C12" s="47">
        <v>57</v>
      </c>
      <c r="D12" s="46" t="s">
        <v>1136</v>
      </c>
      <c r="E12" s="46" t="s">
        <v>191</v>
      </c>
      <c r="F12" s="46" t="s">
        <v>112</v>
      </c>
      <c r="H12" s="46">
        <v>1</v>
      </c>
      <c r="O12" s="46">
        <v>1</v>
      </c>
      <c r="Q12" s="46">
        <v>1</v>
      </c>
      <c r="T12" s="46">
        <v>1</v>
      </c>
      <c r="W12" s="46">
        <v>15</v>
      </c>
      <c r="X12" s="46">
        <v>19</v>
      </c>
      <c r="Y12" s="46">
        <v>19</v>
      </c>
      <c r="Z12" s="46">
        <v>7</v>
      </c>
      <c r="AA12" s="46">
        <v>5</v>
      </c>
      <c r="AB12" s="46">
        <v>5</v>
      </c>
      <c r="AH12" s="46">
        <v>1</v>
      </c>
      <c r="AI12" s="113"/>
      <c r="AJ12" s="113"/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T12" s="50">
        <v>46427</v>
      </c>
    </row>
    <row r="13" spans="1:98">
      <c r="A13" s="46" t="s">
        <v>1137</v>
      </c>
      <c r="B13" s="46" t="s">
        <v>1138</v>
      </c>
      <c r="C13" s="47">
        <v>40</v>
      </c>
      <c r="D13" s="46" t="s">
        <v>1139</v>
      </c>
      <c r="E13" s="46" t="s">
        <v>1140</v>
      </c>
      <c r="F13" s="46" t="s">
        <v>122</v>
      </c>
      <c r="G13" s="46">
        <v>1</v>
      </c>
      <c r="M13" s="46">
        <v>1</v>
      </c>
      <c r="Q13" s="46">
        <v>1</v>
      </c>
      <c r="U13" s="46">
        <v>1</v>
      </c>
      <c r="W13" s="46">
        <v>15</v>
      </c>
      <c r="X13" s="46">
        <v>14</v>
      </c>
      <c r="Y13" s="46">
        <v>15</v>
      </c>
      <c r="Z13" s="46">
        <v>5</v>
      </c>
      <c r="AA13" s="46">
        <v>4</v>
      </c>
      <c r="AB13" s="46">
        <v>4</v>
      </c>
      <c r="AE13" s="46">
        <v>1</v>
      </c>
      <c r="AI13" s="46">
        <v>1</v>
      </c>
      <c r="AK13" s="46">
        <v>1</v>
      </c>
      <c r="AT13" s="46">
        <v>1</v>
      </c>
      <c r="AX13" s="46">
        <v>1</v>
      </c>
      <c r="BB13" s="46">
        <v>1</v>
      </c>
      <c r="BF13" s="46">
        <v>1</v>
      </c>
      <c r="BI13" s="46">
        <v>1</v>
      </c>
      <c r="BW13" s="46">
        <v>1</v>
      </c>
      <c r="BZ13" s="117">
        <v>1</v>
      </c>
      <c r="CA13" s="115"/>
      <c r="CC13" s="46">
        <v>1</v>
      </c>
      <c r="CI13" s="46">
        <v>1</v>
      </c>
      <c r="CT13" s="50">
        <v>46428</v>
      </c>
    </row>
    <row r="14" spans="1:98">
      <c r="A14" s="46" t="s">
        <v>1141</v>
      </c>
      <c r="B14" s="46" t="s">
        <v>1142</v>
      </c>
      <c r="C14" s="47">
        <v>39</v>
      </c>
      <c r="D14" s="46" t="s">
        <v>1143</v>
      </c>
      <c r="E14" s="46" t="s">
        <v>1144</v>
      </c>
      <c r="F14" s="46" t="s">
        <v>1145</v>
      </c>
      <c r="G14" s="46">
        <v>1</v>
      </c>
      <c r="N14" s="46">
        <v>1</v>
      </c>
      <c r="R14" s="46">
        <v>1</v>
      </c>
      <c r="T14" s="46">
        <v>1</v>
      </c>
      <c r="W14" s="46">
        <v>19</v>
      </c>
      <c r="X14" s="46">
        <v>20</v>
      </c>
      <c r="Y14" s="46">
        <v>21</v>
      </c>
      <c r="Z14" s="46">
        <v>5</v>
      </c>
      <c r="AA14" s="46">
        <v>5</v>
      </c>
      <c r="AB14" s="46">
        <v>5</v>
      </c>
      <c r="AD14" s="46">
        <v>1</v>
      </c>
      <c r="AE14" s="46">
        <v>1</v>
      </c>
      <c r="AF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B14" s="46">
        <v>1</v>
      </c>
      <c r="BF14" s="46">
        <v>1</v>
      </c>
      <c r="BM14" s="46">
        <v>1</v>
      </c>
      <c r="BN14" s="46">
        <v>1</v>
      </c>
      <c r="BO14" s="46" t="s">
        <v>1133</v>
      </c>
      <c r="BZ14" s="113"/>
      <c r="CA14" s="113"/>
      <c r="CC14" s="46">
        <v>1</v>
      </c>
      <c r="CI14" s="46">
        <v>1</v>
      </c>
      <c r="CT14" s="46" t="s">
        <v>1146</v>
      </c>
    </row>
    <row r="15" spans="1:98">
      <c r="A15" s="46" t="s">
        <v>1147</v>
      </c>
      <c r="B15" s="46" t="s">
        <v>1148</v>
      </c>
      <c r="C15" s="47">
        <v>32</v>
      </c>
      <c r="D15" s="46" t="s">
        <v>1149</v>
      </c>
      <c r="E15" s="46" t="s">
        <v>1150</v>
      </c>
      <c r="F15" s="46" t="s">
        <v>112</v>
      </c>
      <c r="I15" s="46">
        <v>1</v>
      </c>
      <c r="N15" s="46">
        <v>1</v>
      </c>
      <c r="Q15" s="46">
        <v>1</v>
      </c>
      <c r="T15" s="46">
        <v>1</v>
      </c>
      <c r="W15" s="46">
        <v>13</v>
      </c>
      <c r="X15" s="46">
        <v>20</v>
      </c>
      <c r="Y15" s="46">
        <v>25</v>
      </c>
      <c r="Z15" s="46">
        <v>3</v>
      </c>
      <c r="AA15" s="46">
        <v>3</v>
      </c>
      <c r="AB15" s="46">
        <v>2</v>
      </c>
      <c r="AC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  <c r="CT15" s="50">
        <v>46430</v>
      </c>
    </row>
    <row r="16" spans="1:98">
      <c r="A16" s="46" t="s">
        <v>1151</v>
      </c>
      <c r="B16" s="46" t="s">
        <v>1152</v>
      </c>
      <c r="C16" s="47">
        <v>50</v>
      </c>
      <c r="D16" s="46" t="s">
        <v>1153</v>
      </c>
      <c r="E16" s="46" t="s">
        <v>1154</v>
      </c>
      <c r="F16" s="46" t="s">
        <v>107</v>
      </c>
      <c r="G16" s="46">
        <v>1</v>
      </c>
      <c r="M16" s="46">
        <v>1</v>
      </c>
      <c r="Q16" s="46">
        <v>1</v>
      </c>
      <c r="T16" s="46">
        <v>1</v>
      </c>
      <c r="W16" s="46">
        <v>12</v>
      </c>
      <c r="X16" s="46">
        <v>20</v>
      </c>
      <c r="Y16" s="46">
        <v>25</v>
      </c>
      <c r="Z16" s="46">
        <v>8</v>
      </c>
      <c r="AA16" s="46">
        <v>7</v>
      </c>
      <c r="AB16" s="46">
        <v>6</v>
      </c>
      <c r="AC16" s="46">
        <v>1</v>
      </c>
      <c r="AI16" s="46">
        <v>1</v>
      </c>
      <c r="AK16" s="46">
        <v>1</v>
      </c>
      <c r="AT16" s="46">
        <v>1</v>
      </c>
      <c r="AW16" s="46">
        <v>1</v>
      </c>
      <c r="BB16" s="46">
        <v>1</v>
      </c>
      <c r="BF16" s="46">
        <v>1</v>
      </c>
      <c r="BI16" s="46">
        <v>1</v>
      </c>
      <c r="BZ16" s="46">
        <v>1</v>
      </c>
      <c r="CC16" s="46">
        <v>1</v>
      </c>
      <c r="CI16" s="46">
        <v>1</v>
      </c>
      <c r="CT16" s="50">
        <v>46431</v>
      </c>
    </row>
    <row r="17" spans="1:98">
      <c r="A17" s="46" t="s">
        <v>1155</v>
      </c>
      <c r="B17" s="46" t="s">
        <v>1156</v>
      </c>
      <c r="C17" s="47">
        <v>43</v>
      </c>
      <c r="D17" s="46" t="s">
        <v>1157</v>
      </c>
      <c r="E17" s="46" t="s">
        <v>1158</v>
      </c>
      <c r="F17" s="46" t="s">
        <v>1159</v>
      </c>
      <c r="H17" s="46">
        <v>1</v>
      </c>
      <c r="O17" s="46">
        <v>1</v>
      </c>
      <c r="Q17" s="46">
        <v>1</v>
      </c>
      <c r="V17" s="46">
        <v>1</v>
      </c>
      <c r="W17" s="46">
        <v>13</v>
      </c>
      <c r="X17" s="46">
        <v>19</v>
      </c>
      <c r="Y17" s="46">
        <v>28</v>
      </c>
      <c r="Z17" s="46">
        <v>2</v>
      </c>
      <c r="AA17" s="46">
        <v>2</v>
      </c>
      <c r="AB17" s="46">
        <v>2</v>
      </c>
      <c r="AF17" s="46">
        <v>1</v>
      </c>
      <c r="AH17" s="46">
        <v>1</v>
      </c>
      <c r="AI17" s="46">
        <v>1</v>
      </c>
      <c r="AK17" s="46">
        <v>1</v>
      </c>
      <c r="AT17" s="46">
        <v>1</v>
      </c>
      <c r="AY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T17" s="50">
        <v>46432</v>
      </c>
    </row>
    <row r="18" spans="1:98">
      <c r="A18" s="46" t="s">
        <v>1160</v>
      </c>
      <c r="B18" s="46" t="s">
        <v>1161</v>
      </c>
      <c r="C18" s="47">
        <v>40</v>
      </c>
      <c r="D18" s="46" t="s">
        <v>1162</v>
      </c>
      <c r="E18" s="46" t="s">
        <v>1163</v>
      </c>
      <c r="F18" s="46" t="s">
        <v>107</v>
      </c>
      <c r="I18" s="46">
        <v>1</v>
      </c>
      <c r="N18" s="46">
        <v>1</v>
      </c>
      <c r="R18" s="46">
        <v>1</v>
      </c>
      <c r="T18" s="46">
        <v>1</v>
      </c>
      <c r="W18" s="46">
        <v>13</v>
      </c>
      <c r="X18" s="46">
        <v>13</v>
      </c>
      <c r="Y18" s="46">
        <v>14</v>
      </c>
      <c r="Z18" s="46">
        <v>6</v>
      </c>
      <c r="AA18" s="46">
        <v>6</v>
      </c>
      <c r="AB18" s="46">
        <v>5</v>
      </c>
      <c r="AD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W18" s="46">
        <v>1</v>
      </c>
      <c r="BZ18" s="46">
        <v>1</v>
      </c>
      <c r="CC18" s="46">
        <v>1</v>
      </c>
      <c r="CI18" s="46">
        <v>1</v>
      </c>
      <c r="CT18" s="50">
        <v>46433</v>
      </c>
    </row>
    <row r="19" spans="1:98">
      <c r="A19" s="46" t="s">
        <v>1164</v>
      </c>
      <c r="B19" s="46" t="s">
        <v>1165</v>
      </c>
      <c r="C19" s="47">
        <v>37</v>
      </c>
      <c r="D19" s="46" t="s">
        <v>1166</v>
      </c>
      <c r="E19" s="46" t="s">
        <v>1167</v>
      </c>
      <c r="F19" s="46" t="s">
        <v>112</v>
      </c>
      <c r="G19" s="46">
        <v>1</v>
      </c>
      <c r="N19" s="46">
        <v>1</v>
      </c>
      <c r="R19" s="46">
        <v>1</v>
      </c>
      <c r="T19" s="46">
        <v>1</v>
      </c>
      <c r="W19" s="46">
        <v>16</v>
      </c>
      <c r="X19" s="46">
        <v>18</v>
      </c>
      <c r="Y19" s="46">
        <v>19</v>
      </c>
      <c r="Z19" s="46">
        <v>8</v>
      </c>
      <c r="AA19" s="46">
        <v>8</v>
      </c>
      <c r="AB19" s="46">
        <v>8</v>
      </c>
      <c r="AE19" s="46">
        <v>1</v>
      </c>
      <c r="AH19" s="46">
        <v>1</v>
      </c>
      <c r="AJ19" s="46">
        <v>1</v>
      </c>
      <c r="AK19" s="46">
        <v>1</v>
      </c>
      <c r="AT19" s="46">
        <v>1</v>
      </c>
      <c r="AY19" s="46">
        <v>1</v>
      </c>
      <c r="BA19" s="46">
        <v>1</v>
      </c>
      <c r="BH19" s="46">
        <v>1</v>
      </c>
      <c r="BP19" s="46">
        <v>1</v>
      </c>
      <c r="BV19" s="46">
        <v>1</v>
      </c>
      <c r="BW19" s="46">
        <v>1</v>
      </c>
      <c r="CA19" s="46">
        <v>1</v>
      </c>
      <c r="CB19" s="46" t="s">
        <v>1168</v>
      </c>
      <c r="CC19" s="46">
        <v>1</v>
      </c>
      <c r="CI19" s="46">
        <v>1</v>
      </c>
      <c r="CT19" s="50">
        <v>45474</v>
      </c>
    </row>
  </sheetData>
  <autoFilter ref="A3:CT19"/>
  <customSheetViews>
    <customSheetView guid="{36254250-19C7-4333-B80F-7FFB88F4757A}" filter="1" showAutoFilter="1">
      <pageMargins left="0.7" right="0.7" top="0.75" bottom="0.75" header="0.3" footer="0.3"/>
      <autoFilter ref="A3:CT19">
        <filterColumn colId="2">
          <filters>
            <filter val="23"/>
            <filter val="27"/>
            <filter val="28"/>
            <filter val="29"/>
          </filters>
        </filterColumn>
      </autoFilter>
    </customSheetView>
    <customSheetView guid="{DC7BA589-A128-4FA2-A428-606D1239C559}" filter="1" showAutoFilter="1">
      <pageMargins left="0.7" right="0.7" top="0.75" bottom="0.75" header="0.3" footer="0.3"/>
      <autoFilter ref="A3:CT19"/>
    </customSheetView>
  </customSheetViews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C1:CD1"/>
    <mergeCell ref="BN1:BP1"/>
    <mergeCell ref="BQ1:BR1"/>
    <mergeCell ref="BU1:BY1"/>
    <mergeCell ref="BZ1:CB1"/>
    <mergeCell ref="CF1:CH1"/>
    <mergeCell ref="CI1:CK1"/>
    <mergeCell ref="CL1:CM1"/>
    <mergeCell ref="CN1:CO1"/>
    <mergeCell ref="CQ3:CR3"/>
    <mergeCell ref="BH2:BI2"/>
    <mergeCell ref="BK2:BM2"/>
    <mergeCell ref="BA1:BE1"/>
    <mergeCell ref="BF1:BG1"/>
    <mergeCell ref="BH1:BM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1169</v>
      </c>
      <c r="B3" s="69"/>
      <c r="C3" s="69"/>
      <c r="D3" s="69"/>
      <c r="E3" s="69">
        <f t="shared" ref="E3:E8" si="0">SUM(B3:D3)</f>
        <v>0</v>
      </c>
      <c r="F3" s="70"/>
      <c r="G3" s="70"/>
      <c r="H3" s="70"/>
      <c r="I3" s="71">
        <f t="shared" ref="I3:I9" si="1">SUM(F3:H3)</f>
        <v>0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/>
      <c r="R3" s="71">
        <f t="shared" ref="R3:R8" si="3">SUM(O3:Q3)</f>
        <v>0</v>
      </c>
      <c r="S3" s="70"/>
      <c r="T3" s="70"/>
      <c r="U3" s="70"/>
      <c r="V3" s="70"/>
      <c r="W3" s="70"/>
      <c r="X3" s="70"/>
      <c r="Y3" s="73"/>
      <c r="Z3" s="73"/>
      <c r="AA3" s="73"/>
      <c r="AB3" s="73"/>
      <c r="AC3" s="73">
        <f t="shared" ref="AC3:AC8" si="4">SUM(Y3:AB3)</f>
        <v>0</v>
      </c>
      <c r="AD3" s="73"/>
    </row>
    <row r="4" spans="1:30">
      <c r="A4" s="74" t="s">
        <v>924</v>
      </c>
      <c r="B4" s="69">
        <v>4</v>
      </c>
      <c r="C4" s="69"/>
      <c r="D4" s="69"/>
      <c r="E4" s="69">
        <f t="shared" si="0"/>
        <v>4</v>
      </c>
      <c r="F4" s="70"/>
      <c r="G4" s="70">
        <v>3</v>
      </c>
      <c r="H4" s="70"/>
      <c r="I4" s="71">
        <f t="shared" si="1"/>
        <v>3</v>
      </c>
      <c r="J4" s="70"/>
      <c r="K4" s="70">
        <v>1</v>
      </c>
      <c r="L4" s="70"/>
      <c r="M4" s="70"/>
      <c r="N4" s="71">
        <f t="shared" si="2"/>
        <v>1</v>
      </c>
      <c r="O4" s="70"/>
      <c r="P4" s="70"/>
      <c r="Q4" s="70"/>
      <c r="R4" s="71">
        <f t="shared" si="3"/>
        <v>0</v>
      </c>
      <c r="S4" s="75"/>
      <c r="T4" s="75"/>
      <c r="U4" s="75"/>
      <c r="V4" s="75"/>
      <c r="W4" s="75"/>
      <c r="X4" s="76"/>
      <c r="Y4" s="73">
        <v>4</v>
      </c>
      <c r="Z4" s="73"/>
      <c r="AA4" s="73"/>
      <c r="AB4" s="73"/>
      <c r="AC4" s="73">
        <f t="shared" si="4"/>
        <v>4</v>
      </c>
      <c r="AD4" s="73"/>
    </row>
    <row r="5" spans="1:30">
      <c r="A5" s="77" t="s">
        <v>1170</v>
      </c>
      <c r="B5" s="69">
        <v>9</v>
      </c>
      <c r="C5" s="69"/>
      <c r="D5" s="69"/>
      <c r="E5" s="69">
        <f t="shared" si="0"/>
        <v>9</v>
      </c>
      <c r="F5" s="70">
        <v>1</v>
      </c>
      <c r="G5" s="70">
        <v>6</v>
      </c>
      <c r="H5" s="70"/>
      <c r="I5" s="71">
        <f t="shared" si="1"/>
        <v>7</v>
      </c>
      <c r="J5" s="70"/>
      <c r="K5" s="70"/>
      <c r="L5" s="70"/>
      <c r="M5" s="70">
        <v>2</v>
      </c>
      <c r="N5" s="71">
        <f t="shared" si="2"/>
        <v>2</v>
      </c>
      <c r="O5" s="70">
        <v>1</v>
      </c>
      <c r="P5" s="70"/>
      <c r="Q5" s="70">
        <v>5</v>
      </c>
      <c r="R5" s="71">
        <f t="shared" si="3"/>
        <v>6</v>
      </c>
      <c r="S5" s="75"/>
      <c r="T5" s="75"/>
      <c r="U5" s="75"/>
      <c r="V5" s="75"/>
      <c r="W5" s="75"/>
      <c r="X5" s="76"/>
      <c r="Y5" s="73">
        <v>9</v>
      </c>
      <c r="Z5" s="73"/>
      <c r="AA5" s="73"/>
      <c r="AB5" s="73"/>
      <c r="AC5" s="73">
        <f t="shared" si="4"/>
        <v>9</v>
      </c>
      <c r="AD5" s="73"/>
    </row>
    <row r="6" spans="1:30">
      <c r="A6" s="77" t="s">
        <v>1171</v>
      </c>
      <c r="B6" s="69">
        <v>1</v>
      </c>
      <c r="C6" s="69"/>
      <c r="D6" s="69"/>
      <c r="E6" s="69">
        <f t="shared" si="0"/>
        <v>1</v>
      </c>
      <c r="F6" s="70"/>
      <c r="G6" s="70">
        <v>1</v>
      </c>
      <c r="H6" s="70"/>
      <c r="I6" s="71">
        <f t="shared" si="1"/>
        <v>1</v>
      </c>
      <c r="J6" s="70"/>
      <c r="K6" s="70"/>
      <c r="L6" s="70"/>
      <c r="M6" s="70"/>
      <c r="N6" s="71">
        <f t="shared" si="2"/>
        <v>0</v>
      </c>
      <c r="O6" s="70"/>
      <c r="P6" s="70"/>
      <c r="Q6" s="70"/>
      <c r="R6" s="71">
        <f t="shared" si="3"/>
        <v>0</v>
      </c>
      <c r="S6" s="75"/>
      <c r="T6" s="75"/>
      <c r="U6" s="75"/>
      <c r="V6" s="75"/>
      <c r="W6" s="75"/>
      <c r="X6" s="76"/>
      <c r="Y6" s="73">
        <v>1</v>
      </c>
      <c r="Z6" s="73"/>
      <c r="AA6" s="73"/>
      <c r="AB6" s="73"/>
      <c r="AC6" s="73">
        <f t="shared" si="4"/>
        <v>1</v>
      </c>
      <c r="AD6" s="73"/>
    </row>
    <row r="7" spans="1:30">
      <c r="A7" s="77" t="s">
        <v>1097</v>
      </c>
      <c r="B7" s="69">
        <v>1</v>
      </c>
      <c r="C7" s="69"/>
      <c r="D7" s="69"/>
      <c r="E7" s="69">
        <f t="shared" si="0"/>
        <v>1</v>
      </c>
      <c r="F7" s="70"/>
      <c r="G7" s="70">
        <v>1</v>
      </c>
      <c r="H7" s="70"/>
      <c r="I7" s="71">
        <f t="shared" si="1"/>
        <v>1</v>
      </c>
      <c r="J7" s="70"/>
      <c r="K7" s="70"/>
      <c r="L7" s="70"/>
      <c r="M7" s="70"/>
      <c r="N7" s="71">
        <f t="shared" si="2"/>
        <v>0</v>
      </c>
      <c r="O7" s="70"/>
      <c r="P7" s="70"/>
      <c r="Q7" s="70"/>
      <c r="R7" s="71">
        <f t="shared" si="3"/>
        <v>0</v>
      </c>
      <c r="S7" s="75"/>
      <c r="T7" s="75"/>
      <c r="U7" s="75"/>
      <c r="V7" s="75"/>
      <c r="W7" s="75"/>
      <c r="X7" s="76"/>
      <c r="Y7" s="73">
        <v>1</v>
      </c>
      <c r="Z7" s="73"/>
      <c r="AA7" s="73"/>
      <c r="AB7" s="73"/>
      <c r="AC7" s="73">
        <f t="shared" si="4"/>
        <v>1</v>
      </c>
      <c r="AD7" s="73"/>
    </row>
    <row r="8" spans="1:30">
      <c r="A8" s="78" t="s">
        <v>1172</v>
      </c>
      <c r="B8" s="79"/>
      <c r="C8" s="79"/>
      <c r="D8" s="79">
        <v>1</v>
      </c>
      <c r="E8" s="69">
        <f t="shared" si="0"/>
        <v>1</v>
      </c>
      <c r="F8" s="80"/>
      <c r="G8" s="80"/>
      <c r="H8" s="80"/>
      <c r="I8" s="71">
        <f t="shared" si="1"/>
        <v>0</v>
      </c>
      <c r="J8" s="80"/>
      <c r="K8" s="80"/>
      <c r="L8" s="80"/>
      <c r="M8" s="80"/>
      <c r="N8" s="71">
        <f t="shared" si="2"/>
        <v>0</v>
      </c>
      <c r="O8" s="80"/>
      <c r="P8" s="80"/>
      <c r="Q8" s="80"/>
      <c r="R8" s="71">
        <f t="shared" si="3"/>
        <v>0</v>
      </c>
      <c r="S8" s="80"/>
      <c r="T8" s="80"/>
      <c r="U8" s="80"/>
      <c r="V8" s="80"/>
      <c r="W8" s="80"/>
      <c r="X8" s="81"/>
      <c r="Y8" s="82"/>
      <c r="Z8" s="82"/>
      <c r="AA8" s="82"/>
      <c r="AB8" s="82"/>
      <c r="AC8" s="73">
        <f t="shared" si="4"/>
        <v>0</v>
      </c>
      <c r="AD8" s="82"/>
    </row>
    <row r="9" spans="1:30">
      <c r="A9" s="69" t="s">
        <v>376</v>
      </c>
      <c r="B9" s="69">
        <f>SUM(B3:B8)</f>
        <v>15</v>
      </c>
      <c r="C9" s="69">
        <f>SUM(C3:C8)</f>
        <v>0</v>
      </c>
      <c r="D9" s="69">
        <v>1</v>
      </c>
      <c r="E9" s="69">
        <f>SUM(E3:E8)</f>
        <v>16</v>
      </c>
      <c r="F9" s="69">
        <f>SUM(F3:F8)</f>
        <v>1</v>
      </c>
      <c r="G9" s="69">
        <f>SUM(G3:G8)</f>
        <v>11</v>
      </c>
      <c r="H9" s="69">
        <f>SUM(H3:H8)</f>
        <v>0</v>
      </c>
      <c r="I9" s="71">
        <f t="shared" si="1"/>
        <v>12</v>
      </c>
      <c r="J9" s="114">
        <f>SUM(J3:J8)</f>
        <v>0</v>
      </c>
      <c r="K9" s="114">
        <f>SUM(K3:K8)</f>
        <v>1</v>
      </c>
      <c r="L9" s="114">
        <f>SUM(L3:L8)</f>
        <v>0</v>
      </c>
      <c r="M9" s="114">
        <f>SUM(M3:M8)</f>
        <v>2</v>
      </c>
      <c r="N9" s="71">
        <f t="shared" si="2"/>
        <v>3</v>
      </c>
      <c r="O9" s="114">
        <f t="shared" ref="O9:AC9" si="5">SUM(O3:O8)</f>
        <v>1</v>
      </c>
      <c r="P9" s="114">
        <f t="shared" si="5"/>
        <v>0</v>
      </c>
      <c r="Q9" s="114">
        <f t="shared" si="5"/>
        <v>5</v>
      </c>
      <c r="R9" s="71">
        <f t="shared" si="5"/>
        <v>6</v>
      </c>
      <c r="S9" s="114">
        <f t="shared" si="5"/>
        <v>0</v>
      </c>
      <c r="T9" s="114">
        <f t="shared" si="5"/>
        <v>0</v>
      </c>
      <c r="U9" s="114">
        <f t="shared" si="5"/>
        <v>0</v>
      </c>
      <c r="V9" s="114">
        <f t="shared" si="5"/>
        <v>0</v>
      </c>
      <c r="W9" s="114">
        <f t="shared" si="5"/>
        <v>0</v>
      </c>
      <c r="X9" s="114">
        <f t="shared" si="5"/>
        <v>0</v>
      </c>
      <c r="Y9" s="73">
        <f t="shared" si="5"/>
        <v>15</v>
      </c>
      <c r="Z9" s="73">
        <f t="shared" si="5"/>
        <v>0</v>
      </c>
      <c r="AA9" s="73">
        <f t="shared" si="5"/>
        <v>0</v>
      </c>
      <c r="AB9" s="73">
        <f t="shared" si="5"/>
        <v>0</v>
      </c>
      <c r="AC9" s="73">
        <f t="shared" si="5"/>
        <v>15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2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1.7109375" customWidth="1"/>
    <col min="2" max="2" width="18" customWidth="1"/>
    <col min="3" max="3" width="8.5703125" customWidth="1"/>
    <col min="7" max="7" width="8.42578125" customWidth="1"/>
    <col min="8" max="8" width="9" customWidth="1"/>
    <col min="9" max="9" width="8.85546875" customWidth="1"/>
    <col min="10" max="10" width="9.140625" customWidth="1"/>
    <col min="11" max="11" width="9" customWidth="1"/>
    <col min="12" max="12" width="8.28515625" customWidth="1"/>
    <col min="13" max="13" width="8" customWidth="1"/>
    <col min="14" max="14" width="8.42578125" customWidth="1"/>
    <col min="15" max="15" width="8.28515625" customWidth="1"/>
    <col min="16" max="16" width="8.7109375" customWidth="1"/>
    <col min="17" max="17" width="9" customWidth="1"/>
    <col min="18" max="19" width="8.140625" customWidth="1"/>
    <col min="20" max="20" width="7.5703125" customWidth="1"/>
    <col min="21" max="21" width="7.28515625" customWidth="1"/>
    <col min="22" max="22" width="7.42578125" customWidth="1"/>
    <col min="23" max="23" width="8.42578125" customWidth="1"/>
    <col min="24" max="24" width="11.42578125" customWidth="1"/>
    <col min="25" max="25" width="9.42578125" customWidth="1"/>
    <col min="26" max="26" width="7.28515625" customWidth="1"/>
    <col min="27" max="27" width="9" customWidth="1"/>
    <col min="28" max="28" width="10.28515625" customWidth="1"/>
    <col min="29" max="29" width="8.7109375" customWidth="1"/>
    <col min="30" max="30" width="9.28515625" customWidth="1"/>
    <col min="31" max="31" width="9.42578125" customWidth="1"/>
    <col min="32" max="32" width="9.140625" customWidth="1"/>
    <col min="33" max="33" width="10.42578125" customWidth="1"/>
    <col min="34" max="34" width="7.28515625" customWidth="1"/>
    <col min="35" max="35" width="7" customWidth="1"/>
    <col min="36" max="36" width="6.42578125" customWidth="1"/>
    <col min="37" max="37" width="8.5703125" customWidth="1"/>
    <col min="38" max="38" width="6.85546875" customWidth="1"/>
    <col min="39" max="39" width="8.140625" customWidth="1"/>
    <col min="40" max="40" width="12.140625" customWidth="1"/>
    <col min="41" max="41" width="9.85546875" customWidth="1"/>
    <col min="42" max="42" width="11.140625" customWidth="1"/>
    <col min="43" max="43" width="11.28515625" customWidth="1"/>
    <col min="44" max="44" width="13" customWidth="1"/>
    <col min="45" max="45" width="12.140625" customWidth="1"/>
    <col min="46" max="46" width="6.42578125" customWidth="1"/>
    <col min="47" max="47" width="7.7109375" customWidth="1"/>
    <col min="48" max="48" width="8.42578125" customWidth="1"/>
    <col min="49" max="49" width="12.85546875" customWidth="1"/>
    <col min="50" max="50" width="9.85546875" customWidth="1"/>
    <col min="51" max="51" width="10.85546875" customWidth="1"/>
    <col min="52" max="52" width="7.7109375" customWidth="1"/>
    <col min="53" max="53" width="8.140625" customWidth="1"/>
    <col min="54" max="55" width="8.42578125" customWidth="1"/>
    <col min="56" max="56" width="12.28515625" customWidth="1"/>
    <col min="57" max="57" width="9.140625" customWidth="1"/>
    <col min="58" max="58" width="7.140625" customWidth="1"/>
    <col min="59" max="59" width="8.7109375" customWidth="1"/>
    <col min="60" max="60" width="7.42578125" customWidth="1"/>
    <col min="61" max="61" width="9" customWidth="1"/>
    <col min="62" max="63" width="12.5703125" customWidth="1"/>
    <col min="65" max="65" width="10.5703125" customWidth="1"/>
    <col min="66" max="66" width="9.28515625" customWidth="1"/>
    <col min="67" max="67" width="10.85546875" customWidth="1"/>
    <col min="68" max="68" width="9.28515625" customWidth="1"/>
    <col min="69" max="69" width="9.5703125" customWidth="1"/>
    <col min="70" max="70" width="9.140625" customWidth="1"/>
    <col min="71" max="71" width="12.140625" customWidth="1"/>
    <col min="72" max="72" width="1.5703125" customWidth="1"/>
    <col min="73" max="73" width="10.140625" customWidth="1"/>
    <col min="74" max="74" width="11.7109375" customWidth="1"/>
    <col min="75" max="75" width="13.28515625" customWidth="1"/>
    <col min="76" max="76" width="11.85546875" customWidth="1"/>
    <col min="78" max="78" width="9.42578125" customWidth="1"/>
    <col min="79" max="79" width="8.28515625" customWidth="1"/>
    <col min="80" max="80" width="9.85546875" customWidth="1"/>
    <col min="81" max="81" width="7.7109375" customWidth="1"/>
    <col min="82" max="82" width="10.140625" customWidth="1"/>
    <col min="84" max="84" width="10.28515625" customWidth="1"/>
    <col min="85" max="85" width="8.85546875" customWidth="1"/>
    <col min="86" max="86" width="11" customWidth="1"/>
    <col min="87" max="87" width="11.5703125" customWidth="1"/>
    <col min="88" max="88" width="12.42578125" customWidth="1"/>
    <col min="90" max="90" width="8.28515625" customWidth="1"/>
    <col min="91" max="91" width="7.140625" customWidth="1"/>
    <col min="92" max="92" width="8.140625" customWidth="1"/>
    <col min="93" max="93" width="8.42578125" customWidth="1"/>
    <col min="94" max="94" width="14.42578125" customWidth="1"/>
  </cols>
  <sheetData>
    <row r="1" spans="1:98">
      <c r="A1" s="479" t="s">
        <v>1173</v>
      </c>
      <c r="B1" s="480"/>
      <c r="C1" s="479" t="s">
        <v>1174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455" t="s">
        <v>24</v>
      </c>
      <c r="CM1" s="456"/>
      <c r="CN1" s="457" t="s">
        <v>25</v>
      </c>
      <c r="CO1" s="456"/>
      <c r="CP1" s="5"/>
      <c r="CQ1" s="6" t="s">
        <v>26</v>
      </c>
      <c r="CR1" s="7"/>
      <c r="CS1" s="8"/>
      <c r="CT1" s="9"/>
    </row>
    <row r="2" spans="1:98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116"/>
      <c r="BK2" s="489" t="s">
        <v>354</v>
      </c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0"/>
      <c r="CM2" s="102"/>
      <c r="CN2" s="96"/>
      <c r="CO2" s="105"/>
      <c r="CP2" s="105" t="s">
        <v>893</v>
      </c>
      <c r="CQ2" s="106"/>
      <c r="CR2" s="107"/>
      <c r="CS2" s="8"/>
      <c r="CT2" s="8"/>
    </row>
    <row r="3" spans="1:98" ht="28.5" customHeight="1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29" t="s">
        <v>95</v>
      </c>
      <c r="CF3" s="29" t="s">
        <v>83</v>
      </c>
      <c r="CG3" s="29" t="s">
        <v>88</v>
      </c>
      <c r="CH3" s="29" t="s">
        <v>896</v>
      </c>
      <c r="CI3" s="20" t="s">
        <v>96</v>
      </c>
      <c r="CJ3" s="42" t="s">
        <v>97</v>
      </c>
      <c r="CK3" s="21" t="s">
        <v>98</v>
      </c>
      <c r="CL3" s="21" t="s">
        <v>73</v>
      </c>
      <c r="CM3" s="22" t="s">
        <v>56</v>
      </c>
      <c r="CN3" s="20" t="s">
        <v>99</v>
      </c>
      <c r="CO3" s="22" t="s">
        <v>56</v>
      </c>
      <c r="CP3" s="43"/>
      <c r="CQ3" s="458" t="s">
        <v>100</v>
      </c>
      <c r="CR3" s="459"/>
      <c r="CS3" s="44" t="s">
        <v>101</v>
      </c>
      <c r="CT3" s="45" t="s">
        <v>102</v>
      </c>
    </row>
    <row r="4" spans="1:98">
      <c r="A4" s="46" t="s">
        <v>1175</v>
      </c>
      <c r="B4" s="46" t="s">
        <v>1176</v>
      </c>
      <c r="C4" s="46">
        <v>55</v>
      </c>
      <c r="D4" s="46" t="s">
        <v>1177</v>
      </c>
      <c r="E4" s="46" t="s">
        <v>191</v>
      </c>
      <c r="F4" s="46" t="s">
        <v>112</v>
      </c>
      <c r="I4" s="46">
        <v>1</v>
      </c>
      <c r="O4" s="46">
        <v>1</v>
      </c>
      <c r="R4" s="46">
        <v>1</v>
      </c>
      <c r="S4" s="46">
        <v>1</v>
      </c>
      <c r="W4" s="46">
        <v>14</v>
      </c>
      <c r="X4" s="46">
        <v>18</v>
      </c>
      <c r="Y4" s="46">
        <v>18</v>
      </c>
      <c r="Z4" s="46">
        <v>8</v>
      </c>
      <c r="AA4" s="46">
        <v>8</v>
      </c>
      <c r="AB4" s="46">
        <v>5</v>
      </c>
      <c r="AC4" s="46">
        <v>1</v>
      </c>
      <c r="AI4" s="113"/>
      <c r="AJ4" s="113"/>
      <c r="AL4" s="46">
        <v>1</v>
      </c>
      <c r="AO4" s="113"/>
      <c r="AP4" s="113"/>
      <c r="AS4" s="46">
        <v>1</v>
      </c>
      <c r="AT4" s="46">
        <v>1</v>
      </c>
      <c r="AW4" s="46">
        <v>1</v>
      </c>
      <c r="BA4" s="46">
        <v>1</v>
      </c>
      <c r="BI4" s="46">
        <v>1</v>
      </c>
      <c r="BZ4" s="46">
        <v>1</v>
      </c>
      <c r="CC4" s="46">
        <v>1</v>
      </c>
      <c r="CI4" s="46">
        <v>1</v>
      </c>
      <c r="CT4" s="50">
        <v>46419</v>
      </c>
    </row>
    <row r="5" spans="1:98">
      <c r="A5" s="46" t="s">
        <v>1178</v>
      </c>
      <c r="B5" s="46" t="s">
        <v>1179</v>
      </c>
      <c r="C5" s="46">
        <v>23</v>
      </c>
      <c r="D5" s="46" t="s">
        <v>1180</v>
      </c>
      <c r="E5" s="46" t="s">
        <v>1181</v>
      </c>
      <c r="F5" s="46" t="s">
        <v>112</v>
      </c>
      <c r="I5" s="46">
        <v>1</v>
      </c>
      <c r="L5" s="46">
        <v>1</v>
      </c>
      <c r="Q5" s="46" t="s">
        <v>191</v>
      </c>
      <c r="U5" s="46">
        <v>1</v>
      </c>
      <c r="W5" s="46">
        <v>12</v>
      </c>
      <c r="X5" s="46">
        <v>19</v>
      </c>
      <c r="Y5" s="46" t="s">
        <v>191</v>
      </c>
      <c r="Z5" s="46">
        <v>0</v>
      </c>
      <c r="AA5" s="46">
        <v>0</v>
      </c>
      <c r="AB5" s="46">
        <v>0</v>
      </c>
      <c r="AC5" s="46">
        <v>1</v>
      </c>
      <c r="AI5" s="113"/>
      <c r="AJ5" s="113"/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I5" s="46">
        <v>1</v>
      </c>
      <c r="CT5" s="50">
        <v>46420</v>
      </c>
    </row>
    <row r="6" spans="1:98">
      <c r="A6" s="46" t="s">
        <v>1182</v>
      </c>
      <c r="B6" s="46" t="s">
        <v>1183</v>
      </c>
      <c r="C6" s="46">
        <v>45</v>
      </c>
      <c r="D6" s="46" t="s">
        <v>1184</v>
      </c>
      <c r="E6" s="46" t="s">
        <v>1185</v>
      </c>
      <c r="F6" s="46" t="s">
        <v>127</v>
      </c>
      <c r="H6" s="46">
        <v>1</v>
      </c>
      <c r="O6" s="46">
        <v>1</v>
      </c>
      <c r="R6" s="46">
        <v>1</v>
      </c>
      <c r="S6" s="46">
        <v>1</v>
      </c>
      <c r="W6" s="46">
        <v>15</v>
      </c>
      <c r="X6" s="46">
        <v>25</v>
      </c>
      <c r="Y6" s="46">
        <v>30</v>
      </c>
      <c r="Z6" s="46">
        <v>10</v>
      </c>
      <c r="AA6" s="46">
        <v>10</v>
      </c>
      <c r="AB6" s="46">
        <v>7</v>
      </c>
      <c r="AC6" s="46">
        <v>1</v>
      </c>
      <c r="AI6" s="113"/>
      <c r="AJ6" s="113"/>
      <c r="AM6" s="46">
        <v>1</v>
      </c>
      <c r="AT6" s="46">
        <v>1</v>
      </c>
      <c r="AX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T6" s="50">
        <v>46421</v>
      </c>
    </row>
    <row r="7" spans="1:98">
      <c r="A7" s="46" t="s">
        <v>1186</v>
      </c>
      <c r="B7" s="46" t="s">
        <v>1187</v>
      </c>
      <c r="C7" s="46">
        <v>25</v>
      </c>
      <c r="D7" s="46" t="s">
        <v>1180</v>
      </c>
      <c r="E7" s="46" t="s">
        <v>1188</v>
      </c>
      <c r="F7" s="46" t="s">
        <v>173</v>
      </c>
      <c r="G7" s="46">
        <v>1</v>
      </c>
      <c r="M7" s="46">
        <v>1</v>
      </c>
      <c r="R7" s="46">
        <v>1</v>
      </c>
      <c r="S7" s="46">
        <v>1</v>
      </c>
      <c r="W7" s="46">
        <v>18</v>
      </c>
      <c r="X7" s="46">
        <v>18</v>
      </c>
      <c r="Y7" s="46">
        <v>19</v>
      </c>
      <c r="Z7" s="46">
        <v>5</v>
      </c>
      <c r="AA7" s="46">
        <v>4</v>
      </c>
      <c r="AB7" s="46">
        <v>3</v>
      </c>
      <c r="AG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H7" s="46">
        <v>1</v>
      </c>
      <c r="BX7" s="46">
        <v>1</v>
      </c>
      <c r="BZ7" s="46">
        <v>1</v>
      </c>
      <c r="CC7" s="46">
        <v>1</v>
      </c>
      <c r="CI7" s="46">
        <v>1</v>
      </c>
      <c r="CT7" s="118" t="s">
        <v>1189</v>
      </c>
    </row>
    <row r="8" spans="1:98">
      <c r="A8" s="46" t="s">
        <v>1190</v>
      </c>
      <c r="B8" s="46" t="s">
        <v>1191</v>
      </c>
      <c r="C8" s="46">
        <v>42</v>
      </c>
      <c r="D8" s="46" t="s">
        <v>1192</v>
      </c>
      <c r="E8" s="46" t="s">
        <v>1193</v>
      </c>
      <c r="F8" s="46" t="s">
        <v>173</v>
      </c>
      <c r="G8" s="46">
        <v>1</v>
      </c>
      <c r="M8" s="46">
        <v>1</v>
      </c>
      <c r="R8" s="46">
        <v>1</v>
      </c>
      <c r="T8" s="46">
        <v>1</v>
      </c>
      <c r="W8" s="46">
        <v>14</v>
      </c>
      <c r="X8" s="46">
        <v>16</v>
      </c>
      <c r="Y8" s="46">
        <v>17</v>
      </c>
      <c r="Z8" s="46">
        <v>6</v>
      </c>
      <c r="AA8" s="46">
        <v>6</v>
      </c>
      <c r="AB8" s="46">
        <v>4</v>
      </c>
      <c r="AE8" s="46">
        <v>1</v>
      </c>
      <c r="AH8" s="46">
        <v>1</v>
      </c>
      <c r="AI8" s="113"/>
      <c r="AJ8" s="113"/>
      <c r="AL8" s="46">
        <v>1</v>
      </c>
      <c r="AO8" s="113"/>
      <c r="AP8" s="113"/>
      <c r="AS8" s="46">
        <v>1</v>
      </c>
      <c r="AT8" s="46">
        <v>1</v>
      </c>
      <c r="AW8" s="46">
        <v>1</v>
      </c>
      <c r="BB8" s="46">
        <v>1</v>
      </c>
      <c r="BF8" s="46">
        <v>1</v>
      </c>
      <c r="BI8" s="46">
        <v>1</v>
      </c>
      <c r="BZ8" s="46">
        <v>1</v>
      </c>
      <c r="CC8" s="46">
        <v>1</v>
      </c>
      <c r="CI8" s="46">
        <v>1</v>
      </c>
      <c r="CT8" s="50">
        <v>46423</v>
      </c>
    </row>
    <row r="9" spans="1:98">
      <c r="A9" s="46" t="s">
        <v>1194</v>
      </c>
      <c r="B9" s="46" t="s">
        <v>1195</v>
      </c>
      <c r="C9" s="46">
        <v>20</v>
      </c>
      <c r="D9" s="46" t="s">
        <v>1196</v>
      </c>
      <c r="E9" s="46" t="s">
        <v>1197</v>
      </c>
      <c r="F9" s="46" t="s">
        <v>127</v>
      </c>
      <c r="J9" s="46">
        <v>1</v>
      </c>
      <c r="M9" s="46">
        <v>1</v>
      </c>
      <c r="Q9" s="46">
        <v>1</v>
      </c>
      <c r="T9" s="46">
        <v>1</v>
      </c>
      <c r="W9" s="46">
        <v>14</v>
      </c>
      <c r="X9" s="46">
        <v>17</v>
      </c>
      <c r="Y9" s="46">
        <v>18</v>
      </c>
      <c r="Z9" s="46">
        <v>2</v>
      </c>
      <c r="AA9" s="46">
        <v>2</v>
      </c>
      <c r="AB9" s="46">
        <v>1</v>
      </c>
      <c r="AE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W9" s="46">
        <v>1</v>
      </c>
      <c r="BZ9" s="46">
        <v>1</v>
      </c>
      <c r="CC9" s="46">
        <v>1</v>
      </c>
      <c r="CI9" s="46">
        <v>1</v>
      </c>
      <c r="CT9" s="50">
        <v>46424</v>
      </c>
    </row>
    <row r="10" spans="1:98">
      <c r="A10" s="46" t="s">
        <v>1198</v>
      </c>
      <c r="B10" s="46" t="s">
        <v>1199</v>
      </c>
      <c r="C10" s="46">
        <v>31</v>
      </c>
      <c r="D10" s="46" t="s">
        <v>1200</v>
      </c>
      <c r="E10" s="46" t="s">
        <v>1201</v>
      </c>
      <c r="F10" s="46" t="s">
        <v>107</v>
      </c>
      <c r="H10" s="46">
        <v>1</v>
      </c>
      <c r="M10" s="46">
        <v>1</v>
      </c>
      <c r="Q10" s="46">
        <v>1</v>
      </c>
      <c r="U10" s="46">
        <v>1</v>
      </c>
      <c r="W10" s="46">
        <v>14</v>
      </c>
      <c r="X10" s="46">
        <v>18</v>
      </c>
      <c r="Y10" s="46">
        <v>21</v>
      </c>
      <c r="Z10" s="46">
        <v>7</v>
      </c>
      <c r="AA10" s="46">
        <v>6</v>
      </c>
      <c r="AB10" s="46">
        <v>6</v>
      </c>
      <c r="AG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W10" s="46">
        <v>1</v>
      </c>
      <c r="BZ10" s="46">
        <v>1</v>
      </c>
      <c r="CC10" s="46">
        <v>1</v>
      </c>
      <c r="CI10" s="46">
        <v>1</v>
      </c>
      <c r="CT10" s="50">
        <v>46425</v>
      </c>
    </row>
    <row r="11" spans="1:98">
      <c r="A11" s="46" t="s">
        <v>1202</v>
      </c>
      <c r="B11" s="46" t="s">
        <v>1203</v>
      </c>
      <c r="C11" s="46">
        <v>25</v>
      </c>
      <c r="D11" s="46" t="s">
        <v>1196</v>
      </c>
      <c r="E11" s="46" t="s">
        <v>1204</v>
      </c>
      <c r="F11" s="46" t="s">
        <v>127</v>
      </c>
      <c r="G11" s="46">
        <v>1</v>
      </c>
      <c r="M11" s="46">
        <v>1</v>
      </c>
      <c r="R11" s="46">
        <v>1</v>
      </c>
      <c r="U11" s="46">
        <v>1</v>
      </c>
      <c r="W11" s="46">
        <v>12</v>
      </c>
      <c r="X11" s="46">
        <v>18</v>
      </c>
      <c r="Y11" s="46">
        <v>19</v>
      </c>
      <c r="Z11" s="46">
        <v>2</v>
      </c>
      <c r="AA11" s="46">
        <v>2</v>
      </c>
      <c r="AB11" s="46">
        <v>2</v>
      </c>
      <c r="AD11" s="46">
        <v>1</v>
      </c>
      <c r="AE11" s="46">
        <v>1</v>
      </c>
      <c r="AG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  <c r="CT11" s="50">
        <v>46426</v>
      </c>
    </row>
    <row r="12" spans="1:98">
      <c r="A12" s="46" t="s">
        <v>1205</v>
      </c>
      <c r="B12" s="46" t="s">
        <v>1206</v>
      </c>
      <c r="C12" s="46">
        <v>19</v>
      </c>
      <c r="D12" s="46" t="s">
        <v>1196</v>
      </c>
      <c r="E12" s="46" t="s">
        <v>1207</v>
      </c>
      <c r="F12" s="46" t="s">
        <v>112</v>
      </c>
      <c r="I12" s="46">
        <v>1</v>
      </c>
      <c r="L12" s="46">
        <v>1</v>
      </c>
      <c r="Q12" s="46" t="s">
        <v>191</v>
      </c>
      <c r="T12" s="46">
        <v>1</v>
      </c>
      <c r="W12" s="46">
        <v>15</v>
      </c>
      <c r="X12" s="46">
        <v>15</v>
      </c>
      <c r="Y12" s="46">
        <v>18</v>
      </c>
      <c r="Z12" s="46">
        <v>1</v>
      </c>
      <c r="AA12" s="46">
        <v>1</v>
      </c>
      <c r="AB12" s="46">
        <v>1</v>
      </c>
      <c r="AE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T12" s="50">
        <v>46427</v>
      </c>
    </row>
    <row r="13" spans="1:98">
      <c r="A13" s="46" t="s">
        <v>1208</v>
      </c>
      <c r="B13" s="46" t="s">
        <v>1209</v>
      </c>
      <c r="C13" s="46">
        <v>32</v>
      </c>
      <c r="D13" s="46" t="s">
        <v>1210</v>
      </c>
      <c r="E13" s="46" t="s">
        <v>1211</v>
      </c>
      <c r="F13" s="46" t="s">
        <v>112</v>
      </c>
      <c r="I13" s="46">
        <v>1</v>
      </c>
      <c r="M13" s="46">
        <v>1</v>
      </c>
      <c r="R13" s="46">
        <v>1</v>
      </c>
      <c r="T13" s="46">
        <v>1</v>
      </c>
      <c r="W13" s="46">
        <v>15</v>
      </c>
      <c r="X13" s="46">
        <v>17</v>
      </c>
      <c r="Y13" s="46">
        <v>17</v>
      </c>
      <c r="Z13" s="46">
        <v>6</v>
      </c>
      <c r="AA13" s="46">
        <v>6</v>
      </c>
      <c r="AB13" s="46">
        <v>6</v>
      </c>
      <c r="AE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W13" s="46">
        <v>1</v>
      </c>
      <c r="BZ13" s="46">
        <v>1</v>
      </c>
      <c r="CC13" s="46">
        <v>1</v>
      </c>
      <c r="CI13" s="46">
        <v>1</v>
      </c>
      <c r="CT13" s="50">
        <v>46428</v>
      </c>
    </row>
    <row r="14" spans="1:98">
      <c r="A14" s="46" t="s">
        <v>1212</v>
      </c>
      <c r="B14" s="46" t="s">
        <v>1213</v>
      </c>
      <c r="C14" s="46">
        <v>45</v>
      </c>
      <c r="D14" s="46" t="s">
        <v>1214</v>
      </c>
      <c r="E14" s="46" t="s">
        <v>191</v>
      </c>
      <c r="F14" s="46" t="s">
        <v>330</v>
      </c>
      <c r="G14" s="46">
        <v>1</v>
      </c>
      <c r="M14" s="46">
        <v>1</v>
      </c>
      <c r="R14" s="46">
        <v>1</v>
      </c>
      <c r="T14" s="46">
        <v>1</v>
      </c>
      <c r="W14" s="46">
        <v>13</v>
      </c>
      <c r="X14" s="46">
        <v>14</v>
      </c>
      <c r="Y14" s="46">
        <v>15</v>
      </c>
      <c r="Z14" s="46">
        <v>7</v>
      </c>
      <c r="AA14" s="46">
        <v>7</v>
      </c>
      <c r="AB14" s="46">
        <v>7</v>
      </c>
      <c r="AE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I14" s="46">
        <v>1</v>
      </c>
      <c r="CT14" s="50">
        <v>46429</v>
      </c>
    </row>
    <row r="15" spans="1:98">
      <c r="A15" s="46" t="s">
        <v>1215</v>
      </c>
      <c r="B15" s="46" t="s">
        <v>1216</v>
      </c>
      <c r="C15" s="46">
        <v>63</v>
      </c>
      <c r="D15" s="46" t="s">
        <v>1184</v>
      </c>
      <c r="E15" s="46" t="s">
        <v>191</v>
      </c>
      <c r="F15" s="46" t="s">
        <v>112</v>
      </c>
      <c r="I15" s="46">
        <v>1</v>
      </c>
      <c r="M15" s="46">
        <v>1</v>
      </c>
      <c r="Q15" s="46">
        <v>1</v>
      </c>
      <c r="T15" s="46">
        <v>1</v>
      </c>
      <c r="W15" s="46">
        <v>12</v>
      </c>
      <c r="X15" s="113"/>
      <c r="Y15" s="46">
        <v>15</v>
      </c>
      <c r="Z15" s="46">
        <v>5</v>
      </c>
      <c r="AA15" s="46">
        <v>5</v>
      </c>
      <c r="AB15" s="46">
        <v>5</v>
      </c>
      <c r="AH15" s="46">
        <v>1</v>
      </c>
      <c r="AI15" s="113"/>
      <c r="AJ15" s="118"/>
      <c r="AL15" s="46">
        <v>1</v>
      </c>
      <c r="AO15" s="113"/>
      <c r="AP15" s="113"/>
      <c r="AQ15" s="46" t="s">
        <v>251</v>
      </c>
      <c r="AR15" s="46" t="s">
        <v>1217</v>
      </c>
      <c r="AT15" s="46">
        <v>1</v>
      </c>
      <c r="AW15" s="46">
        <v>1</v>
      </c>
      <c r="BA15" s="46">
        <v>1</v>
      </c>
      <c r="BJ15" s="46">
        <v>1</v>
      </c>
      <c r="BZ15" s="46">
        <v>1</v>
      </c>
      <c r="CC15" s="46">
        <v>1</v>
      </c>
      <c r="CI15" s="46">
        <v>1</v>
      </c>
      <c r="CT15" s="50">
        <v>46430</v>
      </c>
    </row>
    <row r="16" spans="1:98">
      <c r="A16" s="46" t="s">
        <v>1218</v>
      </c>
      <c r="B16" s="46" t="s">
        <v>1219</v>
      </c>
      <c r="C16" s="46">
        <v>50</v>
      </c>
      <c r="D16" s="46" t="s">
        <v>1196</v>
      </c>
      <c r="E16" s="46" t="s">
        <v>1220</v>
      </c>
      <c r="F16" s="46" t="s">
        <v>330</v>
      </c>
      <c r="I16" s="46">
        <v>1</v>
      </c>
      <c r="O16" s="46">
        <v>1</v>
      </c>
      <c r="R16" s="46">
        <v>1</v>
      </c>
      <c r="T16" s="46">
        <v>1</v>
      </c>
      <c r="W16" s="46">
        <v>22</v>
      </c>
      <c r="X16" s="46">
        <v>22</v>
      </c>
      <c r="Y16" s="46">
        <v>23</v>
      </c>
      <c r="Z16" s="46">
        <v>9</v>
      </c>
      <c r="AA16" s="46">
        <v>9</v>
      </c>
      <c r="AB16" s="46">
        <v>8</v>
      </c>
      <c r="AC16" s="46">
        <v>1</v>
      </c>
      <c r="AJ16" s="46">
        <v>1</v>
      </c>
      <c r="AL16" s="46">
        <v>1</v>
      </c>
      <c r="AO16" s="113"/>
      <c r="AP16" s="113"/>
      <c r="AS16" s="46">
        <v>1</v>
      </c>
      <c r="AT16" s="46">
        <v>1</v>
      </c>
      <c r="AW16" s="46">
        <v>1</v>
      </c>
      <c r="BB16" s="46">
        <v>1</v>
      </c>
      <c r="BF16" s="46">
        <v>1</v>
      </c>
      <c r="BI16" s="46">
        <v>1</v>
      </c>
      <c r="BZ16" s="46">
        <v>1</v>
      </c>
      <c r="CD16" s="46">
        <v>1</v>
      </c>
      <c r="CE16" s="46" t="s">
        <v>1221</v>
      </c>
      <c r="CG16" s="46">
        <v>1</v>
      </c>
      <c r="CI16" s="46">
        <v>1</v>
      </c>
      <c r="CT16" s="50">
        <v>46431</v>
      </c>
    </row>
    <row r="17" spans="1:98">
      <c r="A17" s="46" t="s">
        <v>1222</v>
      </c>
      <c r="B17" s="46" t="s">
        <v>1223</v>
      </c>
      <c r="C17" s="46">
        <v>57</v>
      </c>
      <c r="D17" s="46" t="s">
        <v>1224</v>
      </c>
      <c r="E17" s="46" t="s">
        <v>191</v>
      </c>
      <c r="F17" s="46" t="s">
        <v>173</v>
      </c>
      <c r="I17" s="46">
        <v>1</v>
      </c>
      <c r="P17" s="46">
        <v>1</v>
      </c>
      <c r="Q17" s="46">
        <v>1</v>
      </c>
      <c r="S17" s="46">
        <v>1</v>
      </c>
      <c r="W17" s="113"/>
      <c r="X17" s="113"/>
      <c r="Y17" s="113"/>
      <c r="Z17" s="46">
        <v>4</v>
      </c>
      <c r="AA17" s="46">
        <v>4</v>
      </c>
      <c r="AB17" s="46">
        <v>4</v>
      </c>
      <c r="AC17" s="46">
        <v>1</v>
      </c>
      <c r="AI17" s="113"/>
      <c r="AJ17" s="113"/>
      <c r="AL17" s="46">
        <v>1</v>
      </c>
      <c r="AO17" s="113"/>
      <c r="AP17" s="113"/>
      <c r="AS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T17" s="50">
        <v>46432</v>
      </c>
    </row>
    <row r="18" spans="1:98">
      <c r="A18" s="46" t="s">
        <v>1225</v>
      </c>
      <c r="B18" s="46" t="s">
        <v>1226</v>
      </c>
      <c r="C18" s="46">
        <v>27</v>
      </c>
      <c r="D18" s="46" t="s">
        <v>1227</v>
      </c>
      <c r="E18" s="46" t="s">
        <v>1228</v>
      </c>
      <c r="F18" s="46" t="s">
        <v>112</v>
      </c>
      <c r="K18" s="46">
        <v>1</v>
      </c>
      <c r="M18" s="46">
        <v>1</v>
      </c>
      <c r="Q18" s="46">
        <v>1</v>
      </c>
      <c r="V18" s="46">
        <v>1</v>
      </c>
      <c r="W18" s="46">
        <v>15</v>
      </c>
      <c r="X18" s="46">
        <v>16</v>
      </c>
      <c r="Y18" s="46">
        <v>17</v>
      </c>
      <c r="Z18" s="46">
        <v>2</v>
      </c>
      <c r="AA18" s="46">
        <v>2</v>
      </c>
      <c r="AB18" s="46">
        <v>2</v>
      </c>
      <c r="AG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T18" s="50">
        <v>46433</v>
      </c>
    </row>
    <row r="19" spans="1:98">
      <c r="A19" s="46" t="s">
        <v>1229</v>
      </c>
      <c r="B19" s="46" t="s">
        <v>1230</v>
      </c>
      <c r="C19" s="46">
        <v>46</v>
      </c>
      <c r="D19" s="46" t="s">
        <v>1196</v>
      </c>
      <c r="E19" s="46" t="s">
        <v>1231</v>
      </c>
      <c r="F19" s="46" t="s">
        <v>1232</v>
      </c>
      <c r="J19" s="46">
        <v>1</v>
      </c>
      <c r="M19" s="46">
        <v>1</v>
      </c>
      <c r="Q19" s="46">
        <v>1</v>
      </c>
      <c r="T19" s="46">
        <v>1</v>
      </c>
      <c r="W19" s="46">
        <v>13</v>
      </c>
      <c r="X19" s="46">
        <v>18</v>
      </c>
      <c r="Y19" s="46">
        <v>19</v>
      </c>
      <c r="Z19" s="46">
        <v>9</v>
      </c>
      <c r="AA19" s="46">
        <v>6</v>
      </c>
      <c r="AB19" s="46">
        <v>4</v>
      </c>
      <c r="AF19" s="46">
        <v>1</v>
      </c>
      <c r="AI19" s="46">
        <v>1</v>
      </c>
      <c r="AL19" s="46">
        <v>1</v>
      </c>
      <c r="AO19" s="46">
        <v>1</v>
      </c>
      <c r="AS19" s="46">
        <v>1</v>
      </c>
      <c r="AT19" s="46">
        <v>1</v>
      </c>
      <c r="AW19" s="46">
        <v>1</v>
      </c>
      <c r="BB19" s="46">
        <v>1</v>
      </c>
      <c r="BF19" s="46">
        <v>1</v>
      </c>
      <c r="BI19" s="46">
        <v>1</v>
      </c>
      <c r="BW19" s="46">
        <v>1</v>
      </c>
      <c r="BZ19" s="46">
        <v>1</v>
      </c>
      <c r="CC19" s="46">
        <v>1</v>
      </c>
      <c r="CI19" s="46">
        <v>1</v>
      </c>
      <c r="CT19" s="50">
        <v>46434</v>
      </c>
    </row>
    <row r="20" spans="1:98">
      <c r="A20" s="46" t="s">
        <v>1233</v>
      </c>
      <c r="B20" s="46" t="s">
        <v>1234</v>
      </c>
      <c r="C20" s="46">
        <v>18</v>
      </c>
      <c r="D20" s="46" t="s">
        <v>1196</v>
      </c>
      <c r="E20" s="46" t="s">
        <v>1235</v>
      </c>
      <c r="F20" s="46" t="s">
        <v>330</v>
      </c>
      <c r="H20" s="46">
        <v>1</v>
      </c>
      <c r="L20" s="46">
        <v>1</v>
      </c>
      <c r="Q20" s="46" t="s">
        <v>191</v>
      </c>
      <c r="T20" s="46">
        <v>1</v>
      </c>
      <c r="W20" s="46">
        <v>13</v>
      </c>
      <c r="X20" s="46">
        <v>15</v>
      </c>
      <c r="Y20" s="46" t="s">
        <v>191</v>
      </c>
      <c r="Z20" s="46">
        <v>0</v>
      </c>
      <c r="AA20" s="46">
        <v>0</v>
      </c>
      <c r="AB20" s="46">
        <v>0</v>
      </c>
      <c r="AD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I20" s="46">
        <v>1</v>
      </c>
      <c r="CT20" s="50">
        <v>46435</v>
      </c>
    </row>
    <row r="21" spans="1:98">
      <c r="A21" s="46" t="s">
        <v>1236</v>
      </c>
      <c r="B21" s="46" t="s">
        <v>1237</v>
      </c>
      <c r="C21" s="46">
        <v>25</v>
      </c>
      <c r="D21" s="46" t="s">
        <v>1196</v>
      </c>
      <c r="E21" s="46" t="s">
        <v>1238</v>
      </c>
      <c r="F21" s="46" t="s">
        <v>145</v>
      </c>
      <c r="G21" s="46">
        <v>1</v>
      </c>
      <c r="M21" s="46">
        <v>1</v>
      </c>
      <c r="Q21" s="46">
        <v>1</v>
      </c>
      <c r="T21" s="46">
        <v>1</v>
      </c>
      <c r="W21" s="46">
        <v>14</v>
      </c>
      <c r="X21" s="46">
        <v>15</v>
      </c>
      <c r="Y21" s="46">
        <v>18</v>
      </c>
      <c r="Z21" s="46">
        <v>4</v>
      </c>
      <c r="AA21" s="46">
        <v>2</v>
      </c>
      <c r="AB21" s="46">
        <v>3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B21" s="46">
        <v>1</v>
      </c>
      <c r="BF21" s="46">
        <v>1</v>
      </c>
      <c r="BI21" s="46">
        <v>1</v>
      </c>
      <c r="BW21" s="46">
        <v>1</v>
      </c>
      <c r="BZ21" s="46">
        <v>1</v>
      </c>
      <c r="CC21" s="46">
        <v>1</v>
      </c>
      <c r="CI21" s="46">
        <v>1</v>
      </c>
      <c r="CT21" s="50">
        <v>46436</v>
      </c>
    </row>
    <row r="22" spans="1:98">
      <c r="A22" s="46" t="s">
        <v>1239</v>
      </c>
      <c r="B22" s="46" t="s">
        <v>1240</v>
      </c>
      <c r="C22" s="46">
        <v>30</v>
      </c>
      <c r="D22" s="46" t="s">
        <v>1196</v>
      </c>
      <c r="E22" s="46" t="s">
        <v>1241</v>
      </c>
      <c r="F22" s="46" t="s">
        <v>112</v>
      </c>
      <c r="J22" s="46">
        <v>1</v>
      </c>
      <c r="O22" s="46">
        <v>1</v>
      </c>
      <c r="Q22" s="113"/>
      <c r="R22" s="113"/>
      <c r="T22" s="46">
        <v>1</v>
      </c>
      <c r="W22" s="46">
        <v>14</v>
      </c>
      <c r="X22" s="46">
        <v>24</v>
      </c>
      <c r="Y22" s="46">
        <v>25</v>
      </c>
      <c r="Z22" s="46">
        <v>4</v>
      </c>
      <c r="AA22" s="46">
        <v>4</v>
      </c>
      <c r="AB22" s="46">
        <v>3</v>
      </c>
      <c r="AE22" s="46">
        <v>1</v>
      </c>
      <c r="AI22" s="46">
        <v>1</v>
      </c>
      <c r="AK22" s="46">
        <v>1</v>
      </c>
      <c r="AT22" s="46">
        <v>1</v>
      </c>
      <c r="AX22" s="46">
        <v>1</v>
      </c>
      <c r="BA22" s="46">
        <v>1</v>
      </c>
      <c r="BJ22" s="46"/>
      <c r="BK22" s="46">
        <v>1</v>
      </c>
      <c r="BP22" s="46">
        <v>1</v>
      </c>
      <c r="BW22" s="46">
        <v>1</v>
      </c>
      <c r="BZ22" s="46">
        <v>1</v>
      </c>
      <c r="CC22" s="46">
        <v>1</v>
      </c>
      <c r="CI22" s="46">
        <v>1</v>
      </c>
      <c r="CT22" s="50">
        <v>46437</v>
      </c>
    </row>
    <row r="23" spans="1:98">
      <c r="A23" s="46" t="s">
        <v>1242</v>
      </c>
      <c r="B23" s="46" t="s">
        <v>1243</v>
      </c>
      <c r="C23" s="46">
        <v>37</v>
      </c>
      <c r="D23" s="46" t="s">
        <v>1244</v>
      </c>
      <c r="E23" s="46" t="s">
        <v>1245</v>
      </c>
      <c r="F23" s="46" t="s">
        <v>112</v>
      </c>
      <c r="I23" s="46">
        <v>1</v>
      </c>
      <c r="M23" s="46">
        <v>1</v>
      </c>
      <c r="R23" s="46">
        <v>1</v>
      </c>
      <c r="S23" s="46">
        <v>1</v>
      </c>
      <c r="W23" s="46">
        <v>17</v>
      </c>
      <c r="X23" s="46">
        <v>18</v>
      </c>
      <c r="Y23" s="46">
        <v>18</v>
      </c>
      <c r="Z23" s="46">
        <v>7</v>
      </c>
      <c r="AA23" s="46">
        <v>6</v>
      </c>
      <c r="AB23" s="46">
        <v>6</v>
      </c>
      <c r="AF23" s="46">
        <v>1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B23" s="46">
        <v>1</v>
      </c>
      <c r="BF23" s="46">
        <v>1</v>
      </c>
      <c r="BI23" s="46">
        <v>1</v>
      </c>
      <c r="BW23" s="46">
        <v>1</v>
      </c>
      <c r="BZ23" s="46">
        <v>1</v>
      </c>
      <c r="CC23" s="46">
        <v>1</v>
      </c>
      <c r="CI23" s="46">
        <v>1</v>
      </c>
      <c r="CT23" s="50">
        <v>46438</v>
      </c>
    </row>
    <row r="24" spans="1:98">
      <c r="A24" s="46" t="s">
        <v>1246</v>
      </c>
      <c r="B24" s="46" t="s">
        <v>1247</v>
      </c>
      <c r="C24" s="46">
        <v>59</v>
      </c>
      <c r="D24" s="46" t="s">
        <v>1248</v>
      </c>
      <c r="E24" s="46" t="s">
        <v>1249</v>
      </c>
      <c r="F24" s="46" t="s">
        <v>145</v>
      </c>
      <c r="J24" s="46">
        <v>1</v>
      </c>
      <c r="O24" s="46">
        <v>1</v>
      </c>
      <c r="Q24" s="46">
        <v>1</v>
      </c>
      <c r="S24" s="46">
        <v>1</v>
      </c>
      <c r="W24" s="46">
        <v>15</v>
      </c>
      <c r="X24" s="46">
        <v>20</v>
      </c>
      <c r="Y24" s="46">
        <v>25</v>
      </c>
      <c r="Z24" s="46">
        <v>8</v>
      </c>
      <c r="AA24" s="46">
        <v>8</v>
      </c>
      <c r="AB24" s="46">
        <v>4</v>
      </c>
      <c r="AC24" s="46">
        <v>1</v>
      </c>
      <c r="AI24" s="113"/>
      <c r="AJ24" s="113"/>
      <c r="AL24" s="46">
        <v>1</v>
      </c>
      <c r="AO24" s="113"/>
      <c r="AP24" s="113"/>
      <c r="AQ24" s="46" t="s">
        <v>251</v>
      </c>
      <c r="AR24" s="46" t="s">
        <v>1250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T24" s="50">
        <v>46439</v>
      </c>
    </row>
    <row r="25" spans="1:98">
      <c r="A25" s="46" t="s">
        <v>1251</v>
      </c>
      <c r="B25" s="46" t="s">
        <v>1252</v>
      </c>
      <c r="C25" s="46">
        <v>44</v>
      </c>
      <c r="D25" s="46" t="s">
        <v>1196</v>
      </c>
      <c r="E25" s="46" t="s">
        <v>1253</v>
      </c>
      <c r="F25" s="46" t="s">
        <v>112</v>
      </c>
      <c r="J25" s="46">
        <v>1</v>
      </c>
      <c r="M25" s="46">
        <v>1</v>
      </c>
      <c r="Q25" s="46">
        <v>1</v>
      </c>
      <c r="V25" s="46">
        <v>1</v>
      </c>
      <c r="W25" s="46">
        <v>14</v>
      </c>
      <c r="X25" s="46">
        <v>18</v>
      </c>
      <c r="Y25" s="46">
        <v>19</v>
      </c>
      <c r="Z25" s="46">
        <v>8</v>
      </c>
      <c r="AA25" s="46">
        <v>7</v>
      </c>
      <c r="AB25" s="46">
        <v>7</v>
      </c>
      <c r="AD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T25" s="50">
        <v>46440</v>
      </c>
    </row>
    <row r="26" spans="1:98">
      <c r="A26" s="46" t="s">
        <v>1254</v>
      </c>
      <c r="B26" s="46" t="s">
        <v>1255</v>
      </c>
      <c r="C26" s="46">
        <v>21</v>
      </c>
      <c r="D26" s="46" t="s">
        <v>1196</v>
      </c>
      <c r="E26" s="46" t="s">
        <v>1256</v>
      </c>
      <c r="F26" s="46" t="s">
        <v>112</v>
      </c>
      <c r="I26" s="46">
        <v>1</v>
      </c>
      <c r="M26" s="46">
        <v>1</v>
      </c>
      <c r="Q26" s="46">
        <v>1</v>
      </c>
      <c r="T26" s="46">
        <v>1</v>
      </c>
      <c r="W26" s="46">
        <v>18</v>
      </c>
      <c r="X26" s="46">
        <v>20</v>
      </c>
      <c r="Y26" s="46" t="s">
        <v>191</v>
      </c>
      <c r="Z26" s="46">
        <v>0</v>
      </c>
      <c r="AA26" s="46">
        <v>0</v>
      </c>
      <c r="AB26" s="46">
        <v>0</v>
      </c>
      <c r="AE26" s="46">
        <v>1</v>
      </c>
      <c r="AH26" s="46">
        <v>1</v>
      </c>
      <c r="AI26" s="113"/>
      <c r="AJ26" s="113"/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T26" s="50">
        <v>46441</v>
      </c>
    </row>
    <row r="27" spans="1:98">
      <c r="A27" s="46" t="s">
        <v>1257</v>
      </c>
      <c r="B27" s="46" t="s">
        <v>1258</v>
      </c>
      <c r="C27" s="46">
        <v>34</v>
      </c>
      <c r="D27" s="46" t="s">
        <v>1196</v>
      </c>
      <c r="E27" s="46" t="s">
        <v>1259</v>
      </c>
      <c r="F27" s="46" t="s">
        <v>127</v>
      </c>
      <c r="H27" s="46">
        <v>1</v>
      </c>
      <c r="M27" s="46">
        <v>1</v>
      </c>
      <c r="Q27" s="46">
        <v>1</v>
      </c>
      <c r="U27" s="46">
        <v>1</v>
      </c>
      <c r="W27" s="46">
        <v>16</v>
      </c>
      <c r="X27" s="46">
        <v>28</v>
      </c>
      <c r="Y27" s="46">
        <v>34</v>
      </c>
      <c r="Z27" s="46">
        <v>1</v>
      </c>
      <c r="AA27" s="46">
        <v>1</v>
      </c>
      <c r="AB27" s="46">
        <v>1</v>
      </c>
      <c r="AG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T27" s="50">
        <v>46442</v>
      </c>
    </row>
    <row r="28" spans="1:98">
      <c r="A28" s="46" t="s">
        <v>1260</v>
      </c>
      <c r="B28" s="46" t="s">
        <v>1261</v>
      </c>
      <c r="C28" s="46">
        <v>32</v>
      </c>
      <c r="D28" s="46" t="s">
        <v>1262</v>
      </c>
      <c r="E28" s="46" t="s">
        <v>191</v>
      </c>
      <c r="F28" s="46" t="s">
        <v>1045</v>
      </c>
      <c r="I28" s="46">
        <v>1</v>
      </c>
      <c r="M28" s="46">
        <v>1</v>
      </c>
      <c r="R28" s="46">
        <v>1</v>
      </c>
      <c r="T28" s="46">
        <v>1</v>
      </c>
      <c r="W28" s="46">
        <v>14</v>
      </c>
      <c r="X28" s="46">
        <v>16</v>
      </c>
      <c r="Y28" s="46">
        <v>17</v>
      </c>
      <c r="Z28" s="46">
        <v>7</v>
      </c>
      <c r="AA28" s="46">
        <v>7</v>
      </c>
      <c r="AB28" s="46">
        <v>5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T28" s="50">
        <v>46443</v>
      </c>
    </row>
    <row r="29" spans="1:98">
      <c r="A29" s="46" t="s">
        <v>1263</v>
      </c>
      <c r="B29" s="46" t="s">
        <v>1264</v>
      </c>
      <c r="C29" s="46">
        <v>28</v>
      </c>
      <c r="D29" s="46" t="s">
        <v>1180</v>
      </c>
      <c r="E29" s="46" t="s">
        <v>1265</v>
      </c>
      <c r="F29" s="46" t="s">
        <v>112</v>
      </c>
      <c r="I29" s="46">
        <v>1</v>
      </c>
      <c r="M29" s="46">
        <v>1</v>
      </c>
      <c r="Q29" s="46">
        <v>1</v>
      </c>
      <c r="T29" s="46">
        <v>1</v>
      </c>
      <c r="W29" s="46">
        <v>15</v>
      </c>
      <c r="X29" s="46">
        <v>19</v>
      </c>
      <c r="Y29" s="46">
        <v>20</v>
      </c>
      <c r="Z29" s="46">
        <v>2</v>
      </c>
      <c r="AA29" s="46">
        <v>3</v>
      </c>
      <c r="AB29" s="46">
        <v>3</v>
      </c>
      <c r="AC29" s="46">
        <v>1</v>
      </c>
      <c r="AJ29" s="46">
        <v>1</v>
      </c>
      <c r="AL29" s="46">
        <v>1</v>
      </c>
      <c r="AO29" s="113"/>
      <c r="AP29" s="113"/>
      <c r="AQ29" s="46" t="s">
        <v>251</v>
      </c>
      <c r="AR29" s="46" t="s">
        <v>1266</v>
      </c>
      <c r="AT29" s="46">
        <v>1</v>
      </c>
      <c r="AW29" s="46">
        <v>1</v>
      </c>
      <c r="BB29" s="46">
        <v>1</v>
      </c>
      <c r="BF29" s="46">
        <v>1</v>
      </c>
      <c r="BI29" s="46">
        <v>1</v>
      </c>
      <c r="BZ29" s="46">
        <v>1</v>
      </c>
      <c r="CC29" s="46">
        <v>1</v>
      </c>
      <c r="CI29" s="46">
        <v>1</v>
      </c>
      <c r="CT29" s="50">
        <v>46444</v>
      </c>
    </row>
  </sheetData>
  <autoFilter ref="A3:CT29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L1:CM1"/>
    <mergeCell ref="CN1:CO1"/>
    <mergeCell ref="CQ3:CR3"/>
    <mergeCell ref="BF2:BG2"/>
    <mergeCell ref="BH2:BI2"/>
    <mergeCell ref="BK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C10"/>
  <sheetViews>
    <sheetView workbookViewId="0"/>
  </sheetViews>
  <sheetFormatPr defaultColWidth="14.42578125" defaultRowHeight="15" customHeight="1"/>
  <sheetData>
    <row r="2" spans="1:29">
      <c r="A2" s="486" t="s">
        <v>1267</v>
      </c>
      <c r="B2" s="488" t="s">
        <v>352</v>
      </c>
      <c r="C2" s="481"/>
      <c r="D2" s="481"/>
      <c r="E2" s="480"/>
      <c r="F2" s="499" t="s">
        <v>353</v>
      </c>
      <c r="G2" s="481"/>
      <c r="H2" s="481"/>
      <c r="I2" s="480"/>
      <c r="J2" s="500" t="s">
        <v>354</v>
      </c>
      <c r="K2" s="481"/>
      <c r="L2" s="481"/>
      <c r="M2" s="481"/>
      <c r="N2" s="480"/>
      <c r="O2" s="501" t="s">
        <v>355</v>
      </c>
      <c r="P2" s="481"/>
      <c r="Q2" s="481"/>
      <c r="R2" s="480"/>
      <c r="S2" s="497" t="s">
        <v>356</v>
      </c>
      <c r="T2" s="481"/>
      <c r="U2" s="481"/>
      <c r="V2" s="481"/>
      <c r="W2" s="481"/>
      <c r="X2" s="480"/>
      <c r="Y2" s="498" t="s">
        <v>357</v>
      </c>
      <c r="Z2" s="481"/>
      <c r="AA2" s="481"/>
      <c r="AB2" s="480"/>
      <c r="AC2" s="62" t="s">
        <v>356</v>
      </c>
    </row>
    <row r="3" spans="1:29">
      <c r="A3" s="487"/>
      <c r="B3" s="63" t="s">
        <v>358</v>
      </c>
      <c r="C3" s="63" t="s">
        <v>359</v>
      </c>
      <c r="D3" s="63" t="s">
        <v>360</v>
      </c>
      <c r="E3" s="63" t="s">
        <v>361</v>
      </c>
      <c r="F3" s="119" t="s">
        <v>359</v>
      </c>
      <c r="G3" s="119" t="s">
        <v>358</v>
      </c>
      <c r="H3" s="119" t="s">
        <v>362</v>
      </c>
      <c r="I3" s="119" t="s">
        <v>361</v>
      </c>
      <c r="J3" s="120" t="s">
        <v>96</v>
      </c>
      <c r="K3" s="120" t="s">
        <v>84</v>
      </c>
      <c r="L3" s="120" t="s">
        <v>98</v>
      </c>
      <c r="M3" s="120" t="s">
        <v>38</v>
      </c>
      <c r="N3" s="120" t="s">
        <v>361</v>
      </c>
      <c r="O3" s="121" t="s">
        <v>91</v>
      </c>
      <c r="P3" s="121" t="s">
        <v>362</v>
      </c>
      <c r="Q3" s="121" t="s">
        <v>363</v>
      </c>
      <c r="R3" s="121" t="s">
        <v>361</v>
      </c>
      <c r="S3" s="122" t="s">
        <v>364</v>
      </c>
      <c r="T3" s="122" t="s">
        <v>91</v>
      </c>
      <c r="U3" s="122" t="s">
        <v>365</v>
      </c>
      <c r="V3" s="122" t="s">
        <v>366</v>
      </c>
      <c r="W3" s="122" t="s">
        <v>369</v>
      </c>
      <c r="X3" s="122"/>
      <c r="Y3" s="123" t="s">
        <v>96</v>
      </c>
      <c r="Z3" s="123" t="s">
        <v>368</v>
      </c>
      <c r="AA3" s="123" t="s">
        <v>98</v>
      </c>
      <c r="AB3" s="123" t="s">
        <v>369</v>
      </c>
      <c r="AC3" s="64" t="s">
        <v>365</v>
      </c>
    </row>
    <row r="4" spans="1:29">
      <c r="A4" s="68" t="s">
        <v>1268</v>
      </c>
      <c r="B4" s="69">
        <v>2</v>
      </c>
      <c r="C4" s="69">
        <v>0</v>
      </c>
      <c r="D4" s="69">
        <v>0</v>
      </c>
      <c r="E4" s="69">
        <f t="shared" ref="E4:E9" si="0">SUM(B4:D4)</f>
        <v>2</v>
      </c>
      <c r="F4" s="70">
        <v>0</v>
      </c>
      <c r="G4" s="70">
        <v>2</v>
      </c>
      <c r="H4" s="70">
        <v>0</v>
      </c>
      <c r="I4" s="71">
        <f t="shared" ref="I4:I9" si="1">SUM(F4:H4)</f>
        <v>2</v>
      </c>
      <c r="J4" s="70">
        <v>0</v>
      </c>
      <c r="K4" s="70">
        <v>0</v>
      </c>
      <c r="L4" s="70">
        <v>0</v>
      </c>
      <c r="M4" s="70">
        <v>0</v>
      </c>
      <c r="N4" s="70">
        <f t="shared" ref="N4:N9" si="2">SUM(J4:M4)</f>
        <v>0</v>
      </c>
      <c r="O4" s="70">
        <v>0</v>
      </c>
      <c r="P4" s="70">
        <v>0</v>
      </c>
      <c r="Q4" s="70">
        <v>1</v>
      </c>
      <c r="R4" s="71">
        <f t="shared" ref="R4:R9" si="3">SUM(O4:Q4)</f>
        <v>1</v>
      </c>
      <c r="S4" s="70">
        <v>0</v>
      </c>
      <c r="T4" s="70">
        <v>0</v>
      </c>
      <c r="U4" s="70">
        <v>0</v>
      </c>
      <c r="V4" s="70">
        <v>0</v>
      </c>
      <c r="W4" s="70">
        <f t="shared" ref="W4:W9" si="4">SUM(S4:V4)</f>
        <v>0</v>
      </c>
      <c r="X4" s="70"/>
      <c r="Y4" s="73">
        <v>2</v>
      </c>
      <c r="Z4" s="73">
        <v>0</v>
      </c>
      <c r="AA4" s="73">
        <v>0</v>
      </c>
      <c r="AB4" s="83">
        <f t="shared" ref="AB4:AB9" si="5">SUM(Y4:AA4)</f>
        <v>2</v>
      </c>
      <c r="AC4" s="73">
        <v>0</v>
      </c>
    </row>
    <row r="5" spans="1:29">
      <c r="A5" s="74" t="s">
        <v>1269</v>
      </c>
      <c r="B5" s="69">
        <v>8</v>
      </c>
      <c r="C5" s="69">
        <v>1</v>
      </c>
      <c r="D5" s="69">
        <v>0</v>
      </c>
      <c r="E5" s="69">
        <f t="shared" si="0"/>
        <v>9</v>
      </c>
      <c r="F5" s="70">
        <v>1</v>
      </c>
      <c r="G5" s="70">
        <v>7</v>
      </c>
      <c r="H5" s="70">
        <v>0</v>
      </c>
      <c r="I5" s="71">
        <f t="shared" si="1"/>
        <v>8</v>
      </c>
      <c r="J5" s="70">
        <v>0</v>
      </c>
      <c r="K5" s="70">
        <v>1</v>
      </c>
      <c r="L5" s="70">
        <v>0</v>
      </c>
      <c r="M5" s="70">
        <v>0</v>
      </c>
      <c r="N5" s="70">
        <f t="shared" si="2"/>
        <v>1</v>
      </c>
      <c r="O5" s="70">
        <v>0</v>
      </c>
      <c r="P5" s="70">
        <v>0</v>
      </c>
      <c r="Q5" s="70">
        <v>3</v>
      </c>
      <c r="R5" s="71">
        <f t="shared" si="3"/>
        <v>3</v>
      </c>
      <c r="S5" s="75">
        <v>1</v>
      </c>
      <c r="T5" s="75">
        <v>0</v>
      </c>
      <c r="U5" s="75">
        <v>0</v>
      </c>
      <c r="V5" s="75">
        <v>0</v>
      </c>
      <c r="W5" s="70">
        <f t="shared" si="4"/>
        <v>1</v>
      </c>
      <c r="X5" s="76"/>
      <c r="Y5" s="73">
        <v>9</v>
      </c>
      <c r="Z5" s="73">
        <v>0</v>
      </c>
      <c r="AA5" s="73">
        <v>0</v>
      </c>
      <c r="AB5" s="83">
        <f t="shared" si="5"/>
        <v>9</v>
      </c>
      <c r="AC5" s="73">
        <v>0</v>
      </c>
    </row>
    <row r="6" spans="1:29">
      <c r="A6" s="77" t="s">
        <v>1270</v>
      </c>
      <c r="B6" s="69">
        <v>5</v>
      </c>
      <c r="C6" s="69">
        <v>0</v>
      </c>
      <c r="D6" s="69">
        <v>0</v>
      </c>
      <c r="E6" s="69">
        <f t="shared" si="0"/>
        <v>5</v>
      </c>
      <c r="F6" s="70">
        <v>0</v>
      </c>
      <c r="G6" s="70">
        <v>5</v>
      </c>
      <c r="H6" s="70">
        <v>0</v>
      </c>
      <c r="I6" s="71">
        <f t="shared" si="1"/>
        <v>5</v>
      </c>
      <c r="J6" s="70">
        <v>0</v>
      </c>
      <c r="K6" s="70">
        <v>0</v>
      </c>
      <c r="L6" s="70">
        <v>0</v>
      </c>
      <c r="M6" s="70">
        <v>0</v>
      </c>
      <c r="N6" s="70">
        <f t="shared" si="2"/>
        <v>0</v>
      </c>
      <c r="O6" s="70">
        <v>0</v>
      </c>
      <c r="P6" s="70">
        <v>0</v>
      </c>
      <c r="Q6" s="70">
        <v>3</v>
      </c>
      <c r="R6" s="71">
        <f t="shared" si="3"/>
        <v>3</v>
      </c>
      <c r="S6" s="75">
        <v>0</v>
      </c>
      <c r="T6" s="75">
        <v>0</v>
      </c>
      <c r="U6" s="75">
        <v>0</v>
      </c>
      <c r="V6" s="75">
        <v>0</v>
      </c>
      <c r="W6" s="70">
        <f t="shared" si="4"/>
        <v>0</v>
      </c>
      <c r="X6" s="76"/>
      <c r="Y6" s="73">
        <v>5</v>
      </c>
      <c r="Z6" s="73">
        <v>0</v>
      </c>
      <c r="AA6" s="73">
        <v>0</v>
      </c>
      <c r="AB6" s="83">
        <f t="shared" si="5"/>
        <v>5</v>
      </c>
      <c r="AC6" s="73">
        <v>0</v>
      </c>
    </row>
    <row r="7" spans="1:29">
      <c r="A7" s="77" t="s">
        <v>1271</v>
      </c>
      <c r="B7" s="69">
        <v>3</v>
      </c>
      <c r="C7" s="69">
        <v>2</v>
      </c>
      <c r="D7" s="69">
        <v>1</v>
      </c>
      <c r="E7" s="69">
        <f t="shared" si="0"/>
        <v>6</v>
      </c>
      <c r="F7" s="70">
        <v>0</v>
      </c>
      <c r="G7" s="70">
        <v>6</v>
      </c>
      <c r="H7" s="70">
        <v>0</v>
      </c>
      <c r="I7" s="71">
        <f t="shared" si="1"/>
        <v>6</v>
      </c>
      <c r="J7" s="70">
        <v>0</v>
      </c>
      <c r="K7" s="70">
        <v>0</v>
      </c>
      <c r="L7" s="70">
        <v>0</v>
      </c>
      <c r="M7" s="70">
        <v>0</v>
      </c>
      <c r="N7" s="70">
        <f t="shared" si="2"/>
        <v>0</v>
      </c>
      <c r="O7" s="70">
        <v>0</v>
      </c>
      <c r="P7" s="70">
        <v>0</v>
      </c>
      <c r="Q7" s="70">
        <v>1</v>
      </c>
      <c r="R7" s="71">
        <f t="shared" si="3"/>
        <v>1</v>
      </c>
      <c r="S7" s="75">
        <v>0</v>
      </c>
      <c r="T7" s="75">
        <v>0</v>
      </c>
      <c r="U7" s="75">
        <v>0</v>
      </c>
      <c r="V7" s="75">
        <v>0</v>
      </c>
      <c r="W7" s="70">
        <f t="shared" si="4"/>
        <v>0</v>
      </c>
      <c r="X7" s="76"/>
      <c r="Y7" s="73">
        <v>6</v>
      </c>
      <c r="Z7" s="73">
        <v>0</v>
      </c>
      <c r="AA7" s="73">
        <v>0</v>
      </c>
      <c r="AB7" s="83">
        <f t="shared" si="5"/>
        <v>6</v>
      </c>
      <c r="AC7" s="73">
        <v>0</v>
      </c>
    </row>
    <row r="8" spans="1:29">
      <c r="A8" s="77" t="s">
        <v>1272</v>
      </c>
      <c r="B8" s="69">
        <v>3</v>
      </c>
      <c r="C8" s="69">
        <v>0</v>
      </c>
      <c r="D8" s="69">
        <v>0</v>
      </c>
      <c r="E8" s="69">
        <f t="shared" si="0"/>
        <v>3</v>
      </c>
      <c r="F8" s="70">
        <v>0</v>
      </c>
      <c r="G8" s="70">
        <v>3</v>
      </c>
      <c r="H8" s="70">
        <v>0</v>
      </c>
      <c r="I8" s="71">
        <f t="shared" si="1"/>
        <v>3</v>
      </c>
      <c r="J8" s="70">
        <v>0</v>
      </c>
      <c r="K8" s="70">
        <v>0</v>
      </c>
      <c r="L8" s="70">
        <v>0</v>
      </c>
      <c r="M8" s="70">
        <v>0</v>
      </c>
      <c r="N8" s="70">
        <f t="shared" si="2"/>
        <v>0</v>
      </c>
      <c r="O8" s="70">
        <v>0</v>
      </c>
      <c r="P8" s="70">
        <v>0</v>
      </c>
      <c r="Q8" s="70">
        <v>0</v>
      </c>
      <c r="R8" s="71">
        <f t="shared" si="3"/>
        <v>0</v>
      </c>
      <c r="S8" s="75">
        <v>0</v>
      </c>
      <c r="T8" s="75">
        <v>0</v>
      </c>
      <c r="U8" s="75">
        <v>0</v>
      </c>
      <c r="V8" s="75">
        <v>0</v>
      </c>
      <c r="W8" s="70">
        <f t="shared" si="4"/>
        <v>0</v>
      </c>
      <c r="X8" s="76"/>
      <c r="Y8" s="73">
        <v>3</v>
      </c>
      <c r="Z8" s="73">
        <v>0</v>
      </c>
      <c r="AA8" s="73">
        <v>0</v>
      </c>
      <c r="AB8" s="83">
        <f t="shared" si="5"/>
        <v>3</v>
      </c>
      <c r="AC8" s="73">
        <v>0</v>
      </c>
    </row>
    <row r="9" spans="1:29">
      <c r="A9" s="78" t="s">
        <v>556</v>
      </c>
      <c r="B9" s="79">
        <v>0</v>
      </c>
      <c r="C9" s="79">
        <v>1</v>
      </c>
      <c r="D9" s="79">
        <v>0</v>
      </c>
      <c r="E9" s="69">
        <f t="shared" si="0"/>
        <v>1</v>
      </c>
      <c r="F9" s="80">
        <v>0</v>
      </c>
      <c r="G9" s="80">
        <v>0</v>
      </c>
      <c r="H9" s="80">
        <v>0</v>
      </c>
      <c r="I9" s="71">
        <f t="shared" si="1"/>
        <v>0</v>
      </c>
      <c r="J9" s="80">
        <v>1</v>
      </c>
      <c r="K9" s="80">
        <v>0</v>
      </c>
      <c r="L9" s="80">
        <v>0</v>
      </c>
      <c r="M9" s="80">
        <v>0</v>
      </c>
      <c r="N9" s="70">
        <f t="shared" si="2"/>
        <v>1</v>
      </c>
      <c r="O9" s="80">
        <v>0</v>
      </c>
      <c r="P9" s="80">
        <v>0</v>
      </c>
      <c r="Q9" s="80">
        <v>0</v>
      </c>
      <c r="R9" s="71">
        <f t="shared" si="3"/>
        <v>0</v>
      </c>
      <c r="S9" s="80">
        <v>0</v>
      </c>
      <c r="T9" s="80">
        <v>0</v>
      </c>
      <c r="U9" s="80">
        <v>0</v>
      </c>
      <c r="V9" s="80">
        <v>0</v>
      </c>
      <c r="W9" s="70">
        <f t="shared" si="4"/>
        <v>0</v>
      </c>
      <c r="X9" s="81"/>
      <c r="Y9" s="73">
        <v>1</v>
      </c>
      <c r="Z9" s="73">
        <v>0</v>
      </c>
      <c r="AA9" s="73">
        <v>0</v>
      </c>
      <c r="AB9" s="83">
        <f t="shared" si="5"/>
        <v>1</v>
      </c>
      <c r="AC9" s="73">
        <v>0</v>
      </c>
    </row>
    <row r="10" spans="1:29">
      <c r="A10" s="69" t="s">
        <v>369</v>
      </c>
      <c r="B10" s="69">
        <f t="shared" ref="B10:AC10" si="6">SUM(B4:B9)</f>
        <v>21</v>
      </c>
      <c r="C10" s="69">
        <f t="shared" si="6"/>
        <v>4</v>
      </c>
      <c r="D10" s="69">
        <f t="shared" si="6"/>
        <v>1</v>
      </c>
      <c r="E10" s="69">
        <f t="shared" si="6"/>
        <v>26</v>
      </c>
      <c r="F10" s="69">
        <f t="shared" si="6"/>
        <v>1</v>
      </c>
      <c r="G10" s="69">
        <f t="shared" si="6"/>
        <v>23</v>
      </c>
      <c r="H10" s="69">
        <f t="shared" si="6"/>
        <v>0</v>
      </c>
      <c r="I10" s="69">
        <f t="shared" si="6"/>
        <v>24</v>
      </c>
      <c r="J10" s="69">
        <f t="shared" si="6"/>
        <v>1</v>
      </c>
      <c r="K10" s="69">
        <f t="shared" si="6"/>
        <v>1</v>
      </c>
      <c r="L10" s="69">
        <f t="shared" si="6"/>
        <v>0</v>
      </c>
      <c r="M10" s="69">
        <f t="shared" si="6"/>
        <v>0</v>
      </c>
      <c r="N10" s="69">
        <f t="shared" si="6"/>
        <v>2</v>
      </c>
      <c r="O10" s="69">
        <f t="shared" si="6"/>
        <v>0</v>
      </c>
      <c r="P10" s="69">
        <f t="shared" si="6"/>
        <v>0</v>
      </c>
      <c r="Q10" s="69">
        <f t="shared" si="6"/>
        <v>8</v>
      </c>
      <c r="R10" s="69">
        <f t="shared" si="6"/>
        <v>8</v>
      </c>
      <c r="S10" s="69">
        <f t="shared" si="6"/>
        <v>1</v>
      </c>
      <c r="T10" s="69">
        <f t="shared" si="6"/>
        <v>0</v>
      </c>
      <c r="U10" s="69">
        <f t="shared" si="6"/>
        <v>0</v>
      </c>
      <c r="V10" s="69">
        <f t="shared" si="6"/>
        <v>0</v>
      </c>
      <c r="W10" s="69">
        <f t="shared" si="6"/>
        <v>1</v>
      </c>
      <c r="X10" s="69">
        <f t="shared" si="6"/>
        <v>0</v>
      </c>
      <c r="Y10" s="69">
        <f t="shared" si="6"/>
        <v>26</v>
      </c>
      <c r="Z10" s="69">
        <f t="shared" si="6"/>
        <v>0</v>
      </c>
      <c r="AA10" s="69">
        <f t="shared" si="6"/>
        <v>0</v>
      </c>
      <c r="AB10" s="69">
        <f t="shared" si="6"/>
        <v>26</v>
      </c>
      <c r="AC10" s="69">
        <f t="shared" si="6"/>
        <v>0</v>
      </c>
    </row>
  </sheetData>
  <mergeCells count="7">
    <mergeCell ref="S2:X2"/>
    <mergeCell ref="Y2:AB2"/>
    <mergeCell ref="A2:A3"/>
    <mergeCell ref="B2:E2"/>
    <mergeCell ref="F2:I2"/>
    <mergeCell ref="J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7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42578125" customWidth="1"/>
    <col min="2" max="2" width="23.85546875" customWidth="1"/>
    <col min="3" max="3" width="5.5703125" customWidth="1"/>
    <col min="4" max="4" width="10.85546875" customWidth="1"/>
    <col min="6" max="6" width="10.7109375" customWidth="1"/>
    <col min="7" max="7" width="7.85546875" customWidth="1"/>
    <col min="8" max="8" width="8.28515625" customWidth="1"/>
    <col min="9" max="9" width="8.85546875" customWidth="1"/>
    <col min="10" max="10" width="9.140625" customWidth="1"/>
    <col min="11" max="11" width="8.5703125" customWidth="1"/>
    <col min="12" max="12" width="7.5703125" customWidth="1"/>
    <col min="13" max="13" width="8" customWidth="1"/>
    <col min="14" max="15" width="7.140625" customWidth="1"/>
    <col min="16" max="16" width="7.7109375" customWidth="1"/>
    <col min="17" max="17" width="9.85546875" customWidth="1"/>
    <col min="18" max="18" width="8.140625" customWidth="1"/>
    <col min="19" max="19" width="8.28515625" customWidth="1"/>
    <col min="20" max="20" width="8.7109375" customWidth="1"/>
    <col min="21" max="21" width="7" customWidth="1"/>
    <col min="22" max="22" width="8.85546875" customWidth="1"/>
    <col min="23" max="23" width="6.7109375" customWidth="1"/>
    <col min="24" max="24" width="6.85546875" customWidth="1"/>
    <col min="25" max="25" width="7.42578125" customWidth="1"/>
    <col min="26" max="26" width="5.42578125" customWidth="1"/>
    <col min="27" max="27" width="7.140625" customWidth="1"/>
    <col min="28" max="28" width="8.42578125" customWidth="1"/>
    <col min="29" max="29" width="6.42578125" customWidth="1"/>
    <col min="30" max="30" width="9.140625" customWidth="1"/>
    <col min="31" max="31" width="7.85546875" customWidth="1"/>
    <col min="32" max="32" width="10.42578125" customWidth="1"/>
    <col min="33" max="33" width="9" customWidth="1"/>
    <col min="34" max="34" width="8.85546875" customWidth="1"/>
    <col min="35" max="35" width="7.28515625" customWidth="1"/>
    <col min="36" max="36" width="6.7109375" customWidth="1"/>
    <col min="37" max="37" width="8.28515625" customWidth="1"/>
    <col min="38" max="38" width="7.5703125" customWidth="1"/>
    <col min="39" max="39" width="11.85546875" customWidth="1"/>
    <col min="40" max="40" width="11.7109375" customWidth="1"/>
    <col min="41" max="41" width="8.85546875" customWidth="1"/>
    <col min="42" max="42" width="9.85546875" customWidth="1"/>
    <col min="43" max="43" width="10.140625" customWidth="1"/>
    <col min="44" max="44" width="12.140625" customWidth="1"/>
    <col min="45" max="45" width="11" customWidth="1"/>
    <col min="46" max="46" width="7.7109375" customWidth="1"/>
    <col min="47" max="47" width="10.140625" customWidth="1"/>
    <col min="48" max="48" width="8.85546875" customWidth="1"/>
    <col min="49" max="50" width="9.85546875" customWidth="1"/>
    <col min="51" max="51" width="10.7109375" customWidth="1"/>
    <col min="52" max="52" width="6.5703125" customWidth="1"/>
    <col min="53" max="53" width="7.28515625" customWidth="1"/>
    <col min="54" max="54" width="8" customWidth="1"/>
    <col min="55" max="55" width="7.7109375" customWidth="1"/>
    <col min="56" max="56" width="11.140625" customWidth="1"/>
    <col min="57" max="57" width="9.85546875" customWidth="1"/>
    <col min="58" max="58" width="9.140625" customWidth="1"/>
    <col min="59" max="59" width="8.85546875" customWidth="1"/>
    <col min="60" max="60" width="8.42578125" customWidth="1"/>
    <col min="61" max="61" width="13" customWidth="1"/>
    <col min="62" max="62" width="9.5703125" customWidth="1"/>
    <col min="63" max="63" width="12" customWidth="1"/>
    <col min="65" max="65" width="9.85546875" customWidth="1"/>
    <col min="66" max="66" width="7.85546875" customWidth="1"/>
    <col min="67" max="67" width="10.85546875" customWidth="1"/>
    <col min="68" max="68" width="6.28515625" customWidth="1"/>
    <col min="69" max="69" width="7.42578125" customWidth="1"/>
    <col min="70" max="70" width="7.7109375" customWidth="1"/>
    <col min="71" max="71" width="13.140625" customWidth="1"/>
    <col min="72" max="72" width="2.28515625" customWidth="1"/>
    <col min="73" max="73" width="8.85546875" customWidth="1"/>
    <col min="74" max="74" width="10.85546875" customWidth="1"/>
    <col min="75" max="75" width="12.140625" customWidth="1"/>
    <col min="76" max="76" width="11.42578125" customWidth="1"/>
    <col min="78" max="78" width="7" customWidth="1"/>
    <col min="79" max="79" width="7.140625" customWidth="1"/>
    <col min="80" max="80" width="11.42578125" customWidth="1"/>
    <col min="81" max="81" width="7.42578125" customWidth="1"/>
    <col min="82" max="82" width="8.42578125" customWidth="1"/>
    <col min="83" max="83" width="12.42578125" customWidth="1"/>
    <col min="84" max="84" width="7.5703125" customWidth="1"/>
    <col min="85" max="85" width="8.28515625" customWidth="1"/>
    <col min="86" max="86" width="10.28515625" customWidth="1"/>
    <col min="87" max="87" width="11.5703125" customWidth="1"/>
    <col min="88" max="88" width="11.7109375" customWidth="1"/>
    <col min="91" max="91" width="9.28515625" customWidth="1"/>
    <col min="92" max="92" width="8.5703125" customWidth="1"/>
    <col min="93" max="93" width="8.85546875" customWidth="1"/>
    <col min="94" max="94" width="8.7109375" customWidth="1"/>
    <col min="95" max="95" width="12.5703125" customWidth="1"/>
    <col min="96" max="96" width="13.28515625" customWidth="1"/>
    <col min="97" max="97" width="13.42578125" customWidth="1"/>
    <col min="98" max="98" width="9" customWidth="1"/>
    <col min="99" max="99" width="12.42578125" customWidth="1"/>
  </cols>
  <sheetData>
    <row r="1" spans="1:99">
      <c r="A1" s="479" t="s">
        <v>1273</v>
      </c>
      <c r="B1" s="480"/>
      <c r="C1" s="479" t="s">
        <v>1274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28.5" customHeight="1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125" t="s">
        <v>364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7" t="s">
        <v>335</v>
      </c>
      <c r="B4" s="47" t="s">
        <v>1277</v>
      </c>
      <c r="C4" s="47">
        <v>45</v>
      </c>
      <c r="D4" s="47" t="s">
        <v>1278</v>
      </c>
      <c r="E4" s="47" t="s">
        <v>191</v>
      </c>
      <c r="F4" s="47" t="s">
        <v>1279</v>
      </c>
      <c r="G4" s="47">
        <v>1</v>
      </c>
      <c r="H4" s="59"/>
      <c r="I4" s="59"/>
      <c r="J4" s="59"/>
      <c r="K4" s="59"/>
      <c r="L4" s="59"/>
      <c r="M4" s="47">
        <v>1</v>
      </c>
      <c r="N4" s="59"/>
      <c r="O4" s="59"/>
      <c r="P4" s="59"/>
      <c r="Q4" s="47">
        <v>1</v>
      </c>
      <c r="R4" s="59"/>
      <c r="S4" s="47">
        <v>1</v>
      </c>
      <c r="T4" s="59"/>
      <c r="U4" s="59"/>
      <c r="V4" s="59"/>
      <c r="W4" s="47">
        <v>15</v>
      </c>
      <c r="X4" s="47">
        <v>16</v>
      </c>
      <c r="Y4" s="47">
        <v>18</v>
      </c>
      <c r="Z4" s="47">
        <v>17</v>
      </c>
      <c r="AA4" s="47">
        <v>15</v>
      </c>
      <c r="AB4" s="47">
        <v>12</v>
      </c>
      <c r="AC4" s="59"/>
      <c r="AD4" s="59"/>
      <c r="AE4" s="47">
        <v>1</v>
      </c>
      <c r="AF4" s="59"/>
      <c r="AG4" s="59"/>
      <c r="AH4" s="59"/>
      <c r="AI4" s="59"/>
      <c r="AJ4" s="47">
        <v>1</v>
      </c>
      <c r="AK4" s="59"/>
      <c r="AL4" s="59"/>
      <c r="AM4" s="47">
        <v>1</v>
      </c>
      <c r="AN4" s="59"/>
      <c r="AO4" s="59"/>
      <c r="AP4" s="59"/>
      <c r="AQ4" s="59"/>
      <c r="AR4" s="59"/>
      <c r="AS4" s="59"/>
      <c r="AT4" s="47">
        <v>1</v>
      </c>
      <c r="AU4" s="59"/>
      <c r="AV4" s="59"/>
      <c r="AW4" s="47">
        <v>1</v>
      </c>
      <c r="AX4" s="59"/>
      <c r="AY4" s="59"/>
      <c r="AZ4" s="59"/>
      <c r="BA4" s="47">
        <v>1</v>
      </c>
      <c r="BB4" s="59"/>
      <c r="BC4" s="59"/>
      <c r="BD4" s="59"/>
      <c r="BE4" s="59"/>
      <c r="BF4" s="59"/>
      <c r="BG4" s="59"/>
      <c r="BH4" s="59"/>
      <c r="BI4" s="47">
        <v>1</v>
      </c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47">
        <v>1</v>
      </c>
      <c r="BX4" s="59"/>
      <c r="BY4" s="59"/>
      <c r="BZ4" s="47">
        <v>1</v>
      </c>
      <c r="CA4" s="59"/>
      <c r="CB4" s="59"/>
      <c r="CC4" s="47">
        <v>1</v>
      </c>
      <c r="CD4" s="59"/>
      <c r="CE4" s="59"/>
      <c r="CF4" s="59"/>
      <c r="CG4" s="59"/>
      <c r="CH4" s="59"/>
      <c r="CI4" s="59"/>
      <c r="CJ4" s="59"/>
      <c r="CK4" s="59"/>
      <c r="CL4" s="47">
        <v>1</v>
      </c>
      <c r="CM4" s="59"/>
      <c r="CN4" s="59"/>
      <c r="CO4" s="59"/>
      <c r="CP4" s="59"/>
      <c r="CQ4" s="59"/>
      <c r="CR4" s="59"/>
      <c r="CS4" s="59"/>
      <c r="CT4" s="59"/>
      <c r="CU4" s="129">
        <v>46419</v>
      </c>
    </row>
    <row r="5" spans="1:99">
      <c r="A5" s="47" t="s">
        <v>1280</v>
      </c>
      <c r="B5" s="47" t="s">
        <v>1281</v>
      </c>
      <c r="C5" s="47">
        <v>38</v>
      </c>
      <c r="D5" s="47" t="s">
        <v>1278</v>
      </c>
      <c r="E5" s="47" t="s">
        <v>191</v>
      </c>
      <c r="F5" s="47" t="s">
        <v>389</v>
      </c>
      <c r="G5" s="47">
        <v>1</v>
      </c>
      <c r="H5" s="59"/>
      <c r="I5" s="59"/>
      <c r="J5" s="59"/>
      <c r="K5" s="59"/>
      <c r="L5" s="59"/>
      <c r="M5" s="47">
        <v>1</v>
      </c>
      <c r="N5" s="59"/>
      <c r="O5" s="59"/>
      <c r="P5" s="59"/>
      <c r="Q5" s="59"/>
      <c r="R5" s="47">
        <v>1</v>
      </c>
      <c r="S5" s="59"/>
      <c r="T5" s="59"/>
      <c r="U5" s="47">
        <v>1</v>
      </c>
      <c r="V5" s="59"/>
      <c r="W5" s="47">
        <v>14</v>
      </c>
      <c r="X5" s="47">
        <v>13</v>
      </c>
      <c r="Y5" s="47">
        <v>18</v>
      </c>
      <c r="Z5" s="47">
        <v>6</v>
      </c>
      <c r="AA5" s="47">
        <v>6</v>
      </c>
      <c r="AB5" s="47">
        <v>6</v>
      </c>
      <c r="AC5" s="59"/>
      <c r="AD5" s="59"/>
      <c r="AE5" s="59"/>
      <c r="AF5" s="59"/>
      <c r="AG5" s="59"/>
      <c r="AH5" s="47">
        <v>1</v>
      </c>
      <c r="AI5" s="47">
        <v>1</v>
      </c>
      <c r="AJ5" s="59"/>
      <c r="AK5" s="47">
        <v>1</v>
      </c>
      <c r="AL5" s="59"/>
      <c r="AM5" s="59"/>
      <c r="AN5" s="59"/>
      <c r="AO5" s="59"/>
      <c r="AP5" s="59"/>
      <c r="AQ5" s="59"/>
      <c r="AR5" s="59"/>
      <c r="AS5" s="59"/>
      <c r="AT5" s="47">
        <v>1</v>
      </c>
      <c r="AU5" s="59"/>
      <c r="AV5" s="59"/>
      <c r="AW5" s="47">
        <v>1</v>
      </c>
      <c r="AX5" s="59"/>
      <c r="AY5" s="59"/>
      <c r="AZ5" s="59"/>
      <c r="BA5" s="47">
        <v>1</v>
      </c>
      <c r="BB5" s="59"/>
      <c r="BC5" s="59"/>
      <c r="BD5" s="59"/>
      <c r="BE5" s="59"/>
      <c r="BF5" s="59"/>
      <c r="BG5" s="59"/>
      <c r="BH5" s="59"/>
      <c r="BI5" s="59"/>
      <c r="BJ5" s="47">
        <v>1</v>
      </c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47">
        <v>1</v>
      </c>
      <c r="CA5" s="59"/>
      <c r="CB5" s="59"/>
      <c r="CC5" s="47">
        <v>1</v>
      </c>
      <c r="CD5" s="59"/>
      <c r="CE5" s="59"/>
      <c r="CF5" s="59"/>
      <c r="CG5" s="59"/>
      <c r="CH5" s="59"/>
      <c r="CI5" s="59"/>
      <c r="CJ5" s="59"/>
      <c r="CK5" s="59"/>
      <c r="CL5" s="47">
        <v>1</v>
      </c>
      <c r="CM5" s="59"/>
      <c r="CN5" s="59"/>
      <c r="CO5" s="59"/>
      <c r="CP5" s="59"/>
      <c r="CQ5" s="59"/>
      <c r="CR5" s="59"/>
      <c r="CS5" s="59"/>
      <c r="CT5" s="59"/>
      <c r="CU5" s="129">
        <v>46420</v>
      </c>
    </row>
    <row r="6" spans="1:99">
      <c r="A6" s="47" t="s">
        <v>1282</v>
      </c>
      <c r="B6" s="47" t="s">
        <v>1283</v>
      </c>
      <c r="C6" s="47">
        <v>29</v>
      </c>
      <c r="D6" s="47" t="s">
        <v>1284</v>
      </c>
      <c r="E6" s="47" t="s">
        <v>1285</v>
      </c>
      <c r="F6" s="47" t="s">
        <v>112</v>
      </c>
      <c r="G6" s="59"/>
      <c r="H6" s="59"/>
      <c r="I6" s="47">
        <v>1</v>
      </c>
      <c r="J6" s="59"/>
      <c r="K6" s="59"/>
      <c r="L6" s="59"/>
      <c r="M6" s="47">
        <v>1</v>
      </c>
      <c r="N6" s="59"/>
      <c r="O6" s="59"/>
      <c r="P6" s="59"/>
      <c r="Q6" s="47">
        <v>1</v>
      </c>
      <c r="R6" s="59"/>
      <c r="S6" s="59"/>
      <c r="T6" s="59"/>
      <c r="U6" s="47">
        <v>1</v>
      </c>
      <c r="V6" s="59"/>
      <c r="W6" s="47">
        <v>14</v>
      </c>
      <c r="X6" s="47">
        <v>16</v>
      </c>
      <c r="Y6" s="47">
        <v>18</v>
      </c>
      <c r="Z6" s="47">
        <v>4</v>
      </c>
      <c r="AA6" s="47">
        <v>4</v>
      </c>
      <c r="AB6" s="47">
        <v>4</v>
      </c>
      <c r="AC6" s="59"/>
      <c r="AD6" s="59"/>
      <c r="AE6" s="47">
        <v>1</v>
      </c>
      <c r="AF6" s="59"/>
      <c r="AG6" s="47">
        <v>1</v>
      </c>
      <c r="AH6" s="59"/>
      <c r="AI6" s="59"/>
      <c r="AJ6" s="47">
        <v>1</v>
      </c>
      <c r="AK6" s="47">
        <v>1</v>
      </c>
      <c r="AL6" s="59"/>
      <c r="AM6" s="59"/>
      <c r="AN6" s="59"/>
      <c r="AO6" s="59"/>
      <c r="AP6" s="59"/>
      <c r="AQ6" s="59"/>
      <c r="AR6" s="59"/>
      <c r="AS6" s="59"/>
      <c r="AT6" s="47">
        <v>1</v>
      </c>
      <c r="AU6" s="59"/>
      <c r="AV6" s="59"/>
      <c r="AW6" s="47">
        <v>1</v>
      </c>
      <c r="AX6" s="59"/>
      <c r="AY6" s="59"/>
      <c r="AZ6" s="59"/>
      <c r="BA6" s="47">
        <v>1</v>
      </c>
      <c r="BB6" s="59"/>
      <c r="BC6" s="59"/>
      <c r="BD6" s="59"/>
      <c r="BE6" s="59"/>
      <c r="BF6" s="59"/>
      <c r="BG6" s="59"/>
      <c r="BH6" s="59"/>
      <c r="BI6" s="47">
        <v>1</v>
      </c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47">
        <v>1</v>
      </c>
      <c r="CA6" s="59"/>
      <c r="CB6" s="59"/>
      <c r="CC6" s="47">
        <v>1</v>
      </c>
      <c r="CD6" s="59"/>
      <c r="CE6" s="59"/>
      <c r="CF6" s="59"/>
      <c r="CG6" s="59"/>
      <c r="CH6" s="59"/>
      <c r="CI6" s="59"/>
      <c r="CJ6" s="59"/>
      <c r="CK6" s="59"/>
      <c r="CL6" s="47">
        <v>1</v>
      </c>
      <c r="CM6" s="59"/>
      <c r="CN6" s="59"/>
      <c r="CO6" s="59"/>
      <c r="CP6" s="59"/>
      <c r="CQ6" s="59"/>
      <c r="CR6" s="59"/>
      <c r="CS6" s="59"/>
      <c r="CT6" s="59"/>
      <c r="CU6" s="129">
        <v>46421</v>
      </c>
    </row>
    <row r="7" spans="1:99">
      <c r="A7" s="47" t="s">
        <v>1286</v>
      </c>
      <c r="B7" s="47" t="s">
        <v>1287</v>
      </c>
      <c r="C7" s="47">
        <v>20</v>
      </c>
      <c r="D7" s="47" t="s">
        <v>1278</v>
      </c>
      <c r="E7" s="47" t="s">
        <v>191</v>
      </c>
      <c r="F7" s="47" t="s">
        <v>1288</v>
      </c>
      <c r="G7" s="59"/>
      <c r="H7" s="59"/>
      <c r="I7" s="59"/>
      <c r="J7" s="47">
        <v>1</v>
      </c>
      <c r="K7" s="59"/>
      <c r="L7" s="59"/>
      <c r="M7" s="59"/>
      <c r="N7" s="59"/>
      <c r="O7" s="47">
        <v>1</v>
      </c>
      <c r="P7" s="59"/>
      <c r="Q7" s="130"/>
      <c r="R7" s="130"/>
      <c r="S7" s="59"/>
      <c r="T7" s="47">
        <v>1</v>
      </c>
      <c r="U7" s="59"/>
      <c r="V7" s="59"/>
      <c r="W7" s="47">
        <v>14</v>
      </c>
      <c r="X7" s="47">
        <v>18</v>
      </c>
      <c r="Y7" s="47">
        <v>19</v>
      </c>
      <c r="Z7" s="47">
        <v>4</v>
      </c>
      <c r="AA7" s="47">
        <v>2</v>
      </c>
      <c r="AB7" s="47">
        <v>2</v>
      </c>
      <c r="AC7" s="59"/>
      <c r="AD7" s="59"/>
      <c r="AE7" s="47">
        <v>1</v>
      </c>
      <c r="AF7" s="59"/>
      <c r="AG7" s="59"/>
      <c r="AH7" s="59"/>
      <c r="AI7" s="47">
        <v>1</v>
      </c>
      <c r="AJ7" s="59"/>
      <c r="AK7" s="59"/>
      <c r="AL7" s="47">
        <v>1</v>
      </c>
      <c r="AM7" s="59"/>
      <c r="AN7" s="59"/>
      <c r="AO7" s="47">
        <v>1</v>
      </c>
      <c r="AP7" s="59"/>
      <c r="AQ7" s="59"/>
      <c r="AR7" s="59"/>
      <c r="AS7" s="47">
        <v>1</v>
      </c>
      <c r="AT7" s="47">
        <v>1</v>
      </c>
      <c r="AU7" s="59"/>
      <c r="AV7" s="59"/>
      <c r="AW7" s="47">
        <v>1</v>
      </c>
      <c r="AX7" s="59"/>
      <c r="AY7" s="59"/>
      <c r="AZ7" s="59"/>
      <c r="BA7" s="47">
        <v>1</v>
      </c>
      <c r="BB7" s="59"/>
      <c r="BC7" s="59"/>
      <c r="BD7" s="59"/>
      <c r="BE7" s="59"/>
      <c r="BF7" s="59"/>
      <c r="BG7" s="59"/>
      <c r="BH7" s="59"/>
      <c r="BI7" s="47">
        <v>1</v>
      </c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47">
        <v>1</v>
      </c>
      <c r="BX7" s="59"/>
      <c r="BY7" s="59"/>
      <c r="BZ7" s="47">
        <v>1</v>
      </c>
      <c r="CA7" s="59"/>
      <c r="CB7" s="59"/>
      <c r="CC7" s="47">
        <v>1</v>
      </c>
      <c r="CD7" s="59"/>
      <c r="CE7" s="59"/>
      <c r="CF7" s="59"/>
      <c r="CG7" s="59"/>
      <c r="CH7" s="59"/>
      <c r="CI7" s="59"/>
      <c r="CJ7" s="59"/>
      <c r="CK7" s="59"/>
      <c r="CL7" s="47">
        <v>1</v>
      </c>
      <c r="CM7" s="59"/>
      <c r="CN7" s="59"/>
      <c r="CO7" s="59"/>
      <c r="CP7" s="59"/>
      <c r="CQ7" s="59"/>
      <c r="CR7" s="59"/>
      <c r="CS7" s="59"/>
      <c r="CT7" s="59"/>
      <c r="CU7" s="129">
        <v>46422</v>
      </c>
    </row>
    <row r="8" spans="1:99">
      <c r="A8" s="47" t="s">
        <v>1289</v>
      </c>
      <c r="B8" s="47" t="s">
        <v>1290</v>
      </c>
      <c r="C8" s="47">
        <v>26</v>
      </c>
      <c r="D8" s="47" t="s">
        <v>1278</v>
      </c>
      <c r="E8" s="47" t="s">
        <v>1291</v>
      </c>
      <c r="F8" s="47" t="s">
        <v>112</v>
      </c>
      <c r="G8" s="59"/>
      <c r="H8" s="47">
        <v>1</v>
      </c>
      <c r="I8" s="59"/>
      <c r="J8" s="59"/>
      <c r="K8" s="59"/>
      <c r="L8" s="59"/>
      <c r="M8" s="47">
        <v>1</v>
      </c>
      <c r="N8" s="59"/>
      <c r="O8" s="59"/>
      <c r="P8" s="59"/>
      <c r="Q8" s="59"/>
      <c r="R8" s="47">
        <v>1</v>
      </c>
      <c r="S8" s="59"/>
      <c r="T8" s="47">
        <v>1</v>
      </c>
      <c r="U8" s="59"/>
      <c r="V8" s="59"/>
      <c r="W8" s="47">
        <v>13</v>
      </c>
      <c r="X8" s="47">
        <v>14</v>
      </c>
      <c r="Y8" s="47">
        <v>14</v>
      </c>
      <c r="Z8" s="47">
        <v>6</v>
      </c>
      <c r="AA8" s="47">
        <v>6</v>
      </c>
      <c r="AB8" s="47">
        <v>6</v>
      </c>
      <c r="AC8" s="59"/>
      <c r="AD8" s="59"/>
      <c r="AE8" s="47">
        <v>1</v>
      </c>
      <c r="AF8" s="59"/>
      <c r="AG8" s="59"/>
      <c r="AH8" s="59"/>
      <c r="AI8" s="47">
        <v>1</v>
      </c>
      <c r="AJ8" s="59"/>
      <c r="AK8" s="47">
        <v>1</v>
      </c>
      <c r="AL8" s="59"/>
      <c r="AM8" s="59"/>
      <c r="AN8" s="59"/>
      <c r="AO8" s="59"/>
      <c r="AP8" s="59"/>
      <c r="AQ8" s="59"/>
      <c r="AR8" s="59"/>
      <c r="AS8" s="59"/>
      <c r="AT8" s="47">
        <v>1</v>
      </c>
      <c r="AU8" s="59"/>
      <c r="AV8" s="59"/>
      <c r="AW8" s="47">
        <v>1</v>
      </c>
      <c r="AX8" s="59"/>
      <c r="AY8" s="59"/>
      <c r="AZ8" s="59"/>
      <c r="BA8" s="47">
        <v>1</v>
      </c>
      <c r="BB8" s="59"/>
      <c r="BC8" s="59"/>
      <c r="BD8" s="59"/>
      <c r="BE8" s="59"/>
      <c r="BF8" s="59"/>
      <c r="BG8" s="59"/>
      <c r="BH8" s="59"/>
      <c r="BI8" s="47">
        <v>1</v>
      </c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47">
        <v>1</v>
      </c>
      <c r="CA8" s="59"/>
      <c r="CB8" s="59"/>
      <c r="CC8" s="47">
        <v>1</v>
      </c>
      <c r="CD8" s="59"/>
      <c r="CE8" s="59"/>
      <c r="CF8" s="59"/>
      <c r="CG8" s="59"/>
      <c r="CH8" s="59"/>
      <c r="CI8" s="59"/>
      <c r="CJ8" s="59"/>
      <c r="CK8" s="59"/>
      <c r="CL8" s="47">
        <v>1</v>
      </c>
      <c r="CM8" s="59"/>
      <c r="CN8" s="59"/>
      <c r="CO8" s="59"/>
      <c r="CP8" s="59"/>
      <c r="CQ8" s="59"/>
      <c r="CR8" s="59"/>
      <c r="CS8" s="59"/>
      <c r="CT8" s="59"/>
      <c r="CU8" s="129">
        <v>46423</v>
      </c>
    </row>
    <row r="9" spans="1:99">
      <c r="A9" s="47" t="s">
        <v>1292</v>
      </c>
      <c r="B9" s="47" t="s">
        <v>1293</v>
      </c>
      <c r="C9" s="47">
        <v>22</v>
      </c>
      <c r="D9" s="47" t="s">
        <v>1278</v>
      </c>
      <c r="E9" s="47" t="s">
        <v>1294</v>
      </c>
      <c r="F9" s="47" t="s">
        <v>112</v>
      </c>
      <c r="G9" s="59"/>
      <c r="H9" s="47">
        <v>1</v>
      </c>
      <c r="I9" s="59"/>
      <c r="J9" s="59"/>
      <c r="K9" s="59"/>
      <c r="L9" s="59"/>
      <c r="M9" s="59"/>
      <c r="N9" s="47">
        <v>1</v>
      </c>
      <c r="O9" s="59"/>
      <c r="P9" s="59"/>
      <c r="Q9" s="47">
        <v>1</v>
      </c>
      <c r="R9" s="59"/>
      <c r="S9" s="59"/>
      <c r="T9" s="59"/>
      <c r="U9" s="59"/>
      <c r="V9" s="47">
        <v>1</v>
      </c>
      <c r="W9" s="47">
        <v>13</v>
      </c>
      <c r="X9" s="47">
        <v>18</v>
      </c>
      <c r="Y9" s="47" t="s">
        <v>191</v>
      </c>
      <c r="Z9" s="47">
        <v>0</v>
      </c>
      <c r="AA9" s="47">
        <v>0</v>
      </c>
      <c r="AB9" s="47">
        <v>0</v>
      </c>
      <c r="AC9" s="47">
        <v>1</v>
      </c>
      <c r="AD9" s="59"/>
      <c r="AE9" s="59"/>
      <c r="AF9" s="59"/>
      <c r="AG9" s="59"/>
      <c r="AH9" s="59"/>
      <c r="AI9" s="47">
        <v>1</v>
      </c>
      <c r="AJ9" s="59"/>
      <c r="AK9" s="47">
        <v>1</v>
      </c>
      <c r="AL9" s="59"/>
      <c r="AM9" s="59"/>
      <c r="AN9" s="59"/>
      <c r="AO9" s="59"/>
      <c r="AP9" s="59"/>
      <c r="AQ9" s="59"/>
      <c r="AR9" s="59"/>
      <c r="AS9" s="59"/>
      <c r="AT9" s="47">
        <v>1</v>
      </c>
      <c r="AU9" s="59"/>
      <c r="AV9" s="59"/>
      <c r="AW9" s="47">
        <v>1</v>
      </c>
      <c r="AX9" s="59"/>
      <c r="AY9" s="59"/>
      <c r="AZ9" s="59"/>
      <c r="BA9" s="47">
        <v>1</v>
      </c>
      <c r="BB9" s="59"/>
      <c r="BC9" s="59"/>
      <c r="BD9" s="59"/>
      <c r="BE9" s="59"/>
      <c r="BF9" s="59"/>
      <c r="BG9" s="59"/>
      <c r="BH9" s="59"/>
      <c r="BI9" s="47">
        <v>1</v>
      </c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47">
        <v>1</v>
      </c>
      <c r="CA9" s="59"/>
      <c r="CB9" s="59"/>
      <c r="CC9" s="47">
        <v>1</v>
      </c>
      <c r="CD9" s="59"/>
      <c r="CE9" s="59"/>
      <c r="CF9" s="59"/>
      <c r="CG9" s="59"/>
      <c r="CH9" s="59"/>
      <c r="CI9" s="59"/>
      <c r="CJ9" s="59"/>
      <c r="CK9" s="59"/>
      <c r="CL9" s="47">
        <v>1</v>
      </c>
      <c r="CM9" s="59"/>
      <c r="CN9" s="59"/>
      <c r="CO9" s="59"/>
      <c r="CP9" s="59"/>
      <c r="CQ9" s="59"/>
      <c r="CR9" s="59"/>
      <c r="CS9" s="59"/>
      <c r="CT9" s="59"/>
      <c r="CU9" s="129">
        <v>46424</v>
      </c>
    </row>
    <row r="10" spans="1:99">
      <c r="A10" s="47" t="s">
        <v>1295</v>
      </c>
      <c r="B10" s="47" t="s">
        <v>1296</v>
      </c>
      <c r="C10" s="47">
        <v>29</v>
      </c>
      <c r="D10" s="47" t="s">
        <v>1284</v>
      </c>
      <c r="E10" s="47" t="s">
        <v>1297</v>
      </c>
      <c r="F10" s="47" t="s">
        <v>127</v>
      </c>
      <c r="G10" s="59"/>
      <c r="H10" s="59"/>
      <c r="I10" s="59"/>
      <c r="J10" s="47">
        <v>1</v>
      </c>
      <c r="K10" s="59"/>
      <c r="L10" s="59"/>
      <c r="M10" s="47">
        <v>1</v>
      </c>
      <c r="N10" s="59"/>
      <c r="O10" s="59"/>
      <c r="P10" s="59"/>
      <c r="Q10" s="47">
        <v>1</v>
      </c>
      <c r="R10" s="59"/>
      <c r="S10" s="59"/>
      <c r="T10" s="59"/>
      <c r="U10" s="47">
        <v>1</v>
      </c>
      <c r="V10" s="59"/>
      <c r="W10" s="47">
        <v>13</v>
      </c>
      <c r="X10" s="47">
        <v>21</v>
      </c>
      <c r="Y10" s="47">
        <v>23</v>
      </c>
      <c r="Z10" s="47">
        <v>2</v>
      </c>
      <c r="AA10" s="47">
        <v>2</v>
      </c>
      <c r="AB10" s="47">
        <v>2</v>
      </c>
      <c r="AC10" s="47">
        <v>1</v>
      </c>
      <c r="AD10" s="59"/>
      <c r="AE10" s="59"/>
      <c r="AF10" s="59"/>
      <c r="AG10" s="59"/>
      <c r="AH10" s="59"/>
      <c r="AI10" s="47">
        <v>1</v>
      </c>
      <c r="AJ10" s="59"/>
      <c r="AK10" s="47">
        <v>1</v>
      </c>
      <c r="AL10" s="59"/>
      <c r="AM10" s="59"/>
      <c r="AN10" s="59"/>
      <c r="AO10" s="59"/>
      <c r="AP10" s="59"/>
      <c r="AQ10" s="59"/>
      <c r="AR10" s="59"/>
      <c r="AS10" s="59"/>
      <c r="AT10" s="47">
        <v>1</v>
      </c>
      <c r="AU10" s="59"/>
      <c r="AV10" s="59"/>
      <c r="AW10" s="47">
        <v>1</v>
      </c>
      <c r="AX10" s="59"/>
      <c r="AY10" s="59"/>
      <c r="AZ10" s="59"/>
      <c r="BA10" s="47">
        <v>1</v>
      </c>
      <c r="BB10" s="59"/>
      <c r="BC10" s="59"/>
      <c r="BD10" s="59"/>
      <c r="BE10" s="59"/>
      <c r="BF10" s="59"/>
      <c r="BG10" s="59"/>
      <c r="BH10" s="59"/>
      <c r="BI10" s="47">
        <v>1</v>
      </c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47">
        <v>1</v>
      </c>
      <c r="CA10" s="59"/>
      <c r="CB10" s="59"/>
      <c r="CC10" s="47">
        <v>1</v>
      </c>
      <c r="CD10" s="59"/>
      <c r="CE10" s="59"/>
      <c r="CF10" s="59"/>
      <c r="CG10" s="59"/>
      <c r="CH10" s="59"/>
      <c r="CI10" s="47">
        <v>1</v>
      </c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129">
        <v>46425</v>
      </c>
    </row>
    <row r="11" spans="1:99">
      <c r="A11" s="47" t="s">
        <v>1298</v>
      </c>
      <c r="B11" s="47" t="s">
        <v>1299</v>
      </c>
      <c r="C11" s="47">
        <v>26</v>
      </c>
      <c r="D11" s="47" t="s">
        <v>1300</v>
      </c>
      <c r="E11" s="47" t="s">
        <v>1301</v>
      </c>
      <c r="F11" s="47" t="s">
        <v>1288</v>
      </c>
      <c r="G11" s="59"/>
      <c r="H11" s="47">
        <v>1</v>
      </c>
      <c r="I11" s="59"/>
      <c r="J11" s="59"/>
      <c r="K11" s="59"/>
      <c r="L11" s="59"/>
      <c r="M11" s="47">
        <v>1</v>
      </c>
      <c r="N11" s="59"/>
      <c r="O11" s="59"/>
      <c r="P11" s="59"/>
      <c r="Q11" s="47">
        <v>1</v>
      </c>
      <c r="R11" s="59"/>
      <c r="S11" s="59"/>
      <c r="T11" s="47">
        <v>1</v>
      </c>
      <c r="U11" s="59"/>
      <c r="V11" s="59"/>
      <c r="W11" s="47">
        <v>13</v>
      </c>
      <c r="X11" s="47">
        <v>14</v>
      </c>
      <c r="Y11" s="47">
        <v>15</v>
      </c>
      <c r="Z11" s="47">
        <v>2</v>
      </c>
      <c r="AA11" s="47">
        <v>1</v>
      </c>
      <c r="AB11" s="47">
        <v>1</v>
      </c>
      <c r="AC11" s="59"/>
      <c r="AD11" s="59"/>
      <c r="AE11" s="47">
        <v>1</v>
      </c>
      <c r="AF11" s="59"/>
      <c r="AG11" s="47">
        <v>1</v>
      </c>
      <c r="AH11" s="47">
        <v>1</v>
      </c>
      <c r="AI11" s="130"/>
      <c r="AJ11" s="130"/>
      <c r="AK11" s="47">
        <v>1</v>
      </c>
      <c r="AL11" s="59"/>
      <c r="AM11" s="59"/>
      <c r="AN11" s="59"/>
      <c r="AO11" s="59"/>
      <c r="AP11" s="59"/>
      <c r="AQ11" s="59"/>
      <c r="AR11" s="59"/>
      <c r="AS11" s="59"/>
      <c r="AT11" s="47">
        <v>1</v>
      </c>
      <c r="AU11" s="59"/>
      <c r="AV11" s="59"/>
      <c r="AW11" s="47">
        <v>1</v>
      </c>
      <c r="AX11" s="59"/>
      <c r="AY11" s="59"/>
      <c r="AZ11" s="59"/>
      <c r="BA11" s="47">
        <v>1</v>
      </c>
      <c r="BB11" s="59"/>
      <c r="BC11" s="59"/>
      <c r="BD11" s="59"/>
      <c r="BE11" s="59"/>
      <c r="BF11" s="59"/>
      <c r="BG11" s="59"/>
      <c r="BH11" s="59"/>
      <c r="BI11" s="47">
        <v>1</v>
      </c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47">
        <v>1</v>
      </c>
      <c r="CA11" s="59"/>
      <c r="CB11" s="59"/>
      <c r="CC11" s="47">
        <v>1</v>
      </c>
      <c r="CD11" s="59"/>
      <c r="CE11" s="59"/>
      <c r="CF11" s="59"/>
      <c r="CG11" s="59"/>
      <c r="CH11" s="59"/>
      <c r="CI11" s="47">
        <v>1</v>
      </c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129">
        <v>46426</v>
      </c>
    </row>
    <row r="12" spans="1:99">
      <c r="A12" s="47" t="s">
        <v>1302</v>
      </c>
      <c r="B12" s="47" t="s">
        <v>1303</v>
      </c>
      <c r="C12" s="47">
        <v>38</v>
      </c>
      <c r="D12" s="47" t="s">
        <v>1278</v>
      </c>
      <c r="E12" s="47" t="s">
        <v>191</v>
      </c>
      <c r="F12" s="47" t="s">
        <v>1279</v>
      </c>
      <c r="G12" s="47">
        <v>1</v>
      </c>
      <c r="H12" s="59"/>
      <c r="I12" s="59"/>
      <c r="J12" s="59"/>
      <c r="K12" s="59"/>
      <c r="L12" s="59"/>
      <c r="M12" s="59"/>
      <c r="N12" s="59"/>
      <c r="O12" s="47">
        <v>1</v>
      </c>
      <c r="P12" s="59"/>
      <c r="Q12" s="130"/>
      <c r="R12" s="130"/>
      <c r="S12" s="47">
        <v>1</v>
      </c>
      <c r="T12" s="59"/>
      <c r="U12" s="59"/>
      <c r="V12" s="59"/>
      <c r="W12" s="47">
        <v>18</v>
      </c>
      <c r="X12" s="47">
        <v>19</v>
      </c>
      <c r="Y12" s="47">
        <v>20</v>
      </c>
      <c r="Z12" s="47">
        <v>13</v>
      </c>
      <c r="AA12" s="47">
        <v>12</v>
      </c>
      <c r="AB12" s="47">
        <v>11</v>
      </c>
      <c r="AC12" s="59"/>
      <c r="AD12" s="47">
        <v>1</v>
      </c>
      <c r="AE12" s="59"/>
      <c r="AF12" s="59"/>
      <c r="AG12" s="59"/>
      <c r="AH12" s="59"/>
      <c r="AI12" s="59"/>
      <c r="AJ12" s="47">
        <v>1</v>
      </c>
      <c r="AK12" s="47">
        <v>1</v>
      </c>
      <c r="AL12" s="59"/>
      <c r="AM12" s="59"/>
      <c r="AN12" s="59"/>
      <c r="AO12" s="59"/>
      <c r="AP12" s="59"/>
      <c r="AQ12" s="59"/>
      <c r="AR12" s="59"/>
      <c r="AS12" s="59"/>
      <c r="AT12" s="47">
        <v>1</v>
      </c>
      <c r="AU12" s="59"/>
      <c r="AV12" s="59"/>
      <c r="AW12" s="47">
        <v>1</v>
      </c>
      <c r="AX12" s="59"/>
      <c r="AY12" s="59"/>
      <c r="AZ12" s="59"/>
      <c r="BA12" s="47">
        <v>1</v>
      </c>
      <c r="BB12" s="59"/>
      <c r="BC12" s="59"/>
      <c r="BD12" s="59"/>
      <c r="BE12" s="59"/>
      <c r="BF12" s="59"/>
      <c r="BG12" s="59"/>
      <c r="BH12" s="59"/>
      <c r="BI12" s="47">
        <v>1</v>
      </c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47">
        <v>1</v>
      </c>
      <c r="BX12" s="59"/>
      <c r="BY12" s="59"/>
      <c r="BZ12" s="47">
        <v>1</v>
      </c>
      <c r="CA12" s="59"/>
      <c r="CB12" s="59"/>
      <c r="CC12" s="47">
        <v>1</v>
      </c>
      <c r="CD12" s="59"/>
      <c r="CE12" s="59"/>
      <c r="CF12" s="59"/>
      <c r="CG12" s="59"/>
      <c r="CH12" s="59"/>
      <c r="CI12" s="47">
        <v>1</v>
      </c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129">
        <v>46427</v>
      </c>
    </row>
    <row r="13" spans="1:99">
      <c r="A13" s="47" t="s">
        <v>1304</v>
      </c>
      <c r="B13" s="47" t="s">
        <v>1305</v>
      </c>
      <c r="C13" s="47">
        <v>29</v>
      </c>
      <c r="D13" s="47" t="s">
        <v>1284</v>
      </c>
      <c r="E13" s="47" t="s">
        <v>1306</v>
      </c>
      <c r="F13" s="47" t="s">
        <v>127</v>
      </c>
      <c r="G13" s="59"/>
      <c r="H13" s="59"/>
      <c r="I13" s="59"/>
      <c r="J13" s="47">
        <v>1</v>
      </c>
      <c r="K13" s="59"/>
      <c r="L13" s="59"/>
      <c r="M13" s="47">
        <v>1</v>
      </c>
      <c r="N13" s="59"/>
      <c r="O13" s="59"/>
      <c r="P13" s="59"/>
      <c r="Q13" s="47">
        <v>1</v>
      </c>
      <c r="R13" s="59"/>
      <c r="S13" s="59"/>
      <c r="T13" s="47">
        <v>1</v>
      </c>
      <c r="U13" s="59"/>
      <c r="V13" s="59"/>
      <c r="W13" s="47">
        <v>16</v>
      </c>
      <c r="X13" s="47">
        <v>18</v>
      </c>
      <c r="Y13" s="47">
        <v>18</v>
      </c>
      <c r="Z13" s="47">
        <v>5</v>
      </c>
      <c r="AA13" s="47">
        <v>5</v>
      </c>
      <c r="AB13" s="47">
        <v>4</v>
      </c>
      <c r="AC13" s="59"/>
      <c r="AD13" s="59"/>
      <c r="AE13" s="47">
        <v>1</v>
      </c>
      <c r="AF13" s="59"/>
      <c r="AG13" s="59"/>
      <c r="AH13" s="59"/>
      <c r="AI13" s="47">
        <v>1</v>
      </c>
      <c r="AJ13" s="59"/>
      <c r="AK13" s="47">
        <v>1</v>
      </c>
      <c r="AL13" s="59"/>
      <c r="AM13" s="59"/>
      <c r="AN13" s="59"/>
      <c r="AO13" s="59"/>
      <c r="AP13" s="59"/>
      <c r="AQ13" s="59"/>
      <c r="AR13" s="59"/>
      <c r="AS13" s="59"/>
      <c r="AT13" s="47">
        <v>1</v>
      </c>
      <c r="AU13" s="59"/>
      <c r="AV13" s="59"/>
      <c r="AW13" s="47">
        <v>1</v>
      </c>
      <c r="AX13" s="59"/>
      <c r="AY13" s="59"/>
      <c r="AZ13" s="59"/>
      <c r="BA13" s="47">
        <v>1</v>
      </c>
      <c r="BB13" s="59"/>
      <c r="BC13" s="59"/>
      <c r="BD13" s="59"/>
      <c r="BE13" s="59"/>
      <c r="BF13" s="59"/>
      <c r="BG13" s="59"/>
      <c r="BH13" s="59"/>
      <c r="BI13" s="47">
        <v>1</v>
      </c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47">
        <v>1</v>
      </c>
      <c r="BX13" s="59"/>
      <c r="BY13" s="59"/>
      <c r="BZ13" s="47">
        <v>1</v>
      </c>
      <c r="CA13" s="59"/>
      <c r="CB13" s="59"/>
      <c r="CC13" s="47">
        <v>1</v>
      </c>
      <c r="CD13" s="59"/>
      <c r="CE13" s="59"/>
      <c r="CF13" s="59"/>
      <c r="CG13" s="59"/>
      <c r="CH13" s="59"/>
      <c r="CI13" s="47">
        <v>1</v>
      </c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129">
        <v>46428</v>
      </c>
    </row>
    <row r="14" spans="1:99">
      <c r="A14" s="47" t="s">
        <v>1307</v>
      </c>
      <c r="B14" s="47" t="s">
        <v>1308</v>
      </c>
      <c r="C14" s="47">
        <v>50</v>
      </c>
      <c r="D14" s="47" t="s">
        <v>613</v>
      </c>
      <c r="E14" s="47" t="s">
        <v>191</v>
      </c>
      <c r="F14" s="47" t="s">
        <v>1279</v>
      </c>
      <c r="G14" s="47">
        <v>1</v>
      </c>
      <c r="H14" s="59"/>
      <c r="I14" s="59"/>
      <c r="J14" s="59"/>
      <c r="K14" s="59"/>
      <c r="L14" s="59"/>
      <c r="M14" s="59"/>
      <c r="N14" s="59"/>
      <c r="O14" s="59"/>
      <c r="P14" s="47">
        <v>1</v>
      </c>
      <c r="Q14" s="47">
        <v>1</v>
      </c>
      <c r="R14" s="59"/>
      <c r="S14" s="47">
        <v>1</v>
      </c>
      <c r="T14" s="59"/>
      <c r="U14" s="59"/>
      <c r="V14" s="59"/>
      <c r="W14" s="47">
        <v>14</v>
      </c>
      <c r="X14" s="47">
        <v>15</v>
      </c>
      <c r="Y14" s="47">
        <v>16</v>
      </c>
      <c r="Z14" s="47">
        <v>9</v>
      </c>
      <c r="AA14" s="47">
        <v>9</v>
      </c>
      <c r="AB14" s="47">
        <v>6</v>
      </c>
      <c r="AC14" s="47">
        <v>1</v>
      </c>
      <c r="AD14" s="59"/>
      <c r="AE14" s="59"/>
      <c r="AF14" s="59"/>
      <c r="AG14" s="59"/>
      <c r="AH14" s="59"/>
      <c r="AI14" s="130"/>
      <c r="AJ14" s="130"/>
      <c r="AK14" s="47">
        <v>1</v>
      </c>
      <c r="AL14" s="59"/>
      <c r="AM14" s="59"/>
      <c r="AN14" s="59"/>
      <c r="AO14" s="59"/>
      <c r="AP14" s="59"/>
      <c r="AQ14" s="59"/>
      <c r="AR14" s="59"/>
      <c r="AS14" s="59"/>
      <c r="AT14" s="47">
        <v>1</v>
      </c>
      <c r="AU14" s="59"/>
      <c r="AV14" s="59"/>
      <c r="AW14" s="47">
        <v>1</v>
      </c>
      <c r="AX14" s="59"/>
      <c r="AY14" s="59"/>
      <c r="AZ14" s="59"/>
      <c r="BA14" s="47">
        <v>1</v>
      </c>
      <c r="BB14" s="59"/>
      <c r="BC14" s="59"/>
      <c r="BD14" s="59"/>
      <c r="BE14" s="59"/>
      <c r="BF14" s="59"/>
      <c r="BG14" s="59"/>
      <c r="BH14" s="59"/>
      <c r="BI14" s="59"/>
      <c r="BJ14" s="47">
        <v>1</v>
      </c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47">
        <v>1</v>
      </c>
      <c r="CA14" s="59"/>
      <c r="CB14" s="59"/>
      <c r="CC14" s="47">
        <v>1</v>
      </c>
      <c r="CD14" s="59"/>
      <c r="CE14" s="59"/>
      <c r="CF14" s="59"/>
      <c r="CG14" s="59"/>
      <c r="CH14" s="59"/>
      <c r="CI14" s="47">
        <v>1</v>
      </c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129">
        <v>46429</v>
      </c>
    </row>
    <row r="15" spans="1:99">
      <c r="A15" s="47" t="s">
        <v>1309</v>
      </c>
      <c r="B15" s="47" t="s">
        <v>1310</v>
      </c>
      <c r="C15" s="47">
        <v>38</v>
      </c>
      <c r="D15" s="47" t="s">
        <v>1278</v>
      </c>
      <c r="E15" s="47" t="s">
        <v>1311</v>
      </c>
      <c r="F15" s="47" t="s">
        <v>112</v>
      </c>
      <c r="G15" s="47">
        <v>1</v>
      </c>
      <c r="H15" s="59"/>
      <c r="I15" s="59"/>
      <c r="J15" s="59"/>
      <c r="K15" s="59"/>
      <c r="L15" s="59"/>
      <c r="M15" s="47">
        <v>1</v>
      </c>
      <c r="N15" s="59"/>
      <c r="O15" s="59"/>
      <c r="P15" s="59"/>
      <c r="Q15" s="59"/>
      <c r="R15" s="47">
        <v>1</v>
      </c>
      <c r="S15" s="59"/>
      <c r="T15" s="47">
        <v>1</v>
      </c>
      <c r="U15" s="59"/>
      <c r="V15" s="59"/>
      <c r="W15" s="47">
        <v>15</v>
      </c>
      <c r="X15" s="47">
        <v>16</v>
      </c>
      <c r="Y15" s="47">
        <v>25</v>
      </c>
      <c r="Z15" s="47">
        <v>7</v>
      </c>
      <c r="AA15" s="47">
        <v>7</v>
      </c>
      <c r="AB15" s="47">
        <v>7</v>
      </c>
      <c r="AC15" s="59"/>
      <c r="AD15" s="59"/>
      <c r="AE15" s="47">
        <v>1</v>
      </c>
      <c r="AF15" s="59"/>
      <c r="AG15" s="59"/>
      <c r="AH15" s="47">
        <v>1</v>
      </c>
      <c r="AI15" s="130"/>
      <c r="AJ15" s="130"/>
      <c r="AK15" s="47">
        <v>1</v>
      </c>
      <c r="AL15" s="59"/>
      <c r="AM15" s="59"/>
      <c r="AN15" s="59"/>
      <c r="AO15" s="59"/>
      <c r="AP15" s="59"/>
      <c r="AQ15" s="59"/>
      <c r="AR15" s="59"/>
      <c r="AS15" s="59"/>
      <c r="AT15" s="47">
        <v>1</v>
      </c>
      <c r="AU15" s="59"/>
      <c r="AV15" s="59"/>
      <c r="AW15" s="59"/>
      <c r="AX15" s="47">
        <v>1</v>
      </c>
      <c r="AY15" s="59"/>
      <c r="AZ15" s="59"/>
      <c r="BA15" s="47">
        <v>1</v>
      </c>
      <c r="BB15" s="59"/>
      <c r="BC15" s="59"/>
      <c r="BD15" s="59"/>
      <c r="BE15" s="59"/>
      <c r="BF15" s="59"/>
      <c r="BG15" s="59"/>
      <c r="BH15" s="59"/>
      <c r="BI15" s="47">
        <v>1</v>
      </c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47">
        <v>1</v>
      </c>
      <c r="CA15" s="59"/>
      <c r="CB15" s="59"/>
      <c r="CC15" s="47">
        <v>1</v>
      </c>
      <c r="CD15" s="59"/>
      <c r="CE15" s="59"/>
      <c r="CF15" s="59"/>
      <c r="CG15" s="59"/>
      <c r="CH15" s="59"/>
      <c r="CI15" s="47">
        <v>1</v>
      </c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129">
        <v>46430</v>
      </c>
    </row>
    <row r="16" spans="1:99">
      <c r="A16" s="47" t="s">
        <v>1312</v>
      </c>
      <c r="B16" s="47" t="s">
        <v>1313</v>
      </c>
      <c r="C16" s="47">
        <v>22</v>
      </c>
      <c r="D16" s="47" t="s">
        <v>1278</v>
      </c>
      <c r="E16" s="47" t="s">
        <v>191</v>
      </c>
      <c r="F16" s="47" t="s">
        <v>112</v>
      </c>
      <c r="G16" s="59"/>
      <c r="H16" s="59"/>
      <c r="I16" s="59"/>
      <c r="J16" s="47">
        <v>1</v>
      </c>
      <c r="K16" s="59"/>
      <c r="L16" s="59"/>
      <c r="M16" s="47">
        <v>1</v>
      </c>
      <c r="N16" s="59"/>
      <c r="O16" s="59"/>
      <c r="P16" s="59"/>
      <c r="Q16" s="47">
        <v>1</v>
      </c>
      <c r="R16" s="59"/>
      <c r="S16" s="59"/>
      <c r="T16" s="47">
        <v>1</v>
      </c>
      <c r="U16" s="59"/>
      <c r="V16" s="59"/>
      <c r="W16" s="47">
        <v>14</v>
      </c>
      <c r="X16" s="47">
        <v>18</v>
      </c>
      <c r="Y16" s="47">
        <v>20</v>
      </c>
      <c r="Z16" s="47">
        <v>2</v>
      </c>
      <c r="AA16" s="47">
        <v>1</v>
      </c>
      <c r="AB16" s="47">
        <v>1</v>
      </c>
      <c r="AC16" s="59"/>
      <c r="AD16" s="59"/>
      <c r="AE16" s="47">
        <v>1</v>
      </c>
      <c r="AF16" s="59"/>
      <c r="AG16" s="59"/>
      <c r="AH16" s="47">
        <v>1</v>
      </c>
      <c r="AI16" s="47">
        <v>1</v>
      </c>
      <c r="AJ16" s="59"/>
      <c r="AK16" s="47">
        <v>1</v>
      </c>
      <c r="AL16" s="59"/>
      <c r="AM16" s="59"/>
      <c r="AN16" s="59"/>
      <c r="AO16" s="59"/>
      <c r="AP16" s="59"/>
      <c r="AQ16" s="59"/>
      <c r="AR16" s="59"/>
      <c r="AS16" s="59"/>
      <c r="AT16" s="47">
        <v>1</v>
      </c>
      <c r="AU16" s="59"/>
      <c r="AV16" s="59"/>
      <c r="AW16" s="47">
        <v>1</v>
      </c>
      <c r="AX16" s="59"/>
      <c r="AY16" s="59"/>
      <c r="AZ16" s="59"/>
      <c r="BA16" s="47">
        <v>1</v>
      </c>
      <c r="BB16" s="59"/>
      <c r="BC16" s="59"/>
      <c r="BD16" s="59"/>
      <c r="BE16" s="59"/>
      <c r="BF16" s="59"/>
      <c r="BG16" s="59"/>
      <c r="BH16" s="59"/>
      <c r="BI16" s="47">
        <v>1</v>
      </c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47">
        <v>1</v>
      </c>
      <c r="CA16" s="59"/>
      <c r="CB16" s="59"/>
      <c r="CC16" s="47">
        <v>1</v>
      </c>
      <c r="CD16" s="59"/>
      <c r="CE16" s="59"/>
      <c r="CF16" s="59"/>
      <c r="CG16" s="59"/>
      <c r="CH16" s="59"/>
      <c r="CI16" s="47">
        <v>1</v>
      </c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129">
        <v>46431</v>
      </c>
    </row>
    <row r="17" spans="1:99">
      <c r="A17" s="47" t="s">
        <v>1314</v>
      </c>
      <c r="B17" s="47" t="s">
        <v>1315</v>
      </c>
      <c r="C17" s="47">
        <v>40</v>
      </c>
      <c r="D17" s="47" t="s">
        <v>923</v>
      </c>
      <c r="E17" s="47" t="s">
        <v>1316</v>
      </c>
      <c r="F17" s="47" t="s">
        <v>112</v>
      </c>
      <c r="G17" s="59"/>
      <c r="H17" s="59"/>
      <c r="I17" s="59"/>
      <c r="J17" s="47">
        <v>1</v>
      </c>
      <c r="K17" s="59"/>
      <c r="L17" s="59"/>
      <c r="M17" s="59"/>
      <c r="N17" s="59"/>
      <c r="O17" s="47">
        <v>1</v>
      </c>
      <c r="P17" s="59"/>
      <c r="Q17" s="47">
        <v>1</v>
      </c>
      <c r="R17" s="59"/>
      <c r="S17" s="59"/>
      <c r="T17" s="47">
        <v>1</v>
      </c>
      <c r="U17" s="59"/>
      <c r="V17" s="59"/>
      <c r="W17" s="47">
        <v>16</v>
      </c>
      <c r="X17" s="47">
        <v>17</v>
      </c>
      <c r="Y17" s="47">
        <v>20</v>
      </c>
      <c r="Z17" s="47">
        <v>7</v>
      </c>
      <c r="AA17" s="47">
        <v>8</v>
      </c>
      <c r="AB17" s="47">
        <v>7</v>
      </c>
      <c r="AC17" s="59"/>
      <c r="AD17" s="59"/>
      <c r="AE17" s="59"/>
      <c r="AF17" s="59"/>
      <c r="AG17" s="47">
        <v>1</v>
      </c>
      <c r="AH17" s="59"/>
      <c r="AI17" s="47">
        <v>1</v>
      </c>
      <c r="AJ17" s="59"/>
      <c r="AK17" s="47">
        <v>1</v>
      </c>
      <c r="AL17" s="59"/>
      <c r="AM17" s="59"/>
      <c r="AN17" s="59"/>
      <c r="AO17" s="59"/>
      <c r="AP17" s="59"/>
      <c r="AQ17" s="59"/>
      <c r="AR17" s="59"/>
      <c r="AS17" s="59"/>
      <c r="AT17" s="47">
        <v>1</v>
      </c>
      <c r="AU17" s="59"/>
      <c r="AV17" s="59"/>
      <c r="AW17" s="47">
        <v>1</v>
      </c>
      <c r="AX17" s="59"/>
      <c r="AY17" s="59"/>
      <c r="AZ17" s="59"/>
      <c r="BA17" s="47">
        <v>1</v>
      </c>
      <c r="BB17" s="59"/>
      <c r="BC17" s="59"/>
      <c r="BD17" s="59"/>
      <c r="BE17" s="59"/>
      <c r="BF17" s="59"/>
      <c r="BG17" s="59"/>
      <c r="BH17" s="59"/>
      <c r="BI17" s="47">
        <v>1</v>
      </c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47">
        <v>1</v>
      </c>
      <c r="CA17" s="59"/>
      <c r="CB17" s="59"/>
      <c r="CC17" s="47">
        <v>1</v>
      </c>
      <c r="CD17" s="59"/>
      <c r="CE17" s="59"/>
      <c r="CF17" s="59"/>
      <c r="CG17" s="59"/>
      <c r="CH17" s="59"/>
      <c r="CI17" s="47">
        <v>1</v>
      </c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129">
        <v>46432</v>
      </c>
    </row>
    <row r="18" spans="1:99">
      <c r="A18" s="47" t="s">
        <v>1317</v>
      </c>
      <c r="B18" s="47" t="s">
        <v>1318</v>
      </c>
      <c r="C18" s="47">
        <v>55</v>
      </c>
      <c r="D18" s="47" t="s">
        <v>1278</v>
      </c>
      <c r="E18" s="47" t="s">
        <v>191</v>
      </c>
      <c r="F18" s="47" t="s">
        <v>1279</v>
      </c>
      <c r="G18" s="59"/>
      <c r="H18" s="59"/>
      <c r="I18" s="59"/>
      <c r="J18" s="47">
        <v>1</v>
      </c>
      <c r="K18" s="59"/>
      <c r="L18" s="59"/>
      <c r="M18" s="47">
        <v>1</v>
      </c>
      <c r="N18" s="59"/>
      <c r="O18" s="59"/>
      <c r="P18" s="59"/>
      <c r="Q18" s="47">
        <v>1</v>
      </c>
      <c r="R18" s="59"/>
      <c r="S18" s="59"/>
      <c r="T18" s="47">
        <v>1</v>
      </c>
      <c r="U18" s="59"/>
      <c r="V18" s="59"/>
      <c r="W18" s="47">
        <v>15</v>
      </c>
      <c r="X18" s="47">
        <v>16</v>
      </c>
      <c r="Y18" s="47">
        <v>17</v>
      </c>
      <c r="Z18" s="47">
        <v>12</v>
      </c>
      <c r="AA18" s="47">
        <v>12</v>
      </c>
      <c r="AB18" s="47">
        <v>8</v>
      </c>
      <c r="AC18" s="59"/>
      <c r="AD18" s="59"/>
      <c r="AE18" s="59"/>
      <c r="AF18" s="59"/>
      <c r="AG18" s="59"/>
      <c r="AH18" s="47">
        <v>1</v>
      </c>
      <c r="AI18" s="130"/>
      <c r="AJ18" s="130"/>
      <c r="AK18" s="47">
        <v>1</v>
      </c>
      <c r="AL18" s="59"/>
      <c r="AM18" s="59"/>
      <c r="AN18" s="59"/>
      <c r="AO18" s="59"/>
      <c r="AP18" s="59"/>
      <c r="AQ18" s="59"/>
      <c r="AR18" s="59"/>
      <c r="AS18" s="59"/>
      <c r="AT18" s="47">
        <v>1</v>
      </c>
      <c r="AU18" s="59"/>
      <c r="AV18" s="59"/>
      <c r="AW18" s="47">
        <v>1</v>
      </c>
      <c r="AX18" s="59"/>
      <c r="AY18" s="59"/>
      <c r="AZ18" s="59"/>
      <c r="BA18" s="47">
        <v>1</v>
      </c>
      <c r="BB18" s="59"/>
      <c r="BC18" s="59"/>
      <c r="BD18" s="59"/>
      <c r="BE18" s="59"/>
      <c r="BF18" s="59"/>
      <c r="BG18" s="59"/>
      <c r="BH18" s="59"/>
      <c r="BI18" s="59"/>
      <c r="BJ18" s="47">
        <v>1</v>
      </c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47">
        <v>1</v>
      </c>
      <c r="CA18" s="59"/>
      <c r="CB18" s="59"/>
      <c r="CC18" s="47">
        <v>1</v>
      </c>
      <c r="CD18" s="59"/>
      <c r="CE18" s="59"/>
      <c r="CF18" s="59"/>
      <c r="CG18" s="59"/>
      <c r="CH18" s="59"/>
      <c r="CI18" s="47">
        <v>1</v>
      </c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129">
        <v>46433</v>
      </c>
    </row>
    <row r="19" spans="1:99">
      <c r="A19" s="47" t="s">
        <v>1319</v>
      </c>
      <c r="B19" s="47" t="s">
        <v>1320</v>
      </c>
      <c r="C19" s="47">
        <v>35</v>
      </c>
      <c r="D19" s="47" t="s">
        <v>1321</v>
      </c>
      <c r="E19" s="47" t="s">
        <v>1322</v>
      </c>
      <c r="F19" s="47" t="s">
        <v>145</v>
      </c>
      <c r="G19" s="47">
        <v>1</v>
      </c>
      <c r="H19" s="59"/>
      <c r="I19" s="59"/>
      <c r="J19" s="59"/>
      <c r="K19" s="59"/>
      <c r="L19" s="59"/>
      <c r="M19" s="47">
        <v>1</v>
      </c>
      <c r="N19" s="59"/>
      <c r="O19" s="59"/>
      <c r="P19" s="59"/>
      <c r="Q19" s="59"/>
      <c r="R19" s="47">
        <v>1</v>
      </c>
      <c r="S19" s="59"/>
      <c r="T19" s="59"/>
      <c r="U19" s="47">
        <v>1</v>
      </c>
      <c r="V19" s="59"/>
      <c r="W19" s="47">
        <v>15</v>
      </c>
      <c r="X19" s="47">
        <v>18</v>
      </c>
      <c r="Y19" s="47">
        <v>20</v>
      </c>
      <c r="Z19" s="47">
        <v>5</v>
      </c>
      <c r="AA19" s="47">
        <v>5</v>
      </c>
      <c r="AB19" s="47">
        <v>5</v>
      </c>
      <c r="AC19" s="59"/>
      <c r="AD19" s="47">
        <v>1</v>
      </c>
      <c r="AE19" s="59"/>
      <c r="AF19" s="59"/>
      <c r="AG19" s="59"/>
      <c r="AH19" s="59"/>
      <c r="AI19" s="59"/>
      <c r="AJ19" s="47">
        <v>1</v>
      </c>
      <c r="AK19" s="47">
        <v>1</v>
      </c>
      <c r="AL19" s="59"/>
      <c r="AM19" s="59"/>
      <c r="AN19" s="59"/>
      <c r="AO19" s="59"/>
      <c r="AP19" s="59"/>
      <c r="AQ19" s="59"/>
      <c r="AR19" s="59"/>
      <c r="AS19" s="59"/>
      <c r="AT19" s="47">
        <v>1</v>
      </c>
      <c r="AU19" s="59"/>
      <c r="AV19" s="59"/>
      <c r="AW19" s="47">
        <v>1</v>
      </c>
      <c r="AX19" s="59"/>
      <c r="AY19" s="59"/>
      <c r="AZ19" s="59"/>
      <c r="BA19" s="47">
        <v>1</v>
      </c>
      <c r="BB19" s="59"/>
      <c r="BC19" s="59"/>
      <c r="BD19" s="59"/>
      <c r="BE19" s="59"/>
      <c r="BF19" s="59"/>
      <c r="BG19" s="59"/>
      <c r="BH19" s="59"/>
      <c r="BI19" s="47">
        <v>1</v>
      </c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47">
        <v>1</v>
      </c>
      <c r="CA19" s="59"/>
      <c r="CB19" s="59"/>
      <c r="CC19" s="47">
        <v>1</v>
      </c>
      <c r="CD19" s="59"/>
      <c r="CE19" s="59"/>
      <c r="CF19" s="59"/>
      <c r="CG19" s="59"/>
      <c r="CH19" s="59"/>
      <c r="CI19" s="47">
        <v>1</v>
      </c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129">
        <v>46434</v>
      </c>
    </row>
    <row r="20" spans="1:99">
      <c r="A20" s="47" t="s">
        <v>1323</v>
      </c>
      <c r="B20" s="47" t="s">
        <v>1324</v>
      </c>
      <c r="C20" s="47">
        <v>21</v>
      </c>
      <c r="D20" s="47" t="s">
        <v>1325</v>
      </c>
      <c r="E20" s="47" t="s">
        <v>191</v>
      </c>
      <c r="F20" s="47" t="s">
        <v>112</v>
      </c>
      <c r="G20" s="59"/>
      <c r="H20" s="59"/>
      <c r="I20" s="59"/>
      <c r="J20" s="47">
        <v>1</v>
      </c>
      <c r="K20" s="59"/>
      <c r="L20" s="59"/>
      <c r="M20" s="47">
        <v>1</v>
      </c>
      <c r="N20" s="59"/>
      <c r="O20" s="59"/>
      <c r="P20" s="59"/>
      <c r="Q20" s="47">
        <v>1</v>
      </c>
      <c r="R20" s="59"/>
      <c r="S20" s="47">
        <v>1</v>
      </c>
      <c r="T20" s="59"/>
      <c r="U20" s="59"/>
      <c r="V20" s="59"/>
      <c r="W20" s="47">
        <v>14</v>
      </c>
      <c r="X20" s="47">
        <v>13</v>
      </c>
      <c r="Y20" s="47">
        <v>16</v>
      </c>
      <c r="Z20" s="47">
        <v>3</v>
      </c>
      <c r="AA20" s="47">
        <v>3</v>
      </c>
      <c r="AB20" s="47">
        <v>3</v>
      </c>
      <c r="AC20" s="59"/>
      <c r="AD20" s="59"/>
      <c r="AE20" s="47">
        <v>1</v>
      </c>
      <c r="AF20" s="59"/>
      <c r="AG20" s="47">
        <v>1</v>
      </c>
      <c r="AH20" s="47">
        <v>1</v>
      </c>
      <c r="AI20" s="59"/>
      <c r="AJ20" s="47">
        <v>1</v>
      </c>
      <c r="AK20" s="47">
        <v>1</v>
      </c>
      <c r="AL20" s="59"/>
      <c r="AM20" s="59"/>
      <c r="AN20" s="59"/>
      <c r="AO20" s="59"/>
      <c r="AP20" s="59"/>
      <c r="AQ20" s="59"/>
      <c r="AR20" s="59"/>
      <c r="AS20" s="59"/>
      <c r="AT20" s="47">
        <v>1</v>
      </c>
      <c r="AU20" s="59"/>
      <c r="AV20" s="59"/>
      <c r="AW20" s="59"/>
      <c r="AX20" s="47">
        <v>1</v>
      </c>
      <c r="AY20" s="59"/>
      <c r="AZ20" s="59"/>
      <c r="BA20" s="47">
        <v>1</v>
      </c>
      <c r="BB20" s="59"/>
      <c r="BC20" s="59"/>
      <c r="BD20" s="59"/>
      <c r="BE20" s="59"/>
      <c r="BF20" s="59"/>
      <c r="BG20" s="59"/>
      <c r="BH20" s="59"/>
      <c r="BI20" s="47">
        <v>1</v>
      </c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47">
        <v>1</v>
      </c>
      <c r="CA20" s="59"/>
      <c r="CB20" s="59"/>
      <c r="CC20" s="47">
        <v>1</v>
      </c>
      <c r="CD20" s="59"/>
      <c r="CE20" s="59"/>
      <c r="CF20" s="59"/>
      <c r="CG20" s="59"/>
      <c r="CH20" s="59"/>
      <c r="CI20" s="47">
        <v>1</v>
      </c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129">
        <v>46435</v>
      </c>
    </row>
    <row r="21" spans="1:99">
      <c r="A21" s="47" t="s">
        <v>1326</v>
      </c>
      <c r="B21" s="47" t="s">
        <v>1327</v>
      </c>
      <c r="C21" s="47">
        <v>80</v>
      </c>
      <c r="D21" s="47" t="s">
        <v>1278</v>
      </c>
      <c r="E21" s="47" t="s">
        <v>191</v>
      </c>
      <c r="F21" s="47" t="s">
        <v>861</v>
      </c>
      <c r="G21" s="47">
        <v>1</v>
      </c>
      <c r="H21" s="59"/>
      <c r="I21" s="59"/>
      <c r="J21" s="59"/>
      <c r="K21" s="59"/>
      <c r="L21" s="59"/>
      <c r="M21" s="59"/>
      <c r="N21" s="59"/>
      <c r="O21" s="59"/>
      <c r="P21" s="47">
        <v>1</v>
      </c>
      <c r="Q21" s="59"/>
      <c r="R21" s="47">
        <v>1</v>
      </c>
      <c r="S21" s="47">
        <v>1</v>
      </c>
      <c r="T21" s="59"/>
      <c r="U21" s="59"/>
      <c r="V21" s="59"/>
      <c r="W21" s="47">
        <v>16</v>
      </c>
      <c r="X21" s="47">
        <v>18</v>
      </c>
      <c r="Y21" s="47">
        <v>18</v>
      </c>
      <c r="Z21" s="47">
        <v>10</v>
      </c>
      <c r="AA21" s="47">
        <v>10</v>
      </c>
      <c r="AB21" s="47">
        <v>8</v>
      </c>
      <c r="AC21" s="47">
        <v>1</v>
      </c>
      <c r="AD21" s="59"/>
      <c r="AE21" s="59"/>
      <c r="AF21" s="59"/>
      <c r="AG21" s="59"/>
      <c r="AH21" s="59"/>
      <c r="AI21" s="130"/>
      <c r="AJ21" s="130"/>
      <c r="AK21" s="47">
        <v>1</v>
      </c>
      <c r="AL21" s="59"/>
      <c r="AM21" s="59"/>
      <c r="AN21" s="59"/>
      <c r="AO21" s="59"/>
      <c r="AP21" s="59"/>
      <c r="AQ21" s="59"/>
      <c r="AR21" s="59"/>
      <c r="AS21" s="59"/>
      <c r="AT21" s="47">
        <v>1</v>
      </c>
      <c r="AU21" s="59"/>
      <c r="AV21" s="59"/>
      <c r="AW21" s="47">
        <v>1</v>
      </c>
      <c r="AX21" s="59"/>
      <c r="AY21" s="59"/>
      <c r="AZ21" s="59"/>
      <c r="BA21" s="47">
        <v>1</v>
      </c>
      <c r="BB21" s="59"/>
      <c r="BC21" s="59"/>
      <c r="BD21" s="59"/>
      <c r="BE21" s="59"/>
      <c r="BF21" s="59"/>
      <c r="BG21" s="59"/>
      <c r="BH21" s="59"/>
      <c r="BI21" s="59"/>
      <c r="BJ21" s="47">
        <v>1</v>
      </c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47">
        <v>1</v>
      </c>
      <c r="CA21" s="59"/>
      <c r="CB21" s="59"/>
      <c r="CC21" s="47">
        <v>1</v>
      </c>
      <c r="CD21" s="59"/>
      <c r="CE21" s="59"/>
      <c r="CF21" s="59"/>
      <c r="CG21" s="59"/>
      <c r="CH21" s="59"/>
      <c r="CI21" s="47">
        <v>1</v>
      </c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129">
        <v>46436</v>
      </c>
    </row>
    <row r="22" spans="1:99">
      <c r="A22" s="47" t="s">
        <v>1328</v>
      </c>
      <c r="B22" s="47" t="s">
        <v>1329</v>
      </c>
      <c r="C22" s="47">
        <v>27</v>
      </c>
      <c r="D22" s="47" t="s">
        <v>1278</v>
      </c>
      <c r="E22" s="47" t="s">
        <v>1330</v>
      </c>
      <c r="F22" s="47" t="s">
        <v>112</v>
      </c>
      <c r="G22" s="59"/>
      <c r="H22" s="59"/>
      <c r="I22" s="59"/>
      <c r="J22" s="47">
        <v>1</v>
      </c>
      <c r="K22" s="59"/>
      <c r="L22" s="59"/>
      <c r="M22" s="59"/>
      <c r="N22" s="59"/>
      <c r="O22" s="47">
        <v>1</v>
      </c>
      <c r="P22" s="59"/>
      <c r="Q22" s="59"/>
      <c r="R22" s="47">
        <v>1</v>
      </c>
      <c r="S22" s="59"/>
      <c r="T22" s="47">
        <v>1</v>
      </c>
      <c r="U22" s="59"/>
      <c r="V22" s="59"/>
      <c r="W22" s="47">
        <v>12</v>
      </c>
      <c r="X22" s="47">
        <v>14</v>
      </c>
      <c r="Y22" s="47">
        <v>16</v>
      </c>
      <c r="Z22" s="47">
        <v>5</v>
      </c>
      <c r="AA22" s="47">
        <v>5</v>
      </c>
      <c r="AB22" s="47">
        <v>5</v>
      </c>
      <c r="AC22" s="59"/>
      <c r="AD22" s="59"/>
      <c r="AE22" s="47">
        <v>1</v>
      </c>
      <c r="AF22" s="59"/>
      <c r="AG22" s="59"/>
      <c r="AH22" s="47">
        <v>1</v>
      </c>
      <c r="AI22" s="47">
        <v>1</v>
      </c>
      <c r="AJ22" s="59"/>
      <c r="AK22" s="47">
        <v>1</v>
      </c>
      <c r="AL22" s="59"/>
      <c r="AM22" s="59"/>
      <c r="AN22" s="59"/>
      <c r="AO22" s="59"/>
      <c r="AP22" s="59"/>
      <c r="AQ22" s="59"/>
      <c r="AR22" s="59"/>
      <c r="AS22" s="59"/>
      <c r="AT22" s="47">
        <v>1</v>
      </c>
      <c r="AU22" s="59"/>
      <c r="AV22" s="59"/>
      <c r="AW22" s="59"/>
      <c r="AX22" s="47">
        <v>1</v>
      </c>
      <c r="AY22" s="59"/>
      <c r="AZ22" s="59"/>
      <c r="BA22" s="47">
        <v>1</v>
      </c>
      <c r="BB22" s="59"/>
      <c r="BC22" s="59"/>
      <c r="BD22" s="59"/>
      <c r="BE22" s="59"/>
      <c r="BF22" s="59"/>
      <c r="BG22" s="59"/>
      <c r="BH22" s="59"/>
      <c r="BI22" s="47">
        <v>1</v>
      </c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47">
        <v>1</v>
      </c>
      <c r="CA22" s="59"/>
      <c r="CB22" s="59"/>
      <c r="CC22" s="47">
        <v>1</v>
      </c>
      <c r="CD22" s="59"/>
      <c r="CE22" s="59"/>
      <c r="CF22" s="59"/>
      <c r="CG22" s="59"/>
      <c r="CH22" s="59"/>
      <c r="CI22" s="47">
        <v>1</v>
      </c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129">
        <v>46437</v>
      </c>
    </row>
    <row r="23" spans="1:99">
      <c r="A23" s="47" t="s">
        <v>1331</v>
      </c>
      <c r="B23" s="47" t="s">
        <v>1332</v>
      </c>
      <c r="C23" s="47">
        <v>24</v>
      </c>
      <c r="D23" s="47" t="s">
        <v>1278</v>
      </c>
      <c r="E23" s="47" t="s">
        <v>1333</v>
      </c>
      <c r="F23" s="47" t="s">
        <v>112</v>
      </c>
      <c r="G23" s="59"/>
      <c r="H23" s="59"/>
      <c r="I23" s="59"/>
      <c r="J23" s="47">
        <v>1</v>
      </c>
      <c r="K23" s="59"/>
      <c r="L23" s="59"/>
      <c r="M23" s="47">
        <v>1</v>
      </c>
      <c r="N23" s="59"/>
      <c r="O23" s="59"/>
      <c r="P23" s="59"/>
      <c r="Q23" s="47">
        <v>1</v>
      </c>
      <c r="R23" s="59"/>
      <c r="S23" s="59"/>
      <c r="T23" s="47">
        <v>1</v>
      </c>
      <c r="U23" s="59"/>
      <c r="V23" s="59"/>
      <c r="W23" s="47">
        <v>16</v>
      </c>
      <c r="X23" s="47">
        <v>17</v>
      </c>
      <c r="Y23" s="47">
        <v>18</v>
      </c>
      <c r="Z23" s="47">
        <v>4</v>
      </c>
      <c r="AA23" s="47">
        <v>4</v>
      </c>
      <c r="AB23" s="47">
        <v>4</v>
      </c>
      <c r="AC23" s="59"/>
      <c r="AD23" s="59"/>
      <c r="AE23" s="47">
        <v>1</v>
      </c>
      <c r="AF23" s="59"/>
      <c r="AG23" s="47">
        <v>1</v>
      </c>
      <c r="AH23" s="47">
        <v>1</v>
      </c>
      <c r="AI23" s="59"/>
      <c r="AJ23" s="47">
        <v>1</v>
      </c>
      <c r="AK23" s="47">
        <v>1</v>
      </c>
      <c r="AL23" s="59"/>
      <c r="AM23" s="59"/>
      <c r="AN23" s="59"/>
      <c r="AO23" s="59"/>
      <c r="AP23" s="59"/>
      <c r="AQ23" s="59"/>
      <c r="AR23" s="59"/>
      <c r="AS23" s="59"/>
      <c r="AT23" s="47">
        <v>1</v>
      </c>
      <c r="AU23" s="59"/>
      <c r="AV23" s="59"/>
      <c r="AW23" s="47">
        <v>1</v>
      </c>
      <c r="AX23" s="59"/>
      <c r="AY23" s="59"/>
      <c r="AZ23" s="59"/>
      <c r="BA23" s="47">
        <v>1</v>
      </c>
      <c r="BB23" s="59"/>
      <c r="BC23" s="59"/>
      <c r="BD23" s="59"/>
      <c r="BE23" s="59"/>
      <c r="BF23" s="59"/>
      <c r="BG23" s="59"/>
      <c r="BH23" s="59"/>
      <c r="BI23" s="47">
        <v>1</v>
      </c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47">
        <v>1</v>
      </c>
      <c r="CA23" s="59"/>
      <c r="CB23" s="59"/>
      <c r="CC23" s="47">
        <v>1</v>
      </c>
      <c r="CD23" s="59"/>
      <c r="CE23" s="59"/>
      <c r="CF23" s="59"/>
      <c r="CG23" s="59"/>
      <c r="CH23" s="59"/>
      <c r="CI23" s="47">
        <v>1</v>
      </c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129">
        <v>46438</v>
      </c>
    </row>
    <row r="24" spans="1:99">
      <c r="A24" s="47" t="s">
        <v>1334</v>
      </c>
      <c r="B24" s="47" t="s">
        <v>1335</v>
      </c>
      <c r="C24" s="47">
        <v>34</v>
      </c>
      <c r="D24" s="47" t="s">
        <v>1336</v>
      </c>
      <c r="E24" s="47" t="s">
        <v>1337</v>
      </c>
      <c r="F24" s="47" t="s">
        <v>112</v>
      </c>
      <c r="G24" s="47">
        <v>1</v>
      </c>
      <c r="H24" s="59"/>
      <c r="I24" s="59"/>
      <c r="J24" s="59"/>
      <c r="K24" s="59"/>
      <c r="L24" s="59"/>
      <c r="M24" s="47">
        <v>1</v>
      </c>
      <c r="N24" s="59"/>
      <c r="O24" s="59"/>
      <c r="P24" s="59"/>
      <c r="Q24" s="47">
        <v>1</v>
      </c>
      <c r="R24" s="59"/>
      <c r="S24" s="47">
        <v>1</v>
      </c>
      <c r="T24" s="59"/>
      <c r="U24" s="59"/>
      <c r="V24" s="59"/>
      <c r="W24" s="47">
        <v>16</v>
      </c>
      <c r="X24" s="47">
        <v>18</v>
      </c>
      <c r="Y24" s="130"/>
      <c r="Z24" s="47">
        <v>5</v>
      </c>
      <c r="AA24" s="47">
        <v>5</v>
      </c>
      <c r="AB24" s="47">
        <v>5</v>
      </c>
      <c r="AC24" s="59"/>
      <c r="AD24" s="47">
        <v>1</v>
      </c>
      <c r="AE24" s="47">
        <v>1</v>
      </c>
      <c r="AF24" s="59"/>
      <c r="AG24" s="47">
        <v>1</v>
      </c>
      <c r="AH24" s="47">
        <v>1</v>
      </c>
      <c r="AI24" s="59"/>
      <c r="AJ24" s="47">
        <v>1</v>
      </c>
      <c r="AK24" s="47">
        <v>1</v>
      </c>
      <c r="AL24" s="59"/>
      <c r="AM24" s="59"/>
      <c r="AN24" s="59"/>
      <c r="AO24" s="59"/>
      <c r="AP24" s="59"/>
      <c r="AQ24" s="59"/>
      <c r="AR24" s="59"/>
      <c r="AS24" s="59"/>
      <c r="AT24" s="47">
        <v>1</v>
      </c>
      <c r="AU24" s="59"/>
      <c r="AV24" s="59"/>
      <c r="AW24" s="47">
        <v>1</v>
      </c>
      <c r="AX24" s="59"/>
      <c r="AY24" s="59"/>
      <c r="AZ24" s="59"/>
      <c r="BA24" s="47">
        <v>1</v>
      </c>
      <c r="BB24" s="59"/>
      <c r="BC24" s="59"/>
      <c r="BD24" s="59"/>
      <c r="BE24" s="59"/>
      <c r="BF24" s="59"/>
      <c r="BG24" s="59"/>
      <c r="BH24" s="59"/>
      <c r="BI24" s="47">
        <v>1</v>
      </c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47">
        <v>1</v>
      </c>
      <c r="BX24" s="59"/>
      <c r="BY24" s="59"/>
      <c r="BZ24" s="47">
        <v>1</v>
      </c>
      <c r="CA24" s="59"/>
      <c r="CB24" s="59"/>
      <c r="CC24" s="47">
        <v>1</v>
      </c>
      <c r="CD24" s="59"/>
      <c r="CE24" s="59"/>
      <c r="CF24" s="59"/>
      <c r="CG24" s="59"/>
      <c r="CH24" s="59"/>
      <c r="CI24" s="47">
        <v>1</v>
      </c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129">
        <v>46439</v>
      </c>
    </row>
    <row r="25" spans="1:99">
      <c r="A25" s="47" t="s">
        <v>1338</v>
      </c>
      <c r="B25" s="47" t="s">
        <v>1339</v>
      </c>
      <c r="C25" s="47">
        <v>25</v>
      </c>
      <c r="D25" s="47" t="s">
        <v>923</v>
      </c>
      <c r="E25" s="47" t="s">
        <v>1340</v>
      </c>
      <c r="F25" s="47" t="s">
        <v>112</v>
      </c>
      <c r="G25" s="59"/>
      <c r="H25" s="59"/>
      <c r="I25" s="59"/>
      <c r="J25" s="47">
        <v>1</v>
      </c>
      <c r="K25" s="59"/>
      <c r="L25" s="59"/>
      <c r="M25" s="47">
        <v>1</v>
      </c>
      <c r="N25" s="59"/>
      <c r="O25" s="59"/>
      <c r="P25" s="59"/>
      <c r="Q25" s="47">
        <v>1</v>
      </c>
      <c r="R25" s="59"/>
      <c r="S25" s="47">
        <v>1</v>
      </c>
      <c r="T25" s="59"/>
      <c r="U25" s="59"/>
      <c r="V25" s="59"/>
      <c r="W25" s="47">
        <v>13</v>
      </c>
      <c r="X25" s="47">
        <v>14</v>
      </c>
      <c r="Y25" s="47">
        <v>20</v>
      </c>
      <c r="Z25" s="47">
        <v>8</v>
      </c>
      <c r="AA25" s="47">
        <v>5</v>
      </c>
      <c r="AB25" s="47">
        <v>5</v>
      </c>
      <c r="AC25" s="59"/>
      <c r="AD25" s="59"/>
      <c r="AE25" s="59"/>
      <c r="AF25" s="59"/>
      <c r="AG25" s="47">
        <v>1</v>
      </c>
      <c r="AH25" s="47">
        <v>1</v>
      </c>
      <c r="AI25" s="47">
        <v>1</v>
      </c>
      <c r="AJ25" s="59"/>
      <c r="AK25" s="47">
        <v>1</v>
      </c>
      <c r="AL25" s="59"/>
      <c r="AM25" s="59"/>
      <c r="AN25" s="59"/>
      <c r="AO25" s="59"/>
      <c r="AP25" s="59"/>
      <c r="AQ25" s="59"/>
      <c r="AR25" s="59"/>
      <c r="AS25" s="59"/>
      <c r="AT25" s="47">
        <v>1</v>
      </c>
      <c r="AU25" s="59"/>
      <c r="AV25" s="59"/>
      <c r="AW25" s="47">
        <v>1</v>
      </c>
      <c r="AX25" s="59"/>
      <c r="AY25" s="59"/>
      <c r="AZ25" s="59"/>
      <c r="BA25" s="47">
        <v>1</v>
      </c>
      <c r="BB25" s="59"/>
      <c r="BC25" s="59"/>
      <c r="BD25" s="59"/>
      <c r="BE25" s="59"/>
      <c r="BF25" s="59"/>
      <c r="BG25" s="59"/>
      <c r="BH25" s="59"/>
      <c r="BI25" s="47">
        <v>1</v>
      </c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47">
        <v>1</v>
      </c>
      <c r="BX25" s="59"/>
      <c r="BY25" s="59"/>
      <c r="BZ25" s="47">
        <v>1</v>
      </c>
      <c r="CA25" s="59"/>
      <c r="CB25" s="59"/>
      <c r="CC25" s="47">
        <v>1</v>
      </c>
      <c r="CD25" s="59"/>
      <c r="CE25" s="59"/>
      <c r="CF25" s="59"/>
      <c r="CG25" s="59"/>
      <c r="CH25" s="59"/>
      <c r="CI25" s="47">
        <v>1</v>
      </c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129">
        <v>46440</v>
      </c>
    </row>
    <row r="26" spans="1:99">
      <c r="A26" s="47" t="s">
        <v>1341</v>
      </c>
      <c r="B26" s="47" t="s">
        <v>1342</v>
      </c>
      <c r="C26" s="47">
        <v>19</v>
      </c>
      <c r="D26" s="47" t="s">
        <v>1278</v>
      </c>
      <c r="E26" s="47" t="s">
        <v>1343</v>
      </c>
      <c r="F26" s="47" t="s">
        <v>1279</v>
      </c>
      <c r="G26" s="47">
        <v>1</v>
      </c>
      <c r="H26" s="59"/>
      <c r="I26" s="59"/>
      <c r="J26" s="59"/>
      <c r="K26" s="59"/>
      <c r="L26" s="47">
        <v>1</v>
      </c>
      <c r="M26" s="59"/>
      <c r="N26" s="59"/>
      <c r="O26" s="59"/>
      <c r="P26" s="59"/>
      <c r="Q26" s="47" t="s">
        <v>191</v>
      </c>
      <c r="R26" s="59"/>
      <c r="S26" s="59"/>
      <c r="T26" s="59"/>
      <c r="U26" s="47">
        <v>1</v>
      </c>
      <c r="V26" s="59"/>
      <c r="W26" s="47">
        <v>14</v>
      </c>
      <c r="X26" s="47" t="s">
        <v>191</v>
      </c>
      <c r="Y26" s="47" t="s">
        <v>191</v>
      </c>
      <c r="Z26" s="47">
        <v>0</v>
      </c>
      <c r="AA26" s="47">
        <v>0</v>
      </c>
      <c r="AB26" s="47">
        <v>0</v>
      </c>
      <c r="AC26" s="59"/>
      <c r="AD26" s="59"/>
      <c r="AE26" s="59"/>
      <c r="AF26" s="59"/>
      <c r="AG26" s="59"/>
      <c r="AH26" s="47">
        <v>1</v>
      </c>
      <c r="AI26" s="47">
        <v>1</v>
      </c>
      <c r="AJ26" s="59"/>
      <c r="AK26" s="47">
        <v>1</v>
      </c>
      <c r="AL26" s="59"/>
      <c r="AM26" s="59"/>
      <c r="AN26" s="59"/>
      <c r="AO26" s="59"/>
      <c r="AP26" s="59"/>
      <c r="AQ26" s="59"/>
      <c r="AR26" s="59"/>
      <c r="AS26" s="59"/>
      <c r="AT26" s="47">
        <v>1</v>
      </c>
      <c r="AU26" s="59"/>
      <c r="AV26" s="47">
        <v>1</v>
      </c>
      <c r="AW26" s="59"/>
      <c r="AX26" s="59"/>
      <c r="AY26" s="59"/>
      <c r="AZ26" s="59"/>
      <c r="BA26" s="47">
        <v>1</v>
      </c>
      <c r="BB26" s="59"/>
      <c r="BC26" s="59"/>
      <c r="BD26" s="59"/>
      <c r="BE26" s="59"/>
      <c r="BF26" s="59"/>
      <c r="BG26" s="59"/>
      <c r="BH26" s="59"/>
      <c r="BI26" s="47" t="s">
        <v>1344</v>
      </c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47">
        <v>1</v>
      </c>
      <c r="BX26" s="59"/>
      <c r="BY26" s="59"/>
      <c r="BZ26" s="47">
        <v>1</v>
      </c>
      <c r="CA26" s="59"/>
      <c r="CB26" s="59"/>
      <c r="CC26" s="47">
        <v>1</v>
      </c>
      <c r="CD26" s="59"/>
      <c r="CE26" s="59"/>
      <c r="CF26" s="59"/>
      <c r="CG26" s="59"/>
      <c r="CH26" s="59"/>
      <c r="CI26" s="47">
        <v>1</v>
      </c>
      <c r="CJ26" s="59"/>
      <c r="CK26" s="59"/>
      <c r="CL26" s="47"/>
      <c r="CM26" s="59"/>
      <c r="CN26" s="59"/>
      <c r="CO26" s="59"/>
      <c r="CP26" s="59"/>
      <c r="CQ26" s="59"/>
      <c r="CR26" s="59"/>
      <c r="CS26" s="59"/>
      <c r="CT26" s="59"/>
      <c r="CU26" s="129">
        <v>46441</v>
      </c>
    </row>
    <row r="27" spans="1:99">
      <c r="A27" s="47" t="s">
        <v>1345</v>
      </c>
      <c r="B27" s="47" t="s">
        <v>1346</v>
      </c>
      <c r="C27" s="47">
        <v>43</v>
      </c>
      <c r="D27" s="47" t="s">
        <v>1278</v>
      </c>
      <c r="E27" s="47" t="s">
        <v>191</v>
      </c>
      <c r="F27" s="47" t="s">
        <v>112</v>
      </c>
      <c r="G27" s="130"/>
      <c r="H27" s="130"/>
      <c r="I27" s="130"/>
      <c r="J27" s="130"/>
      <c r="K27" s="130"/>
      <c r="L27" s="59"/>
      <c r="M27" s="47">
        <v>1</v>
      </c>
      <c r="N27" s="59"/>
      <c r="O27" s="59"/>
      <c r="P27" s="59"/>
      <c r="Q27" s="47">
        <v>1</v>
      </c>
      <c r="R27" s="59"/>
      <c r="S27" s="59"/>
      <c r="T27" s="47">
        <v>1</v>
      </c>
      <c r="U27" s="59"/>
      <c r="V27" s="59"/>
      <c r="W27" s="47">
        <v>18</v>
      </c>
      <c r="X27" s="47">
        <v>20</v>
      </c>
      <c r="Y27" s="47">
        <v>20</v>
      </c>
      <c r="Z27" s="47">
        <v>5</v>
      </c>
      <c r="AA27" s="47">
        <v>5</v>
      </c>
      <c r="AB27" s="47">
        <v>4</v>
      </c>
      <c r="AC27" s="59"/>
      <c r="AD27" s="59"/>
      <c r="AE27" s="47">
        <v>1</v>
      </c>
      <c r="AF27" s="59"/>
      <c r="AG27" s="47">
        <v>1</v>
      </c>
      <c r="AH27" s="47">
        <v>1</v>
      </c>
      <c r="AI27" s="130"/>
      <c r="AJ27" s="130"/>
      <c r="AK27" s="47">
        <v>1</v>
      </c>
      <c r="AL27" s="59"/>
      <c r="AM27" s="59"/>
      <c r="AN27" s="59"/>
      <c r="AO27" s="59"/>
      <c r="AP27" s="59"/>
      <c r="AQ27" s="59"/>
      <c r="AR27" s="59"/>
      <c r="AS27" s="59"/>
      <c r="AT27" s="47">
        <v>1</v>
      </c>
      <c r="AU27" s="59"/>
      <c r="AV27" s="59"/>
      <c r="AW27" s="47">
        <v>1</v>
      </c>
      <c r="AX27" s="59"/>
      <c r="AY27" s="59"/>
      <c r="AZ27" s="59"/>
      <c r="BA27" s="47">
        <v>1</v>
      </c>
      <c r="BB27" s="59"/>
      <c r="BC27" s="59"/>
      <c r="BD27" s="59"/>
      <c r="BE27" s="59"/>
      <c r="BF27" s="59"/>
      <c r="BG27" s="59"/>
      <c r="BH27" s="59"/>
      <c r="BI27" s="47">
        <v>1</v>
      </c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47">
        <v>1</v>
      </c>
      <c r="BX27" s="59"/>
      <c r="BY27" s="59"/>
      <c r="BZ27" s="47">
        <v>1</v>
      </c>
      <c r="CA27" s="59"/>
      <c r="CB27" s="59"/>
      <c r="CC27" s="47">
        <v>1</v>
      </c>
      <c r="CD27" s="59"/>
      <c r="CE27" s="59"/>
      <c r="CF27" s="59"/>
      <c r="CG27" s="59"/>
      <c r="CH27" s="59"/>
      <c r="CI27" s="47">
        <v>1</v>
      </c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129">
        <v>46442</v>
      </c>
    </row>
    <row r="28" spans="1:99">
      <c r="A28" s="47" t="s">
        <v>1347</v>
      </c>
      <c r="B28" s="47" t="s">
        <v>1348</v>
      </c>
      <c r="C28" s="47">
        <v>42</v>
      </c>
      <c r="D28" s="47" t="s">
        <v>1278</v>
      </c>
      <c r="E28" s="47" t="s">
        <v>1349</v>
      </c>
      <c r="F28" s="47" t="s">
        <v>112</v>
      </c>
      <c r="G28" s="59"/>
      <c r="H28" s="59"/>
      <c r="I28" s="47">
        <v>1</v>
      </c>
      <c r="J28" s="59"/>
      <c r="K28" s="59"/>
      <c r="L28" s="59"/>
      <c r="M28" s="47">
        <v>1</v>
      </c>
      <c r="N28" s="59"/>
      <c r="O28" s="59"/>
      <c r="P28" s="59"/>
      <c r="Q28" s="59"/>
      <c r="R28" s="47">
        <v>1</v>
      </c>
      <c r="S28" s="59"/>
      <c r="T28" s="47">
        <v>1</v>
      </c>
      <c r="U28" s="59"/>
      <c r="V28" s="59"/>
      <c r="W28" s="47">
        <v>16</v>
      </c>
      <c r="X28" s="47">
        <v>18</v>
      </c>
      <c r="Y28" s="47">
        <v>20</v>
      </c>
      <c r="Z28" s="47">
        <v>9</v>
      </c>
      <c r="AA28" s="47">
        <v>8</v>
      </c>
      <c r="AB28" s="47">
        <v>6</v>
      </c>
      <c r="AC28" s="59"/>
      <c r="AD28" s="59"/>
      <c r="AE28" s="47">
        <v>1</v>
      </c>
      <c r="AF28" s="59"/>
      <c r="AG28" s="59"/>
      <c r="AH28" s="59"/>
      <c r="AI28" s="47">
        <v>1</v>
      </c>
      <c r="AJ28" s="59"/>
      <c r="AK28" s="47">
        <v>1</v>
      </c>
      <c r="AL28" s="59"/>
      <c r="AM28" s="59"/>
      <c r="AN28" s="59"/>
      <c r="AO28" s="59"/>
      <c r="AP28" s="59"/>
      <c r="AQ28" s="59"/>
      <c r="AR28" s="59"/>
      <c r="AS28" s="59"/>
      <c r="AT28" s="47">
        <v>1</v>
      </c>
      <c r="AU28" s="59"/>
      <c r="AV28" s="59"/>
      <c r="AW28" s="47">
        <v>1</v>
      </c>
      <c r="AX28" s="59"/>
      <c r="AY28" s="59"/>
      <c r="AZ28" s="59"/>
      <c r="BA28" s="47">
        <v>1</v>
      </c>
      <c r="BB28" s="59"/>
      <c r="BC28" s="59"/>
      <c r="BD28" s="59"/>
      <c r="BE28" s="59"/>
      <c r="BF28" s="59"/>
      <c r="BG28" s="59"/>
      <c r="BH28" s="59"/>
      <c r="BI28" s="47">
        <v>1</v>
      </c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47">
        <v>1</v>
      </c>
      <c r="BX28" s="59"/>
      <c r="BY28" s="59"/>
      <c r="BZ28" s="47">
        <v>1</v>
      </c>
      <c r="CA28" s="59"/>
      <c r="CB28" s="59"/>
      <c r="CC28" s="47">
        <v>1</v>
      </c>
      <c r="CD28" s="59"/>
      <c r="CE28" s="59"/>
      <c r="CF28" s="59"/>
      <c r="CG28" s="59"/>
      <c r="CH28" s="59"/>
      <c r="CI28" s="47">
        <v>1</v>
      </c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129">
        <v>46443</v>
      </c>
    </row>
    <row r="29" spans="1:99">
      <c r="A29" s="47" t="s">
        <v>1350</v>
      </c>
      <c r="B29" s="47" t="s">
        <v>1351</v>
      </c>
      <c r="C29" s="47">
        <v>61</v>
      </c>
      <c r="D29" s="47" t="s">
        <v>1278</v>
      </c>
      <c r="E29" s="47" t="s">
        <v>191</v>
      </c>
      <c r="F29" s="47" t="s">
        <v>112</v>
      </c>
      <c r="G29" s="59"/>
      <c r="H29" s="59"/>
      <c r="I29" s="59"/>
      <c r="J29" s="47">
        <v>1</v>
      </c>
      <c r="K29" s="59"/>
      <c r="L29" s="59"/>
      <c r="M29" s="59"/>
      <c r="N29" s="59"/>
      <c r="O29" s="59"/>
      <c r="P29" s="47">
        <v>1</v>
      </c>
      <c r="Q29" s="59"/>
      <c r="R29" s="47">
        <v>1</v>
      </c>
      <c r="S29" s="47">
        <v>1</v>
      </c>
      <c r="T29" s="59"/>
      <c r="U29" s="59"/>
      <c r="V29" s="59"/>
      <c r="W29" s="47">
        <v>13</v>
      </c>
      <c r="X29" s="47">
        <v>15</v>
      </c>
      <c r="Y29" s="47">
        <v>16</v>
      </c>
      <c r="Z29" s="47">
        <v>11</v>
      </c>
      <c r="AA29" s="47">
        <v>11</v>
      </c>
      <c r="AB29" s="47">
        <v>7</v>
      </c>
      <c r="AC29" s="59"/>
      <c r="AD29" s="59"/>
      <c r="AE29" s="47">
        <v>1</v>
      </c>
      <c r="AF29" s="59"/>
      <c r="AG29" s="47">
        <v>1</v>
      </c>
      <c r="AH29" s="59"/>
      <c r="AI29" s="130"/>
      <c r="AJ29" s="130"/>
      <c r="AK29" s="47">
        <v>1</v>
      </c>
      <c r="AL29" s="59"/>
      <c r="AM29" s="59"/>
      <c r="AN29" s="59"/>
      <c r="AO29" s="59"/>
      <c r="AP29" s="59"/>
      <c r="AQ29" s="59"/>
      <c r="AR29" s="59"/>
      <c r="AS29" s="59"/>
      <c r="AT29" s="47">
        <v>1</v>
      </c>
      <c r="AU29" s="59"/>
      <c r="AV29" s="59"/>
      <c r="AW29" s="59"/>
      <c r="AX29" s="47">
        <v>1</v>
      </c>
      <c r="AY29" s="59"/>
      <c r="AZ29" s="59"/>
      <c r="BA29" s="59"/>
      <c r="BB29" s="47">
        <v>1</v>
      </c>
      <c r="BC29" s="59"/>
      <c r="BD29" s="59"/>
      <c r="BE29" s="59"/>
      <c r="BF29" s="47">
        <v>1</v>
      </c>
      <c r="BG29" s="59"/>
      <c r="BH29" s="59"/>
      <c r="BI29" s="59"/>
      <c r="BJ29" s="47">
        <v>1</v>
      </c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47">
        <v>1</v>
      </c>
      <c r="BX29" s="59"/>
      <c r="BY29" s="59"/>
      <c r="BZ29" s="47">
        <v>1</v>
      </c>
      <c r="CA29" s="59"/>
      <c r="CB29" s="59"/>
      <c r="CC29" s="47">
        <v>1</v>
      </c>
      <c r="CD29" s="59"/>
      <c r="CE29" s="59"/>
      <c r="CF29" s="59"/>
      <c r="CG29" s="59"/>
      <c r="CH29" s="59"/>
      <c r="CI29" s="47">
        <v>1</v>
      </c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129">
        <v>46444</v>
      </c>
    </row>
    <row r="30" spans="1:99">
      <c r="A30" s="47" t="s">
        <v>1352</v>
      </c>
      <c r="B30" s="47" t="s">
        <v>1353</v>
      </c>
      <c r="C30" s="47">
        <v>50</v>
      </c>
      <c r="D30" s="47" t="s">
        <v>1278</v>
      </c>
      <c r="E30" s="47" t="s">
        <v>1354</v>
      </c>
      <c r="F30" s="47" t="s">
        <v>1279</v>
      </c>
      <c r="G30" s="59"/>
      <c r="H30" s="47">
        <v>1</v>
      </c>
      <c r="I30" s="59"/>
      <c r="J30" s="59"/>
      <c r="K30" s="59"/>
      <c r="L30" s="59"/>
      <c r="M30" s="47">
        <v>1</v>
      </c>
      <c r="N30" s="59"/>
      <c r="O30" s="59"/>
      <c r="P30" s="59"/>
      <c r="Q30" s="47">
        <v>1</v>
      </c>
      <c r="R30" s="59"/>
      <c r="S30" s="59"/>
      <c r="T30" s="47">
        <v>1</v>
      </c>
      <c r="U30" s="59"/>
      <c r="V30" s="59"/>
      <c r="W30" s="47">
        <v>17</v>
      </c>
      <c r="X30" s="47">
        <v>22</v>
      </c>
      <c r="Y30" s="47">
        <v>23</v>
      </c>
      <c r="Z30" s="47">
        <v>10</v>
      </c>
      <c r="AA30" s="47">
        <v>8</v>
      </c>
      <c r="AB30" s="47">
        <v>8</v>
      </c>
      <c r="AC30" s="59"/>
      <c r="AD30" s="59"/>
      <c r="AE30" s="59"/>
      <c r="AF30" s="59"/>
      <c r="AG30" s="47">
        <v>1</v>
      </c>
      <c r="AH30" s="59"/>
      <c r="AI30" s="47">
        <v>1</v>
      </c>
      <c r="AJ30" s="59"/>
      <c r="AK30" s="47">
        <v>1</v>
      </c>
      <c r="AL30" s="59"/>
      <c r="AM30" s="59"/>
      <c r="AN30" s="59"/>
      <c r="AO30" s="59"/>
      <c r="AP30" s="59"/>
      <c r="AQ30" s="59"/>
      <c r="AR30" s="59"/>
      <c r="AS30" s="59"/>
      <c r="AT30" s="47">
        <v>1</v>
      </c>
      <c r="AU30" s="59"/>
      <c r="AV30" s="59"/>
      <c r="AW30" s="47">
        <v>1</v>
      </c>
      <c r="AX30" s="59"/>
      <c r="AY30" s="59"/>
      <c r="AZ30" s="59"/>
      <c r="BA30" s="47">
        <v>1</v>
      </c>
      <c r="BB30" s="59"/>
      <c r="BC30" s="59"/>
      <c r="BD30" s="59"/>
      <c r="BE30" s="59"/>
      <c r="BF30" s="59"/>
      <c r="BG30" s="59"/>
      <c r="BH30" s="59"/>
      <c r="BI30" s="59"/>
      <c r="BJ30" s="47">
        <v>1</v>
      </c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47">
        <v>1</v>
      </c>
      <c r="BX30" s="59"/>
      <c r="BY30" s="59"/>
      <c r="BZ30" s="47">
        <v>1</v>
      </c>
      <c r="CA30" s="59"/>
      <c r="CB30" s="59"/>
      <c r="CC30" s="47">
        <v>1</v>
      </c>
      <c r="CD30" s="59"/>
      <c r="CE30" s="59"/>
      <c r="CF30" s="59"/>
      <c r="CG30" s="59"/>
      <c r="CH30" s="59"/>
      <c r="CI30" s="47">
        <v>1</v>
      </c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129">
        <v>46445</v>
      </c>
    </row>
    <row r="31" spans="1:99">
      <c r="A31" s="47" t="s">
        <v>1355</v>
      </c>
      <c r="B31" s="47" t="s">
        <v>1356</v>
      </c>
      <c r="C31" s="47">
        <v>47</v>
      </c>
      <c r="D31" s="47" t="s">
        <v>1278</v>
      </c>
      <c r="E31" s="47" t="s">
        <v>1357</v>
      </c>
      <c r="F31" s="47" t="s">
        <v>127</v>
      </c>
      <c r="G31" s="59"/>
      <c r="H31" s="59"/>
      <c r="I31" s="59"/>
      <c r="J31" s="47">
        <v>1</v>
      </c>
      <c r="K31" s="59"/>
      <c r="L31" s="59"/>
      <c r="M31" s="47">
        <v>1</v>
      </c>
      <c r="N31" s="59"/>
      <c r="O31" s="59"/>
      <c r="P31" s="59"/>
      <c r="Q31" s="59"/>
      <c r="R31" s="47">
        <v>1</v>
      </c>
      <c r="S31" s="59"/>
      <c r="T31" s="47">
        <v>1</v>
      </c>
      <c r="U31" s="59"/>
      <c r="V31" s="59"/>
      <c r="W31" s="130"/>
      <c r="X31" s="47">
        <v>18</v>
      </c>
      <c r="Y31" s="47">
        <v>20</v>
      </c>
      <c r="Z31" s="47">
        <v>9</v>
      </c>
      <c r="AA31" s="47">
        <v>9</v>
      </c>
      <c r="AB31" s="47">
        <v>9</v>
      </c>
      <c r="AC31" s="59"/>
      <c r="AD31" s="47">
        <v>1</v>
      </c>
      <c r="AE31" s="59"/>
      <c r="AF31" s="59"/>
      <c r="AG31" s="59"/>
      <c r="AH31" s="47">
        <v>1</v>
      </c>
      <c r="AI31" s="59"/>
      <c r="AJ31" s="47">
        <v>1</v>
      </c>
      <c r="AK31" s="47">
        <v>1</v>
      </c>
      <c r="AL31" s="59"/>
      <c r="AM31" s="59"/>
      <c r="AN31" s="59"/>
      <c r="AO31" s="59"/>
      <c r="AP31" s="59"/>
      <c r="AQ31" s="59"/>
      <c r="AR31" s="59"/>
      <c r="AS31" s="59"/>
      <c r="AT31" s="47">
        <v>1</v>
      </c>
      <c r="AU31" s="59"/>
      <c r="AV31" s="59"/>
      <c r="AW31" s="47">
        <v>1</v>
      </c>
      <c r="AX31" s="59"/>
      <c r="AY31" s="59"/>
      <c r="AZ31" s="59"/>
      <c r="BA31" s="47">
        <v>1</v>
      </c>
      <c r="BB31" s="59"/>
      <c r="BC31" s="59"/>
      <c r="BD31" s="59"/>
      <c r="BE31" s="59"/>
      <c r="BF31" s="59"/>
      <c r="BG31" s="59"/>
      <c r="BH31" s="59"/>
      <c r="BI31" s="59"/>
      <c r="BJ31" s="47">
        <v>1</v>
      </c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47">
        <v>1</v>
      </c>
      <c r="BX31" s="59"/>
      <c r="BY31" s="59"/>
      <c r="BZ31" s="47">
        <v>1</v>
      </c>
      <c r="CA31" s="59"/>
      <c r="CB31" s="59"/>
      <c r="CC31" s="47">
        <v>1</v>
      </c>
      <c r="CD31" s="59"/>
      <c r="CE31" s="59"/>
      <c r="CF31" s="59"/>
      <c r="CG31" s="59"/>
      <c r="CH31" s="59"/>
      <c r="CI31" s="47">
        <v>1</v>
      </c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129">
        <v>46446</v>
      </c>
    </row>
    <row r="32" spans="1:99">
      <c r="A32" s="47" t="s">
        <v>1358</v>
      </c>
      <c r="B32" s="47" t="s">
        <v>1359</v>
      </c>
      <c r="C32" s="47">
        <v>34</v>
      </c>
      <c r="D32" s="47" t="s">
        <v>1278</v>
      </c>
      <c r="E32" s="47" t="s">
        <v>1360</v>
      </c>
      <c r="F32" s="47" t="s">
        <v>112</v>
      </c>
      <c r="G32" s="59"/>
      <c r="H32" s="59"/>
      <c r="I32" s="47">
        <v>1</v>
      </c>
      <c r="J32" s="59"/>
      <c r="K32" s="59"/>
      <c r="L32" s="59"/>
      <c r="M32" s="47">
        <v>1</v>
      </c>
      <c r="N32" s="59"/>
      <c r="O32" s="59"/>
      <c r="P32" s="59"/>
      <c r="Q32" s="59"/>
      <c r="R32" s="47">
        <v>1</v>
      </c>
      <c r="S32" s="59"/>
      <c r="T32" s="47">
        <v>1</v>
      </c>
      <c r="U32" s="59"/>
      <c r="V32" s="59"/>
      <c r="W32" s="47">
        <v>16</v>
      </c>
      <c r="X32" s="47">
        <v>17</v>
      </c>
      <c r="Y32" s="47">
        <v>19</v>
      </c>
      <c r="Z32" s="47">
        <v>2</v>
      </c>
      <c r="AA32" s="47">
        <v>2</v>
      </c>
      <c r="AB32" s="47">
        <v>2</v>
      </c>
      <c r="AC32" s="59"/>
      <c r="AD32" s="59"/>
      <c r="AE32" s="47">
        <v>1</v>
      </c>
      <c r="AF32" s="59"/>
      <c r="AG32" s="59"/>
      <c r="AH32" s="47">
        <v>1</v>
      </c>
      <c r="AI32" s="130"/>
      <c r="AJ32" s="130"/>
      <c r="AK32" s="47">
        <v>1</v>
      </c>
      <c r="AL32" s="59"/>
      <c r="AM32" s="59"/>
      <c r="AN32" s="59"/>
      <c r="AO32" s="59"/>
      <c r="AP32" s="59"/>
      <c r="AQ32" s="59"/>
      <c r="AR32" s="59"/>
      <c r="AS32" s="59"/>
      <c r="AT32" s="47">
        <v>1</v>
      </c>
      <c r="AU32" s="59"/>
      <c r="AV32" s="59"/>
      <c r="AW32" s="47">
        <v>1</v>
      </c>
      <c r="AX32" s="59"/>
      <c r="AY32" s="59"/>
      <c r="AZ32" s="59"/>
      <c r="BA32" s="47">
        <v>1</v>
      </c>
      <c r="BB32" s="59"/>
      <c r="BC32" s="59"/>
      <c r="BD32" s="59"/>
      <c r="BE32" s="59"/>
      <c r="BF32" s="59"/>
      <c r="BG32" s="59"/>
      <c r="BH32" s="59"/>
      <c r="BI32" s="47" t="s">
        <v>1344</v>
      </c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47">
        <v>1</v>
      </c>
      <c r="CA32" s="59"/>
      <c r="CB32" s="59"/>
      <c r="CC32" s="47">
        <v>1</v>
      </c>
      <c r="CD32" s="59"/>
      <c r="CE32" s="59"/>
      <c r="CF32" s="59"/>
      <c r="CG32" s="59"/>
      <c r="CH32" s="59"/>
      <c r="CI32" s="47">
        <v>1</v>
      </c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129">
        <v>45352</v>
      </c>
    </row>
    <row r="33" spans="1:7">
      <c r="A33" s="59"/>
      <c r="B33" s="59"/>
      <c r="C33" s="59"/>
      <c r="D33" s="59"/>
      <c r="E33" s="59"/>
      <c r="F33" s="59"/>
      <c r="G33" s="59"/>
    </row>
    <row r="34" spans="1:7">
      <c r="A34" s="59"/>
      <c r="B34" s="59"/>
      <c r="C34" s="59"/>
      <c r="D34" s="59"/>
      <c r="E34" s="59"/>
      <c r="F34" s="59"/>
      <c r="G34" s="59"/>
    </row>
    <row r="35" spans="1:7">
      <c r="A35" s="59"/>
      <c r="B35" s="59"/>
      <c r="C35" s="59"/>
      <c r="D35" s="59"/>
      <c r="E35" s="59"/>
      <c r="F35" s="59"/>
      <c r="G35" s="59"/>
    </row>
    <row r="36" spans="1:7">
      <c r="A36" s="59"/>
      <c r="B36" s="59"/>
      <c r="C36" s="59"/>
      <c r="D36" s="59"/>
      <c r="E36" s="59"/>
      <c r="F36" s="59"/>
      <c r="G36" s="59"/>
    </row>
    <row r="37" spans="1:7">
      <c r="A37" s="59"/>
      <c r="B37" s="59"/>
      <c r="C37" s="59"/>
      <c r="D37" s="59"/>
      <c r="E37" s="59"/>
      <c r="F37" s="59"/>
      <c r="G37" s="59"/>
    </row>
    <row r="38" spans="1:7">
      <c r="A38" s="59"/>
      <c r="B38" s="59"/>
      <c r="C38" s="59"/>
      <c r="D38" s="59"/>
      <c r="E38" s="59"/>
      <c r="F38" s="59"/>
      <c r="G38" s="59"/>
    </row>
    <row r="39" spans="1:7">
      <c r="A39" s="59"/>
      <c r="B39" s="59"/>
      <c r="C39" s="59"/>
      <c r="D39" s="59"/>
      <c r="E39" s="59"/>
      <c r="F39" s="59"/>
      <c r="G39" s="59"/>
    </row>
    <row r="40" spans="1:7">
      <c r="A40" s="59"/>
      <c r="B40" s="59"/>
      <c r="C40" s="59"/>
      <c r="D40" s="59"/>
      <c r="E40" s="59"/>
      <c r="F40" s="59"/>
      <c r="G40" s="59"/>
    </row>
    <row r="41" spans="1:7">
      <c r="A41" s="59"/>
      <c r="B41" s="59"/>
      <c r="C41" s="59"/>
      <c r="D41" s="59"/>
      <c r="E41" s="59"/>
      <c r="F41" s="59"/>
      <c r="G41" s="59"/>
    </row>
    <row r="42" spans="1:7">
      <c r="A42" s="59"/>
      <c r="B42" s="59"/>
      <c r="C42" s="59"/>
      <c r="D42" s="59"/>
      <c r="E42" s="59"/>
      <c r="F42" s="59"/>
      <c r="G42" s="59"/>
    </row>
    <row r="43" spans="1:7">
      <c r="A43" s="59"/>
      <c r="B43" s="59"/>
      <c r="C43" s="59"/>
      <c r="D43" s="59"/>
      <c r="E43" s="59"/>
      <c r="F43" s="59"/>
      <c r="G43" s="59"/>
    </row>
    <row r="44" spans="1:7">
      <c r="A44" s="59"/>
      <c r="B44" s="59"/>
      <c r="C44" s="59"/>
      <c r="D44" s="59"/>
      <c r="E44" s="59"/>
      <c r="F44" s="59"/>
      <c r="G44" s="59"/>
    </row>
    <row r="45" spans="1:7">
      <c r="A45" s="59"/>
      <c r="B45" s="59"/>
      <c r="C45" s="59"/>
      <c r="D45" s="59"/>
      <c r="E45" s="59"/>
      <c r="F45" s="59"/>
      <c r="G45" s="59"/>
    </row>
    <row r="46" spans="1:7">
      <c r="A46" s="59"/>
      <c r="B46" s="59"/>
      <c r="C46" s="59"/>
      <c r="D46" s="59"/>
      <c r="E46" s="59"/>
      <c r="F46" s="59"/>
      <c r="G46" s="59"/>
    </row>
    <row r="47" spans="1:7">
      <c r="A47" s="59"/>
      <c r="B47" s="59"/>
      <c r="C47" s="59"/>
      <c r="D47" s="59"/>
      <c r="E47" s="59"/>
      <c r="F47" s="59"/>
      <c r="G47" s="59"/>
    </row>
    <row r="48" spans="1:7">
      <c r="A48" s="59"/>
      <c r="B48" s="59"/>
      <c r="C48" s="59"/>
      <c r="D48" s="59"/>
      <c r="E48" s="59"/>
      <c r="F48" s="59"/>
      <c r="G48" s="59"/>
    </row>
    <row r="49" spans="1:7">
      <c r="A49" s="59"/>
      <c r="B49" s="59"/>
      <c r="C49" s="59"/>
      <c r="D49" s="59"/>
      <c r="E49" s="59"/>
      <c r="F49" s="59"/>
      <c r="G49" s="59"/>
    </row>
    <row r="50" spans="1:7">
      <c r="A50" s="59"/>
      <c r="B50" s="59"/>
      <c r="C50" s="59"/>
      <c r="D50" s="59"/>
      <c r="E50" s="59"/>
      <c r="F50" s="59"/>
      <c r="G50" s="59"/>
    </row>
    <row r="51" spans="1:7">
      <c r="A51" s="59"/>
      <c r="B51" s="59"/>
      <c r="C51" s="59"/>
      <c r="D51" s="59"/>
      <c r="E51" s="59"/>
      <c r="F51" s="59"/>
      <c r="G51" s="59"/>
    </row>
    <row r="52" spans="1:7">
      <c r="A52" s="59"/>
      <c r="B52" s="59"/>
      <c r="C52" s="59"/>
      <c r="D52" s="59"/>
      <c r="E52" s="59"/>
      <c r="F52" s="59"/>
      <c r="G52" s="59"/>
    </row>
    <row r="53" spans="1:7">
      <c r="A53" s="59"/>
      <c r="B53" s="59"/>
      <c r="C53" s="59"/>
      <c r="D53" s="59"/>
      <c r="E53" s="59"/>
      <c r="F53" s="59"/>
      <c r="G53" s="59"/>
    </row>
    <row r="54" spans="1:7">
      <c r="A54" s="59"/>
      <c r="B54" s="59"/>
      <c r="C54" s="59"/>
      <c r="D54" s="59"/>
      <c r="E54" s="59"/>
      <c r="F54" s="59"/>
      <c r="G54" s="59"/>
    </row>
    <row r="55" spans="1:7">
      <c r="A55" s="59"/>
      <c r="B55" s="59"/>
      <c r="C55" s="59"/>
      <c r="D55" s="59"/>
      <c r="E55" s="59"/>
      <c r="F55" s="59"/>
      <c r="G55" s="59"/>
    </row>
    <row r="56" spans="1:7">
      <c r="A56" s="59"/>
      <c r="B56" s="59"/>
      <c r="C56" s="59"/>
      <c r="D56" s="59"/>
      <c r="E56" s="59"/>
      <c r="F56" s="59"/>
      <c r="G56" s="59"/>
    </row>
    <row r="57" spans="1:7">
      <c r="A57" s="59"/>
      <c r="B57" s="59"/>
      <c r="C57" s="59"/>
      <c r="D57" s="59"/>
      <c r="E57" s="59"/>
      <c r="F57" s="59"/>
      <c r="G57" s="59"/>
    </row>
    <row r="58" spans="1:7">
      <c r="A58" s="59"/>
      <c r="B58" s="59"/>
      <c r="C58" s="59"/>
      <c r="D58" s="59"/>
      <c r="E58" s="59"/>
      <c r="F58" s="59"/>
      <c r="G58" s="59"/>
    </row>
    <row r="59" spans="1:7">
      <c r="A59" s="59"/>
      <c r="B59" s="59"/>
      <c r="C59" s="59"/>
      <c r="D59" s="59"/>
      <c r="E59" s="59"/>
      <c r="F59" s="59"/>
      <c r="G59" s="59"/>
    </row>
    <row r="60" spans="1:7">
      <c r="A60" s="59"/>
      <c r="B60" s="59"/>
      <c r="C60" s="59"/>
      <c r="D60" s="59"/>
      <c r="E60" s="59"/>
      <c r="F60" s="59"/>
      <c r="G60" s="59"/>
    </row>
    <row r="61" spans="1:7">
      <c r="A61" s="59"/>
      <c r="B61" s="59"/>
      <c r="C61" s="59"/>
      <c r="D61" s="59"/>
      <c r="E61" s="59"/>
      <c r="F61" s="59"/>
      <c r="G61" s="59"/>
    </row>
    <row r="62" spans="1:7">
      <c r="A62" s="59"/>
      <c r="B62" s="59"/>
      <c r="C62" s="59"/>
      <c r="D62" s="59"/>
      <c r="E62" s="59"/>
      <c r="F62" s="59"/>
      <c r="G62" s="59"/>
    </row>
    <row r="63" spans="1:7">
      <c r="A63" s="59"/>
      <c r="B63" s="59"/>
      <c r="C63" s="59"/>
      <c r="D63" s="59"/>
      <c r="E63" s="59"/>
      <c r="F63" s="59"/>
      <c r="G63" s="59"/>
    </row>
    <row r="64" spans="1:7">
      <c r="A64" s="59"/>
      <c r="B64" s="59"/>
      <c r="C64" s="59"/>
      <c r="D64" s="59"/>
      <c r="E64" s="59"/>
      <c r="F64" s="59"/>
      <c r="G64" s="59"/>
    </row>
    <row r="65" spans="1:7">
      <c r="A65" s="59"/>
      <c r="B65" s="59"/>
      <c r="C65" s="59"/>
      <c r="D65" s="59"/>
      <c r="E65" s="59"/>
      <c r="F65" s="59"/>
      <c r="G65" s="59"/>
    </row>
    <row r="66" spans="1:7">
      <c r="A66" s="59"/>
      <c r="B66" s="59"/>
      <c r="C66" s="59"/>
      <c r="D66" s="59"/>
      <c r="E66" s="59"/>
      <c r="F66" s="59"/>
      <c r="G66" s="59"/>
    </row>
    <row r="67" spans="1:7">
      <c r="A67" s="59"/>
      <c r="B67" s="59"/>
      <c r="C67" s="59"/>
      <c r="D67" s="59"/>
      <c r="E67" s="59"/>
      <c r="F67" s="59"/>
      <c r="G67" s="59"/>
    </row>
    <row r="68" spans="1:7">
      <c r="A68" s="59"/>
      <c r="B68" s="59"/>
      <c r="C68" s="59"/>
      <c r="D68" s="59"/>
      <c r="E68" s="59"/>
      <c r="F68" s="59"/>
      <c r="G68" s="59"/>
    </row>
    <row r="69" spans="1:7">
      <c r="A69" s="59"/>
      <c r="B69" s="59"/>
      <c r="C69" s="59"/>
      <c r="D69" s="59"/>
      <c r="E69" s="59"/>
      <c r="F69" s="59"/>
      <c r="G69" s="59"/>
    </row>
    <row r="70" spans="1:7">
      <c r="A70" s="59"/>
      <c r="B70" s="59"/>
      <c r="C70" s="59"/>
      <c r="D70" s="59"/>
      <c r="E70" s="59"/>
      <c r="F70" s="59"/>
      <c r="G70" s="59"/>
    </row>
    <row r="71" spans="1:7">
      <c r="A71" s="59"/>
      <c r="B71" s="59"/>
      <c r="C71" s="59"/>
      <c r="D71" s="59"/>
      <c r="E71" s="59"/>
      <c r="F71" s="59"/>
      <c r="G71" s="59"/>
    </row>
    <row r="72" spans="1:7">
      <c r="A72" s="59"/>
      <c r="B72" s="59"/>
      <c r="C72" s="59"/>
      <c r="D72" s="59"/>
      <c r="E72" s="59"/>
      <c r="F72" s="59"/>
      <c r="G72" s="59"/>
    </row>
    <row r="73" spans="1:7">
      <c r="A73" s="59"/>
      <c r="B73" s="59"/>
      <c r="C73" s="59"/>
      <c r="D73" s="59"/>
      <c r="E73" s="59"/>
      <c r="F73" s="59"/>
      <c r="G73" s="59"/>
    </row>
    <row r="74" spans="1:7">
      <c r="A74" s="59"/>
      <c r="B74" s="59"/>
      <c r="C74" s="59"/>
      <c r="D74" s="59"/>
      <c r="E74" s="59"/>
      <c r="F74" s="59"/>
      <c r="G74" s="59"/>
    </row>
    <row r="75" spans="1:7">
      <c r="A75" s="59"/>
      <c r="B75" s="59"/>
      <c r="C75" s="59"/>
      <c r="D75" s="59"/>
      <c r="E75" s="59"/>
      <c r="F75" s="59"/>
      <c r="G75" s="59"/>
    </row>
    <row r="76" spans="1:7">
      <c r="A76" s="59"/>
      <c r="B76" s="59"/>
      <c r="C76" s="59"/>
      <c r="D76" s="59"/>
      <c r="E76" s="59"/>
      <c r="F76" s="59"/>
      <c r="G76" s="59"/>
    </row>
    <row r="77" spans="1:7">
      <c r="A77" s="59"/>
      <c r="B77" s="59"/>
      <c r="C77" s="59"/>
      <c r="D77" s="59"/>
      <c r="E77" s="59"/>
      <c r="F77" s="59"/>
      <c r="G77" s="59"/>
    </row>
  </sheetData>
  <autoFilter ref="A3:CU32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1361</v>
      </c>
      <c r="B3" s="69">
        <v>1</v>
      </c>
      <c r="C3" s="69"/>
      <c r="D3" s="69"/>
      <c r="E3" s="69">
        <f t="shared" ref="E3:E8" si="0">SUM(B3:D3)</f>
        <v>1</v>
      </c>
      <c r="F3" s="70"/>
      <c r="G3" s="70"/>
      <c r="H3" s="70">
        <v>1</v>
      </c>
      <c r="I3" s="71">
        <f t="shared" ref="I3:I9" si="1">SUM(F3:H3)</f>
        <v>1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>
        <v>1</v>
      </c>
      <c r="R3" s="71">
        <f t="shared" ref="R3:R8" si="3">SUM(O3:Q3)</f>
        <v>1</v>
      </c>
      <c r="S3" s="70"/>
      <c r="T3" s="70"/>
      <c r="U3" s="70"/>
      <c r="V3" s="70"/>
      <c r="W3" s="70"/>
      <c r="X3" s="70"/>
      <c r="Y3" s="73">
        <v>1</v>
      </c>
      <c r="Z3" s="73"/>
      <c r="AA3" s="73"/>
      <c r="AB3" s="73"/>
      <c r="AC3" s="73">
        <f t="shared" ref="AC3:AC8" si="4">SUM(Y3:AB3)</f>
        <v>1</v>
      </c>
      <c r="AD3" s="73"/>
    </row>
    <row r="4" spans="1:30">
      <c r="A4" s="74" t="s">
        <v>1362</v>
      </c>
      <c r="B4" s="69">
        <v>10</v>
      </c>
      <c r="C4" s="69">
        <v>1</v>
      </c>
      <c r="D4" s="69"/>
      <c r="E4" s="69">
        <f t="shared" si="0"/>
        <v>11</v>
      </c>
      <c r="F4" s="70"/>
      <c r="G4" s="70">
        <v>11</v>
      </c>
      <c r="H4" s="70"/>
      <c r="I4" s="71">
        <f t="shared" si="1"/>
        <v>11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3</v>
      </c>
      <c r="R4" s="71">
        <f t="shared" si="3"/>
        <v>3</v>
      </c>
      <c r="S4" s="75"/>
      <c r="T4" s="75"/>
      <c r="U4" s="75"/>
      <c r="V4" s="75"/>
      <c r="W4" s="75"/>
      <c r="X4" s="76"/>
      <c r="Y4" s="73">
        <v>7</v>
      </c>
      <c r="Z4" s="73"/>
      <c r="AA4" s="73"/>
      <c r="AB4" s="73">
        <v>4</v>
      </c>
      <c r="AC4" s="73">
        <f t="shared" si="4"/>
        <v>11</v>
      </c>
      <c r="AD4" s="73"/>
    </row>
    <row r="5" spans="1:30">
      <c r="A5" s="77" t="s">
        <v>1363</v>
      </c>
      <c r="B5" s="69">
        <v>7</v>
      </c>
      <c r="C5" s="69"/>
      <c r="D5" s="69"/>
      <c r="E5" s="69">
        <f t="shared" si="0"/>
        <v>7</v>
      </c>
      <c r="F5" s="70"/>
      <c r="G5" s="70">
        <v>5</v>
      </c>
      <c r="H5" s="70">
        <v>1</v>
      </c>
      <c r="I5" s="71">
        <f t="shared" si="1"/>
        <v>6</v>
      </c>
      <c r="J5" s="70">
        <v>1</v>
      </c>
      <c r="K5" s="70"/>
      <c r="L5" s="70"/>
      <c r="M5" s="70"/>
      <c r="N5" s="71">
        <f t="shared" si="2"/>
        <v>1</v>
      </c>
      <c r="O5" s="70"/>
      <c r="P5" s="70"/>
      <c r="Q5" s="70">
        <v>2</v>
      </c>
      <c r="R5" s="71">
        <f t="shared" si="3"/>
        <v>2</v>
      </c>
      <c r="S5" s="75"/>
      <c r="T5" s="75"/>
      <c r="U5" s="75"/>
      <c r="V5" s="75"/>
      <c r="W5" s="75"/>
      <c r="X5" s="76"/>
      <c r="Y5" s="73">
        <v>6</v>
      </c>
      <c r="Z5" s="73"/>
      <c r="AA5" s="73"/>
      <c r="AB5" s="73">
        <v>1</v>
      </c>
      <c r="AC5" s="73">
        <f t="shared" si="4"/>
        <v>7</v>
      </c>
      <c r="AD5" s="73"/>
    </row>
    <row r="6" spans="1:30">
      <c r="A6" s="77" t="s">
        <v>1271</v>
      </c>
      <c r="B6" s="69">
        <v>5</v>
      </c>
      <c r="C6" s="69"/>
      <c r="D6" s="69">
        <v>1</v>
      </c>
      <c r="E6" s="69">
        <f t="shared" si="0"/>
        <v>6</v>
      </c>
      <c r="F6" s="70"/>
      <c r="G6" s="70">
        <v>3</v>
      </c>
      <c r="H6" s="70"/>
      <c r="I6" s="71">
        <f t="shared" si="1"/>
        <v>3</v>
      </c>
      <c r="J6" s="70">
        <v>3</v>
      </c>
      <c r="K6" s="70"/>
      <c r="L6" s="70"/>
      <c r="M6" s="70"/>
      <c r="N6" s="71">
        <f t="shared" si="2"/>
        <v>3</v>
      </c>
      <c r="O6" s="70"/>
      <c r="P6" s="70"/>
      <c r="Q6" s="70">
        <v>5</v>
      </c>
      <c r="R6" s="71">
        <f t="shared" si="3"/>
        <v>5</v>
      </c>
      <c r="S6" s="75"/>
      <c r="T6" s="75"/>
      <c r="U6" s="75"/>
      <c r="V6" s="75"/>
      <c r="W6" s="75"/>
      <c r="X6" s="76"/>
      <c r="Y6" s="73">
        <v>5</v>
      </c>
      <c r="Z6" s="73"/>
      <c r="AA6" s="73"/>
      <c r="AB6" s="73">
        <v>1</v>
      </c>
      <c r="AC6" s="73">
        <f t="shared" si="4"/>
        <v>6</v>
      </c>
      <c r="AD6" s="73"/>
    </row>
    <row r="7" spans="1:30">
      <c r="A7" s="77" t="s">
        <v>1097</v>
      </c>
      <c r="B7" s="69">
        <v>1</v>
      </c>
      <c r="C7" s="69"/>
      <c r="D7" s="69"/>
      <c r="E7" s="69">
        <f t="shared" si="0"/>
        <v>1</v>
      </c>
      <c r="F7" s="70"/>
      <c r="G7" s="70"/>
      <c r="H7" s="70"/>
      <c r="I7" s="71">
        <f t="shared" si="1"/>
        <v>0</v>
      </c>
      <c r="J7" s="70">
        <v>1</v>
      </c>
      <c r="K7" s="70"/>
      <c r="L7" s="70"/>
      <c r="M7" s="70"/>
      <c r="N7" s="71">
        <f t="shared" si="2"/>
        <v>1</v>
      </c>
      <c r="O7" s="70"/>
      <c r="P7" s="70"/>
      <c r="Q7" s="70"/>
      <c r="R7" s="71">
        <f t="shared" si="3"/>
        <v>0</v>
      </c>
      <c r="S7" s="75"/>
      <c r="T7" s="75"/>
      <c r="U7" s="75"/>
      <c r="V7" s="75"/>
      <c r="W7" s="75"/>
      <c r="X7" s="76"/>
      <c r="Y7" s="73">
        <v>1</v>
      </c>
      <c r="Z7" s="73"/>
      <c r="AA7" s="73"/>
      <c r="AB7" s="73"/>
      <c r="AC7" s="73">
        <f t="shared" si="4"/>
        <v>1</v>
      </c>
      <c r="AD7" s="73"/>
    </row>
    <row r="8" spans="1:30">
      <c r="A8" s="78" t="s">
        <v>1364</v>
      </c>
      <c r="B8" s="79">
        <v>2</v>
      </c>
      <c r="C8" s="79"/>
      <c r="D8" s="79"/>
      <c r="E8" s="69">
        <f t="shared" si="0"/>
        <v>2</v>
      </c>
      <c r="F8" s="80"/>
      <c r="G8" s="80"/>
      <c r="H8" s="80"/>
      <c r="I8" s="71">
        <f t="shared" si="1"/>
        <v>0</v>
      </c>
      <c r="J8" s="80">
        <v>2</v>
      </c>
      <c r="K8" s="80"/>
      <c r="L8" s="80"/>
      <c r="M8" s="80"/>
      <c r="N8" s="71">
        <f t="shared" si="2"/>
        <v>2</v>
      </c>
      <c r="O8" s="80"/>
      <c r="P8" s="80"/>
      <c r="Q8" s="80">
        <v>1</v>
      </c>
      <c r="R8" s="71">
        <f t="shared" si="3"/>
        <v>1</v>
      </c>
      <c r="S8" s="80"/>
      <c r="T8" s="80"/>
      <c r="U8" s="80"/>
      <c r="V8" s="80"/>
      <c r="W8" s="80"/>
      <c r="X8" s="81"/>
      <c r="Y8" s="82">
        <v>2</v>
      </c>
      <c r="Z8" s="82"/>
      <c r="AA8" s="82"/>
      <c r="AB8" s="82"/>
      <c r="AC8" s="73">
        <f t="shared" si="4"/>
        <v>2</v>
      </c>
      <c r="AD8" s="82"/>
    </row>
    <row r="9" spans="1:30">
      <c r="A9" s="69" t="s">
        <v>376</v>
      </c>
      <c r="B9" s="69">
        <f t="shared" ref="B9:H9" si="5">SUM(B3:B8)</f>
        <v>26</v>
      </c>
      <c r="C9" s="69">
        <f t="shared" si="5"/>
        <v>1</v>
      </c>
      <c r="D9" s="69">
        <f t="shared" si="5"/>
        <v>1</v>
      </c>
      <c r="E9" s="69">
        <f t="shared" si="5"/>
        <v>28</v>
      </c>
      <c r="F9" s="69">
        <f t="shared" si="5"/>
        <v>0</v>
      </c>
      <c r="G9" s="69">
        <f t="shared" si="5"/>
        <v>19</v>
      </c>
      <c r="H9" s="69">
        <f t="shared" si="5"/>
        <v>2</v>
      </c>
      <c r="I9" s="71">
        <f t="shared" si="1"/>
        <v>21</v>
      </c>
      <c r="J9" s="114">
        <f>SUM(J3:J8)</f>
        <v>7</v>
      </c>
      <c r="K9" s="114">
        <f>SUM(K3:K8)</f>
        <v>0</v>
      </c>
      <c r="L9" s="114">
        <f>SUM(L3:L8)</f>
        <v>0</v>
      </c>
      <c r="M9" s="114">
        <f>SUM(M3:M8)</f>
        <v>0</v>
      </c>
      <c r="N9" s="71">
        <f t="shared" si="2"/>
        <v>7</v>
      </c>
      <c r="O9" s="114">
        <f>SUM(O3:O8)</f>
        <v>0</v>
      </c>
      <c r="P9" s="114">
        <f>SUM(P3:P8)</f>
        <v>0</v>
      </c>
      <c r="Q9" s="114">
        <f>SUM(Q3:Q8)</f>
        <v>12</v>
      </c>
      <c r="R9" s="71">
        <f>SUM(R3:R8)</f>
        <v>12</v>
      </c>
      <c r="S9" s="70"/>
      <c r="T9" s="70"/>
      <c r="U9" s="70"/>
      <c r="V9" s="70"/>
      <c r="W9" s="70"/>
      <c r="X9" s="70"/>
      <c r="Y9" s="73">
        <f>SUM(Y3:Y8)</f>
        <v>22</v>
      </c>
      <c r="Z9" s="73">
        <f>SUM(Z3:Z8)</f>
        <v>0</v>
      </c>
      <c r="AA9" s="73">
        <f>SUM(AA3:AA8)</f>
        <v>0</v>
      </c>
      <c r="AB9" s="73">
        <f>SUM(AB3:AB8)</f>
        <v>6</v>
      </c>
      <c r="AC9" s="73">
        <f>SUM(AC3:AC8)</f>
        <v>28</v>
      </c>
      <c r="AD9" s="83"/>
    </row>
    <row r="10" spans="1:30" ht="15.75" customHeight="1">
      <c r="A10" s="84"/>
      <c r="B10" s="84"/>
      <c r="C10" s="84"/>
      <c r="D10" s="84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6"/>
      <c r="S10" s="86"/>
      <c r="T10" s="86"/>
      <c r="U10" s="86"/>
      <c r="V10" s="86"/>
      <c r="W10" s="86"/>
      <c r="X10" s="86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2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140625" customWidth="1"/>
    <col min="2" max="2" width="19" customWidth="1"/>
    <col min="3" max="3" width="7.28515625" customWidth="1"/>
    <col min="4" max="4" width="12.28515625" customWidth="1"/>
    <col min="6" max="6" width="13" customWidth="1"/>
    <col min="7" max="7" width="8.85546875" customWidth="1"/>
    <col min="8" max="8" width="8.7109375" customWidth="1"/>
    <col min="9" max="9" width="9.140625" customWidth="1"/>
    <col min="10" max="10" width="9.42578125" customWidth="1"/>
    <col min="11" max="11" width="8.42578125" customWidth="1"/>
    <col min="12" max="12" width="8.7109375" customWidth="1"/>
    <col min="13" max="13" width="7.85546875" customWidth="1"/>
    <col min="14" max="14" width="7.5703125" customWidth="1"/>
    <col min="15" max="15" width="7" customWidth="1"/>
    <col min="16" max="16" width="8" customWidth="1"/>
    <col min="17" max="17" width="9.7109375" customWidth="1"/>
    <col min="18" max="18" width="8.7109375" customWidth="1"/>
    <col min="19" max="19" width="8.5703125" customWidth="1"/>
    <col min="20" max="20" width="9.85546875" customWidth="1"/>
    <col min="21" max="21" width="7" customWidth="1"/>
    <col min="22" max="22" width="7.7109375" customWidth="1"/>
    <col min="23" max="23" width="10.140625" customWidth="1"/>
    <col min="24" max="24" width="11.5703125" customWidth="1"/>
    <col min="25" max="25" width="9.5703125" customWidth="1"/>
    <col min="26" max="26" width="9" customWidth="1"/>
    <col min="27" max="27" width="9.85546875" customWidth="1"/>
    <col min="28" max="28" width="9" customWidth="1"/>
    <col min="29" max="29" width="6.85546875" customWidth="1"/>
    <col min="30" max="30" width="8.7109375" customWidth="1"/>
    <col min="31" max="31" width="9.140625" customWidth="1"/>
    <col min="32" max="32" width="10.42578125" customWidth="1"/>
    <col min="33" max="33" width="10" customWidth="1"/>
    <col min="34" max="34" width="8.140625" customWidth="1"/>
    <col min="35" max="35" width="6.5703125" customWidth="1"/>
    <col min="36" max="36" width="7.42578125" customWidth="1"/>
    <col min="37" max="37" width="7.7109375" customWidth="1"/>
    <col min="38" max="38" width="8.42578125" customWidth="1"/>
    <col min="39" max="39" width="12.140625" customWidth="1"/>
    <col min="40" max="40" width="11.42578125" customWidth="1"/>
    <col min="41" max="41" width="9.140625" customWidth="1"/>
    <col min="42" max="42" width="10.7109375" customWidth="1"/>
    <col min="43" max="43" width="11" customWidth="1"/>
    <col min="44" max="44" width="12.5703125" customWidth="1"/>
    <col min="45" max="45" width="11" customWidth="1"/>
    <col min="46" max="46" width="7.140625" customWidth="1"/>
    <col min="47" max="47" width="8.5703125" customWidth="1"/>
    <col min="48" max="48" width="8.7109375" customWidth="1"/>
    <col min="49" max="49" width="9.7109375" customWidth="1"/>
    <col min="50" max="50" width="8.28515625" customWidth="1"/>
    <col min="51" max="51" width="8.5703125" customWidth="1"/>
    <col min="52" max="52" width="6" customWidth="1"/>
    <col min="53" max="54" width="7.5703125" customWidth="1"/>
    <col min="55" max="55" width="6.85546875" customWidth="1"/>
    <col min="56" max="56" width="11.42578125" customWidth="1"/>
    <col min="57" max="57" width="10" customWidth="1"/>
    <col min="58" max="59" width="8.85546875" customWidth="1"/>
    <col min="60" max="60" width="8.7109375" customWidth="1"/>
    <col min="61" max="61" width="12.7109375" customWidth="1"/>
    <col min="62" max="62" width="10" customWidth="1"/>
    <col min="63" max="63" width="12.28515625" customWidth="1"/>
    <col min="65" max="65" width="9.7109375" customWidth="1"/>
    <col min="66" max="66" width="7.5703125" customWidth="1"/>
    <col min="67" max="67" width="10.85546875" customWidth="1"/>
    <col min="68" max="68" width="8.85546875" customWidth="1"/>
    <col min="69" max="69" width="9.28515625" customWidth="1"/>
    <col min="70" max="70" width="9.42578125" customWidth="1"/>
    <col min="72" max="72" width="2.7109375" customWidth="1"/>
    <col min="73" max="73" width="7.7109375" customWidth="1"/>
    <col min="74" max="74" width="10.7109375" customWidth="1"/>
    <col min="75" max="75" width="12.85546875" customWidth="1"/>
    <col min="76" max="76" width="11.28515625" customWidth="1"/>
    <col min="77" max="77" width="13.42578125" customWidth="1"/>
    <col min="78" max="78" width="7" customWidth="1"/>
    <col min="79" max="79" width="7.42578125" customWidth="1"/>
    <col min="80" max="80" width="9.140625" customWidth="1"/>
    <col min="81" max="81" width="6.5703125" customWidth="1"/>
    <col min="82" max="82" width="9" customWidth="1"/>
    <col min="83" max="83" width="10.85546875" customWidth="1"/>
    <col min="84" max="84" width="8" customWidth="1"/>
    <col min="85" max="85" width="9.28515625" customWidth="1"/>
    <col min="86" max="86" width="9.7109375" customWidth="1"/>
    <col min="87" max="87" width="10" customWidth="1"/>
    <col min="88" max="88" width="12.28515625" customWidth="1"/>
    <col min="89" max="89" width="9.85546875" customWidth="1"/>
    <col min="90" max="90" width="9" customWidth="1"/>
    <col min="91" max="91" width="8.85546875" customWidth="1"/>
    <col min="92" max="92" width="7.7109375" customWidth="1"/>
    <col min="93" max="93" width="9.140625" customWidth="1"/>
    <col min="94" max="94" width="8.42578125" customWidth="1"/>
    <col min="95" max="95" width="10.42578125" customWidth="1"/>
    <col min="96" max="96" width="13" customWidth="1"/>
    <col min="98" max="98" width="9.42578125" customWidth="1"/>
  </cols>
  <sheetData>
    <row r="1" spans="1:99">
      <c r="A1" s="479" t="s">
        <v>1365</v>
      </c>
      <c r="B1" s="480"/>
      <c r="C1" s="479" t="s">
        <v>1366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1367</v>
      </c>
      <c r="B4" s="46" t="s">
        <v>1368</v>
      </c>
      <c r="C4" s="46">
        <v>52</v>
      </c>
      <c r="D4" s="46" t="s">
        <v>1369</v>
      </c>
      <c r="E4" s="46" t="s">
        <v>1370</v>
      </c>
      <c r="F4" s="46" t="s">
        <v>477</v>
      </c>
      <c r="J4" s="46">
        <v>1</v>
      </c>
      <c r="M4" s="46">
        <v>1</v>
      </c>
      <c r="Q4" s="46">
        <v>1</v>
      </c>
      <c r="T4" s="46">
        <v>1</v>
      </c>
      <c r="W4" s="46">
        <v>15</v>
      </c>
      <c r="X4" s="46">
        <v>17</v>
      </c>
      <c r="Y4" s="46">
        <v>20</v>
      </c>
      <c r="Z4" s="46">
        <v>7</v>
      </c>
      <c r="AA4" s="46">
        <v>7</v>
      </c>
      <c r="AB4" s="46">
        <v>6</v>
      </c>
      <c r="AE4" s="46">
        <v>1</v>
      </c>
      <c r="AG4" s="46">
        <v>1</v>
      </c>
      <c r="AH4" s="46">
        <v>1</v>
      </c>
      <c r="AI4" s="113"/>
      <c r="AJ4" s="113"/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BZ4" s="46">
        <v>1</v>
      </c>
      <c r="CC4" s="46">
        <v>1</v>
      </c>
      <c r="CI4" s="46">
        <v>1</v>
      </c>
      <c r="CU4" s="50">
        <v>46419</v>
      </c>
    </row>
    <row r="5" spans="1:99">
      <c r="A5" s="46" t="s">
        <v>1371</v>
      </c>
      <c r="B5" s="46" t="s">
        <v>1372</v>
      </c>
      <c r="C5" s="46">
        <v>50</v>
      </c>
      <c r="D5" s="46" t="s">
        <v>1373</v>
      </c>
      <c r="E5" s="46" t="s">
        <v>1374</v>
      </c>
      <c r="F5" s="46" t="s">
        <v>112</v>
      </c>
      <c r="G5" s="113"/>
      <c r="H5" s="113"/>
      <c r="I5" s="113"/>
      <c r="J5" s="113"/>
      <c r="K5" s="113"/>
      <c r="M5" s="46">
        <v>1</v>
      </c>
      <c r="Q5" s="46">
        <v>1</v>
      </c>
      <c r="T5" s="46">
        <v>1</v>
      </c>
      <c r="W5" s="113"/>
      <c r="X5" s="113"/>
      <c r="Y5" s="46">
        <v>26</v>
      </c>
      <c r="Z5" s="46">
        <v>6</v>
      </c>
      <c r="AA5" s="46">
        <v>5</v>
      </c>
      <c r="AB5" s="46">
        <v>5</v>
      </c>
      <c r="AG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X5" s="46">
        <v>1</v>
      </c>
      <c r="BZ5" s="46">
        <v>1</v>
      </c>
      <c r="CC5" s="46">
        <v>1</v>
      </c>
      <c r="CI5" s="46">
        <v>1</v>
      </c>
      <c r="CU5" s="50">
        <v>46420</v>
      </c>
    </row>
    <row r="6" spans="1:99">
      <c r="A6" s="46" t="s">
        <v>1375</v>
      </c>
      <c r="B6" s="46" t="s">
        <v>1376</v>
      </c>
      <c r="C6" s="46">
        <v>36</v>
      </c>
      <c r="D6" s="46" t="s">
        <v>1377</v>
      </c>
      <c r="E6" s="46" t="s">
        <v>1378</v>
      </c>
      <c r="F6" s="46" t="s">
        <v>112</v>
      </c>
      <c r="G6" s="46">
        <v>1</v>
      </c>
      <c r="O6" s="46">
        <v>1</v>
      </c>
      <c r="Q6" s="46">
        <v>1</v>
      </c>
      <c r="U6" s="46">
        <v>1</v>
      </c>
      <c r="W6" s="46">
        <v>15</v>
      </c>
      <c r="X6" s="46">
        <v>17</v>
      </c>
      <c r="Y6" s="46">
        <v>20</v>
      </c>
      <c r="Z6" s="46">
        <v>4</v>
      </c>
      <c r="AA6" s="46">
        <v>3</v>
      </c>
      <c r="AB6" s="46">
        <v>3</v>
      </c>
      <c r="AC6" s="46">
        <v>1</v>
      </c>
      <c r="AJ6" s="46">
        <v>1</v>
      </c>
      <c r="AK6" s="46">
        <v>1</v>
      </c>
      <c r="AT6" s="46">
        <v>1</v>
      </c>
      <c r="AZ6" s="46">
        <v>1</v>
      </c>
      <c r="BB6" s="46">
        <v>1</v>
      </c>
      <c r="BF6" s="46">
        <v>1</v>
      </c>
      <c r="BI6" s="46">
        <v>1</v>
      </c>
      <c r="CA6" s="46">
        <v>1</v>
      </c>
      <c r="CB6" s="46">
        <v>2021</v>
      </c>
      <c r="CC6" s="46">
        <v>1</v>
      </c>
      <c r="CJ6" s="46">
        <v>1</v>
      </c>
      <c r="CU6" s="50">
        <v>46421</v>
      </c>
    </row>
    <row r="7" spans="1:99">
      <c r="A7" s="46" t="s">
        <v>1379</v>
      </c>
      <c r="B7" s="46" t="s">
        <v>1380</v>
      </c>
      <c r="C7" s="46">
        <v>39</v>
      </c>
      <c r="D7" s="46" t="s">
        <v>1381</v>
      </c>
      <c r="E7" s="46" t="s">
        <v>1382</v>
      </c>
      <c r="F7" s="46" t="s">
        <v>112</v>
      </c>
      <c r="H7" s="46">
        <v>1</v>
      </c>
      <c r="O7" s="46">
        <v>1</v>
      </c>
      <c r="Q7" s="46">
        <v>1</v>
      </c>
      <c r="T7" s="46">
        <v>1</v>
      </c>
      <c r="W7" s="46">
        <v>16</v>
      </c>
      <c r="X7" s="46">
        <v>18</v>
      </c>
      <c r="Y7" s="46">
        <v>19</v>
      </c>
      <c r="Z7" s="46">
        <v>6</v>
      </c>
      <c r="AA7" s="46">
        <v>6</v>
      </c>
      <c r="AB7" s="46">
        <v>6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I7" s="46">
        <v>1</v>
      </c>
      <c r="CU7" s="50">
        <v>46422</v>
      </c>
    </row>
    <row r="8" spans="1:99">
      <c r="A8" s="46" t="s">
        <v>1383</v>
      </c>
      <c r="B8" s="46" t="s">
        <v>1384</v>
      </c>
      <c r="C8" s="46">
        <v>27</v>
      </c>
      <c r="D8" s="46" t="s">
        <v>1373</v>
      </c>
      <c r="E8" s="46" t="s">
        <v>1385</v>
      </c>
      <c r="F8" s="46" t="s">
        <v>112</v>
      </c>
      <c r="H8" s="46">
        <v>1</v>
      </c>
      <c r="N8" s="46">
        <v>1</v>
      </c>
      <c r="Q8" s="46">
        <v>1</v>
      </c>
      <c r="U8" s="46">
        <v>1</v>
      </c>
      <c r="W8" s="46">
        <v>14</v>
      </c>
      <c r="X8" s="46">
        <v>18</v>
      </c>
      <c r="Y8" s="46">
        <v>19</v>
      </c>
      <c r="Z8" s="46">
        <v>2</v>
      </c>
      <c r="AA8" s="46">
        <v>2</v>
      </c>
      <c r="AB8" s="46">
        <v>2</v>
      </c>
      <c r="AD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  <c r="CU8" s="50">
        <v>46423</v>
      </c>
    </row>
    <row r="9" spans="1:99">
      <c r="A9" s="46" t="s">
        <v>1386</v>
      </c>
      <c r="B9" s="46" t="s">
        <v>1387</v>
      </c>
      <c r="C9" s="46">
        <v>61</v>
      </c>
      <c r="D9" s="46" t="s">
        <v>1388</v>
      </c>
      <c r="E9" s="46" t="s">
        <v>191</v>
      </c>
      <c r="F9" s="46" t="s">
        <v>112</v>
      </c>
      <c r="G9" s="46">
        <v>1</v>
      </c>
      <c r="P9" s="46">
        <v>1</v>
      </c>
      <c r="R9" s="46">
        <v>1</v>
      </c>
      <c r="T9" s="46">
        <v>1</v>
      </c>
      <c r="W9" s="46">
        <v>14</v>
      </c>
      <c r="X9" s="46">
        <v>17</v>
      </c>
      <c r="Y9" s="46">
        <v>20</v>
      </c>
      <c r="Z9" s="46">
        <v>7</v>
      </c>
      <c r="AA9" s="46">
        <v>7</v>
      </c>
      <c r="AB9" s="46">
        <v>3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B9" s="46">
        <v>1</v>
      </c>
      <c r="BF9" s="46">
        <v>1</v>
      </c>
      <c r="BJ9" s="46">
        <v>1</v>
      </c>
      <c r="BW9" s="46">
        <v>1</v>
      </c>
      <c r="BZ9" s="46">
        <v>1</v>
      </c>
      <c r="CC9" s="46">
        <v>1</v>
      </c>
      <c r="CI9" s="46">
        <v>1</v>
      </c>
      <c r="CU9" s="50">
        <v>46424</v>
      </c>
    </row>
    <row r="10" spans="1:99">
      <c r="A10" s="46" t="s">
        <v>1389</v>
      </c>
      <c r="B10" s="46" t="s">
        <v>1390</v>
      </c>
      <c r="C10" s="46">
        <v>53</v>
      </c>
      <c r="D10" s="46" t="s">
        <v>1377</v>
      </c>
      <c r="E10" s="46" t="s">
        <v>1391</v>
      </c>
      <c r="F10" s="46" t="s">
        <v>112</v>
      </c>
      <c r="I10" s="46">
        <v>1</v>
      </c>
      <c r="O10" s="46">
        <v>1</v>
      </c>
      <c r="R10" s="46">
        <v>1</v>
      </c>
      <c r="T10" s="46">
        <v>1</v>
      </c>
      <c r="W10" s="46">
        <v>12</v>
      </c>
      <c r="X10" s="46">
        <v>12</v>
      </c>
      <c r="Y10" s="113"/>
      <c r="Z10" s="46">
        <v>9</v>
      </c>
      <c r="AA10" s="46">
        <v>8</v>
      </c>
      <c r="AB10" s="46">
        <v>6</v>
      </c>
      <c r="AC10" s="46">
        <v>1</v>
      </c>
      <c r="AI10" s="113"/>
      <c r="AJ10" s="113"/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Z10" s="46">
        <v>1</v>
      </c>
      <c r="CC10" s="46">
        <v>1</v>
      </c>
      <c r="CI10" s="46">
        <v>1</v>
      </c>
      <c r="CU10" s="50">
        <v>46425</v>
      </c>
    </row>
    <row r="11" spans="1:99">
      <c r="A11" s="46" t="s">
        <v>1392</v>
      </c>
      <c r="B11" s="46" t="s">
        <v>1393</v>
      </c>
      <c r="C11" s="46">
        <v>22</v>
      </c>
      <c r="D11" s="46" t="s">
        <v>1394</v>
      </c>
      <c r="E11" s="46" t="s">
        <v>1395</v>
      </c>
      <c r="F11" s="46" t="s">
        <v>624</v>
      </c>
      <c r="I11" s="46">
        <v>1</v>
      </c>
      <c r="L11" s="46">
        <v>1</v>
      </c>
      <c r="Q11" s="46" t="s">
        <v>191</v>
      </c>
      <c r="U11" s="46">
        <v>1</v>
      </c>
      <c r="W11" s="46">
        <v>18</v>
      </c>
      <c r="X11" s="46">
        <v>20</v>
      </c>
      <c r="Y11" s="46" t="s">
        <v>191</v>
      </c>
      <c r="Z11" s="46">
        <v>0</v>
      </c>
      <c r="AA11" s="46">
        <v>0</v>
      </c>
      <c r="AB11" s="46">
        <v>0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  <c r="CU11" s="50">
        <v>46426</v>
      </c>
    </row>
    <row r="12" spans="1:99">
      <c r="A12" s="46" t="s">
        <v>1396</v>
      </c>
      <c r="B12" s="46" t="s">
        <v>1397</v>
      </c>
      <c r="C12" s="46">
        <v>26</v>
      </c>
      <c r="D12" s="46" t="s">
        <v>1398</v>
      </c>
      <c r="E12" s="46" t="s">
        <v>1399</v>
      </c>
      <c r="F12" s="46" t="s">
        <v>112</v>
      </c>
      <c r="J12" s="46">
        <v>1</v>
      </c>
      <c r="L12" s="46">
        <v>1</v>
      </c>
      <c r="Q12" s="46" t="s">
        <v>191</v>
      </c>
      <c r="U12" s="46">
        <v>1</v>
      </c>
      <c r="W12" s="46">
        <v>15</v>
      </c>
      <c r="X12" s="46">
        <v>18</v>
      </c>
      <c r="Y12" s="46">
        <v>20</v>
      </c>
      <c r="Z12" s="46">
        <v>4</v>
      </c>
      <c r="AA12" s="46">
        <v>3</v>
      </c>
      <c r="AB12" s="46">
        <v>3</v>
      </c>
      <c r="AE12" s="46">
        <v>1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W12" s="46">
        <v>1</v>
      </c>
      <c r="BZ12" s="46">
        <v>1</v>
      </c>
      <c r="CC12" s="46">
        <v>1</v>
      </c>
      <c r="CI12" s="46">
        <v>1</v>
      </c>
      <c r="CU12" s="50">
        <v>46427</v>
      </c>
    </row>
    <row r="13" spans="1:99">
      <c r="A13" s="46" t="s">
        <v>1400</v>
      </c>
      <c r="B13" s="46" t="s">
        <v>1401</v>
      </c>
      <c r="C13" s="46">
        <v>46</v>
      </c>
      <c r="D13" s="46" t="s">
        <v>1373</v>
      </c>
      <c r="E13" s="46" t="s">
        <v>1402</v>
      </c>
      <c r="F13" s="46" t="s">
        <v>112</v>
      </c>
      <c r="H13" s="46">
        <v>1</v>
      </c>
      <c r="M13" s="46">
        <v>1</v>
      </c>
      <c r="R13" s="46">
        <v>1</v>
      </c>
      <c r="V13" s="46">
        <v>1</v>
      </c>
      <c r="W13" s="46">
        <v>13</v>
      </c>
      <c r="X13" s="46">
        <v>18</v>
      </c>
      <c r="Y13" s="46">
        <v>26</v>
      </c>
      <c r="Z13" s="46">
        <v>4</v>
      </c>
      <c r="AA13" s="46">
        <v>3</v>
      </c>
      <c r="AB13" s="46">
        <v>3</v>
      </c>
      <c r="AH13" s="46">
        <v>1</v>
      </c>
      <c r="AI13" s="113"/>
      <c r="AJ13" s="113"/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U13" s="50">
        <v>46428</v>
      </c>
    </row>
    <row r="14" spans="1:99">
      <c r="A14" s="46" t="s">
        <v>1403</v>
      </c>
      <c r="B14" s="46" t="s">
        <v>1404</v>
      </c>
      <c r="C14" s="46">
        <v>23</v>
      </c>
      <c r="D14" s="46" t="s">
        <v>1405</v>
      </c>
      <c r="E14" s="46" t="s">
        <v>1406</v>
      </c>
      <c r="F14" s="46" t="s">
        <v>477</v>
      </c>
      <c r="G14" s="46">
        <v>1</v>
      </c>
      <c r="N14" s="46">
        <v>1</v>
      </c>
      <c r="Q14" s="46">
        <v>1</v>
      </c>
      <c r="U14" s="46">
        <v>1</v>
      </c>
      <c r="W14" s="46">
        <v>14</v>
      </c>
      <c r="X14" s="46">
        <v>13</v>
      </c>
      <c r="Y14" s="46" t="s">
        <v>191</v>
      </c>
      <c r="Z14" s="46">
        <v>0</v>
      </c>
      <c r="AA14" s="46">
        <v>0</v>
      </c>
      <c r="AB14" s="46">
        <v>0</v>
      </c>
      <c r="AE14" s="46">
        <v>1</v>
      </c>
      <c r="AG14" s="46">
        <v>1</v>
      </c>
      <c r="AH14" s="46">
        <v>1</v>
      </c>
      <c r="AI14" s="113"/>
      <c r="AJ14" s="113"/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W14" s="46">
        <v>1</v>
      </c>
      <c r="BZ14" s="46">
        <v>1</v>
      </c>
      <c r="CC14" s="46">
        <v>1</v>
      </c>
      <c r="CI14" s="46">
        <v>1</v>
      </c>
      <c r="CU14" s="50">
        <v>46429</v>
      </c>
    </row>
    <row r="15" spans="1:99">
      <c r="A15" s="46" t="s">
        <v>1407</v>
      </c>
      <c r="B15" s="46" t="s">
        <v>1408</v>
      </c>
      <c r="C15" s="46">
        <v>23</v>
      </c>
      <c r="D15" s="46" t="s">
        <v>1409</v>
      </c>
      <c r="E15" s="46" t="s">
        <v>1410</v>
      </c>
      <c r="F15" s="46" t="s">
        <v>112</v>
      </c>
      <c r="H15" s="46">
        <v>1</v>
      </c>
      <c r="O15" s="46">
        <v>1</v>
      </c>
      <c r="Q15" s="46">
        <v>1</v>
      </c>
      <c r="T15" s="46">
        <v>1</v>
      </c>
      <c r="W15" s="46">
        <v>17</v>
      </c>
      <c r="X15" s="46">
        <v>20</v>
      </c>
      <c r="Y15" s="46">
        <v>21</v>
      </c>
      <c r="Z15" s="46">
        <v>1</v>
      </c>
      <c r="AA15" s="46">
        <v>1</v>
      </c>
      <c r="AB15" s="46">
        <v>1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  <c r="CU15" s="50">
        <v>46430</v>
      </c>
    </row>
    <row r="16" spans="1:99">
      <c r="A16" s="46" t="s">
        <v>1411</v>
      </c>
      <c r="B16" s="46" t="s">
        <v>1412</v>
      </c>
      <c r="C16" s="46">
        <v>59</v>
      </c>
      <c r="D16" s="46" t="s">
        <v>1413</v>
      </c>
      <c r="E16" s="46" t="s">
        <v>191</v>
      </c>
      <c r="F16" s="46" t="s">
        <v>112</v>
      </c>
      <c r="H16" s="46">
        <v>1</v>
      </c>
      <c r="M16" s="46">
        <v>1</v>
      </c>
      <c r="R16" s="46">
        <v>1</v>
      </c>
      <c r="U16" s="46">
        <v>1</v>
      </c>
      <c r="W16" s="46">
        <v>15</v>
      </c>
      <c r="X16" s="46">
        <v>18</v>
      </c>
      <c r="Y16" s="46">
        <v>19</v>
      </c>
      <c r="Z16" s="46">
        <v>7</v>
      </c>
      <c r="AA16" s="46">
        <v>6</v>
      </c>
      <c r="AB16" s="46">
        <v>5</v>
      </c>
      <c r="AC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 t="s">
        <v>1344</v>
      </c>
      <c r="BW16" s="46">
        <v>1</v>
      </c>
      <c r="BZ16" s="46">
        <v>1</v>
      </c>
      <c r="CC16" s="46">
        <v>1</v>
      </c>
      <c r="CI16" s="46">
        <v>1</v>
      </c>
      <c r="CU16" s="50">
        <v>46431</v>
      </c>
    </row>
    <row r="17" spans="1:99">
      <c r="A17" s="46" t="s">
        <v>1414</v>
      </c>
      <c r="B17" s="46" t="s">
        <v>1415</v>
      </c>
      <c r="C17" s="46">
        <v>80</v>
      </c>
      <c r="D17" s="46" t="s">
        <v>1416</v>
      </c>
      <c r="E17" s="46" t="s">
        <v>191</v>
      </c>
      <c r="F17" s="46" t="s">
        <v>112</v>
      </c>
      <c r="H17" s="46">
        <v>1</v>
      </c>
      <c r="P17" s="46">
        <v>1</v>
      </c>
      <c r="Q17" s="46">
        <v>1</v>
      </c>
      <c r="S17" s="46">
        <v>1</v>
      </c>
      <c r="W17" s="113"/>
      <c r="X17" s="113"/>
      <c r="Y17" s="113"/>
      <c r="Z17" s="113"/>
      <c r="AA17" s="113"/>
      <c r="AB17" s="113"/>
      <c r="AH17" s="46">
        <v>1</v>
      </c>
      <c r="AI17" s="113"/>
      <c r="AJ17" s="113"/>
      <c r="AM17" s="46">
        <v>1</v>
      </c>
      <c r="AT17" s="46">
        <v>1</v>
      </c>
      <c r="AW17" s="46">
        <v>1</v>
      </c>
      <c r="BA17" s="46">
        <v>1</v>
      </c>
      <c r="BI17" s="46" t="s">
        <v>1344</v>
      </c>
      <c r="BZ17" s="46">
        <v>1</v>
      </c>
      <c r="CC17" s="46">
        <v>1</v>
      </c>
      <c r="CI17" s="46">
        <v>1</v>
      </c>
      <c r="CU17" s="50">
        <v>46432</v>
      </c>
    </row>
    <row r="18" spans="1:99">
      <c r="A18" s="46" t="s">
        <v>1417</v>
      </c>
      <c r="B18" s="46" t="s">
        <v>1418</v>
      </c>
      <c r="C18" s="46">
        <v>27</v>
      </c>
      <c r="D18" s="46" t="s">
        <v>1381</v>
      </c>
      <c r="E18" s="46" t="s">
        <v>1419</v>
      </c>
      <c r="F18" s="46" t="s">
        <v>107</v>
      </c>
      <c r="K18" s="46">
        <v>1</v>
      </c>
      <c r="M18" s="46">
        <v>1</v>
      </c>
      <c r="Q18" s="46">
        <v>1</v>
      </c>
      <c r="U18" s="46">
        <v>1</v>
      </c>
      <c r="W18" s="46">
        <v>14</v>
      </c>
      <c r="X18" s="46">
        <v>17</v>
      </c>
      <c r="Y18" s="46">
        <v>18</v>
      </c>
      <c r="Z18" s="46">
        <v>5</v>
      </c>
      <c r="AA18" s="46">
        <v>4</v>
      </c>
      <c r="AB18" s="46">
        <v>4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I18" s="46">
        <v>1</v>
      </c>
      <c r="BW18" s="46">
        <v>1</v>
      </c>
      <c r="BZ18" s="46">
        <v>1</v>
      </c>
      <c r="CC18" s="46">
        <v>1</v>
      </c>
      <c r="CI18" s="46">
        <v>1</v>
      </c>
      <c r="CU18" s="50">
        <v>46433</v>
      </c>
    </row>
    <row r="19" spans="1:99">
      <c r="A19" s="46" t="s">
        <v>1420</v>
      </c>
      <c r="B19" s="46" t="s">
        <v>1421</v>
      </c>
      <c r="C19" s="46">
        <v>33</v>
      </c>
      <c r="D19" s="46" t="s">
        <v>1381</v>
      </c>
      <c r="E19" s="46" t="s">
        <v>1422</v>
      </c>
      <c r="F19" s="46" t="s">
        <v>112</v>
      </c>
      <c r="I19" s="46">
        <v>1</v>
      </c>
      <c r="M19" s="46">
        <v>1</v>
      </c>
      <c r="R19" s="46">
        <v>1</v>
      </c>
      <c r="U19" s="46">
        <v>1</v>
      </c>
      <c r="W19" s="46">
        <v>15</v>
      </c>
      <c r="X19" s="46">
        <v>18</v>
      </c>
      <c r="Y19" s="46">
        <v>22</v>
      </c>
      <c r="Z19" s="46">
        <v>3</v>
      </c>
      <c r="AA19" s="46">
        <v>3</v>
      </c>
      <c r="AB19" s="46">
        <v>3</v>
      </c>
      <c r="AE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U19" s="50">
        <v>46434</v>
      </c>
    </row>
    <row r="20" spans="1:99">
      <c r="A20" s="46" t="s">
        <v>1423</v>
      </c>
      <c r="B20" s="46" t="s">
        <v>1424</v>
      </c>
      <c r="C20" s="46">
        <v>36</v>
      </c>
      <c r="D20" s="46" t="s">
        <v>1373</v>
      </c>
      <c r="E20" s="46" t="s">
        <v>1425</v>
      </c>
      <c r="F20" s="46" t="s">
        <v>112</v>
      </c>
      <c r="G20" s="46">
        <v>1</v>
      </c>
      <c r="M20" s="46">
        <v>1</v>
      </c>
      <c r="Q20" s="46">
        <v>1</v>
      </c>
      <c r="T20" s="46">
        <v>1</v>
      </c>
      <c r="W20" s="46">
        <v>15</v>
      </c>
      <c r="X20" s="46">
        <v>16</v>
      </c>
      <c r="Y20" s="46">
        <v>16</v>
      </c>
      <c r="Z20" s="46">
        <v>6</v>
      </c>
      <c r="AA20" s="46">
        <v>5</v>
      </c>
      <c r="AB20" s="46">
        <v>5</v>
      </c>
      <c r="AE20" s="46">
        <v>1</v>
      </c>
      <c r="AH20" s="46">
        <v>1</v>
      </c>
      <c r="AI20" s="46">
        <v>1</v>
      </c>
      <c r="AK20" s="46">
        <v>1</v>
      </c>
      <c r="AT20" s="46">
        <v>1</v>
      </c>
      <c r="AX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I20" s="46">
        <v>1</v>
      </c>
      <c r="CU20" s="50">
        <v>46435</v>
      </c>
    </row>
    <row r="21" spans="1:99">
      <c r="A21" s="46" t="s">
        <v>1426</v>
      </c>
      <c r="B21" s="46" t="s">
        <v>1427</v>
      </c>
      <c r="C21" s="46">
        <v>37</v>
      </c>
      <c r="D21" s="46" t="s">
        <v>1377</v>
      </c>
      <c r="E21" s="46" t="s">
        <v>1428</v>
      </c>
      <c r="F21" s="46" t="s">
        <v>107</v>
      </c>
      <c r="I21" s="46">
        <v>1</v>
      </c>
      <c r="O21" s="46">
        <v>1</v>
      </c>
      <c r="Q21" s="46">
        <v>1</v>
      </c>
      <c r="T21" s="46">
        <v>1</v>
      </c>
      <c r="W21" s="46">
        <v>13</v>
      </c>
      <c r="X21" s="46">
        <v>16</v>
      </c>
      <c r="Y21" s="46">
        <v>17</v>
      </c>
      <c r="Z21" s="46">
        <v>3</v>
      </c>
      <c r="AA21" s="46">
        <v>3</v>
      </c>
      <c r="AB21" s="46">
        <v>2</v>
      </c>
      <c r="AE21" s="46">
        <v>1</v>
      </c>
      <c r="AH21" s="46">
        <v>1</v>
      </c>
      <c r="AI21" s="46">
        <v>1</v>
      </c>
      <c r="AL21" s="46">
        <v>1</v>
      </c>
      <c r="AO21" s="113"/>
      <c r="AP21" s="113"/>
      <c r="AS21" s="46">
        <v>1</v>
      </c>
      <c r="AT21" s="46">
        <v>1</v>
      </c>
      <c r="AW21" s="46">
        <v>1</v>
      </c>
      <c r="BB21" s="46">
        <v>1</v>
      </c>
      <c r="BF21" s="46">
        <v>1</v>
      </c>
      <c r="BI21" s="46">
        <v>1</v>
      </c>
      <c r="BW21" s="46">
        <v>1</v>
      </c>
      <c r="BZ21" s="46">
        <v>1</v>
      </c>
      <c r="CC21" s="46">
        <v>1</v>
      </c>
      <c r="CI21" s="46">
        <v>1</v>
      </c>
      <c r="CU21" s="50">
        <v>46436</v>
      </c>
    </row>
    <row r="22" spans="1:99">
      <c r="A22" s="46" t="s">
        <v>1429</v>
      </c>
      <c r="B22" s="46" t="s">
        <v>1430</v>
      </c>
      <c r="C22" s="46">
        <v>39</v>
      </c>
      <c r="D22" s="46" t="s">
        <v>1431</v>
      </c>
      <c r="E22" s="46" t="s">
        <v>1432</v>
      </c>
      <c r="F22" s="46" t="s">
        <v>112</v>
      </c>
      <c r="H22" s="46">
        <v>1</v>
      </c>
      <c r="M22" s="46">
        <v>1</v>
      </c>
      <c r="R22" s="46">
        <v>1</v>
      </c>
      <c r="T22" s="46">
        <v>1</v>
      </c>
      <c r="W22" s="46">
        <v>19</v>
      </c>
      <c r="X22" s="46">
        <v>19</v>
      </c>
      <c r="Y22" s="46">
        <v>19</v>
      </c>
      <c r="Z22" s="46">
        <v>6</v>
      </c>
      <c r="AA22" s="46">
        <v>6</v>
      </c>
      <c r="AB22" s="46">
        <v>4</v>
      </c>
      <c r="AD22" s="46">
        <v>1</v>
      </c>
      <c r="AH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U22" s="50">
        <v>46437</v>
      </c>
    </row>
    <row r="23" spans="1:99">
      <c r="A23" s="46" t="s">
        <v>1433</v>
      </c>
      <c r="B23" s="46" t="s">
        <v>1434</v>
      </c>
      <c r="C23" s="46">
        <v>19</v>
      </c>
      <c r="D23" s="46" t="s">
        <v>1373</v>
      </c>
      <c r="E23" s="46" t="s">
        <v>1435</v>
      </c>
      <c r="F23" s="46" t="s">
        <v>122</v>
      </c>
      <c r="I23" s="46">
        <v>1</v>
      </c>
      <c r="M23" s="46">
        <v>1</v>
      </c>
      <c r="Q23" s="46">
        <v>1</v>
      </c>
      <c r="U23" s="46">
        <v>1</v>
      </c>
      <c r="W23" s="46">
        <v>13</v>
      </c>
      <c r="X23" s="46">
        <v>15</v>
      </c>
      <c r="Y23" s="46">
        <v>18</v>
      </c>
      <c r="Z23" s="46">
        <v>2</v>
      </c>
      <c r="AA23" s="46">
        <v>1</v>
      </c>
      <c r="AB23" s="46">
        <v>1</v>
      </c>
      <c r="AE23" s="46">
        <v>1</v>
      </c>
      <c r="AH23" s="46">
        <v>1</v>
      </c>
      <c r="AI23" s="113"/>
      <c r="AJ23" s="113"/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W23" s="46">
        <v>1</v>
      </c>
      <c r="BZ23" s="46">
        <v>1</v>
      </c>
      <c r="CC23" s="46">
        <v>1</v>
      </c>
      <c r="CI23" s="46">
        <v>1</v>
      </c>
      <c r="CU23" s="50">
        <v>46438</v>
      </c>
    </row>
    <row r="24" spans="1:99">
      <c r="A24" s="46" t="s">
        <v>1436</v>
      </c>
      <c r="B24" s="46" t="s">
        <v>1437</v>
      </c>
      <c r="C24" s="46">
        <v>35</v>
      </c>
      <c r="D24" s="46" t="s">
        <v>1438</v>
      </c>
      <c r="E24" s="46" t="s">
        <v>1439</v>
      </c>
      <c r="F24" s="46" t="s">
        <v>112</v>
      </c>
      <c r="H24" s="46">
        <v>1</v>
      </c>
      <c r="O24" s="46">
        <v>1</v>
      </c>
      <c r="R24" s="46">
        <v>1</v>
      </c>
      <c r="T24" s="46">
        <v>1</v>
      </c>
      <c r="W24" s="46">
        <v>14</v>
      </c>
      <c r="X24" s="46">
        <v>14</v>
      </c>
      <c r="Y24" s="46">
        <v>14</v>
      </c>
      <c r="Z24" s="46">
        <v>3</v>
      </c>
      <c r="AA24" s="46">
        <v>3</v>
      </c>
      <c r="AB24" s="46">
        <v>3</v>
      </c>
      <c r="AH24" s="46">
        <v>1</v>
      </c>
      <c r="AI24" s="46">
        <v>1</v>
      </c>
      <c r="AK24" s="46">
        <v>1</v>
      </c>
      <c r="AT24" s="46">
        <v>1</v>
      </c>
      <c r="AY24" s="46">
        <v>1</v>
      </c>
      <c r="BB24" s="46">
        <v>1</v>
      </c>
      <c r="BF24" s="46">
        <v>1</v>
      </c>
      <c r="BI24" s="46">
        <v>1</v>
      </c>
      <c r="BZ24" s="46">
        <v>1</v>
      </c>
      <c r="CC24" s="46">
        <v>1</v>
      </c>
      <c r="CI24" s="46">
        <v>1</v>
      </c>
      <c r="CU24" s="50">
        <v>46439</v>
      </c>
    </row>
    <row r="25" spans="1:99">
      <c r="A25" s="46" t="s">
        <v>1440</v>
      </c>
      <c r="B25" s="46" t="s">
        <v>1441</v>
      </c>
      <c r="C25" s="46">
        <v>23</v>
      </c>
      <c r="D25" s="46" t="s">
        <v>1394</v>
      </c>
      <c r="E25" s="46" t="s">
        <v>1442</v>
      </c>
      <c r="F25" s="46" t="s">
        <v>112</v>
      </c>
      <c r="J25" s="46">
        <v>1</v>
      </c>
      <c r="M25" s="46">
        <v>1</v>
      </c>
      <c r="Q25" s="46">
        <v>1</v>
      </c>
      <c r="U25" s="46">
        <v>1</v>
      </c>
      <c r="W25" s="46">
        <v>13</v>
      </c>
      <c r="X25" s="46">
        <v>16</v>
      </c>
      <c r="Y25" s="46" t="s">
        <v>191</v>
      </c>
      <c r="Z25" s="46">
        <v>0</v>
      </c>
      <c r="AA25" s="46">
        <v>0</v>
      </c>
      <c r="AB25" s="46">
        <v>0</v>
      </c>
      <c r="AC25" s="46">
        <v>1</v>
      </c>
      <c r="AI25" s="113"/>
      <c r="AJ25" s="113"/>
      <c r="AK25" s="46">
        <v>1</v>
      </c>
      <c r="AT25" s="46">
        <v>1</v>
      </c>
      <c r="AX25" s="46">
        <v>1</v>
      </c>
      <c r="BA25" s="46">
        <v>1</v>
      </c>
      <c r="BI25" s="46" t="s">
        <v>1344</v>
      </c>
      <c r="BZ25" s="46">
        <v>1</v>
      </c>
      <c r="CC25" s="46">
        <v>1</v>
      </c>
      <c r="CI25" s="46">
        <v>1</v>
      </c>
      <c r="CU25" s="50">
        <v>46440</v>
      </c>
    </row>
  </sheetData>
  <autoFilter ref="A3:CU25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1361</v>
      </c>
      <c r="B3" s="69">
        <v>1</v>
      </c>
      <c r="C3" s="69"/>
      <c r="D3" s="69"/>
      <c r="E3" s="69">
        <f t="shared" ref="E3:E8" si="0">SUM(B3:D3)</f>
        <v>1</v>
      </c>
      <c r="F3" s="70"/>
      <c r="G3" s="70">
        <v>1</v>
      </c>
      <c r="H3" s="70"/>
      <c r="I3" s="71">
        <f t="shared" ref="I3:I9" si="1">SUM(F3:H3)</f>
        <v>1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>
        <v>1</v>
      </c>
      <c r="R3" s="71">
        <f t="shared" ref="R3:R8" si="3">SUM(O3:Q3)</f>
        <v>1</v>
      </c>
      <c r="S3" s="70"/>
      <c r="T3" s="70"/>
      <c r="U3" s="70"/>
      <c r="V3" s="70"/>
      <c r="W3" s="70"/>
      <c r="X3" s="70"/>
      <c r="Y3" s="73">
        <v>1</v>
      </c>
      <c r="Z3" s="73"/>
      <c r="AA3" s="73"/>
      <c r="AB3" s="73"/>
      <c r="AC3" s="73">
        <f t="shared" ref="AC3:AC8" si="4">SUM(Y3:AB3)</f>
        <v>1</v>
      </c>
      <c r="AD3" s="73"/>
    </row>
    <row r="4" spans="1:30">
      <c r="A4" s="74" t="s">
        <v>1443</v>
      </c>
      <c r="B4" s="69">
        <v>7</v>
      </c>
      <c r="C4" s="69"/>
      <c r="D4" s="69"/>
      <c r="E4" s="69">
        <f t="shared" si="0"/>
        <v>7</v>
      </c>
      <c r="F4" s="70"/>
      <c r="G4" s="70">
        <v>6</v>
      </c>
      <c r="H4" s="70">
        <v>1</v>
      </c>
      <c r="I4" s="71">
        <f t="shared" si="1"/>
        <v>7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3</v>
      </c>
      <c r="R4" s="71">
        <f t="shared" si="3"/>
        <v>3</v>
      </c>
      <c r="S4" s="75"/>
      <c r="T4" s="75"/>
      <c r="U4" s="75"/>
      <c r="V4" s="75"/>
      <c r="W4" s="75"/>
      <c r="X4" s="76"/>
      <c r="Y4" s="73">
        <v>7</v>
      </c>
      <c r="Z4" s="73"/>
      <c r="AA4" s="73"/>
      <c r="AB4" s="73"/>
      <c r="AC4" s="73">
        <f t="shared" si="4"/>
        <v>7</v>
      </c>
      <c r="AD4" s="73"/>
    </row>
    <row r="5" spans="1:30">
      <c r="A5" s="77" t="s">
        <v>1363</v>
      </c>
      <c r="B5" s="69">
        <v>6</v>
      </c>
      <c r="C5" s="69">
        <v>1</v>
      </c>
      <c r="D5" s="69"/>
      <c r="E5" s="69">
        <f t="shared" si="0"/>
        <v>7</v>
      </c>
      <c r="F5" s="70"/>
      <c r="G5" s="70">
        <v>7</v>
      </c>
      <c r="H5" s="70"/>
      <c r="I5" s="71">
        <f t="shared" si="1"/>
        <v>7</v>
      </c>
      <c r="J5" s="70"/>
      <c r="K5" s="70"/>
      <c r="L5" s="70"/>
      <c r="M5" s="70"/>
      <c r="N5" s="71">
        <f t="shared" si="2"/>
        <v>0</v>
      </c>
      <c r="O5" s="70"/>
      <c r="P5" s="70"/>
      <c r="Q5" s="70">
        <v>3</v>
      </c>
      <c r="R5" s="71">
        <f t="shared" si="3"/>
        <v>3</v>
      </c>
      <c r="S5" s="75"/>
      <c r="T5" s="75"/>
      <c r="U5" s="75"/>
      <c r="V5" s="75"/>
      <c r="W5" s="75"/>
      <c r="X5" s="76"/>
      <c r="Y5" s="73">
        <v>6</v>
      </c>
      <c r="Z5" s="73">
        <v>1</v>
      </c>
      <c r="AA5" s="73"/>
      <c r="AB5" s="73"/>
      <c r="AC5" s="73">
        <f t="shared" si="4"/>
        <v>7</v>
      </c>
      <c r="AD5" s="73"/>
    </row>
    <row r="6" spans="1:30">
      <c r="A6" s="77" t="s">
        <v>1444</v>
      </c>
      <c r="B6" s="69">
        <v>2</v>
      </c>
      <c r="C6" s="69"/>
      <c r="D6" s="69"/>
      <c r="E6" s="69">
        <f t="shared" si="0"/>
        <v>2</v>
      </c>
      <c r="F6" s="70"/>
      <c r="G6" s="70">
        <v>1</v>
      </c>
      <c r="H6" s="70"/>
      <c r="I6" s="71">
        <f t="shared" si="1"/>
        <v>1</v>
      </c>
      <c r="J6" s="70"/>
      <c r="K6" s="70">
        <v>1</v>
      </c>
      <c r="L6" s="70"/>
      <c r="M6" s="70"/>
      <c r="N6" s="71">
        <f t="shared" si="2"/>
        <v>1</v>
      </c>
      <c r="O6" s="70"/>
      <c r="P6" s="70"/>
      <c r="Q6" s="70"/>
      <c r="R6" s="71">
        <f t="shared" si="3"/>
        <v>0</v>
      </c>
      <c r="S6" s="75"/>
      <c r="T6" s="75"/>
      <c r="U6" s="75">
        <v>1</v>
      </c>
      <c r="V6" s="75"/>
      <c r="W6" s="75"/>
      <c r="X6" s="76"/>
      <c r="Y6" s="73">
        <v>2</v>
      </c>
      <c r="Z6" s="73"/>
      <c r="AA6" s="73"/>
      <c r="AB6" s="73"/>
      <c r="AC6" s="73">
        <f t="shared" si="4"/>
        <v>2</v>
      </c>
      <c r="AD6" s="73"/>
    </row>
    <row r="7" spans="1:30">
      <c r="A7" s="77" t="s">
        <v>1272</v>
      </c>
      <c r="B7" s="69">
        <v>3</v>
      </c>
      <c r="C7" s="69">
        <v>0</v>
      </c>
      <c r="D7" s="69">
        <v>0</v>
      </c>
      <c r="E7" s="69">
        <f t="shared" si="0"/>
        <v>3</v>
      </c>
      <c r="F7" s="70">
        <v>0</v>
      </c>
      <c r="G7" s="70">
        <v>3</v>
      </c>
      <c r="H7" s="70"/>
      <c r="I7" s="71">
        <f t="shared" si="1"/>
        <v>3</v>
      </c>
      <c r="J7" s="70">
        <v>3</v>
      </c>
      <c r="K7" s="70">
        <v>0</v>
      </c>
      <c r="L7" s="70">
        <v>0</v>
      </c>
      <c r="M7" s="70">
        <v>0</v>
      </c>
      <c r="N7" s="71">
        <f t="shared" si="2"/>
        <v>3</v>
      </c>
      <c r="O7" s="70">
        <v>0</v>
      </c>
      <c r="P7" s="70">
        <v>0</v>
      </c>
      <c r="Q7" s="70">
        <v>2</v>
      </c>
      <c r="R7" s="71">
        <f t="shared" si="3"/>
        <v>2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3">
        <v>3</v>
      </c>
      <c r="Z7" s="73">
        <v>0</v>
      </c>
      <c r="AA7" s="73">
        <v>0</v>
      </c>
      <c r="AB7" s="73">
        <v>0</v>
      </c>
      <c r="AC7" s="73">
        <f t="shared" si="4"/>
        <v>3</v>
      </c>
      <c r="AD7" s="73">
        <v>0</v>
      </c>
    </row>
    <row r="8" spans="1:30">
      <c r="A8" s="78" t="s">
        <v>1364</v>
      </c>
      <c r="B8" s="79">
        <v>1</v>
      </c>
      <c r="C8" s="79"/>
      <c r="D8" s="79">
        <v>1</v>
      </c>
      <c r="E8" s="69">
        <f t="shared" si="0"/>
        <v>2</v>
      </c>
      <c r="F8" s="80"/>
      <c r="G8" s="80"/>
      <c r="H8" s="80">
        <v>1</v>
      </c>
      <c r="I8" s="71">
        <f t="shared" si="1"/>
        <v>1</v>
      </c>
      <c r="J8" s="80">
        <v>1</v>
      </c>
      <c r="K8" s="80"/>
      <c r="L8" s="80"/>
      <c r="M8" s="80"/>
      <c r="N8" s="71">
        <f t="shared" si="2"/>
        <v>1</v>
      </c>
      <c r="O8" s="80"/>
      <c r="P8" s="80"/>
      <c r="Q8" s="80">
        <v>1</v>
      </c>
      <c r="R8" s="71">
        <f t="shared" si="3"/>
        <v>1</v>
      </c>
      <c r="S8" s="80"/>
      <c r="T8" s="80"/>
      <c r="U8" s="80"/>
      <c r="V8" s="80"/>
      <c r="W8" s="80"/>
      <c r="X8" s="81"/>
      <c r="Y8" s="82">
        <v>2</v>
      </c>
      <c r="Z8" s="82"/>
      <c r="AA8" s="82"/>
      <c r="AB8" s="82"/>
      <c r="AC8" s="73">
        <f t="shared" si="4"/>
        <v>2</v>
      </c>
      <c r="AD8" s="82"/>
    </row>
    <row r="9" spans="1:30">
      <c r="A9" s="69" t="s">
        <v>376</v>
      </c>
      <c r="B9" s="69">
        <f t="shared" ref="B9:H9" si="5">SUM(B3:B8)</f>
        <v>20</v>
      </c>
      <c r="C9" s="69">
        <f t="shared" si="5"/>
        <v>1</v>
      </c>
      <c r="D9" s="69">
        <f t="shared" si="5"/>
        <v>1</v>
      </c>
      <c r="E9" s="69">
        <f t="shared" si="5"/>
        <v>22</v>
      </c>
      <c r="F9" s="69">
        <f t="shared" si="5"/>
        <v>0</v>
      </c>
      <c r="G9" s="69">
        <f t="shared" si="5"/>
        <v>18</v>
      </c>
      <c r="H9" s="69">
        <f t="shared" si="5"/>
        <v>2</v>
      </c>
      <c r="I9" s="71">
        <f t="shared" si="1"/>
        <v>20</v>
      </c>
      <c r="J9" s="114">
        <f>SUM(J3:J8)</f>
        <v>4</v>
      </c>
      <c r="K9" s="114">
        <f>SUM(K3:K8)</f>
        <v>1</v>
      </c>
      <c r="L9" s="114">
        <f>SUM(L3:L8)</f>
        <v>0</v>
      </c>
      <c r="M9" s="114">
        <f>SUM(M3:M8)</f>
        <v>0</v>
      </c>
      <c r="N9" s="71">
        <f t="shared" si="2"/>
        <v>5</v>
      </c>
      <c r="O9" s="114">
        <f t="shared" ref="O9:AC9" si="6">SUM(O3:O8)</f>
        <v>0</v>
      </c>
      <c r="P9" s="114">
        <f t="shared" si="6"/>
        <v>0</v>
      </c>
      <c r="Q9" s="114">
        <f t="shared" si="6"/>
        <v>10</v>
      </c>
      <c r="R9" s="71">
        <f t="shared" si="6"/>
        <v>10</v>
      </c>
      <c r="S9" s="114">
        <f t="shared" si="6"/>
        <v>0</v>
      </c>
      <c r="T9" s="114">
        <f t="shared" si="6"/>
        <v>0</v>
      </c>
      <c r="U9" s="114">
        <f t="shared" si="6"/>
        <v>1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73">
        <f t="shared" si="6"/>
        <v>21</v>
      </c>
      <c r="Z9" s="73">
        <f t="shared" si="6"/>
        <v>1</v>
      </c>
      <c r="AA9" s="73">
        <f t="shared" si="6"/>
        <v>0</v>
      </c>
      <c r="AB9" s="73">
        <f t="shared" si="6"/>
        <v>0</v>
      </c>
      <c r="AC9" s="73">
        <f t="shared" si="6"/>
        <v>22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S2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2.28515625" customWidth="1"/>
    <col min="2" max="2" width="17.7109375" customWidth="1"/>
    <col min="3" max="3" width="8.5703125" customWidth="1"/>
    <col min="7" max="7" width="8.7109375" customWidth="1"/>
    <col min="8" max="8" width="9.28515625" customWidth="1"/>
    <col min="9" max="9" width="8" customWidth="1"/>
    <col min="10" max="10" width="8.85546875" customWidth="1"/>
    <col min="11" max="11" width="8.28515625" customWidth="1"/>
    <col min="12" max="12" width="7.28515625" customWidth="1"/>
    <col min="13" max="13" width="7.140625" customWidth="1"/>
    <col min="14" max="14" width="6.42578125" customWidth="1"/>
    <col min="15" max="15" width="6.28515625" customWidth="1"/>
    <col min="16" max="16" width="7.5703125" customWidth="1"/>
    <col min="17" max="17" width="8.42578125" customWidth="1"/>
    <col min="18" max="18" width="7" customWidth="1"/>
    <col min="19" max="19" width="8.7109375" customWidth="1"/>
    <col min="20" max="20" width="7.85546875" customWidth="1"/>
    <col min="21" max="22" width="6.5703125" customWidth="1"/>
    <col min="23" max="23" width="11.85546875" customWidth="1"/>
    <col min="24" max="24" width="12" customWidth="1"/>
    <col min="25" max="25" width="11.42578125" customWidth="1"/>
    <col min="26" max="26" width="9.5703125" customWidth="1"/>
    <col min="27" max="27" width="13.140625" customWidth="1"/>
    <col min="28" max="28" width="10.28515625" customWidth="1"/>
    <col min="29" max="29" width="6.5703125" customWidth="1"/>
    <col min="30" max="30" width="9" customWidth="1"/>
    <col min="31" max="31" width="8.140625" customWidth="1"/>
    <col min="32" max="32" width="9.85546875" customWidth="1"/>
    <col min="33" max="33" width="9.7109375" customWidth="1"/>
    <col min="34" max="34" width="7.42578125" customWidth="1"/>
    <col min="35" max="35" width="6.140625" customWidth="1"/>
    <col min="36" max="36" width="7.28515625" customWidth="1"/>
    <col min="37" max="37" width="8.140625" customWidth="1"/>
    <col min="38" max="38" width="7.85546875" customWidth="1"/>
    <col min="39" max="39" width="6.7109375" customWidth="1"/>
    <col min="40" max="40" width="13" customWidth="1"/>
    <col min="41" max="41" width="8.7109375" customWidth="1"/>
    <col min="42" max="42" width="9.85546875" customWidth="1"/>
    <col min="43" max="43" width="10.85546875" customWidth="1"/>
    <col min="44" max="44" width="12.140625" customWidth="1"/>
    <col min="45" max="45" width="10.85546875" customWidth="1"/>
    <col min="46" max="46" width="7.140625" customWidth="1"/>
    <col min="47" max="47" width="6.5703125" customWidth="1"/>
    <col min="48" max="48" width="8.42578125" customWidth="1"/>
    <col min="49" max="49" width="10" customWidth="1"/>
    <col min="50" max="50" width="9.5703125" customWidth="1"/>
    <col min="51" max="51" width="9.85546875" customWidth="1"/>
    <col min="52" max="53" width="6.140625" customWidth="1"/>
    <col min="54" max="54" width="6.28515625" customWidth="1"/>
    <col min="55" max="55" width="7.7109375" customWidth="1"/>
    <col min="56" max="56" width="10.5703125" customWidth="1"/>
    <col min="57" max="57" width="9.28515625" customWidth="1"/>
    <col min="58" max="58" width="7.140625" customWidth="1"/>
    <col min="59" max="59" width="7.7109375" customWidth="1"/>
    <col min="60" max="60" width="8" customWidth="1"/>
    <col min="61" max="61" width="9.140625" customWidth="1"/>
    <col min="62" max="62" width="11.7109375" customWidth="1"/>
    <col min="63" max="63" width="13.42578125" customWidth="1"/>
    <col min="64" max="64" width="8.28515625" customWidth="1"/>
    <col min="65" max="65" width="7.5703125" customWidth="1"/>
    <col min="66" max="66" width="9.42578125" customWidth="1"/>
    <col min="67" max="67" width="7.28515625" customWidth="1"/>
    <col min="68" max="68" width="8.28515625" customWidth="1"/>
    <col min="69" max="69" width="7.85546875" customWidth="1"/>
    <col min="71" max="71" width="1.5703125" customWidth="1"/>
    <col min="72" max="72" width="8.42578125" customWidth="1"/>
    <col min="73" max="73" width="9.28515625" customWidth="1"/>
    <col min="74" max="74" width="11.85546875" customWidth="1"/>
    <col min="75" max="75" width="9.42578125" customWidth="1"/>
    <col min="77" max="77" width="7" customWidth="1"/>
    <col min="78" max="78" width="7.7109375" customWidth="1"/>
    <col min="79" max="79" width="10.140625" customWidth="1"/>
    <col min="80" max="80" width="8" customWidth="1"/>
    <col min="81" max="81" width="8.85546875" customWidth="1"/>
    <col min="83" max="83" width="8.140625" customWidth="1"/>
    <col min="84" max="84" width="8.5703125" customWidth="1"/>
    <col min="85" max="85" width="10.42578125" customWidth="1"/>
    <col min="86" max="86" width="10.7109375" customWidth="1"/>
    <col min="87" max="87" width="11.140625" customWidth="1"/>
    <col min="88" max="88" width="11.42578125" customWidth="1"/>
    <col min="89" max="89" width="8" customWidth="1"/>
    <col min="90" max="90" width="6.7109375" customWidth="1"/>
    <col min="91" max="91" width="8.7109375" customWidth="1"/>
    <col min="92" max="92" width="10" customWidth="1"/>
    <col min="93" max="93" width="11.140625" customWidth="1"/>
  </cols>
  <sheetData>
    <row r="1" spans="1:97">
      <c r="A1" s="479" t="s">
        <v>891</v>
      </c>
      <c r="B1" s="480"/>
      <c r="C1" s="479" t="s">
        <v>1445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9"/>
      <c r="BF1" s="470" t="s">
        <v>15</v>
      </c>
      <c r="BG1" s="471"/>
      <c r="BH1" s="490" t="s">
        <v>16</v>
      </c>
      <c r="BI1" s="491"/>
      <c r="BJ1" s="491"/>
      <c r="BK1" s="491"/>
      <c r="BL1" s="492"/>
      <c r="BM1" s="455" t="s">
        <v>17</v>
      </c>
      <c r="BN1" s="456"/>
      <c r="BO1" s="461"/>
      <c r="BP1" s="475" t="s">
        <v>18</v>
      </c>
      <c r="BQ1" s="476"/>
      <c r="BR1" s="3"/>
      <c r="BS1" s="3"/>
      <c r="BT1" s="475" t="s">
        <v>19</v>
      </c>
      <c r="BU1" s="473"/>
      <c r="BV1" s="473"/>
      <c r="BW1" s="473"/>
      <c r="BX1" s="473"/>
      <c r="BY1" s="463" t="s">
        <v>20</v>
      </c>
      <c r="BZ1" s="456"/>
      <c r="CA1" s="461"/>
      <c r="CB1" s="465" t="s">
        <v>21</v>
      </c>
      <c r="CC1" s="493"/>
      <c r="CD1" s="88" t="s">
        <v>22</v>
      </c>
      <c r="CE1" s="465" t="s">
        <v>23</v>
      </c>
      <c r="CF1" s="468"/>
      <c r="CG1" s="469"/>
      <c r="CH1" s="463" t="s">
        <v>16</v>
      </c>
      <c r="CI1" s="456"/>
      <c r="CJ1" s="464"/>
      <c r="CK1" s="455" t="s">
        <v>24</v>
      </c>
      <c r="CL1" s="456"/>
      <c r="CM1" s="457" t="s">
        <v>25</v>
      </c>
      <c r="CN1" s="456"/>
      <c r="CO1" s="5"/>
      <c r="CP1" s="6" t="s">
        <v>26</v>
      </c>
      <c r="CQ1" s="7"/>
      <c r="CR1" s="8"/>
      <c r="CS1" s="9"/>
    </row>
    <row r="2" spans="1:97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104"/>
      <c r="BG2" s="100"/>
      <c r="BH2" s="489" t="s">
        <v>78</v>
      </c>
      <c r="BI2" s="480"/>
      <c r="BJ2" s="489" t="s">
        <v>354</v>
      </c>
      <c r="BK2" s="481"/>
      <c r="BL2" s="480"/>
      <c r="BM2" s="102"/>
      <c r="BN2" s="102"/>
      <c r="BO2" s="102"/>
      <c r="BP2" s="2"/>
      <c r="BQ2" s="3"/>
      <c r="BR2" s="3"/>
      <c r="BS2" s="3"/>
      <c r="BT2" s="2"/>
      <c r="BU2" s="3"/>
      <c r="BV2" s="3"/>
      <c r="BW2" s="3"/>
      <c r="BX2" s="3"/>
      <c r="BY2" s="102"/>
      <c r="BZ2" s="102"/>
      <c r="CA2" s="103"/>
      <c r="CB2" s="102"/>
      <c r="CC2" s="102"/>
      <c r="CD2" s="102"/>
      <c r="CE2" s="102"/>
      <c r="CF2" s="102"/>
      <c r="CG2" s="102"/>
      <c r="CH2" s="101"/>
      <c r="CI2" s="102"/>
      <c r="CJ2" s="102"/>
      <c r="CK2" s="100"/>
      <c r="CL2" s="102"/>
      <c r="CM2" s="96"/>
      <c r="CN2" s="105"/>
      <c r="CO2" s="105" t="s">
        <v>893</v>
      </c>
      <c r="CP2" s="106"/>
      <c r="CQ2" s="107"/>
      <c r="CR2" s="8"/>
      <c r="CS2" s="8"/>
    </row>
    <row r="3" spans="1:97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17" t="s">
        <v>894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29" t="s">
        <v>84</v>
      </c>
      <c r="BK3" s="29" t="s">
        <v>85</v>
      </c>
      <c r="BL3" s="29" t="s">
        <v>86</v>
      </c>
      <c r="BM3" s="21" t="s">
        <v>73</v>
      </c>
      <c r="BN3" s="34" t="s">
        <v>87</v>
      </c>
      <c r="BO3" s="22" t="s">
        <v>56</v>
      </c>
      <c r="BP3" s="35" t="s">
        <v>83</v>
      </c>
      <c r="BQ3" s="36" t="s">
        <v>88</v>
      </c>
      <c r="BR3" s="37" t="s">
        <v>89</v>
      </c>
      <c r="BS3" s="37"/>
      <c r="BT3" s="35" t="s">
        <v>90</v>
      </c>
      <c r="BU3" s="38" t="s">
        <v>91</v>
      </c>
      <c r="BV3" s="38" t="s">
        <v>92</v>
      </c>
      <c r="BW3" s="38" t="s">
        <v>93</v>
      </c>
      <c r="BX3" s="39" t="s">
        <v>94</v>
      </c>
      <c r="BY3" s="40" t="s">
        <v>56</v>
      </c>
      <c r="BZ3" s="40" t="s">
        <v>73</v>
      </c>
      <c r="CA3" s="41" t="s">
        <v>22</v>
      </c>
      <c r="CB3" s="40" t="s">
        <v>56</v>
      </c>
      <c r="CC3" s="29" t="s">
        <v>73</v>
      </c>
      <c r="CD3" s="29" t="s">
        <v>95</v>
      </c>
      <c r="CE3" s="29" t="s">
        <v>83</v>
      </c>
      <c r="CF3" s="29" t="s">
        <v>88</v>
      </c>
      <c r="CG3" s="29" t="s">
        <v>896</v>
      </c>
      <c r="CH3" s="20" t="s">
        <v>96</v>
      </c>
      <c r="CI3" s="42" t="s">
        <v>97</v>
      </c>
      <c r="CJ3" s="21" t="s">
        <v>98</v>
      </c>
      <c r="CK3" s="21" t="s">
        <v>73</v>
      </c>
      <c r="CL3" s="22" t="s">
        <v>56</v>
      </c>
      <c r="CM3" s="20" t="s">
        <v>99</v>
      </c>
      <c r="CN3" s="22" t="s">
        <v>56</v>
      </c>
      <c r="CO3" s="43"/>
      <c r="CP3" s="458" t="s">
        <v>100</v>
      </c>
      <c r="CQ3" s="459"/>
      <c r="CR3" s="44" t="s">
        <v>101</v>
      </c>
      <c r="CS3" s="45" t="s">
        <v>102</v>
      </c>
    </row>
    <row r="4" spans="1:97">
      <c r="A4" s="46" t="s">
        <v>1446</v>
      </c>
      <c r="B4" s="46" t="s">
        <v>1447</v>
      </c>
      <c r="C4" s="47">
        <v>29</v>
      </c>
      <c r="D4" s="46" t="s">
        <v>1448</v>
      </c>
      <c r="E4" s="46" t="s">
        <v>1449</v>
      </c>
      <c r="F4" s="46" t="s">
        <v>112</v>
      </c>
      <c r="G4" s="46">
        <v>1</v>
      </c>
      <c r="M4" s="46">
        <v>1</v>
      </c>
      <c r="R4" s="46">
        <v>1</v>
      </c>
      <c r="U4" s="46">
        <v>1</v>
      </c>
      <c r="W4" s="46">
        <v>16</v>
      </c>
      <c r="X4" s="46">
        <v>20</v>
      </c>
      <c r="Y4" s="46">
        <v>21</v>
      </c>
      <c r="Z4" s="46">
        <v>3</v>
      </c>
      <c r="AA4" s="46">
        <v>3</v>
      </c>
      <c r="AB4" s="46">
        <v>3</v>
      </c>
      <c r="AE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V4" s="46">
        <v>1</v>
      </c>
      <c r="BY4" s="46">
        <v>1</v>
      </c>
      <c r="CB4" s="46">
        <v>1</v>
      </c>
      <c r="CH4" s="113"/>
      <c r="CI4" s="113"/>
      <c r="CS4" s="50">
        <v>46419</v>
      </c>
    </row>
    <row r="5" spans="1:97">
      <c r="A5" s="46" t="s">
        <v>1450</v>
      </c>
      <c r="B5" s="46" t="s">
        <v>1451</v>
      </c>
      <c r="C5" s="47">
        <v>46</v>
      </c>
      <c r="D5" s="46" t="s">
        <v>1162</v>
      </c>
      <c r="E5" s="46" t="s">
        <v>1452</v>
      </c>
      <c r="F5" s="46" t="s">
        <v>112</v>
      </c>
      <c r="H5" s="46">
        <v>1</v>
      </c>
      <c r="O5" s="46">
        <v>1</v>
      </c>
      <c r="R5" s="46">
        <v>1</v>
      </c>
      <c r="U5" s="46">
        <v>1</v>
      </c>
      <c r="W5" s="46">
        <v>15</v>
      </c>
      <c r="X5" s="46">
        <v>25</v>
      </c>
      <c r="Y5" s="46">
        <v>34</v>
      </c>
      <c r="Z5" s="46">
        <v>3</v>
      </c>
      <c r="AA5" s="46">
        <v>2</v>
      </c>
      <c r="AB5" s="46">
        <v>2</v>
      </c>
      <c r="AG5" s="46">
        <v>1</v>
      </c>
      <c r="AH5" s="46">
        <v>1</v>
      </c>
      <c r="AI5" s="113"/>
      <c r="AJ5" s="113"/>
      <c r="AK5" s="46">
        <v>1</v>
      </c>
      <c r="AT5" s="46">
        <v>1</v>
      </c>
      <c r="AW5" s="46">
        <v>1</v>
      </c>
      <c r="BB5" s="46">
        <v>1</v>
      </c>
      <c r="BF5" s="46">
        <v>1</v>
      </c>
      <c r="BI5" s="46">
        <v>1</v>
      </c>
      <c r="BV5" s="46">
        <v>1</v>
      </c>
      <c r="BY5" s="46">
        <v>1</v>
      </c>
      <c r="CB5" s="46">
        <v>1</v>
      </c>
      <c r="CH5" s="46">
        <v>1</v>
      </c>
      <c r="CS5" s="50">
        <v>46419</v>
      </c>
    </row>
    <row r="6" spans="1:97">
      <c r="A6" s="46" t="s">
        <v>1453</v>
      </c>
      <c r="B6" s="46" t="s">
        <v>1454</v>
      </c>
      <c r="C6" s="47">
        <v>52</v>
      </c>
      <c r="D6" s="46" t="s">
        <v>1131</v>
      </c>
      <c r="E6" s="46" t="s">
        <v>1455</v>
      </c>
      <c r="F6" s="46" t="s">
        <v>112</v>
      </c>
      <c r="H6" s="46">
        <v>1</v>
      </c>
      <c r="M6" s="46">
        <v>1</v>
      </c>
      <c r="O6" s="46"/>
      <c r="Q6" s="46">
        <v>1</v>
      </c>
      <c r="R6" s="46"/>
      <c r="U6" s="46"/>
      <c r="V6" s="46">
        <v>1</v>
      </c>
      <c r="W6" s="46">
        <v>13</v>
      </c>
      <c r="X6" s="46">
        <v>21</v>
      </c>
      <c r="Y6" s="46">
        <v>25</v>
      </c>
      <c r="Z6" s="46">
        <v>4</v>
      </c>
      <c r="AA6" s="46">
        <v>4</v>
      </c>
      <c r="AB6" s="46">
        <v>4</v>
      </c>
      <c r="AC6" s="46">
        <v>1</v>
      </c>
      <c r="AG6" s="46"/>
      <c r="AH6" s="46"/>
      <c r="AI6" s="117">
        <v>1</v>
      </c>
      <c r="AJ6" s="115"/>
      <c r="AK6" s="46">
        <v>1</v>
      </c>
      <c r="AT6" s="46">
        <v>1</v>
      </c>
      <c r="AW6" s="46">
        <v>1</v>
      </c>
      <c r="BB6" s="46">
        <v>1</v>
      </c>
      <c r="BF6" s="46">
        <v>1</v>
      </c>
      <c r="BI6" s="46">
        <v>1</v>
      </c>
      <c r="BV6" s="46"/>
      <c r="BY6" s="46">
        <v>1</v>
      </c>
      <c r="CB6" s="46"/>
      <c r="CC6" s="46">
        <v>1</v>
      </c>
      <c r="CD6" s="46" t="s">
        <v>1456</v>
      </c>
      <c r="CF6" s="46">
        <v>1</v>
      </c>
      <c r="CH6" s="46">
        <v>1</v>
      </c>
      <c r="CS6" s="50">
        <v>46419</v>
      </c>
    </row>
    <row r="7" spans="1:97">
      <c r="A7" s="46" t="s">
        <v>1457</v>
      </c>
      <c r="B7" s="46" t="s">
        <v>1458</v>
      </c>
      <c r="C7" s="47">
        <v>36</v>
      </c>
      <c r="D7" s="46" t="s">
        <v>1459</v>
      </c>
      <c r="E7" s="46" t="s">
        <v>1460</v>
      </c>
      <c r="F7" s="46" t="s">
        <v>173</v>
      </c>
      <c r="J7" s="46">
        <v>1</v>
      </c>
      <c r="M7" s="46">
        <v>1</v>
      </c>
      <c r="Q7" s="46">
        <v>1</v>
      </c>
      <c r="U7" s="46">
        <v>1</v>
      </c>
      <c r="W7" s="46">
        <v>13</v>
      </c>
      <c r="X7" s="46">
        <v>20</v>
      </c>
      <c r="Y7" s="46">
        <v>24</v>
      </c>
      <c r="Z7" s="46">
        <v>4</v>
      </c>
      <c r="AA7" s="46">
        <v>2</v>
      </c>
      <c r="AB7" s="46">
        <v>2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L7" s="46">
        <v>1</v>
      </c>
      <c r="BZ7" s="46">
        <v>1</v>
      </c>
      <c r="CA7" s="50">
        <v>45292</v>
      </c>
      <c r="CB7" s="46">
        <v>1</v>
      </c>
      <c r="CH7" s="46">
        <v>1</v>
      </c>
      <c r="CS7" s="50">
        <v>46420</v>
      </c>
    </row>
    <row r="8" spans="1:97">
      <c r="A8" s="46"/>
      <c r="B8" s="46"/>
      <c r="C8" s="47"/>
      <c r="D8" s="46"/>
      <c r="E8" s="46"/>
      <c r="F8" s="46"/>
      <c r="J8" s="46"/>
      <c r="M8" s="46"/>
      <c r="Q8" s="46"/>
      <c r="U8" s="46"/>
      <c r="W8" s="46"/>
      <c r="X8" s="46"/>
      <c r="Y8" s="46"/>
      <c r="Z8" s="46"/>
      <c r="AA8" s="46"/>
      <c r="AB8" s="46"/>
      <c r="AC8" s="46"/>
      <c r="AI8" s="46"/>
      <c r="AK8" s="46"/>
      <c r="AT8" s="46"/>
      <c r="AW8" s="46"/>
      <c r="BA8" s="46"/>
      <c r="BL8" s="46"/>
      <c r="BZ8" s="46"/>
      <c r="CA8" s="50"/>
      <c r="CB8" s="46"/>
      <c r="CH8" s="46"/>
      <c r="CS8" s="50"/>
    </row>
    <row r="9" spans="1:97">
      <c r="A9" s="46"/>
      <c r="B9" s="46"/>
      <c r="C9" s="47"/>
      <c r="D9" s="46"/>
      <c r="E9" s="46"/>
      <c r="F9" s="46"/>
      <c r="J9" s="46"/>
      <c r="M9" s="46"/>
      <c r="Q9" s="46"/>
      <c r="U9" s="46"/>
      <c r="W9" s="46"/>
      <c r="X9" s="46"/>
      <c r="Y9" s="46"/>
      <c r="Z9" s="46"/>
      <c r="AA9" s="46"/>
      <c r="AB9" s="46"/>
      <c r="AC9" s="46"/>
      <c r="AI9" s="46"/>
      <c r="AK9" s="46"/>
      <c r="AT9" s="46"/>
      <c r="AW9" s="46"/>
      <c r="BA9" s="46"/>
      <c r="BL9" s="46"/>
      <c r="BZ9" s="46"/>
      <c r="CA9" s="50"/>
      <c r="CB9" s="46"/>
      <c r="CH9" s="46"/>
      <c r="CS9" s="50"/>
    </row>
    <row r="10" spans="1:97">
      <c r="A10" s="46"/>
      <c r="B10" s="46"/>
      <c r="C10" s="47"/>
      <c r="D10" s="46"/>
      <c r="E10" s="46"/>
      <c r="F10" s="46"/>
      <c r="J10" s="46"/>
      <c r="M10" s="46"/>
      <c r="Q10" s="46"/>
      <c r="U10" s="46"/>
      <c r="W10" s="46"/>
      <c r="X10" s="46"/>
      <c r="Y10" s="46"/>
      <c r="Z10" s="46"/>
      <c r="AA10" s="46"/>
      <c r="AB10" s="46"/>
      <c r="AC10" s="46"/>
      <c r="AI10" s="46"/>
      <c r="AK10" s="46"/>
      <c r="AT10" s="46"/>
      <c r="AW10" s="46"/>
      <c r="BA10" s="46"/>
      <c r="BL10" s="46"/>
      <c r="BZ10" s="46"/>
      <c r="CA10" s="50"/>
      <c r="CB10" s="46"/>
      <c r="CH10" s="46"/>
      <c r="CS10" s="50"/>
    </row>
    <row r="11" spans="1:97">
      <c r="C11" s="59"/>
    </row>
    <row r="12" spans="1:97">
      <c r="C12" s="59"/>
    </row>
    <row r="13" spans="1:97">
      <c r="C13" s="59"/>
    </row>
    <row r="14" spans="1:97">
      <c r="C14" s="59"/>
    </row>
    <row r="15" spans="1:97">
      <c r="C15" s="59"/>
    </row>
    <row r="16" spans="1:97">
      <c r="C16" s="59"/>
    </row>
    <row r="17" spans="3:3">
      <c r="C17" s="59"/>
    </row>
    <row r="18" spans="3:3">
      <c r="C18" s="59"/>
    </row>
    <row r="19" spans="3:3">
      <c r="C19" s="59"/>
    </row>
    <row r="20" spans="3:3">
      <c r="C20" s="59"/>
    </row>
    <row r="21" spans="3:3">
      <c r="C21" s="59"/>
    </row>
    <row r="22" spans="3:3">
      <c r="C22" s="59"/>
    </row>
    <row r="23" spans="3:3">
      <c r="C23" s="59"/>
    </row>
    <row r="24" spans="3:3">
      <c r="C24" s="59"/>
    </row>
    <row r="25" spans="3:3">
      <c r="C25" s="59"/>
    </row>
    <row r="26" spans="3:3">
      <c r="C26" s="59"/>
    </row>
    <row r="27" spans="3:3">
      <c r="C27" s="59"/>
    </row>
  </sheetData>
  <autoFilter ref="A3:CS7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B1:CC1"/>
    <mergeCell ref="BM1:BO1"/>
    <mergeCell ref="BP1:BQ1"/>
    <mergeCell ref="BT1:BX1"/>
    <mergeCell ref="BY1:CA1"/>
    <mergeCell ref="CE1:CG1"/>
    <mergeCell ref="CH1:CJ1"/>
    <mergeCell ref="CK1:CL1"/>
    <mergeCell ref="CM1:CN1"/>
    <mergeCell ref="CP3:CQ3"/>
    <mergeCell ref="BH2:BI2"/>
    <mergeCell ref="BJ2:BL2"/>
    <mergeCell ref="BA1:BE1"/>
    <mergeCell ref="BF1:BG1"/>
    <mergeCell ref="BH1:BL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1461</v>
      </c>
      <c r="B3" s="69"/>
      <c r="C3" s="69"/>
      <c r="D3" s="69"/>
      <c r="E3" s="69">
        <f t="shared" ref="E3:E8" si="0">SUM(B3:D3)</f>
        <v>0</v>
      </c>
      <c r="F3" s="70"/>
      <c r="G3" s="70"/>
      <c r="H3" s="70"/>
      <c r="I3" s="71">
        <f t="shared" ref="I3:I9" si="1">SUM(F3:H3)</f>
        <v>0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/>
      <c r="R3" s="71">
        <f t="shared" ref="R3:R8" si="3">SUM(O3:Q3)</f>
        <v>0</v>
      </c>
      <c r="S3" s="70"/>
      <c r="T3" s="70"/>
      <c r="U3" s="70"/>
      <c r="V3" s="70"/>
      <c r="W3" s="70"/>
      <c r="X3" s="70"/>
      <c r="Y3" s="73"/>
      <c r="Z3" s="73"/>
      <c r="AA3" s="73"/>
      <c r="AB3" s="73"/>
      <c r="AC3" s="73">
        <f t="shared" ref="AC3:AC8" si="4">SUM(Y3:AB3)</f>
        <v>0</v>
      </c>
      <c r="AD3" s="73"/>
    </row>
    <row r="4" spans="1:30">
      <c r="A4" s="74" t="s">
        <v>1462</v>
      </c>
      <c r="B4" s="69">
        <v>1</v>
      </c>
      <c r="C4" s="69"/>
      <c r="D4" s="69"/>
      <c r="E4" s="69">
        <f t="shared" si="0"/>
        <v>1</v>
      </c>
      <c r="F4" s="70"/>
      <c r="G4" s="70">
        <v>1</v>
      </c>
      <c r="H4" s="70"/>
      <c r="I4" s="71">
        <f t="shared" si="1"/>
        <v>1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1</v>
      </c>
      <c r="R4" s="71">
        <f t="shared" si="3"/>
        <v>1</v>
      </c>
      <c r="S4" s="75"/>
      <c r="T4" s="75"/>
      <c r="U4" s="75"/>
      <c r="V4" s="75"/>
      <c r="W4" s="75"/>
      <c r="X4" s="76"/>
      <c r="Y4" s="73"/>
      <c r="Z4" s="73"/>
      <c r="AA4" s="73"/>
      <c r="AB4" s="73">
        <v>1</v>
      </c>
      <c r="AC4" s="73">
        <f t="shared" si="4"/>
        <v>1</v>
      </c>
      <c r="AD4" s="73"/>
    </row>
    <row r="5" spans="1:30">
      <c r="A5" s="77" t="s">
        <v>1463</v>
      </c>
      <c r="B5" s="69">
        <v>1</v>
      </c>
      <c r="C5" s="69"/>
      <c r="D5" s="69"/>
      <c r="E5" s="69">
        <f t="shared" si="0"/>
        <v>1</v>
      </c>
      <c r="F5" s="70"/>
      <c r="G5" s="70"/>
      <c r="H5" s="70"/>
      <c r="I5" s="71">
        <f t="shared" si="1"/>
        <v>0</v>
      </c>
      <c r="J5" s="70"/>
      <c r="K5" s="70"/>
      <c r="L5" s="70"/>
      <c r="M5" s="70">
        <v>1</v>
      </c>
      <c r="N5" s="71">
        <f t="shared" si="2"/>
        <v>1</v>
      </c>
      <c r="O5" s="70"/>
      <c r="P5" s="70"/>
      <c r="Q5" s="70"/>
      <c r="R5" s="71">
        <f t="shared" si="3"/>
        <v>0</v>
      </c>
      <c r="S5" s="75"/>
      <c r="T5" s="75"/>
      <c r="U5" s="75"/>
      <c r="V5" s="75"/>
      <c r="W5" s="75"/>
      <c r="X5" s="76"/>
      <c r="Y5" s="73">
        <v>1</v>
      </c>
      <c r="Z5" s="73"/>
      <c r="AA5" s="73"/>
      <c r="AB5" s="73"/>
      <c r="AC5" s="73">
        <f t="shared" si="4"/>
        <v>1</v>
      </c>
      <c r="AD5" s="73"/>
    </row>
    <row r="6" spans="1:30">
      <c r="A6" s="77" t="s">
        <v>1171</v>
      </c>
      <c r="B6" s="69">
        <v>1</v>
      </c>
      <c r="C6" s="69"/>
      <c r="D6" s="69"/>
      <c r="E6" s="69">
        <f t="shared" si="0"/>
        <v>1</v>
      </c>
      <c r="F6" s="70"/>
      <c r="G6" s="70">
        <v>1</v>
      </c>
      <c r="H6" s="70"/>
      <c r="I6" s="71">
        <f t="shared" si="1"/>
        <v>1</v>
      </c>
      <c r="J6" s="70"/>
      <c r="K6" s="70"/>
      <c r="L6" s="70"/>
      <c r="M6" s="70"/>
      <c r="N6" s="71">
        <f t="shared" si="2"/>
        <v>0</v>
      </c>
      <c r="O6" s="70"/>
      <c r="P6" s="70"/>
      <c r="Q6" s="70">
        <v>1</v>
      </c>
      <c r="R6" s="71">
        <f t="shared" si="3"/>
        <v>1</v>
      </c>
      <c r="S6" s="75"/>
      <c r="T6" s="75"/>
      <c r="U6" s="75"/>
      <c r="V6" s="75"/>
      <c r="W6" s="75"/>
      <c r="X6" s="76"/>
      <c r="Y6" s="73">
        <v>1</v>
      </c>
      <c r="Z6" s="73"/>
      <c r="AA6" s="73"/>
      <c r="AB6" s="73"/>
      <c r="AC6" s="73">
        <f t="shared" si="4"/>
        <v>1</v>
      </c>
      <c r="AD6" s="73"/>
    </row>
    <row r="7" spans="1:30">
      <c r="A7" s="77" t="s">
        <v>1097</v>
      </c>
      <c r="B7" s="69">
        <v>1</v>
      </c>
      <c r="C7" s="69"/>
      <c r="D7" s="69"/>
      <c r="E7" s="69">
        <f t="shared" si="0"/>
        <v>1</v>
      </c>
      <c r="F7" s="70"/>
      <c r="G7" s="70">
        <v>1</v>
      </c>
      <c r="H7" s="70"/>
      <c r="I7" s="71">
        <f t="shared" si="1"/>
        <v>1</v>
      </c>
      <c r="J7" s="70"/>
      <c r="K7" s="70"/>
      <c r="L7" s="70"/>
      <c r="M7" s="70"/>
      <c r="N7" s="71">
        <f t="shared" si="2"/>
        <v>0</v>
      </c>
      <c r="O7" s="70"/>
      <c r="P7" s="70"/>
      <c r="Q7" s="70"/>
      <c r="R7" s="71">
        <f t="shared" si="3"/>
        <v>0</v>
      </c>
      <c r="S7" s="75"/>
      <c r="T7" s="75"/>
      <c r="U7" s="75"/>
      <c r="V7" s="75"/>
      <c r="W7" s="75"/>
      <c r="X7" s="76"/>
      <c r="Y7" s="73">
        <v>1</v>
      </c>
      <c r="Z7" s="73"/>
      <c r="AA7" s="73"/>
      <c r="AB7" s="73"/>
      <c r="AC7" s="73">
        <f t="shared" si="4"/>
        <v>1</v>
      </c>
      <c r="AD7" s="73"/>
    </row>
    <row r="8" spans="1:30">
      <c r="A8" s="78" t="s">
        <v>1464</v>
      </c>
      <c r="B8" s="79"/>
      <c r="C8" s="79"/>
      <c r="D8" s="79"/>
      <c r="E8" s="69">
        <f t="shared" si="0"/>
        <v>0</v>
      </c>
      <c r="F8" s="80"/>
      <c r="G8" s="80"/>
      <c r="H8" s="80"/>
      <c r="I8" s="71">
        <f t="shared" si="1"/>
        <v>0</v>
      </c>
      <c r="J8" s="80"/>
      <c r="K8" s="80"/>
      <c r="L8" s="80"/>
      <c r="M8" s="80"/>
      <c r="N8" s="71">
        <f t="shared" si="2"/>
        <v>0</v>
      </c>
      <c r="O8" s="80"/>
      <c r="P8" s="80"/>
      <c r="Q8" s="80"/>
      <c r="R8" s="71">
        <f t="shared" si="3"/>
        <v>0</v>
      </c>
      <c r="S8" s="80"/>
      <c r="T8" s="80"/>
      <c r="U8" s="80"/>
      <c r="V8" s="80"/>
      <c r="W8" s="80"/>
      <c r="X8" s="81"/>
      <c r="Y8" s="82"/>
      <c r="Z8" s="82"/>
      <c r="AA8" s="82"/>
      <c r="AB8" s="82"/>
      <c r="AC8" s="73">
        <f t="shared" si="4"/>
        <v>0</v>
      </c>
      <c r="AD8" s="82"/>
    </row>
    <row r="9" spans="1:30">
      <c r="A9" s="69" t="s">
        <v>376</v>
      </c>
      <c r="B9" s="69">
        <f t="shared" ref="B9:H9" si="5">SUM(B3:B8)</f>
        <v>4</v>
      </c>
      <c r="C9" s="69">
        <f t="shared" si="5"/>
        <v>0</v>
      </c>
      <c r="D9" s="69">
        <f t="shared" si="5"/>
        <v>0</v>
      </c>
      <c r="E9" s="69">
        <f t="shared" si="5"/>
        <v>4</v>
      </c>
      <c r="F9" s="69">
        <f t="shared" si="5"/>
        <v>0</v>
      </c>
      <c r="G9" s="69">
        <f t="shared" si="5"/>
        <v>3</v>
      </c>
      <c r="H9" s="69">
        <f t="shared" si="5"/>
        <v>0</v>
      </c>
      <c r="I9" s="71">
        <f t="shared" si="1"/>
        <v>3</v>
      </c>
      <c r="J9" s="114">
        <f>SUM(J3:J8)</f>
        <v>0</v>
      </c>
      <c r="K9" s="114">
        <f>SUM(K3:K8)</f>
        <v>0</v>
      </c>
      <c r="L9" s="114">
        <f>SUM(L3:L8)</f>
        <v>0</v>
      </c>
      <c r="M9" s="114">
        <f>SUM(M3:M8)</f>
        <v>1</v>
      </c>
      <c r="N9" s="71">
        <f t="shared" si="2"/>
        <v>1</v>
      </c>
      <c r="O9" s="114">
        <f t="shared" ref="O9:AC9" si="6">SUM(O3:O8)</f>
        <v>0</v>
      </c>
      <c r="P9" s="114">
        <f t="shared" si="6"/>
        <v>0</v>
      </c>
      <c r="Q9" s="114">
        <f t="shared" si="6"/>
        <v>2</v>
      </c>
      <c r="R9" s="71">
        <f t="shared" si="6"/>
        <v>2</v>
      </c>
      <c r="S9" s="114">
        <f t="shared" si="6"/>
        <v>0</v>
      </c>
      <c r="T9" s="114">
        <f t="shared" si="6"/>
        <v>0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73">
        <f t="shared" si="6"/>
        <v>3</v>
      </c>
      <c r="Z9" s="73">
        <f t="shared" si="6"/>
        <v>0</v>
      </c>
      <c r="AA9" s="73">
        <f t="shared" si="6"/>
        <v>0</v>
      </c>
      <c r="AB9" s="73">
        <f t="shared" si="6"/>
        <v>1</v>
      </c>
      <c r="AC9" s="73">
        <f t="shared" si="6"/>
        <v>4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V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2" width="10" customWidth="1"/>
    <col min="3" max="3" width="19.140625" customWidth="1"/>
    <col min="4" max="4" width="7.28515625" customWidth="1"/>
    <col min="7" max="7" width="12.140625" customWidth="1"/>
    <col min="8" max="8" width="7.42578125" customWidth="1"/>
    <col min="9" max="9" width="8.140625" customWidth="1"/>
    <col min="10" max="10" width="8.28515625" customWidth="1"/>
    <col min="11" max="11" width="9.7109375" customWidth="1"/>
    <col min="12" max="12" width="9.140625" customWidth="1"/>
    <col min="13" max="13" width="7.5703125" customWidth="1"/>
    <col min="14" max="14" width="7.85546875" customWidth="1"/>
    <col min="15" max="15" width="8.5703125" customWidth="1"/>
    <col min="16" max="16" width="6.5703125" customWidth="1"/>
    <col min="17" max="17" width="8.7109375" customWidth="1"/>
    <col min="18" max="18" width="9.42578125" customWidth="1"/>
    <col min="19" max="19" width="8.5703125" customWidth="1"/>
    <col min="20" max="20" width="9.140625" customWidth="1"/>
    <col min="21" max="21" width="8.42578125" customWidth="1"/>
    <col min="22" max="22" width="6.85546875" customWidth="1"/>
    <col min="23" max="23" width="7.42578125" customWidth="1"/>
    <col min="24" max="24" width="9" customWidth="1"/>
    <col min="25" max="25" width="10.85546875" customWidth="1"/>
    <col min="26" max="26" width="10.28515625" customWidth="1"/>
    <col min="27" max="27" width="8.140625" customWidth="1"/>
    <col min="28" max="28" width="10.42578125" customWidth="1"/>
    <col min="29" max="29" width="9.140625" customWidth="1"/>
    <col min="30" max="30" width="7.42578125" customWidth="1"/>
    <col min="31" max="31" width="8.85546875" customWidth="1"/>
    <col min="32" max="32" width="9.42578125" customWidth="1"/>
    <col min="33" max="34" width="10.28515625" customWidth="1"/>
    <col min="35" max="35" width="7.7109375" customWidth="1"/>
    <col min="36" max="36" width="7.140625" customWidth="1"/>
    <col min="37" max="38" width="7.7109375" customWidth="1"/>
    <col min="39" max="39" width="8.140625" customWidth="1"/>
    <col min="40" max="40" width="12.140625" customWidth="1"/>
    <col min="41" max="41" width="10" customWidth="1"/>
    <col min="42" max="42" width="9.7109375" customWidth="1"/>
    <col min="43" max="43" width="11" customWidth="1"/>
    <col min="44" max="44" width="11.42578125" customWidth="1"/>
    <col min="45" max="45" width="12.5703125" customWidth="1"/>
    <col min="46" max="46" width="11.5703125" customWidth="1"/>
    <col min="47" max="47" width="8" customWidth="1"/>
    <col min="48" max="48" width="9.85546875" customWidth="1"/>
    <col min="49" max="49" width="9" customWidth="1"/>
    <col min="50" max="51" width="10.85546875" customWidth="1"/>
    <col min="52" max="52" width="11.5703125" customWidth="1"/>
    <col min="53" max="53" width="6.7109375" customWidth="1"/>
    <col min="54" max="54" width="6.85546875" customWidth="1"/>
    <col min="55" max="55" width="7.140625" customWidth="1"/>
    <col min="56" max="56" width="7.85546875" customWidth="1"/>
    <col min="57" max="57" width="11.28515625" customWidth="1"/>
    <col min="58" max="58" width="8.85546875" customWidth="1"/>
    <col min="59" max="59" width="9.28515625" customWidth="1"/>
    <col min="60" max="60" width="10.28515625" customWidth="1"/>
    <col min="61" max="61" width="8.42578125" customWidth="1"/>
    <col min="62" max="62" width="9.42578125" customWidth="1"/>
    <col min="63" max="63" width="11.28515625" customWidth="1"/>
    <col min="64" max="64" width="12.7109375" customWidth="1"/>
    <col min="65" max="65" width="13.28515625" customWidth="1"/>
    <col min="66" max="66" width="10.140625" customWidth="1"/>
    <col min="67" max="67" width="7.28515625" customWidth="1"/>
    <col min="68" max="68" width="10.5703125" customWidth="1"/>
    <col min="69" max="70" width="7.85546875" customWidth="1"/>
    <col min="71" max="71" width="8.85546875" customWidth="1"/>
    <col min="72" max="72" width="12.7109375" customWidth="1"/>
    <col min="73" max="73" width="1.85546875" customWidth="1"/>
    <col min="74" max="74" width="8" customWidth="1"/>
    <col min="75" max="75" width="11.42578125" customWidth="1"/>
    <col min="76" max="76" width="13" customWidth="1"/>
    <col min="77" max="77" width="11" customWidth="1"/>
    <col min="78" max="78" width="12.42578125" customWidth="1"/>
    <col min="79" max="79" width="7.85546875" customWidth="1"/>
    <col min="80" max="80" width="8.7109375" customWidth="1"/>
    <col min="81" max="81" width="11.7109375" customWidth="1"/>
    <col min="82" max="82" width="11.140625" customWidth="1"/>
    <col min="83" max="83" width="12.85546875" customWidth="1"/>
    <col min="84" max="84" width="12.140625" customWidth="1"/>
    <col min="85" max="85" width="9.140625" customWidth="1"/>
    <col min="86" max="86" width="9.5703125" customWidth="1"/>
    <col min="87" max="88" width="9" customWidth="1"/>
    <col min="89" max="89" width="10.42578125" customWidth="1"/>
    <col min="90" max="90" width="9.85546875" customWidth="1"/>
    <col min="91" max="91" width="9.28515625" customWidth="1"/>
    <col min="92" max="93" width="8.140625" customWidth="1"/>
    <col min="94" max="94" width="9.85546875" customWidth="1"/>
    <col min="95" max="95" width="10" customWidth="1"/>
    <col min="98" max="98" width="11" customWidth="1"/>
    <col min="99" max="99" width="11.28515625" customWidth="1"/>
  </cols>
  <sheetData>
    <row r="1" spans="1:100">
      <c r="A1" s="131"/>
      <c r="B1" s="479" t="s">
        <v>1465</v>
      </c>
      <c r="C1" s="480"/>
      <c r="D1" s="479" t="s">
        <v>1466</v>
      </c>
      <c r="E1" s="481"/>
      <c r="F1" s="480"/>
      <c r="G1" s="1"/>
      <c r="H1" s="482" t="s">
        <v>2</v>
      </c>
      <c r="I1" s="468"/>
      <c r="J1" s="468"/>
      <c r="K1" s="468"/>
      <c r="L1" s="469"/>
      <c r="M1" s="462" t="s">
        <v>3</v>
      </c>
      <c r="N1" s="456"/>
      <c r="O1" s="456"/>
      <c r="P1" s="456"/>
      <c r="Q1" s="461"/>
      <c r="R1" s="483" t="s">
        <v>4</v>
      </c>
      <c r="S1" s="461"/>
      <c r="T1" s="462" t="s">
        <v>5</v>
      </c>
      <c r="U1" s="456"/>
      <c r="V1" s="456"/>
      <c r="W1" s="461"/>
      <c r="X1" s="463" t="s">
        <v>6</v>
      </c>
      <c r="Y1" s="456"/>
      <c r="Z1" s="456"/>
      <c r="AA1" s="456"/>
      <c r="AB1" s="456"/>
      <c r="AC1" s="464"/>
      <c r="AD1" s="460" t="s">
        <v>7</v>
      </c>
      <c r="AE1" s="456"/>
      <c r="AF1" s="456"/>
      <c r="AG1" s="456"/>
      <c r="AH1" s="456"/>
      <c r="AI1" s="461"/>
      <c r="AJ1" s="463" t="s">
        <v>8</v>
      </c>
      <c r="AK1" s="461"/>
      <c r="AL1" s="462" t="s">
        <v>9</v>
      </c>
      <c r="AM1" s="456"/>
      <c r="AN1" s="461"/>
      <c r="AO1" s="460" t="s">
        <v>10</v>
      </c>
      <c r="AP1" s="456"/>
      <c r="AQ1" s="461"/>
      <c r="AR1" s="462" t="s">
        <v>11</v>
      </c>
      <c r="AS1" s="456"/>
      <c r="AT1" s="456"/>
      <c r="AU1" s="463" t="s">
        <v>12</v>
      </c>
      <c r="AV1" s="464"/>
      <c r="AW1" s="460" t="s">
        <v>13</v>
      </c>
      <c r="AX1" s="456"/>
      <c r="AY1" s="456"/>
      <c r="AZ1" s="456"/>
      <c r="BA1" s="461"/>
      <c r="BB1" s="467" t="s">
        <v>14</v>
      </c>
      <c r="BC1" s="468"/>
      <c r="BD1" s="468"/>
      <c r="BE1" s="468"/>
      <c r="BF1" s="468"/>
      <c r="BG1" s="468"/>
      <c r="BH1" s="469"/>
      <c r="BI1" s="490" t="s">
        <v>16</v>
      </c>
      <c r="BJ1" s="491"/>
      <c r="BK1" s="491"/>
      <c r="BL1" s="491"/>
      <c r="BM1" s="491"/>
      <c r="BN1" s="492"/>
      <c r="BO1" s="455" t="s">
        <v>17</v>
      </c>
      <c r="BP1" s="456"/>
      <c r="BQ1" s="461"/>
      <c r="BR1" s="475" t="s">
        <v>18</v>
      </c>
      <c r="BS1" s="476"/>
      <c r="BT1" s="3"/>
      <c r="BU1" s="3"/>
      <c r="BV1" s="475" t="s">
        <v>19</v>
      </c>
      <c r="BW1" s="473"/>
      <c r="BX1" s="473"/>
      <c r="BY1" s="473"/>
      <c r="BZ1" s="473"/>
      <c r="CA1" s="463" t="s">
        <v>20</v>
      </c>
      <c r="CB1" s="456"/>
      <c r="CC1" s="461"/>
      <c r="CD1" s="465" t="s">
        <v>21</v>
      </c>
      <c r="CE1" s="466"/>
      <c r="CF1" s="4" t="s">
        <v>22</v>
      </c>
      <c r="CG1" s="465" t="s">
        <v>23</v>
      </c>
      <c r="CH1" s="468"/>
      <c r="CI1" s="469"/>
      <c r="CJ1" s="463" t="s">
        <v>16</v>
      </c>
      <c r="CK1" s="456"/>
      <c r="CL1" s="464"/>
      <c r="CM1" s="124"/>
      <c r="CN1" s="455" t="s">
        <v>24</v>
      </c>
      <c r="CO1" s="456"/>
      <c r="CP1" s="457" t="s">
        <v>25</v>
      </c>
      <c r="CQ1" s="456"/>
      <c r="CR1" s="5"/>
      <c r="CS1" s="6" t="s">
        <v>26</v>
      </c>
      <c r="CT1" s="7"/>
      <c r="CU1" s="8"/>
      <c r="CV1" s="9"/>
    </row>
    <row r="2" spans="1:100">
      <c r="A2" s="132"/>
      <c r="B2" s="89"/>
      <c r="C2" s="10"/>
      <c r="D2" s="10"/>
      <c r="E2" s="10"/>
      <c r="F2" s="10"/>
      <c r="G2" s="11"/>
      <c r="H2" s="90"/>
      <c r="I2" s="91"/>
      <c r="J2" s="91"/>
      <c r="K2" s="91"/>
      <c r="L2" s="92"/>
      <c r="M2" s="93"/>
      <c r="N2" s="94"/>
      <c r="O2" s="94"/>
      <c r="P2" s="94"/>
      <c r="Q2" s="95"/>
      <c r="R2" s="96"/>
      <c r="S2" s="97"/>
      <c r="T2" s="93"/>
      <c r="U2" s="94"/>
      <c r="V2" s="94"/>
      <c r="W2" s="94"/>
      <c r="X2" s="98"/>
      <c r="Y2" s="99"/>
      <c r="Z2" s="99"/>
      <c r="AA2" s="99"/>
      <c r="AB2" s="99"/>
      <c r="AC2" s="100"/>
      <c r="AD2" s="101"/>
      <c r="AE2" s="102"/>
      <c r="AF2" s="102"/>
      <c r="AG2" s="102"/>
      <c r="AH2" s="102"/>
      <c r="AI2" s="103"/>
      <c r="AJ2" s="101"/>
      <c r="AK2" s="103"/>
      <c r="AL2" s="93"/>
      <c r="AM2" s="94"/>
      <c r="AN2" s="95"/>
      <c r="AO2" s="101"/>
      <c r="AP2" s="102"/>
      <c r="AQ2" s="103"/>
      <c r="AR2" s="93"/>
      <c r="AS2" s="94"/>
      <c r="AT2" s="94"/>
      <c r="AU2" s="98"/>
      <c r="AV2" s="100"/>
      <c r="AW2" s="101"/>
      <c r="AX2" s="102"/>
      <c r="AY2" s="102"/>
      <c r="AZ2" s="102"/>
      <c r="BA2" s="103"/>
      <c r="BB2" s="102"/>
      <c r="BC2" s="102"/>
      <c r="BD2" s="102"/>
      <c r="BE2" s="102"/>
      <c r="BF2" s="103"/>
      <c r="BG2" s="496" t="s">
        <v>15</v>
      </c>
      <c r="BH2" s="495"/>
      <c r="BI2" s="489" t="s">
        <v>78</v>
      </c>
      <c r="BJ2" s="480"/>
      <c r="BK2" s="502" t="s">
        <v>354</v>
      </c>
      <c r="BL2" s="481"/>
      <c r="BM2" s="481"/>
      <c r="BN2" s="480"/>
      <c r="BO2" s="102"/>
      <c r="BP2" s="102"/>
      <c r="BQ2" s="102"/>
      <c r="BR2" s="2"/>
      <c r="BS2" s="3"/>
      <c r="BT2" s="3"/>
      <c r="BU2" s="3"/>
      <c r="BV2" s="2"/>
      <c r="BW2" s="3"/>
      <c r="BX2" s="3"/>
      <c r="BY2" s="3"/>
      <c r="BZ2" s="3"/>
      <c r="CA2" s="102"/>
      <c r="CB2" s="102"/>
      <c r="CC2" s="103"/>
      <c r="CD2" s="102"/>
      <c r="CE2" s="102"/>
      <c r="CF2" s="102"/>
      <c r="CG2" s="102"/>
      <c r="CH2" s="102"/>
      <c r="CI2" s="102"/>
      <c r="CJ2" s="101"/>
      <c r="CK2" s="102"/>
      <c r="CL2" s="102"/>
      <c r="CM2" s="102"/>
      <c r="CN2" s="100"/>
      <c r="CO2" s="102"/>
      <c r="CP2" s="96"/>
      <c r="CQ2" s="105"/>
      <c r="CR2" s="105" t="s">
        <v>893</v>
      </c>
      <c r="CS2" s="106"/>
      <c r="CT2" s="107"/>
      <c r="CU2" s="8"/>
      <c r="CV2" s="8"/>
    </row>
    <row r="3" spans="1:100">
      <c r="A3" s="8"/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1" t="s">
        <v>33</v>
      </c>
      <c r="H3" s="12" t="s">
        <v>34</v>
      </c>
      <c r="I3" s="13" t="s">
        <v>35</v>
      </c>
      <c r="J3" s="13" t="s">
        <v>36</v>
      </c>
      <c r="K3" s="14" t="s">
        <v>37</v>
      </c>
      <c r="L3" s="15" t="s">
        <v>38</v>
      </c>
      <c r="M3" s="16" t="s">
        <v>39</v>
      </c>
      <c r="N3" s="10" t="s">
        <v>40</v>
      </c>
      <c r="O3" s="10" t="s">
        <v>41</v>
      </c>
      <c r="P3" s="10" t="s">
        <v>42</v>
      </c>
      <c r="Q3" s="17" t="s">
        <v>43</v>
      </c>
      <c r="R3" s="18" t="s">
        <v>44</v>
      </c>
      <c r="S3" s="19" t="s">
        <v>45</v>
      </c>
      <c r="T3" s="16" t="s">
        <v>46</v>
      </c>
      <c r="U3" s="10" t="s">
        <v>47</v>
      </c>
      <c r="V3" s="10" t="s">
        <v>48</v>
      </c>
      <c r="W3" s="11" t="s">
        <v>49</v>
      </c>
      <c r="X3" s="20" t="s">
        <v>50</v>
      </c>
      <c r="Y3" s="21" t="s">
        <v>51</v>
      </c>
      <c r="Z3" s="21" t="s">
        <v>52</v>
      </c>
      <c r="AA3" s="21" t="s">
        <v>53</v>
      </c>
      <c r="AB3" s="21" t="s">
        <v>54</v>
      </c>
      <c r="AC3" s="22" t="s">
        <v>55</v>
      </c>
      <c r="AD3" s="20" t="s">
        <v>56</v>
      </c>
      <c r="AE3" s="21" t="s">
        <v>57</v>
      </c>
      <c r="AF3" s="21" t="s">
        <v>58</v>
      </c>
      <c r="AG3" s="21" t="s">
        <v>59</v>
      </c>
      <c r="AH3" s="21" t="s">
        <v>60</v>
      </c>
      <c r="AI3" s="23" t="s">
        <v>61</v>
      </c>
      <c r="AJ3" s="24" t="s">
        <v>62</v>
      </c>
      <c r="AK3" s="25" t="s">
        <v>63</v>
      </c>
      <c r="AL3" s="16" t="s">
        <v>64</v>
      </c>
      <c r="AM3" s="10" t="s">
        <v>65</v>
      </c>
      <c r="AN3" s="26" t="s">
        <v>66</v>
      </c>
      <c r="AO3" s="20" t="s">
        <v>67</v>
      </c>
      <c r="AP3" s="21" t="s">
        <v>68</v>
      </c>
      <c r="AQ3" s="23" t="s">
        <v>69</v>
      </c>
      <c r="AR3" s="20" t="s">
        <v>70</v>
      </c>
      <c r="AS3" s="21" t="s">
        <v>71</v>
      </c>
      <c r="AT3" s="22" t="s">
        <v>72</v>
      </c>
      <c r="AU3" s="20" t="s">
        <v>56</v>
      </c>
      <c r="AV3" s="22" t="s">
        <v>73</v>
      </c>
      <c r="AW3" s="20" t="s">
        <v>46</v>
      </c>
      <c r="AX3" s="42" t="s">
        <v>895</v>
      </c>
      <c r="AY3" s="27" t="s">
        <v>75</v>
      </c>
      <c r="AZ3" s="27" t="s">
        <v>76</v>
      </c>
      <c r="BA3" s="23" t="s">
        <v>77</v>
      </c>
      <c r="BB3" s="28" t="s">
        <v>56</v>
      </c>
      <c r="BC3" s="29" t="s">
        <v>78</v>
      </c>
      <c r="BD3" s="29" t="s">
        <v>79</v>
      </c>
      <c r="BE3" s="29" t="s">
        <v>80</v>
      </c>
      <c r="BF3" s="30" t="s">
        <v>38</v>
      </c>
      <c r="BG3" s="31" t="s">
        <v>81</v>
      </c>
      <c r="BH3" s="32" t="s">
        <v>82</v>
      </c>
      <c r="BI3" s="33" t="s">
        <v>83</v>
      </c>
      <c r="BJ3" s="29" t="s">
        <v>81</v>
      </c>
      <c r="BK3" s="111" t="s">
        <v>96</v>
      </c>
      <c r="BL3" s="29" t="s">
        <v>84</v>
      </c>
      <c r="BM3" s="29" t="s">
        <v>85</v>
      </c>
      <c r="BN3" s="29" t="s">
        <v>86</v>
      </c>
      <c r="BO3" s="21" t="s">
        <v>73</v>
      </c>
      <c r="BP3" s="34" t="s">
        <v>87</v>
      </c>
      <c r="BQ3" s="22" t="s">
        <v>56</v>
      </c>
      <c r="BR3" s="35" t="s">
        <v>83</v>
      </c>
      <c r="BS3" s="36" t="s">
        <v>88</v>
      </c>
      <c r="BT3" s="37" t="s">
        <v>89</v>
      </c>
      <c r="BU3" s="37"/>
      <c r="BV3" s="35" t="s">
        <v>90</v>
      </c>
      <c r="BW3" s="38" t="s">
        <v>91</v>
      </c>
      <c r="BX3" s="38" t="s">
        <v>92</v>
      </c>
      <c r="BY3" s="38" t="s">
        <v>93</v>
      </c>
      <c r="BZ3" s="39" t="s">
        <v>94</v>
      </c>
      <c r="CA3" s="40" t="s">
        <v>56</v>
      </c>
      <c r="CB3" s="40" t="s">
        <v>73</v>
      </c>
      <c r="CC3" s="41" t="s">
        <v>22</v>
      </c>
      <c r="CD3" s="40" t="s">
        <v>56</v>
      </c>
      <c r="CE3" s="29" t="s">
        <v>73</v>
      </c>
      <c r="CF3" s="111" t="s">
        <v>1275</v>
      </c>
      <c r="CG3" s="29" t="s">
        <v>83</v>
      </c>
      <c r="CH3" s="29" t="s">
        <v>88</v>
      </c>
      <c r="CI3" s="29" t="s">
        <v>896</v>
      </c>
      <c r="CJ3" s="126" t="s">
        <v>96</v>
      </c>
      <c r="CK3" s="127" t="s">
        <v>97</v>
      </c>
      <c r="CL3" s="128" t="s">
        <v>98</v>
      </c>
      <c r="CM3" s="127" t="s">
        <v>1276</v>
      </c>
      <c r="CN3" s="21" t="s">
        <v>73</v>
      </c>
      <c r="CO3" s="22" t="s">
        <v>56</v>
      </c>
      <c r="CP3" s="20" t="s">
        <v>99</v>
      </c>
      <c r="CQ3" s="22" t="s">
        <v>56</v>
      </c>
      <c r="CR3" s="43"/>
      <c r="CS3" s="458" t="s">
        <v>100</v>
      </c>
      <c r="CT3" s="459"/>
      <c r="CU3" s="133" t="s">
        <v>101</v>
      </c>
      <c r="CV3" s="45" t="s">
        <v>102</v>
      </c>
    </row>
    <row r="4" spans="1:100">
      <c r="A4" s="46">
        <v>1</v>
      </c>
      <c r="B4" s="46" t="s">
        <v>1467</v>
      </c>
      <c r="C4" s="46" t="s">
        <v>1468</v>
      </c>
      <c r="D4" s="46">
        <v>49</v>
      </c>
      <c r="E4" s="46" t="s">
        <v>1469</v>
      </c>
      <c r="F4" s="46" t="s">
        <v>191</v>
      </c>
      <c r="G4" s="46" t="s">
        <v>112</v>
      </c>
      <c r="I4" s="46">
        <v>1</v>
      </c>
      <c r="N4" s="46">
        <v>1</v>
      </c>
      <c r="R4" s="46">
        <v>1</v>
      </c>
      <c r="T4" s="46">
        <v>1</v>
      </c>
      <c r="X4" s="46">
        <v>15</v>
      </c>
      <c r="Y4" s="46">
        <v>18</v>
      </c>
      <c r="Z4" s="46">
        <v>20</v>
      </c>
      <c r="AA4" s="46">
        <v>11</v>
      </c>
      <c r="AB4" s="46">
        <v>11</v>
      </c>
      <c r="AC4" s="46">
        <v>11</v>
      </c>
      <c r="AE4" s="46">
        <v>1</v>
      </c>
      <c r="AF4" s="46">
        <v>1</v>
      </c>
      <c r="AH4" s="46">
        <v>1</v>
      </c>
      <c r="AI4" s="46">
        <v>1</v>
      </c>
      <c r="AJ4" s="46">
        <v>1</v>
      </c>
      <c r="AL4" s="46">
        <v>1</v>
      </c>
      <c r="AU4" s="46">
        <v>1</v>
      </c>
      <c r="AX4" s="46">
        <v>1</v>
      </c>
      <c r="BB4" s="46">
        <v>1</v>
      </c>
      <c r="BJ4" s="46">
        <v>1</v>
      </c>
      <c r="CA4" s="46">
        <v>1</v>
      </c>
      <c r="CD4" s="46">
        <v>1</v>
      </c>
      <c r="CJ4" s="46">
        <v>1</v>
      </c>
      <c r="CV4" s="50">
        <v>46447</v>
      </c>
    </row>
    <row r="5" spans="1:100">
      <c r="A5" s="46">
        <f t="shared" ref="A5:A56" si="0">A4+1</f>
        <v>2</v>
      </c>
      <c r="B5" s="46" t="s">
        <v>1470</v>
      </c>
      <c r="C5" s="46" t="s">
        <v>1471</v>
      </c>
      <c r="D5" s="46">
        <v>36</v>
      </c>
      <c r="E5" s="46" t="s">
        <v>1472</v>
      </c>
      <c r="F5" s="46" t="s">
        <v>1473</v>
      </c>
      <c r="G5" s="46" t="s">
        <v>112</v>
      </c>
      <c r="I5" s="46">
        <v>1</v>
      </c>
      <c r="N5" s="46">
        <v>1</v>
      </c>
      <c r="R5" s="46">
        <v>1</v>
      </c>
      <c r="U5" s="46">
        <v>1</v>
      </c>
      <c r="X5" s="46">
        <v>15</v>
      </c>
      <c r="Y5" s="46">
        <v>20</v>
      </c>
      <c r="Z5" s="46">
        <v>20</v>
      </c>
      <c r="AA5" s="46">
        <v>6</v>
      </c>
      <c r="AB5" s="46">
        <v>6</v>
      </c>
      <c r="AC5" s="46">
        <v>6</v>
      </c>
      <c r="AG5" s="46">
        <v>1</v>
      </c>
      <c r="AI5" s="46">
        <v>1</v>
      </c>
      <c r="AJ5" s="46">
        <v>1</v>
      </c>
      <c r="AL5" s="46">
        <v>1</v>
      </c>
      <c r="AU5" s="46">
        <v>1</v>
      </c>
      <c r="AX5" s="46">
        <v>1</v>
      </c>
      <c r="BB5" s="46">
        <v>1</v>
      </c>
      <c r="BJ5" s="46">
        <v>1</v>
      </c>
      <c r="CA5" s="46">
        <v>1</v>
      </c>
      <c r="CD5" s="46">
        <v>1</v>
      </c>
      <c r="CJ5" s="46">
        <v>1</v>
      </c>
      <c r="CV5" s="50">
        <v>46448</v>
      </c>
    </row>
    <row r="6" spans="1:100">
      <c r="A6" s="46">
        <f t="shared" si="0"/>
        <v>3</v>
      </c>
      <c r="B6" s="46" t="s">
        <v>1474</v>
      </c>
      <c r="C6" s="46" t="s">
        <v>1475</v>
      </c>
      <c r="D6" s="46">
        <v>70</v>
      </c>
      <c r="E6" s="46" t="s">
        <v>1472</v>
      </c>
      <c r="F6" s="46" t="s">
        <v>1473</v>
      </c>
      <c r="G6" s="46" t="s">
        <v>112</v>
      </c>
      <c r="I6" s="46">
        <v>1</v>
      </c>
      <c r="N6" s="46">
        <v>1</v>
      </c>
      <c r="R6" s="46">
        <v>1</v>
      </c>
      <c r="T6" s="46">
        <v>1</v>
      </c>
      <c r="X6" s="46">
        <v>13</v>
      </c>
      <c r="Y6" s="46">
        <v>20</v>
      </c>
      <c r="Z6" s="46">
        <v>25</v>
      </c>
      <c r="AA6" s="46">
        <v>15</v>
      </c>
      <c r="AB6" s="46">
        <v>15</v>
      </c>
      <c r="AC6" s="46">
        <v>9</v>
      </c>
      <c r="AF6" s="46">
        <v>1</v>
      </c>
      <c r="AI6" s="46">
        <v>1</v>
      </c>
      <c r="AJ6" s="46">
        <v>1</v>
      </c>
      <c r="AL6" s="46">
        <v>1</v>
      </c>
      <c r="AU6" s="46">
        <v>1</v>
      </c>
      <c r="AX6" s="46">
        <v>1</v>
      </c>
      <c r="BC6" s="46">
        <v>1</v>
      </c>
      <c r="BG6" s="46">
        <v>1</v>
      </c>
      <c r="BK6" s="46">
        <v>1</v>
      </c>
      <c r="BX6" s="46">
        <v>1</v>
      </c>
      <c r="CA6" s="46">
        <v>1</v>
      </c>
      <c r="CE6" s="46">
        <v>1</v>
      </c>
      <c r="CF6" s="46" t="s">
        <v>252</v>
      </c>
      <c r="CJ6" s="46">
        <v>1</v>
      </c>
      <c r="CV6" s="50">
        <v>46449</v>
      </c>
    </row>
    <row r="7" spans="1:100">
      <c r="A7" s="46">
        <f t="shared" si="0"/>
        <v>4</v>
      </c>
      <c r="B7" s="46" t="s">
        <v>1476</v>
      </c>
      <c r="C7" s="46" t="s">
        <v>1477</v>
      </c>
      <c r="D7" s="46">
        <v>27</v>
      </c>
      <c r="E7" s="46" t="s">
        <v>1469</v>
      </c>
      <c r="F7" s="46" t="s">
        <v>1478</v>
      </c>
      <c r="G7" s="46" t="s">
        <v>112</v>
      </c>
      <c r="I7" s="46">
        <v>1</v>
      </c>
      <c r="N7" s="46">
        <v>1</v>
      </c>
      <c r="R7" s="46">
        <v>1</v>
      </c>
      <c r="U7" s="46">
        <v>1</v>
      </c>
      <c r="X7" s="46">
        <v>18</v>
      </c>
      <c r="Y7" s="46">
        <v>21</v>
      </c>
      <c r="Z7" s="46">
        <v>21</v>
      </c>
      <c r="AA7" s="46">
        <v>2</v>
      </c>
      <c r="AB7" s="46">
        <v>2</v>
      </c>
      <c r="AC7" s="46">
        <v>2</v>
      </c>
      <c r="AE7" s="46">
        <v>1</v>
      </c>
      <c r="AH7" s="46">
        <v>1</v>
      </c>
      <c r="AI7" s="46">
        <v>1</v>
      </c>
      <c r="AJ7" s="46">
        <v>1</v>
      </c>
      <c r="AL7" s="46">
        <v>1</v>
      </c>
      <c r="AU7" s="46">
        <v>1</v>
      </c>
      <c r="AX7" s="46">
        <v>1</v>
      </c>
      <c r="BB7" s="46">
        <v>1</v>
      </c>
      <c r="BJ7" s="46">
        <v>1</v>
      </c>
      <c r="CA7" s="46">
        <v>1</v>
      </c>
      <c r="CD7" s="46">
        <v>1</v>
      </c>
      <c r="CJ7" s="46">
        <v>1</v>
      </c>
      <c r="CV7" s="50">
        <v>46450</v>
      </c>
    </row>
    <row r="8" spans="1:100">
      <c r="A8" s="46">
        <f t="shared" si="0"/>
        <v>5</v>
      </c>
      <c r="B8" s="46" t="s">
        <v>1479</v>
      </c>
      <c r="C8" s="46" t="s">
        <v>1480</v>
      </c>
      <c r="D8" s="46">
        <v>30</v>
      </c>
      <c r="E8" s="46" t="s">
        <v>1481</v>
      </c>
      <c r="F8" s="46" t="s">
        <v>191</v>
      </c>
      <c r="G8" s="46" t="s">
        <v>112</v>
      </c>
      <c r="H8" s="46">
        <v>1</v>
      </c>
      <c r="N8" s="46">
        <v>1</v>
      </c>
      <c r="R8" s="46">
        <v>1</v>
      </c>
      <c r="U8" s="46">
        <v>1</v>
      </c>
      <c r="X8" s="46">
        <v>13</v>
      </c>
      <c r="Y8" s="46">
        <v>19</v>
      </c>
      <c r="Z8" s="46">
        <v>20</v>
      </c>
      <c r="AA8" s="46">
        <v>8</v>
      </c>
      <c r="AB8" s="46">
        <v>8</v>
      </c>
      <c r="AC8" s="46">
        <v>8</v>
      </c>
      <c r="AF8" s="46">
        <v>1</v>
      </c>
      <c r="AJ8" s="46">
        <v>1</v>
      </c>
      <c r="AL8" s="46">
        <v>1</v>
      </c>
      <c r="AU8" s="46">
        <v>1</v>
      </c>
      <c r="AX8" s="46">
        <v>1</v>
      </c>
      <c r="BC8" s="46">
        <v>1</v>
      </c>
      <c r="BG8" s="46">
        <v>1</v>
      </c>
      <c r="BJ8" s="46">
        <v>1</v>
      </c>
      <c r="CA8" s="46">
        <v>1</v>
      </c>
      <c r="CD8" s="46">
        <v>1</v>
      </c>
      <c r="CJ8" s="46">
        <v>1</v>
      </c>
      <c r="CV8" s="50">
        <v>46451</v>
      </c>
    </row>
    <row r="9" spans="1:100">
      <c r="A9" s="46">
        <f t="shared" si="0"/>
        <v>6</v>
      </c>
      <c r="B9" s="46" t="s">
        <v>1482</v>
      </c>
      <c r="C9" s="46" t="s">
        <v>1483</v>
      </c>
      <c r="D9" s="46">
        <v>42</v>
      </c>
      <c r="E9" s="46" t="s">
        <v>1484</v>
      </c>
      <c r="F9" s="46" t="s">
        <v>191</v>
      </c>
      <c r="G9" s="46" t="s">
        <v>107</v>
      </c>
      <c r="J9" s="46">
        <v>1</v>
      </c>
      <c r="P9" s="46">
        <v>1</v>
      </c>
      <c r="R9" s="113"/>
      <c r="S9" s="113"/>
      <c r="T9" s="46">
        <v>1</v>
      </c>
      <c r="X9" s="46">
        <v>13</v>
      </c>
      <c r="Y9" s="46">
        <v>14</v>
      </c>
      <c r="Z9" s="46">
        <v>15</v>
      </c>
      <c r="AA9" s="46">
        <v>9</v>
      </c>
      <c r="AB9" s="46">
        <v>9</v>
      </c>
      <c r="AC9" s="46">
        <v>9</v>
      </c>
      <c r="AG9" s="46">
        <v>1</v>
      </c>
      <c r="AJ9" s="46">
        <v>1</v>
      </c>
      <c r="AL9" s="46">
        <v>1</v>
      </c>
      <c r="AU9" s="46">
        <v>1</v>
      </c>
      <c r="AY9" s="46">
        <v>1</v>
      </c>
      <c r="BB9" s="46">
        <v>1</v>
      </c>
      <c r="BJ9" s="46">
        <v>1</v>
      </c>
      <c r="CA9" s="46">
        <v>1</v>
      </c>
      <c r="CD9" s="46">
        <v>1</v>
      </c>
      <c r="CJ9" s="46">
        <v>1</v>
      </c>
      <c r="CV9" s="50">
        <v>46452</v>
      </c>
    </row>
    <row r="10" spans="1:100">
      <c r="A10" s="46">
        <f t="shared" si="0"/>
        <v>7</v>
      </c>
      <c r="B10" s="46" t="s">
        <v>1485</v>
      </c>
      <c r="C10" s="46" t="s">
        <v>1486</v>
      </c>
      <c r="D10" s="46">
        <v>18</v>
      </c>
      <c r="E10" s="46" t="s">
        <v>1469</v>
      </c>
      <c r="F10" s="46" t="s">
        <v>1487</v>
      </c>
      <c r="G10" s="46" t="s">
        <v>112</v>
      </c>
      <c r="H10" s="46">
        <v>1</v>
      </c>
      <c r="M10" s="46">
        <v>1</v>
      </c>
      <c r="R10" s="46" t="s">
        <v>191</v>
      </c>
      <c r="U10" s="46">
        <v>1</v>
      </c>
      <c r="X10" s="46">
        <v>14</v>
      </c>
      <c r="Y10" s="46">
        <v>15</v>
      </c>
      <c r="Z10" s="46" t="s">
        <v>191</v>
      </c>
      <c r="AA10" s="46">
        <v>0</v>
      </c>
      <c r="AB10" s="46">
        <v>0</v>
      </c>
      <c r="AC10" s="46">
        <v>0</v>
      </c>
      <c r="AI10" s="46">
        <v>1</v>
      </c>
      <c r="AJ10" s="46">
        <v>1</v>
      </c>
      <c r="AN10" s="46">
        <v>1</v>
      </c>
      <c r="AU10" s="46">
        <v>1</v>
      </c>
      <c r="AX10" s="46">
        <v>1</v>
      </c>
      <c r="BB10" s="46">
        <v>1</v>
      </c>
      <c r="BJ10" s="46">
        <v>1</v>
      </c>
      <c r="CA10" s="46">
        <v>1</v>
      </c>
      <c r="CD10" s="46">
        <v>1</v>
      </c>
      <c r="CJ10" s="46">
        <v>1</v>
      </c>
      <c r="CV10" s="50">
        <v>46453</v>
      </c>
    </row>
    <row r="11" spans="1:100">
      <c r="A11" s="46">
        <f t="shared" si="0"/>
        <v>8</v>
      </c>
      <c r="B11" s="46" t="s">
        <v>1488</v>
      </c>
      <c r="C11" s="46" t="s">
        <v>1489</v>
      </c>
      <c r="D11" s="46">
        <v>30</v>
      </c>
      <c r="E11" s="46" t="s">
        <v>1469</v>
      </c>
      <c r="F11" s="46" t="s">
        <v>1490</v>
      </c>
      <c r="G11" s="46" t="s">
        <v>112</v>
      </c>
      <c r="I11" s="46">
        <v>1</v>
      </c>
      <c r="N11" s="46">
        <v>1</v>
      </c>
      <c r="R11" s="46">
        <v>1</v>
      </c>
      <c r="U11" s="46">
        <v>1</v>
      </c>
      <c r="X11" s="46">
        <v>16</v>
      </c>
      <c r="Y11" s="46">
        <v>18</v>
      </c>
      <c r="Z11" s="46">
        <v>23</v>
      </c>
      <c r="AA11" s="46">
        <v>2</v>
      </c>
      <c r="AB11" s="46">
        <v>2</v>
      </c>
      <c r="AC11" s="46">
        <v>2</v>
      </c>
      <c r="AE11" s="46">
        <v>1</v>
      </c>
      <c r="AJ11" s="46">
        <v>1</v>
      </c>
      <c r="AL11" s="46">
        <v>1</v>
      </c>
      <c r="AU11" s="46">
        <v>1</v>
      </c>
      <c r="AX11" s="46">
        <v>1</v>
      </c>
      <c r="BB11" s="46">
        <v>1</v>
      </c>
      <c r="BJ11" s="46">
        <v>1</v>
      </c>
      <c r="CA11" s="46">
        <v>1</v>
      </c>
      <c r="CD11" s="46">
        <v>1</v>
      </c>
      <c r="CJ11" s="46">
        <v>1</v>
      </c>
      <c r="CV11" s="50">
        <v>46454</v>
      </c>
    </row>
    <row r="12" spans="1:100">
      <c r="A12" s="46">
        <f t="shared" si="0"/>
        <v>9</v>
      </c>
      <c r="B12" s="46" t="s">
        <v>1491</v>
      </c>
      <c r="C12" s="46" t="s">
        <v>1492</v>
      </c>
      <c r="D12" s="46">
        <v>49</v>
      </c>
      <c r="E12" s="46" t="s">
        <v>1493</v>
      </c>
      <c r="F12" s="46" t="s">
        <v>1494</v>
      </c>
      <c r="G12" s="46" t="s">
        <v>112</v>
      </c>
      <c r="I12" s="46">
        <v>1</v>
      </c>
      <c r="N12" s="46">
        <v>1</v>
      </c>
      <c r="R12" s="46">
        <v>1</v>
      </c>
      <c r="U12" s="46">
        <v>1</v>
      </c>
      <c r="X12" s="46">
        <v>16</v>
      </c>
      <c r="Y12" s="46">
        <v>18</v>
      </c>
      <c r="Z12" s="46">
        <v>18</v>
      </c>
      <c r="AA12" s="46">
        <v>13</v>
      </c>
      <c r="AB12" s="46">
        <v>10</v>
      </c>
      <c r="AC12" s="46">
        <v>8</v>
      </c>
      <c r="AH12" s="46">
        <v>1</v>
      </c>
      <c r="AI12" s="46">
        <v>1</v>
      </c>
      <c r="AJ12" s="46">
        <v>1</v>
      </c>
      <c r="AN12" s="46">
        <v>1</v>
      </c>
      <c r="AU12" s="46">
        <v>1</v>
      </c>
      <c r="AX12" s="46">
        <v>1</v>
      </c>
      <c r="BB12" s="46">
        <v>1</v>
      </c>
      <c r="BJ12" s="46">
        <v>1</v>
      </c>
      <c r="CB12" s="46">
        <v>1</v>
      </c>
      <c r="CC12" s="46" t="s">
        <v>1495</v>
      </c>
      <c r="CD12" s="46">
        <v>1</v>
      </c>
      <c r="CJ12" s="46">
        <v>1</v>
      </c>
      <c r="CV12" s="50">
        <v>46455</v>
      </c>
    </row>
    <row r="13" spans="1:100">
      <c r="A13" s="46">
        <f t="shared" si="0"/>
        <v>10</v>
      </c>
      <c r="B13" s="46" t="s">
        <v>1496</v>
      </c>
      <c r="C13" s="46" t="s">
        <v>1497</v>
      </c>
      <c r="D13" s="46">
        <v>34</v>
      </c>
      <c r="E13" s="46" t="s">
        <v>1469</v>
      </c>
      <c r="F13" s="46" t="s">
        <v>1498</v>
      </c>
      <c r="G13" s="46" t="s">
        <v>112</v>
      </c>
      <c r="K13" s="46">
        <v>1</v>
      </c>
      <c r="N13" s="46">
        <v>1</v>
      </c>
      <c r="S13" s="46">
        <v>1</v>
      </c>
      <c r="U13" s="46">
        <v>1</v>
      </c>
      <c r="X13" s="46">
        <v>13</v>
      </c>
      <c r="Y13" s="46">
        <v>14</v>
      </c>
      <c r="Z13" s="46">
        <v>14</v>
      </c>
      <c r="AA13" s="46">
        <v>7</v>
      </c>
      <c r="AB13" s="46">
        <v>6</v>
      </c>
      <c r="AC13" s="46">
        <v>6</v>
      </c>
      <c r="AD13" s="46">
        <v>1</v>
      </c>
      <c r="AK13" s="46">
        <v>1</v>
      </c>
      <c r="AL13" s="46">
        <v>1</v>
      </c>
      <c r="AU13" s="46">
        <v>1</v>
      </c>
      <c r="AX13" s="113"/>
      <c r="AY13" s="113"/>
      <c r="AZ13" s="113"/>
      <c r="BA13" s="113"/>
      <c r="BC13" s="46">
        <v>1</v>
      </c>
      <c r="BG13" s="46">
        <v>1</v>
      </c>
      <c r="BN13" s="46">
        <v>1</v>
      </c>
      <c r="CA13" s="46">
        <v>1</v>
      </c>
      <c r="CE13" s="46">
        <v>1</v>
      </c>
      <c r="CF13" s="46" t="s">
        <v>182</v>
      </c>
      <c r="CJ13" s="46">
        <v>1</v>
      </c>
      <c r="CV13" s="50">
        <v>46456</v>
      </c>
    </row>
    <row r="14" spans="1:100">
      <c r="A14" s="46">
        <f t="shared" si="0"/>
        <v>11</v>
      </c>
      <c r="B14" s="46" t="s">
        <v>1499</v>
      </c>
      <c r="C14" s="46" t="s">
        <v>1500</v>
      </c>
      <c r="D14" s="46">
        <v>80</v>
      </c>
      <c r="E14" s="46" t="s">
        <v>1501</v>
      </c>
      <c r="F14" s="46" t="s">
        <v>1502</v>
      </c>
      <c r="G14" s="46" t="s">
        <v>112</v>
      </c>
      <c r="J14" s="46">
        <v>1</v>
      </c>
      <c r="Q14" s="46">
        <v>1</v>
      </c>
      <c r="S14" s="46">
        <v>1</v>
      </c>
      <c r="U14" s="46">
        <v>1</v>
      </c>
      <c r="X14" s="46">
        <v>18</v>
      </c>
      <c r="Y14" s="46">
        <v>20</v>
      </c>
      <c r="Z14" s="46">
        <v>21</v>
      </c>
      <c r="AA14" s="46">
        <v>10</v>
      </c>
      <c r="AB14" s="46">
        <v>9</v>
      </c>
      <c r="AC14" s="46">
        <v>4</v>
      </c>
      <c r="AF14" s="46">
        <v>1</v>
      </c>
      <c r="AI14" s="46">
        <v>1</v>
      </c>
      <c r="AJ14" s="46">
        <v>1</v>
      </c>
      <c r="AN14" s="46">
        <v>1</v>
      </c>
      <c r="AU14" s="46">
        <v>1</v>
      </c>
      <c r="AX14" s="46">
        <v>1</v>
      </c>
      <c r="BB14" s="46">
        <v>1</v>
      </c>
      <c r="BK14" s="46">
        <v>1</v>
      </c>
      <c r="BX14" s="46">
        <v>1</v>
      </c>
      <c r="CA14" s="46">
        <v>1</v>
      </c>
      <c r="CD14" s="46">
        <v>1</v>
      </c>
      <c r="CJ14" s="46">
        <v>1</v>
      </c>
      <c r="CV14" s="50">
        <v>46457</v>
      </c>
    </row>
    <row r="15" spans="1:100">
      <c r="A15" s="46">
        <f t="shared" si="0"/>
        <v>12</v>
      </c>
      <c r="B15" s="46" t="s">
        <v>1503</v>
      </c>
      <c r="C15" s="46" t="s">
        <v>1504</v>
      </c>
      <c r="D15" s="46">
        <v>51</v>
      </c>
      <c r="E15" s="46" t="s">
        <v>1505</v>
      </c>
      <c r="F15" s="46" t="s">
        <v>191</v>
      </c>
      <c r="G15" s="46" t="s">
        <v>145</v>
      </c>
      <c r="K15" s="46">
        <v>1</v>
      </c>
      <c r="N15" s="46">
        <v>1</v>
      </c>
      <c r="R15" s="46">
        <v>1</v>
      </c>
      <c r="T15" s="46">
        <v>1</v>
      </c>
      <c r="X15" s="46">
        <v>10</v>
      </c>
      <c r="Y15" s="46">
        <v>10</v>
      </c>
      <c r="Z15" s="46">
        <v>35</v>
      </c>
      <c r="AA15" s="46">
        <v>8</v>
      </c>
      <c r="AB15" s="46">
        <v>7</v>
      </c>
      <c r="AC15" s="46">
        <v>7</v>
      </c>
      <c r="AD15" s="46">
        <v>1</v>
      </c>
      <c r="AJ15" s="113"/>
      <c r="AK15" s="113"/>
      <c r="AL15" s="46">
        <v>1</v>
      </c>
      <c r="AU15" s="46">
        <v>1</v>
      </c>
      <c r="AY15" s="46">
        <v>1</v>
      </c>
      <c r="BB15" s="46">
        <v>1</v>
      </c>
      <c r="BK15" s="46">
        <v>1</v>
      </c>
      <c r="CA15" s="46">
        <v>1</v>
      </c>
      <c r="CD15" s="46">
        <v>1</v>
      </c>
      <c r="CJ15" s="46">
        <v>1</v>
      </c>
      <c r="CV15" s="50">
        <v>46458</v>
      </c>
    </row>
    <row r="16" spans="1:100">
      <c r="A16" s="46">
        <f t="shared" si="0"/>
        <v>13</v>
      </c>
      <c r="B16" s="46" t="s">
        <v>1506</v>
      </c>
      <c r="C16" s="46" t="s">
        <v>1507</v>
      </c>
      <c r="D16" s="46">
        <v>70</v>
      </c>
      <c r="E16" s="46" t="s">
        <v>1508</v>
      </c>
      <c r="F16" s="46" t="s">
        <v>191</v>
      </c>
      <c r="G16" s="46" t="s">
        <v>1509</v>
      </c>
      <c r="I16" s="46">
        <v>1</v>
      </c>
      <c r="Q16" s="46">
        <v>1</v>
      </c>
      <c r="S16" s="46">
        <v>1</v>
      </c>
      <c r="U16" s="46">
        <v>1</v>
      </c>
      <c r="X16" s="46">
        <v>10</v>
      </c>
      <c r="Y16" s="46">
        <v>5</v>
      </c>
      <c r="Z16" s="46">
        <v>15</v>
      </c>
      <c r="AA16" s="46">
        <v>11</v>
      </c>
      <c r="AB16" s="46">
        <v>11</v>
      </c>
      <c r="AC16" s="46">
        <v>10</v>
      </c>
      <c r="AF16" s="46">
        <v>1</v>
      </c>
      <c r="AH16" s="46">
        <v>1</v>
      </c>
      <c r="AI16" s="46">
        <v>1</v>
      </c>
      <c r="AJ16" s="113"/>
      <c r="AK16" s="113"/>
      <c r="AL16" s="46">
        <v>1</v>
      </c>
      <c r="AU16" s="46">
        <v>1</v>
      </c>
      <c r="AX16" s="46">
        <v>1</v>
      </c>
      <c r="BB16" s="46">
        <v>1</v>
      </c>
      <c r="BK16" s="46">
        <v>1</v>
      </c>
      <c r="CA16" s="46">
        <v>1</v>
      </c>
      <c r="CD16" s="46">
        <v>1</v>
      </c>
      <c r="CJ16" s="46">
        <v>1</v>
      </c>
      <c r="CV16" s="50">
        <v>46459</v>
      </c>
    </row>
    <row r="17" spans="1:100">
      <c r="A17" s="46">
        <f t="shared" si="0"/>
        <v>14</v>
      </c>
      <c r="B17" s="46" t="s">
        <v>1510</v>
      </c>
      <c r="C17" s="46" t="s">
        <v>1511</v>
      </c>
      <c r="D17" s="46">
        <v>23</v>
      </c>
      <c r="E17" s="46" t="s">
        <v>1505</v>
      </c>
      <c r="F17" s="46" t="s">
        <v>1512</v>
      </c>
      <c r="G17" s="46" t="s">
        <v>112</v>
      </c>
      <c r="H17" s="46">
        <v>1</v>
      </c>
      <c r="N17" s="46">
        <v>1</v>
      </c>
      <c r="R17" s="46">
        <v>1</v>
      </c>
      <c r="V17" s="46">
        <v>1</v>
      </c>
      <c r="X17" s="46">
        <v>16</v>
      </c>
      <c r="Y17" s="46">
        <v>20</v>
      </c>
      <c r="Z17" s="46">
        <v>22</v>
      </c>
      <c r="AA17" s="46">
        <v>1</v>
      </c>
      <c r="AB17" s="46">
        <v>1</v>
      </c>
      <c r="AC17" s="46">
        <v>1</v>
      </c>
      <c r="AF17" s="46">
        <v>1</v>
      </c>
      <c r="AH17" s="46">
        <v>1</v>
      </c>
      <c r="AI17" s="46">
        <v>1</v>
      </c>
      <c r="AJ17" s="113"/>
      <c r="AK17" s="113"/>
      <c r="AL17" s="46">
        <v>1</v>
      </c>
      <c r="AU17" s="46">
        <v>1</v>
      </c>
      <c r="AX17" s="113"/>
      <c r="AY17" s="113"/>
      <c r="AZ17" s="113"/>
      <c r="BA17" s="113"/>
      <c r="BB17" s="46">
        <v>1</v>
      </c>
      <c r="BI17" s="46">
        <v>1</v>
      </c>
      <c r="BQ17" s="46">
        <v>1</v>
      </c>
      <c r="BW17" s="46">
        <v>1</v>
      </c>
      <c r="BX17" s="46">
        <v>1</v>
      </c>
      <c r="CA17" s="46">
        <v>1</v>
      </c>
      <c r="CD17" s="46">
        <v>1</v>
      </c>
      <c r="CJ17" s="46">
        <v>1</v>
      </c>
      <c r="CV17" s="46" t="s">
        <v>1513</v>
      </c>
    </row>
    <row r="18" spans="1:100">
      <c r="A18" s="46">
        <f t="shared" si="0"/>
        <v>15</v>
      </c>
      <c r="B18" s="46" t="s">
        <v>1514</v>
      </c>
      <c r="C18" s="46" t="s">
        <v>1515</v>
      </c>
      <c r="D18" s="46">
        <v>39</v>
      </c>
      <c r="E18" s="46" t="s">
        <v>1484</v>
      </c>
      <c r="F18" s="46" t="s">
        <v>1516</v>
      </c>
      <c r="G18" s="46" t="s">
        <v>112</v>
      </c>
      <c r="I18" s="46">
        <v>1</v>
      </c>
      <c r="N18" s="46">
        <v>1</v>
      </c>
      <c r="S18" s="46">
        <v>1</v>
      </c>
      <c r="U18" s="46">
        <v>1</v>
      </c>
      <c r="X18" s="46">
        <v>14</v>
      </c>
      <c r="Y18" s="46">
        <v>16</v>
      </c>
      <c r="Z18" s="46">
        <v>16</v>
      </c>
      <c r="AA18" s="46">
        <v>11</v>
      </c>
      <c r="AB18" s="46">
        <v>11</v>
      </c>
      <c r="AC18" s="46">
        <v>8</v>
      </c>
      <c r="AF18" s="46">
        <v>1</v>
      </c>
      <c r="AH18" s="46">
        <v>1</v>
      </c>
      <c r="AI18" s="46">
        <v>1</v>
      </c>
      <c r="AJ18" s="46">
        <v>1</v>
      </c>
      <c r="AL18" s="46">
        <v>1</v>
      </c>
      <c r="AU18" s="46">
        <v>1</v>
      </c>
      <c r="AX18" s="46">
        <v>1</v>
      </c>
      <c r="BB18" s="46">
        <v>1</v>
      </c>
      <c r="BJ18" s="46">
        <v>1</v>
      </c>
      <c r="CA18" s="46">
        <v>1</v>
      </c>
      <c r="CD18" s="46">
        <v>1</v>
      </c>
      <c r="CJ18" s="46">
        <v>1</v>
      </c>
      <c r="CV18" s="50">
        <v>46461</v>
      </c>
    </row>
    <row r="19" spans="1:100">
      <c r="A19" s="46">
        <f t="shared" si="0"/>
        <v>16</v>
      </c>
      <c r="B19" s="46" t="s">
        <v>1517</v>
      </c>
      <c r="C19" s="46" t="s">
        <v>1518</v>
      </c>
      <c r="D19" s="46">
        <v>18</v>
      </c>
      <c r="E19" s="46" t="s">
        <v>1508</v>
      </c>
      <c r="F19" s="46" t="s">
        <v>1519</v>
      </c>
      <c r="G19" s="46" t="s">
        <v>112</v>
      </c>
      <c r="K19" s="46">
        <v>1</v>
      </c>
      <c r="N19" s="46">
        <v>1</v>
      </c>
      <c r="R19" s="46">
        <v>1</v>
      </c>
      <c r="T19" s="46">
        <v>1</v>
      </c>
      <c r="X19" s="46">
        <v>16</v>
      </c>
      <c r="Y19" s="46">
        <v>17</v>
      </c>
      <c r="Z19" s="46" t="s">
        <v>191</v>
      </c>
      <c r="AA19" s="46">
        <v>0</v>
      </c>
      <c r="AB19" s="46">
        <v>0</v>
      </c>
      <c r="AC19" s="46">
        <v>0</v>
      </c>
      <c r="AI19" s="46">
        <v>1</v>
      </c>
      <c r="AJ19" s="113"/>
      <c r="AK19" s="113"/>
      <c r="AN19" s="46">
        <v>1</v>
      </c>
      <c r="AU19" s="46">
        <v>1</v>
      </c>
      <c r="AX19" s="46">
        <v>1</v>
      </c>
      <c r="BB19" s="46">
        <v>1</v>
      </c>
      <c r="BJ19" s="46">
        <v>1</v>
      </c>
      <c r="CA19" s="46">
        <v>1</v>
      </c>
      <c r="CD19" s="46">
        <v>1</v>
      </c>
      <c r="CJ19" s="46">
        <v>1</v>
      </c>
      <c r="CV19" s="50">
        <v>46462</v>
      </c>
    </row>
    <row r="20" spans="1:100">
      <c r="A20" s="46">
        <f t="shared" si="0"/>
        <v>17</v>
      </c>
      <c r="B20" s="46" t="s">
        <v>1520</v>
      </c>
      <c r="C20" s="46" t="s">
        <v>1521</v>
      </c>
      <c r="D20" s="46">
        <v>24</v>
      </c>
      <c r="E20" s="46" t="s">
        <v>1522</v>
      </c>
      <c r="F20" s="46" t="s">
        <v>1523</v>
      </c>
      <c r="G20" s="46" t="s">
        <v>112</v>
      </c>
      <c r="I20" s="46">
        <v>1</v>
      </c>
      <c r="N20" s="46">
        <v>1</v>
      </c>
      <c r="R20" s="46">
        <v>1</v>
      </c>
      <c r="U20" s="46">
        <v>1</v>
      </c>
      <c r="X20" s="46">
        <v>15</v>
      </c>
      <c r="Y20" s="46">
        <v>18</v>
      </c>
      <c r="Z20" s="46">
        <v>19</v>
      </c>
      <c r="AA20" s="46">
        <v>3</v>
      </c>
      <c r="AB20" s="46">
        <v>2</v>
      </c>
      <c r="AC20" s="46">
        <v>2</v>
      </c>
      <c r="AF20" s="46">
        <v>1</v>
      </c>
      <c r="AI20" s="46">
        <v>1</v>
      </c>
      <c r="AJ20" s="46">
        <v>1</v>
      </c>
      <c r="AL20" s="46">
        <v>1</v>
      </c>
      <c r="AU20" s="46">
        <v>1</v>
      </c>
      <c r="AX20" s="46">
        <v>1</v>
      </c>
      <c r="BC20" s="46">
        <v>1</v>
      </c>
      <c r="BG20" s="46">
        <v>1</v>
      </c>
      <c r="BJ20" s="46">
        <v>1</v>
      </c>
      <c r="CA20" s="46">
        <v>1</v>
      </c>
      <c r="CE20" s="46">
        <v>1</v>
      </c>
      <c r="CF20" s="46" t="s">
        <v>252</v>
      </c>
      <c r="CJ20" s="46">
        <v>1</v>
      </c>
      <c r="CV20" s="50">
        <v>46463</v>
      </c>
    </row>
    <row r="21" spans="1:100">
      <c r="A21" s="46">
        <f t="shared" si="0"/>
        <v>18</v>
      </c>
      <c r="B21" s="46" t="s">
        <v>1524</v>
      </c>
      <c r="C21" s="46" t="s">
        <v>1525</v>
      </c>
      <c r="D21" s="46">
        <v>43</v>
      </c>
      <c r="E21" s="46" t="s">
        <v>1526</v>
      </c>
      <c r="F21" s="46" t="s">
        <v>1527</v>
      </c>
      <c r="G21" s="46" t="s">
        <v>112</v>
      </c>
      <c r="I21" s="46">
        <v>1</v>
      </c>
      <c r="N21" s="46">
        <v>1</v>
      </c>
      <c r="S21" s="46">
        <v>1</v>
      </c>
      <c r="U21" s="46">
        <v>1</v>
      </c>
      <c r="X21" s="46">
        <v>18</v>
      </c>
      <c r="Y21" s="46">
        <v>19</v>
      </c>
      <c r="Z21" s="46">
        <v>20</v>
      </c>
      <c r="AA21" s="46">
        <v>10</v>
      </c>
      <c r="AB21" s="46">
        <v>9</v>
      </c>
      <c r="AC21" s="46">
        <v>7</v>
      </c>
      <c r="AI21" s="46">
        <v>1</v>
      </c>
      <c r="AJ21" s="46">
        <v>1</v>
      </c>
      <c r="AL21" s="46">
        <v>1</v>
      </c>
      <c r="AU21" s="46">
        <v>1</v>
      </c>
      <c r="AX21" s="46">
        <v>1</v>
      </c>
      <c r="BB21" s="46">
        <v>1</v>
      </c>
      <c r="BJ21" s="46">
        <v>1</v>
      </c>
      <c r="CA21" s="46">
        <v>1</v>
      </c>
      <c r="CD21" s="46">
        <v>1</v>
      </c>
      <c r="CJ21" s="46">
        <v>1</v>
      </c>
      <c r="CV21" s="50">
        <v>46464</v>
      </c>
    </row>
    <row r="22" spans="1:100">
      <c r="A22" s="46">
        <f t="shared" si="0"/>
        <v>19</v>
      </c>
      <c r="B22" s="46" t="s">
        <v>1528</v>
      </c>
      <c r="C22" s="46" t="s">
        <v>1529</v>
      </c>
      <c r="D22" s="46">
        <v>31</v>
      </c>
      <c r="E22" s="46" t="s">
        <v>1530</v>
      </c>
      <c r="F22" s="46" t="s">
        <v>191</v>
      </c>
      <c r="G22" s="46" t="s">
        <v>112</v>
      </c>
      <c r="H22" s="46">
        <v>1</v>
      </c>
      <c r="N22" s="46">
        <v>1</v>
      </c>
      <c r="R22" s="46">
        <v>1</v>
      </c>
      <c r="T22" s="46">
        <v>1</v>
      </c>
      <c r="X22" s="46">
        <v>20</v>
      </c>
      <c r="Y22" s="46">
        <v>21</v>
      </c>
      <c r="Z22" s="46">
        <v>23</v>
      </c>
      <c r="AA22" s="46">
        <v>10</v>
      </c>
      <c r="AB22" s="46">
        <v>9</v>
      </c>
      <c r="AC22" s="46">
        <v>8</v>
      </c>
      <c r="AF22" s="46">
        <v>1</v>
      </c>
      <c r="AI22" s="46">
        <v>1</v>
      </c>
      <c r="AJ22" s="46">
        <v>1</v>
      </c>
      <c r="AN22" s="46">
        <v>1</v>
      </c>
      <c r="AU22" s="46">
        <v>1</v>
      </c>
      <c r="AX22" s="46">
        <v>1</v>
      </c>
      <c r="BB22" s="46">
        <v>1</v>
      </c>
      <c r="BJ22" s="46">
        <v>1</v>
      </c>
      <c r="CA22" s="46">
        <v>1</v>
      </c>
      <c r="CD22" s="46">
        <v>1</v>
      </c>
      <c r="CJ22" s="46">
        <v>1</v>
      </c>
      <c r="CV22" s="50">
        <v>46465</v>
      </c>
    </row>
    <row r="23" spans="1:100">
      <c r="A23" s="46">
        <f t="shared" si="0"/>
        <v>20</v>
      </c>
      <c r="B23" s="46" t="s">
        <v>1531</v>
      </c>
      <c r="C23" s="46" t="s">
        <v>1532</v>
      </c>
      <c r="D23" s="46">
        <v>35</v>
      </c>
      <c r="E23" s="46" t="s">
        <v>1484</v>
      </c>
      <c r="F23" s="46" t="s">
        <v>1533</v>
      </c>
      <c r="G23" s="46" t="s">
        <v>112</v>
      </c>
      <c r="I23" s="46">
        <v>1</v>
      </c>
      <c r="N23" s="46">
        <v>1</v>
      </c>
      <c r="R23" s="46">
        <v>1</v>
      </c>
      <c r="U23" s="46">
        <v>1</v>
      </c>
      <c r="X23" s="46">
        <v>15</v>
      </c>
      <c r="Y23" s="46">
        <v>19</v>
      </c>
      <c r="Z23" s="113"/>
      <c r="AA23" s="46">
        <v>5</v>
      </c>
      <c r="AB23" s="46">
        <v>5</v>
      </c>
      <c r="AC23" s="46">
        <v>5</v>
      </c>
      <c r="AF23" s="46">
        <v>1</v>
      </c>
      <c r="AI23" s="46">
        <v>1</v>
      </c>
      <c r="AK23" s="46">
        <v>1</v>
      </c>
      <c r="AL23" s="46">
        <v>1</v>
      </c>
      <c r="AU23" s="46">
        <v>1</v>
      </c>
      <c r="AX23" s="46">
        <v>1</v>
      </c>
      <c r="BB23" s="46">
        <v>1</v>
      </c>
      <c r="BJ23" s="46">
        <v>1</v>
      </c>
      <c r="CA23" s="46">
        <v>1</v>
      </c>
      <c r="CD23" s="46">
        <v>1</v>
      </c>
      <c r="CJ23" s="46">
        <v>1</v>
      </c>
      <c r="CV23" s="50">
        <v>46466</v>
      </c>
    </row>
    <row r="24" spans="1:100">
      <c r="A24" s="46">
        <f t="shared" si="0"/>
        <v>21</v>
      </c>
      <c r="B24" s="46" t="s">
        <v>1534</v>
      </c>
      <c r="C24" s="46" t="s">
        <v>1535</v>
      </c>
      <c r="D24" s="46">
        <v>76</v>
      </c>
      <c r="E24" s="46" t="s">
        <v>1526</v>
      </c>
      <c r="F24" s="46" t="s">
        <v>1536</v>
      </c>
      <c r="G24" s="46" t="s">
        <v>112</v>
      </c>
      <c r="H24" s="46">
        <v>1</v>
      </c>
      <c r="Q24" s="46">
        <v>1</v>
      </c>
      <c r="S24" s="46">
        <v>1</v>
      </c>
      <c r="U24" s="46">
        <v>1</v>
      </c>
      <c r="X24" s="113"/>
      <c r="Y24" s="46">
        <v>15</v>
      </c>
      <c r="Z24" s="46">
        <v>16</v>
      </c>
      <c r="AA24" s="46">
        <v>15</v>
      </c>
      <c r="AB24" s="46">
        <v>14</v>
      </c>
      <c r="AC24" s="46">
        <v>9</v>
      </c>
      <c r="AI24" s="46">
        <v>1</v>
      </c>
      <c r="AJ24" s="46">
        <v>1</v>
      </c>
      <c r="AL24" s="46">
        <v>1</v>
      </c>
      <c r="AU24" s="46">
        <v>1</v>
      </c>
      <c r="AX24" s="46">
        <v>1</v>
      </c>
      <c r="BB24" s="46">
        <v>1</v>
      </c>
      <c r="BK24" s="46">
        <v>1</v>
      </c>
      <c r="BX24" s="46">
        <v>1</v>
      </c>
      <c r="CA24" s="46">
        <v>1</v>
      </c>
      <c r="CD24" s="46">
        <v>1</v>
      </c>
      <c r="CJ24" s="46">
        <v>1</v>
      </c>
      <c r="CV24" s="50">
        <v>46467</v>
      </c>
    </row>
    <row r="25" spans="1:100">
      <c r="A25" s="46">
        <f t="shared" si="0"/>
        <v>22</v>
      </c>
      <c r="B25" s="46" t="s">
        <v>1537</v>
      </c>
      <c r="C25" s="46" t="s">
        <v>1538</v>
      </c>
      <c r="D25" s="46">
        <v>29</v>
      </c>
      <c r="E25" s="46" t="s">
        <v>1539</v>
      </c>
      <c r="F25" s="46" t="s">
        <v>1540</v>
      </c>
      <c r="G25" s="46" t="s">
        <v>112</v>
      </c>
      <c r="K25" s="46">
        <v>1</v>
      </c>
      <c r="N25" s="46">
        <v>1</v>
      </c>
      <c r="S25" s="46">
        <v>1</v>
      </c>
      <c r="U25" s="46">
        <v>1</v>
      </c>
      <c r="X25" s="46">
        <v>16</v>
      </c>
      <c r="Y25" s="46">
        <v>18</v>
      </c>
      <c r="Z25" s="46">
        <v>20</v>
      </c>
      <c r="AA25" s="46">
        <v>4</v>
      </c>
      <c r="AB25" s="46">
        <v>4</v>
      </c>
      <c r="AC25" s="46">
        <v>4</v>
      </c>
      <c r="AD25" s="46">
        <v>1</v>
      </c>
      <c r="AJ25" s="46">
        <v>1</v>
      </c>
      <c r="AL25" s="46">
        <v>1</v>
      </c>
      <c r="AU25" s="46">
        <v>1</v>
      </c>
      <c r="AX25" s="46">
        <v>1</v>
      </c>
      <c r="BB25" s="46">
        <v>1</v>
      </c>
      <c r="BJ25" s="46">
        <v>1</v>
      </c>
      <c r="CA25" s="46">
        <v>1</v>
      </c>
      <c r="CD25" s="46">
        <v>1</v>
      </c>
      <c r="CJ25" s="46">
        <v>1</v>
      </c>
      <c r="CV25" s="50">
        <v>46468</v>
      </c>
    </row>
    <row r="26" spans="1:100">
      <c r="A26" s="46">
        <f t="shared" si="0"/>
        <v>23</v>
      </c>
      <c r="B26" s="46" t="s">
        <v>1541</v>
      </c>
      <c r="C26" s="46" t="s">
        <v>1542</v>
      </c>
      <c r="D26" s="46">
        <v>24</v>
      </c>
      <c r="E26" s="46" t="s">
        <v>1472</v>
      </c>
      <c r="F26" s="46" t="s">
        <v>191</v>
      </c>
      <c r="G26" s="46" t="s">
        <v>330</v>
      </c>
      <c r="H26" s="46">
        <v>1</v>
      </c>
      <c r="N26" s="46">
        <v>1</v>
      </c>
      <c r="S26" s="46">
        <v>1</v>
      </c>
      <c r="U26" s="46">
        <v>1</v>
      </c>
      <c r="X26" s="46">
        <v>14</v>
      </c>
      <c r="Y26" s="46">
        <v>15</v>
      </c>
      <c r="Z26" s="46">
        <v>16</v>
      </c>
      <c r="AA26" s="46">
        <v>3</v>
      </c>
      <c r="AB26" s="46">
        <v>3</v>
      </c>
      <c r="AC26" s="46">
        <v>3</v>
      </c>
      <c r="AF26" s="46">
        <v>1</v>
      </c>
      <c r="AI26" s="46">
        <v>1</v>
      </c>
      <c r="AK26" s="46">
        <v>1</v>
      </c>
      <c r="AL26" s="46">
        <v>1</v>
      </c>
      <c r="AU26" s="46">
        <v>1</v>
      </c>
      <c r="AX26" s="46">
        <v>1</v>
      </c>
      <c r="BB26" s="46">
        <v>1</v>
      </c>
      <c r="BJ26" s="46">
        <v>1</v>
      </c>
      <c r="BX26" s="46">
        <v>1</v>
      </c>
      <c r="CA26" s="46">
        <v>1</v>
      </c>
      <c r="CD26" s="46">
        <v>1</v>
      </c>
      <c r="CJ26" s="46">
        <v>1</v>
      </c>
      <c r="CV26" s="50">
        <v>46469</v>
      </c>
    </row>
    <row r="27" spans="1:100">
      <c r="A27" s="46">
        <f t="shared" si="0"/>
        <v>24</v>
      </c>
      <c r="B27" s="46" t="s">
        <v>1543</v>
      </c>
      <c r="C27" s="46" t="s">
        <v>1544</v>
      </c>
      <c r="D27" s="46">
        <v>20</v>
      </c>
      <c r="E27" s="46" t="s">
        <v>1545</v>
      </c>
      <c r="F27" s="46" t="s">
        <v>1546</v>
      </c>
      <c r="G27" s="46" t="s">
        <v>112</v>
      </c>
      <c r="H27" s="46">
        <v>1</v>
      </c>
      <c r="M27" s="46">
        <v>1</v>
      </c>
      <c r="R27" s="46" t="s">
        <v>191</v>
      </c>
      <c r="U27" s="46">
        <v>1</v>
      </c>
      <c r="X27" s="46">
        <v>16</v>
      </c>
      <c r="Y27" s="46">
        <v>18</v>
      </c>
      <c r="Z27" s="46" t="s">
        <v>191</v>
      </c>
      <c r="AA27" s="46">
        <v>0</v>
      </c>
      <c r="AB27" s="46">
        <v>0</v>
      </c>
      <c r="AC27" s="46">
        <v>0</v>
      </c>
      <c r="AE27" s="46">
        <v>1</v>
      </c>
      <c r="AF27" s="46">
        <v>1</v>
      </c>
      <c r="AK27" s="46">
        <v>1</v>
      </c>
      <c r="AN27" s="46">
        <v>1</v>
      </c>
      <c r="AU27" s="46">
        <v>1</v>
      </c>
      <c r="AX27" s="46">
        <v>1</v>
      </c>
      <c r="BB27" s="46">
        <v>1</v>
      </c>
      <c r="BJ27" s="46">
        <v>1</v>
      </c>
      <c r="CA27" s="46">
        <v>1</v>
      </c>
      <c r="CD27" s="46">
        <v>1</v>
      </c>
      <c r="CJ27" s="46">
        <v>1</v>
      </c>
      <c r="CV27" s="50">
        <v>46470</v>
      </c>
    </row>
    <row r="28" spans="1:100">
      <c r="A28" s="46">
        <f t="shared" si="0"/>
        <v>25</v>
      </c>
      <c r="B28" s="46" t="s">
        <v>1547</v>
      </c>
      <c r="C28" s="46" t="s">
        <v>1548</v>
      </c>
      <c r="D28" s="46">
        <v>63</v>
      </c>
      <c r="E28" s="46" t="s">
        <v>1549</v>
      </c>
      <c r="F28" s="46" t="s">
        <v>191</v>
      </c>
      <c r="G28" s="46" t="s">
        <v>112</v>
      </c>
      <c r="H28" s="46">
        <v>1</v>
      </c>
      <c r="Q28" s="46">
        <v>1</v>
      </c>
      <c r="R28" s="113"/>
      <c r="S28" s="113"/>
      <c r="X28" s="46">
        <v>15</v>
      </c>
      <c r="Y28" s="46">
        <v>17</v>
      </c>
      <c r="Z28" s="46" t="s">
        <v>191</v>
      </c>
      <c r="AA28" s="46">
        <v>0</v>
      </c>
      <c r="AB28" s="46">
        <v>0</v>
      </c>
      <c r="AC28" s="46">
        <v>0</v>
      </c>
      <c r="AF28" s="46">
        <v>1</v>
      </c>
      <c r="AI28" s="46">
        <v>1</v>
      </c>
      <c r="AJ28" s="46">
        <v>1</v>
      </c>
      <c r="AL28" s="46">
        <v>1</v>
      </c>
      <c r="AU28" s="46">
        <v>1</v>
      </c>
      <c r="AX28" s="46">
        <v>1</v>
      </c>
      <c r="BB28" s="46">
        <v>1</v>
      </c>
      <c r="BK28" s="46">
        <v>1</v>
      </c>
      <c r="BX28" s="46">
        <v>1</v>
      </c>
      <c r="CA28" s="46">
        <v>1</v>
      </c>
      <c r="CD28" s="46">
        <v>1</v>
      </c>
      <c r="CJ28" s="46">
        <v>1</v>
      </c>
      <c r="CV28" s="50">
        <v>46471</v>
      </c>
    </row>
    <row r="29" spans="1:100">
      <c r="A29" s="46">
        <f t="shared" si="0"/>
        <v>26</v>
      </c>
      <c r="B29" s="46" t="s">
        <v>1550</v>
      </c>
      <c r="C29" s="46" t="s">
        <v>1551</v>
      </c>
      <c r="D29" s="46">
        <v>19</v>
      </c>
      <c r="E29" s="46" t="s">
        <v>1552</v>
      </c>
      <c r="F29" s="46" t="s">
        <v>191</v>
      </c>
      <c r="G29" s="46" t="s">
        <v>112</v>
      </c>
      <c r="J29" s="46">
        <v>1</v>
      </c>
      <c r="N29" s="46">
        <v>1</v>
      </c>
      <c r="R29" s="46">
        <v>1</v>
      </c>
      <c r="U29" s="46">
        <v>1</v>
      </c>
      <c r="X29" s="46">
        <v>12</v>
      </c>
      <c r="Y29" s="46">
        <v>17</v>
      </c>
      <c r="Z29" s="46">
        <v>18</v>
      </c>
      <c r="AA29" s="46">
        <v>1</v>
      </c>
      <c r="AB29" s="46">
        <v>1</v>
      </c>
      <c r="AC29" s="46">
        <v>1</v>
      </c>
      <c r="AF29" s="46">
        <v>1</v>
      </c>
      <c r="AJ29" s="113"/>
      <c r="AK29" s="113"/>
      <c r="AL29" s="46">
        <v>1</v>
      </c>
      <c r="AU29" s="46">
        <v>1</v>
      </c>
      <c r="AX29" s="46">
        <v>1</v>
      </c>
      <c r="BB29" s="46">
        <v>1</v>
      </c>
      <c r="BJ29" s="46">
        <v>1</v>
      </c>
      <c r="CA29" s="46">
        <v>1</v>
      </c>
      <c r="CD29" s="46">
        <v>1</v>
      </c>
      <c r="CJ29" s="46">
        <v>1</v>
      </c>
      <c r="CV29" s="50">
        <v>46472</v>
      </c>
    </row>
    <row r="30" spans="1:100">
      <c r="A30" s="46">
        <f t="shared" si="0"/>
        <v>27</v>
      </c>
      <c r="B30" s="46" t="s">
        <v>1553</v>
      </c>
      <c r="C30" s="46" t="s">
        <v>1554</v>
      </c>
      <c r="D30" s="46">
        <v>40</v>
      </c>
      <c r="E30" s="46" t="s">
        <v>1469</v>
      </c>
      <c r="F30" s="46" t="s">
        <v>1555</v>
      </c>
      <c r="G30" s="46" t="s">
        <v>112</v>
      </c>
      <c r="I30" s="46">
        <v>1</v>
      </c>
      <c r="N30" s="46">
        <v>1</v>
      </c>
      <c r="R30" s="46">
        <v>1</v>
      </c>
      <c r="U30" s="46">
        <v>1</v>
      </c>
      <c r="X30" s="46">
        <v>16</v>
      </c>
      <c r="Y30" s="46">
        <v>17</v>
      </c>
      <c r="Z30" s="46">
        <v>18</v>
      </c>
      <c r="AA30" s="46">
        <v>8</v>
      </c>
      <c r="AB30" s="46">
        <v>6</v>
      </c>
      <c r="AC30" s="46">
        <v>4</v>
      </c>
      <c r="AI30" s="46">
        <v>1</v>
      </c>
      <c r="AJ30" s="46">
        <v>1</v>
      </c>
      <c r="AM30" s="46">
        <v>1</v>
      </c>
      <c r="AQ30" s="46">
        <v>1</v>
      </c>
      <c r="AT30" s="46">
        <v>1</v>
      </c>
      <c r="AU30" s="46">
        <v>1</v>
      </c>
      <c r="AY30" s="46">
        <v>1</v>
      </c>
      <c r="BC30" s="46">
        <v>1</v>
      </c>
      <c r="BG30" s="46">
        <v>1</v>
      </c>
      <c r="BI30" s="46">
        <v>1</v>
      </c>
      <c r="BQ30" s="46">
        <v>1</v>
      </c>
      <c r="BW30" s="46">
        <v>1</v>
      </c>
      <c r="BX30" s="46">
        <v>1</v>
      </c>
      <c r="CA30" s="46">
        <v>1</v>
      </c>
      <c r="CD30" s="46">
        <v>1</v>
      </c>
      <c r="CJ30" s="46">
        <v>1</v>
      </c>
      <c r="CV30" s="50">
        <v>45717</v>
      </c>
    </row>
    <row r="31" spans="1:100">
      <c r="A31" s="46">
        <f t="shared" si="0"/>
        <v>28</v>
      </c>
      <c r="B31" s="46" t="s">
        <v>1556</v>
      </c>
      <c r="C31" s="46" t="s">
        <v>1557</v>
      </c>
      <c r="D31" s="46">
        <v>20</v>
      </c>
      <c r="E31" s="46" t="s">
        <v>1469</v>
      </c>
      <c r="F31" s="46" t="s">
        <v>191</v>
      </c>
      <c r="G31" s="46" t="s">
        <v>112</v>
      </c>
      <c r="J31" s="46">
        <v>1</v>
      </c>
      <c r="N31" s="46">
        <v>1</v>
      </c>
      <c r="R31" s="46">
        <v>1</v>
      </c>
      <c r="U31" s="46">
        <v>1</v>
      </c>
      <c r="X31" s="46">
        <v>11</v>
      </c>
      <c r="Y31" s="46">
        <v>16</v>
      </c>
      <c r="Z31" s="46">
        <v>18</v>
      </c>
      <c r="AA31" s="46">
        <v>2</v>
      </c>
      <c r="AB31" s="46">
        <v>2</v>
      </c>
      <c r="AC31" s="46">
        <v>2</v>
      </c>
      <c r="AI31" s="46">
        <v>1</v>
      </c>
      <c r="AK31" s="46">
        <v>1</v>
      </c>
      <c r="AL31" s="46">
        <v>1</v>
      </c>
      <c r="AU31" s="46">
        <v>1</v>
      </c>
      <c r="AX31" s="46">
        <v>1</v>
      </c>
      <c r="BB31" s="46">
        <v>1</v>
      </c>
      <c r="BJ31" s="46">
        <v>1</v>
      </c>
      <c r="CA31" s="46">
        <v>1</v>
      </c>
      <c r="CD31" s="46">
        <v>1</v>
      </c>
      <c r="CJ31" s="46">
        <v>1</v>
      </c>
      <c r="CV31" s="50">
        <v>46474</v>
      </c>
    </row>
    <row r="32" spans="1:100">
      <c r="A32" s="46">
        <f t="shared" si="0"/>
        <v>29</v>
      </c>
      <c r="B32" s="46" t="s">
        <v>1558</v>
      </c>
      <c r="C32" s="46" t="s">
        <v>1559</v>
      </c>
      <c r="D32" s="46">
        <v>42</v>
      </c>
      <c r="E32" s="46" t="s">
        <v>1505</v>
      </c>
      <c r="F32" s="46" t="s">
        <v>1560</v>
      </c>
      <c r="G32" s="46" t="s">
        <v>112</v>
      </c>
      <c r="I32" s="46">
        <v>1</v>
      </c>
      <c r="N32" s="46">
        <v>1</v>
      </c>
      <c r="S32" s="46">
        <v>1</v>
      </c>
      <c r="U32" s="46">
        <v>1</v>
      </c>
      <c r="X32" s="46">
        <v>15</v>
      </c>
      <c r="Y32" s="46">
        <v>18</v>
      </c>
      <c r="Z32" s="46">
        <v>19</v>
      </c>
      <c r="AA32" s="46">
        <v>9</v>
      </c>
      <c r="AB32" s="46">
        <v>7</v>
      </c>
      <c r="AC32" s="46">
        <v>7</v>
      </c>
      <c r="AH32" s="46">
        <v>1</v>
      </c>
      <c r="AI32" s="46">
        <v>1</v>
      </c>
      <c r="AK32" s="46">
        <v>1</v>
      </c>
      <c r="AL32" s="46">
        <v>1</v>
      </c>
      <c r="AU32" s="46">
        <v>1</v>
      </c>
      <c r="AX32" s="46">
        <v>1</v>
      </c>
      <c r="BB32" s="46">
        <v>1</v>
      </c>
      <c r="BJ32" s="46">
        <v>1</v>
      </c>
      <c r="CA32" s="46">
        <v>1</v>
      </c>
      <c r="CD32" s="46">
        <v>1</v>
      </c>
      <c r="CJ32" s="46">
        <v>1</v>
      </c>
      <c r="CV32" s="50">
        <v>46475</v>
      </c>
    </row>
    <row r="33" spans="1:100">
      <c r="A33" s="46">
        <f t="shared" si="0"/>
        <v>30</v>
      </c>
      <c r="B33" s="46" t="s">
        <v>1561</v>
      </c>
      <c r="C33" s="46" t="s">
        <v>1562</v>
      </c>
      <c r="D33" s="46">
        <v>60</v>
      </c>
      <c r="E33" s="46" t="s">
        <v>1469</v>
      </c>
      <c r="F33" s="46" t="s">
        <v>1563</v>
      </c>
      <c r="G33" s="46" t="s">
        <v>112</v>
      </c>
      <c r="K33" s="46">
        <v>1</v>
      </c>
      <c r="N33" s="46">
        <v>1</v>
      </c>
      <c r="R33" s="46">
        <v>1</v>
      </c>
      <c r="U33" s="46">
        <v>1</v>
      </c>
      <c r="X33" s="46">
        <v>12</v>
      </c>
      <c r="Y33" s="46">
        <v>15</v>
      </c>
      <c r="Z33" s="113"/>
      <c r="AA33" s="46">
        <v>3</v>
      </c>
      <c r="AB33" s="46">
        <v>3</v>
      </c>
      <c r="AC33" s="46">
        <v>3</v>
      </c>
      <c r="AH33" s="46">
        <v>1</v>
      </c>
      <c r="AJ33" s="113"/>
      <c r="AK33" s="113"/>
      <c r="AM33" s="46">
        <v>1</v>
      </c>
      <c r="AP33" s="113"/>
      <c r="AQ33" s="113"/>
      <c r="AR33" s="46" t="s">
        <v>251</v>
      </c>
      <c r="AS33" s="46" t="s">
        <v>275</v>
      </c>
      <c r="AU33" s="46">
        <v>1</v>
      </c>
      <c r="AX33" s="46">
        <v>1</v>
      </c>
      <c r="BB33" s="46">
        <v>1</v>
      </c>
      <c r="BK33" s="46">
        <v>1</v>
      </c>
      <c r="CA33" s="46">
        <v>1</v>
      </c>
      <c r="CD33" s="46">
        <v>1</v>
      </c>
      <c r="CJ33" s="46">
        <v>1</v>
      </c>
      <c r="CV33" s="50">
        <v>46476</v>
      </c>
    </row>
    <row r="34" spans="1:100">
      <c r="A34" s="46">
        <f t="shared" si="0"/>
        <v>31</v>
      </c>
      <c r="B34" s="46" t="s">
        <v>1564</v>
      </c>
      <c r="C34" s="46" t="s">
        <v>1565</v>
      </c>
      <c r="D34" s="46">
        <v>50</v>
      </c>
      <c r="E34" s="46" t="s">
        <v>1566</v>
      </c>
      <c r="F34" s="46" t="s">
        <v>1567</v>
      </c>
      <c r="G34" s="46" t="s">
        <v>112</v>
      </c>
      <c r="I34" s="46">
        <v>1</v>
      </c>
      <c r="M34" s="113"/>
      <c r="N34" s="113"/>
      <c r="O34" s="113"/>
      <c r="P34" s="113"/>
      <c r="Q34" s="113"/>
      <c r="S34" s="46">
        <v>1</v>
      </c>
      <c r="U34" s="46">
        <v>1</v>
      </c>
      <c r="X34" s="46">
        <v>11</v>
      </c>
      <c r="Y34" s="46">
        <v>14</v>
      </c>
      <c r="Z34" s="46">
        <v>18</v>
      </c>
      <c r="AA34" s="46">
        <v>11</v>
      </c>
      <c r="AB34" s="46">
        <v>10</v>
      </c>
      <c r="AC34" s="46">
        <v>9</v>
      </c>
      <c r="AF34" s="46">
        <v>1</v>
      </c>
      <c r="AI34" s="46">
        <v>1</v>
      </c>
      <c r="AJ34" s="46">
        <v>1</v>
      </c>
      <c r="AL34" s="46">
        <v>1</v>
      </c>
      <c r="AU34" s="46">
        <v>1</v>
      </c>
      <c r="AX34" s="46">
        <v>1</v>
      </c>
      <c r="BB34" s="46">
        <v>1</v>
      </c>
      <c r="BK34" s="46">
        <v>1</v>
      </c>
      <c r="CA34" s="46">
        <v>1</v>
      </c>
      <c r="CD34" s="46">
        <v>1</v>
      </c>
      <c r="CJ34" s="46">
        <v>1</v>
      </c>
      <c r="CV34" s="50">
        <v>46477</v>
      </c>
    </row>
    <row r="35" spans="1:100">
      <c r="A35" s="46">
        <f t="shared" si="0"/>
        <v>32</v>
      </c>
      <c r="B35" s="46" t="s">
        <v>1568</v>
      </c>
      <c r="C35" s="46" t="s">
        <v>1569</v>
      </c>
      <c r="D35" s="46">
        <v>21</v>
      </c>
      <c r="E35" s="46" t="s">
        <v>1505</v>
      </c>
      <c r="F35" s="46" t="s">
        <v>1570</v>
      </c>
      <c r="G35" s="46" t="s">
        <v>1509</v>
      </c>
      <c r="H35" s="46">
        <v>1</v>
      </c>
      <c r="N35" s="46">
        <v>1</v>
      </c>
      <c r="R35" s="46">
        <v>1</v>
      </c>
      <c r="V35" s="46">
        <v>1</v>
      </c>
      <c r="X35" s="46">
        <v>14</v>
      </c>
      <c r="Y35" s="46">
        <v>17</v>
      </c>
      <c r="Z35" s="46">
        <v>18</v>
      </c>
      <c r="AA35" s="46">
        <v>1</v>
      </c>
      <c r="AB35" s="46">
        <v>1</v>
      </c>
      <c r="AC35" s="46">
        <v>1</v>
      </c>
      <c r="AF35" s="46">
        <v>1</v>
      </c>
      <c r="AI35" s="46">
        <v>1</v>
      </c>
      <c r="AJ35" s="46">
        <v>1</v>
      </c>
      <c r="AL35" s="46">
        <v>1</v>
      </c>
      <c r="AU35" s="46">
        <v>1</v>
      </c>
      <c r="AX35" s="46">
        <v>1</v>
      </c>
      <c r="BB35" s="46">
        <v>1</v>
      </c>
      <c r="BJ35" s="46">
        <v>1</v>
      </c>
      <c r="BX35" s="46">
        <v>1</v>
      </c>
      <c r="CA35" s="46">
        <v>1</v>
      </c>
      <c r="CD35" s="46">
        <v>1</v>
      </c>
      <c r="CJ35" s="46">
        <v>1</v>
      </c>
      <c r="CV35" s="50">
        <v>46447</v>
      </c>
    </row>
    <row r="36" spans="1:100">
      <c r="A36" s="46">
        <f t="shared" si="0"/>
        <v>33</v>
      </c>
      <c r="B36" s="46" t="s">
        <v>1571</v>
      </c>
      <c r="C36" s="46" t="s">
        <v>1572</v>
      </c>
      <c r="D36" s="46">
        <v>84</v>
      </c>
      <c r="E36" s="46" t="s">
        <v>1526</v>
      </c>
      <c r="F36" s="46" t="s">
        <v>1536</v>
      </c>
      <c r="G36" s="46" t="s">
        <v>112</v>
      </c>
      <c r="H36" s="46">
        <v>1</v>
      </c>
      <c r="Q36" s="46">
        <v>1</v>
      </c>
      <c r="R36" s="46">
        <v>1</v>
      </c>
      <c r="T36" s="46">
        <v>1</v>
      </c>
      <c r="X36" s="113"/>
      <c r="Y36" s="113"/>
      <c r="Z36" s="46">
        <v>35</v>
      </c>
      <c r="AA36" s="46">
        <v>8</v>
      </c>
      <c r="AB36" s="46">
        <v>8</v>
      </c>
      <c r="AC36" s="46">
        <v>2</v>
      </c>
      <c r="AI36" s="46">
        <v>1</v>
      </c>
      <c r="AJ36" s="46">
        <v>1</v>
      </c>
      <c r="AN36" s="46">
        <v>1</v>
      </c>
      <c r="AU36" s="46">
        <v>1</v>
      </c>
      <c r="AX36" s="46">
        <v>1</v>
      </c>
      <c r="BB36" s="46">
        <v>1</v>
      </c>
      <c r="BN36" s="46">
        <v>1</v>
      </c>
      <c r="CA36" s="46">
        <v>1</v>
      </c>
      <c r="CD36" s="46">
        <v>1</v>
      </c>
      <c r="CJ36" s="46">
        <v>1</v>
      </c>
      <c r="CV36" s="50">
        <v>46448</v>
      </c>
    </row>
    <row r="37" spans="1:100">
      <c r="A37" s="46">
        <f t="shared" si="0"/>
        <v>34</v>
      </c>
      <c r="B37" s="46" t="s">
        <v>1573</v>
      </c>
      <c r="C37" s="46" t="s">
        <v>1574</v>
      </c>
      <c r="D37" s="46">
        <v>21</v>
      </c>
      <c r="E37" s="46" t="s">
        <v>1575</v>
      </c>
      <c r="F37" s="46" t="s">
        <v>1576</v>
      </c>
      <c r="G37" s="46" t="s">
        <v>112</v>
      </c>
      <c r="K37" s="46">
        <v>1</v>
      </c>
      <c r="M37" s="46">
        <v>1</v>
      </c>
      <c r="R37" s="113"/>
      <c r="S37" s="113"/>
      <c r="W37" s="46">
        <v>1</v>
      </c>
      <c r="X37" s="46">
        <v>18</v>
      </c>
      <c r="Y37" s="46">
        <v>19</v>
      </c>
      <c r="Z37" s="46" t="s">
        <v>191</v>
      </c>
      <c r="AA37" s="46">
        <v>0</v>
      </c>
      <c r="AB37" s="46">
        <v>0</v>
      </c>
      <c r="AC37" s="46">
        <v>0</v>
      </c>
      <c r="AI37" s="46">
        <v>1</v>
      </c>
      <c r="AJ37" s="46">
        <v>1</v>
      </c>
      <c r="AL37" s="46">
        <v>1</v>
      </c>
      <c r="AU37" s="46">
        <v>1</v>
      </c>
      <c r="AX37" s="46">
        <v>1</v>
      </c>
      <c r="BB37" s="46">
        <v>1</v>
      </c>
      <c r="BJ37" s="46">
        <v>1</v>
      </c>
      <c r="BX37" s="46">
        <v>1</v>
      </c>
      <c r="CA37" s="46">
        <v>1</v>
      </c>
      <c r="CD37" s="46">
        <v>1</v>
      </c>
      <c r="CJ37" s="46">
        <v>1</v>
      </c>
      <c r="CV37" s="50">
        <v>46449</v>
      </c>
    </row>
    <row r="38" spans="1:100">
      <c r="A38" s="46">
        <f t="shared" si="0"/>
        <v>35</v>
      </c>
      <c r="B38" s="46" t="s">
        <v>1577</v>
      </c>
      <c r="C38" s="46" t="s">
        <v>865</v>
      </c>
      <c r="D38" s="46">
        <v>37</v>
      </c>
      <c r="E38" s="46" t="s">
        <v>1575</v>
      </c>
      <c r="F38" s="46" t="s">
        <v>1578</v>
      </c>
      <c r="G38" s="46" t="s">
        <v>112</v>
      </c>
      <c r="I38" s="46">
        <v>1</v>
      </c>
      <c r="N38" s="46">
        <v>1</v>
      </c>
      <c r="S38" s="46">
        <v>1</v>
      </c>
      <c r="U38" s="46">
        <v>1</v>
      </c>
      <c r="X38" s="46">
        <v>19</v>
      </c>
      <c r="Y38" s="46">
        <v>20</v>
      </c>
      <c r="Z38" s="46">
        <v>21</v>
      </c>
      <c r="AA38" s="46">
        <v>7</v>
      </c>
      <c r="AB38" s="46">
        <v>6</v>
      </c>
      <c r="AC38" s="46">
        <v>5</v>
      </c>
      <c r="AI38" s="46">
        <v>1</v>
      </c>
      <c r="AJ38" s="46">
        <v>1</v>
      </c>
      <c r="AL38" s="46">
        <v>1</v>
      </c>
      <c r="AU38" s="46">
        <v>1</v>
      </c>
      <c r="AX38" s="46">
        <v>1</v>
      </c>
      <c r="BB38" s="46">
        <v>1</v>
      </c>
      <c r="BJ38" s="46">
        <v>1</v>
      </c>
      <c r="BX38" s="46">
        <v>1</v>
      </c>
      <c r="CA38" s="46">
        <v>1</v>
      </c>
      <c r="CD38" s="46">
        <v>1</v>
      </c>
      <c r="CJ38" s="46">
        <v>1</v>
      </c>
      <c r="CV38" s="50">
        <v>46450</v>
      </c>
    </row>
    <row r="39" spans="1:100">
      <c r="A39" s="46">
        <f t="shared" si="0"/>
        <v>36</v>
      </c>
      <c r="B39" s="46" t="s">
        <v>1579</v>
      </c>
      <c r="C39" s="46" t="s">
        <v>1580</v>
      </c>
      <c r="D39" s="46">
        <v>26</v>
      </c>
      <c r="E39" s="46" t="s">
        <v>1581</v>
      </c>
      <c r="F39" s="46" t="s">
        <v>1582</v>
      </c>
      <c r="G39" s="46" t="s">
        <v>1509</v>
      </c>
      <c r="J39" s="46">
        <v>1</v>
      </c>
      <c r="N39" s="46">
        <v>1</v>
      </c>
      <c r="R39" s="46">
        <v>1</v>
      </c>
      <c r="U39" s="46">
        <v>1</v>
      </c>
      <c r="X39" s="46">
        <v>14</v>
      </c>
      <c r="Y39" s="46">
        <v>14</v>
      </c>
      <c r="Z39" s="46">
        <v>15</v>
      </c>
      <c r="AA39" s="46">
        <v>5</v>
      </c>
      <c r="AB39" s="46">
        <v>5</v>
      </c>
      <c r="AC39" s="46">
        <v>3</v>
      </c>
      <c r="AH39" s="46">
        <v>1</v>
      </c>
      <c r="AJ39" s="46">
        <v>1</v>
      </c>
      <c r="AL39" s="46">
        <v>1</v>
      </c>
      <c r="AU39" s="46">
        <v>1</v>
      </c>
      <c r="AX39" s="46">
        <v>1</v>
      </c>
      <c r="BB39" s="46">
        <v>1</v>
      </c>
      <c r="BJ39" s="46">
        <v>1</v>
      </c>
      <c r="CA39" s="46">
        <v>1</v>
      </c>
      <c r="CD39" s="46">
        <v>1</v>
      </c>
      <c r="CJ39" s="46">
        <v>1</v>
      </c>
      <c r="CV39" s="50">
        <v>46451</v>
      </c>
    </row>
    <row r="40" spans="1:100">
      <c r="A40" s="46">
        <f t="shared" si="0"/>
        <v>37</v>
      </c>
      <c r="B40" s="46" t="s">
        <v>1583</v>
      </c>
      <c r="C40" s="46" t="s">
        <v>1584</v>
      </c>
      <c r="D40" s="46">
        <v>42</v>
      </c>
      <c r="E40" s="46" t="s">
        <v>1469</v>
      </c>
      <c r="F40" s="46" t="s">
        <v>1585</v>
      </c>
      <c r="G40" s="46" t="s">
        <v>112</v>
      </c>
      <c r="J40" s="46">
        <v>1</v>
      </c>
      <c r="N40" s="46">
        <v>1</v>
      </c>
      <c r="R40" s="46">
        <v>1</v>
      </c>
      <c r="U40" s="46">
        <v>1</v>
      </c>
      <c r="X40" s="46">
        <v>15</v>
      </c>
      <c r="Y40" s="46">
        <v>16</v>
      </c>
      <c r="Z40" s="46">
        <v>16</v>
      </c>
      <c r="AA40" s="46">
        <v>14</v>
      </c>
      <c r="AB40" s="46">
        <v>11</v>
      </c>
      <c r="AC40" s="46">
        <v>9</v>
      </c>
      <c r="AI40" s="46">
        <v>1</v>
      </c>
      <c r="AJ40" s="46">
        <v>1</v>
      </c>
      <c r="AL40" s="46">
        <v>1</v>
      </c>
      <c r="AU40" s="46">
        <v>1</v>
      </c>
      <c r="AX40" s="46">
        <v>1</v>
      </c>
      <c r="BB40" s="46">
        <v>1</v>
      </c>
      <c r="BJ40" s="46">
        <v>1</v>
      </c>
      <c r="CB40" s="46">
        <v>1</v>
      </c>
      <c r="CC40" s="46" t="s">
        <v>360</v>
      </c>
      <c r="CD40" s="46">
        <v>1</v>
      </c>
      <c r="CJ40" s="46">
        <v>1</v>
      </c>
      <c r="CV40" s="50">
        <v>46452</v>
      </c>
    </row>
    <row r="41" spans="1:100">
      <c r="A41" s="46">
        <f t="shared" si="0"/>
        <v>38</v>
      </c>
      <c r="B41" s="46" t="s">
        <v>1586</v>
      </c>
      <c r="C41" s="46" t="s">
        <v>1587</v>
      </c>
      <c r="D41" s="46">
        <v>53</v>
      </c>
      <c r="E41" s="46" t="s">
        <v>1469</v>
      </c>
      <c r="F41" s="46" t="s">
        <v>1502</v>
      </c>
      <c r="G41" s="46" t="s">
        <v>112</v>
      </c>
      <c r="J41" s="46">
        <v>1</v>
      </c>
      <c r="P41" s="46">
        <v>1</v>
      </c>
      <c r="R41" s="113"/>
      <c r="S41" s="113"/>
      <c r="U41" s="46">
        <v>1</v>
      </c>
      <c r="X41" s="46">
        <v>15</v>
      </c>
      <c r="Y41" s="46">
        <v>16</v>
      </c>
      <c r="Z41" s="46">
        <v>18</v>
      </c>
      <c r="AA41" s="46">
        <v>1</v>
      </c>
      <c r="AB41" s="46">
        <v>1</v>
      </c>
      <c r="AC41" s="46">
        <v>1</v>
      </c>
      <c r="AI41" s="46">
        <v>1</v>
      </c>
      <c r="AJ41" s="46">
        <v>1</v>
      </c>
      <c r="AL41" s="46">
        <v>1</v>
      </c>
      <c r="AU41" s="46">
        <v>1</v>
      </c>
      <c r="AY41" s="46">
        <v>1</v>
      </c>
      <c r="BC41" s="46">
        <v>1</v>
      </c>
      <c r="BG41" s="46">
        <v>1</v>
      </c>
      <c r="BK41" s="46">
        <v>1</v>
      </c>
      <c r="CA41" s="46">
        <v>1</v>
      </c>
      <c r="CD41" s="46">
        <v>1</v>
      </c>
      <c r="CJ41" s="46">
        <v>1</v>
      </c>
      <c r="CV41" s="50">
        <v>46453</v>
      </c>
    </row>
    <row r="42" spans="1:100">
      <c r="A42" s="46">
        <f t="shared" si="0"/>
        <v>39</v>
      </c>
      <c r="B42" s="46" t="s">
        <v>1588</v>
      </c>
      <c r="C42" s="46" t="s">
        <v>1589</v>
      </c>
      <c r="D42" s="46">
        <v>62</v>
      </c>
      <c r="E42" s="46" t="s">
        <v>1508</v>
      </c>
      <c r="F42" s="46" t="s">
        <v>1590</v>
      </c>
      <c r="G42" s="46" t="s">
        <v>112</v>
      </c>
      <c r="I42" s="46">
        <v>1</v>
      </c>
      <c r="P42" s="46">
        <v>1</v>
      </c>
      <c r="S42" s="46">
        <v>1</v>
      </c>
      <c r="T42" s="46">
        <v>1</v>
      </c>
      <c r="X42" s="46">
        <v>14</v>
      </c>
      <c r="Y42" s="46">
        <v>16</v>
      </c>
      <c r="Z42" s="46">
        <v>16</v>
      </c>
      <c r="AA42" s="46">
        <v>9</v>
      </c>
      <c r="AB42" s="46">
        <v>9</v>
      </c>
      <c r="AC42" s="46">
        <v>9</v>
      </c>
      <c r="AE42" s="46">
        <v>1</v>
      </c>
      <c r="AJ42" s="46">
        <v>1</v>
      </c>
      <c r="AL42" s="46">
        <v>1</v>
      </c>
      <c r="AU42" s="46">
        <v>1</v>
      </c>
      <c r="AX42" s="46">
        <v>1</v>
      </c>
      <c r="BB42" s="46">
        <v>1</v>
      </c>
      <c r="BK42" s="46">
        <v>1</v>
      </c>
      <c r="CA42" s="46">
        <v>1</v>
      </c>
      <c r="CD42" s="46">
        <v>1</v>
      </c>
      <c r="CJ42" s="46">
        <v>1</v>
      </c>
      <c r="CV42" s="50">
        <v>46454</v>
      </c>
    </row>
    <row r="43" spans="1:100">
      <c r="A43" s="46">
        <f t="shared" si="0"/>
        <v>40</v>
      </c>
      <c r="B43" s="46" t="s">
        <v>1591</v>
      </c>
      <c r="C43" s="46" t="s">
        <v>1592</v>
      </c>
      <c r="D43" s="46">
        <v>38</v>
      </c>
      <c r="E43" s="46" t="s">
        <v>1575</v>
      </c>
      <c r="F43" s="46" t="s">
        <v>1593</v>
      </c>
      <c r="G43" s="46" t="s">
        <v>112</v>
      </c>
      <c r="I43" s="46">
        <v>1</v>
      </c>
      <c r="N43" s="46">
        <v>1</v>
      </c>
      <c r="S43" s="46">
        <v>1</v>
      </c>
      <c r="U43" s="46">
        <v>1</v>
      </c>
      <c r="X43" s="46">
        <v>16</v>
      </c>
      <c r="Y43" s="46">
        <v>17</v>
      </c>
      <c r="Z43" s="46">
        <v>18</v>
      </c>
      <c r="AA43" s="46">
        <v>9</v>
      </c>
      <c r="AB43" s="46">
        <v>8</v>
      </c>
      <c r="AC43" s="46">
        <v>8</v>
      </c>
      <c r="AI43" s="46">
        <v>1</v>
      </c>
      <c r="AJ43" s="46">
        <v>1</v>
      </c>
      <c r="AL43" s="46">
        <v>1</v>
      </c>
      <c r="AU43" s="46">
        <v>1</v>
      </c>
      <c r="AX43" s="46">
        <v>1</v>
      </c>
      <c r="BC43" s="46">
        <v>1</v>
      </c>
      <c r="BG43" s="46">
        <v>1</v>
      </c>
      <c r="BJ43" s="46">
        <v>1</v>
      </c>
      <c r="CA43" s="46">
        <v>1</v>
      </c>
      <c r="CD43" s="46">
        <v>1</v>
      </c>
      <c r="CJ43" s="46">
        <v>1</v>
      </c>
      <c r="CV43" s="50">
        <v>46455</v>
      </c>
    </row>
    <row r="44" spans="1:100">
      <c r="A44" s="46">
        <f t="shared" si="0"/>
        <v>41</v>
      </c>
      <c r="B44" s="46" t="s">
        <v>1594</v>
      </c>
      <c r="C44" s="46" t="s">
        <v>1595</v>
      </c>
      <c r="D44" s="46">
        <v>38</v>
      </c>
      <c r="E44" s="46" t="s">
        <v>1549</v>
      </c>
      <c r="F44" s="46" t="s">
        <v>1596</v>
      </c>
      <c r="G44" s="46" t="s">
        <v>112</v>
      </c>
      <c r="I44" s="46">
        <v>1</v>
      </c>
      <c r="N44" s="46">
        <v>1</v>
      </c>
      <c r="R44" s="46">
        <v>1</v>
      </c>
      <c r="U44" s="46">
        <v>1</v>
      </c>
      <c r="X44" s="46">
        <v>15</v>
      </c>
      <c r="Y44" s="46">
        <v>15</v>
      </c>
      <c r="Z44" s="46">
        <v>15</v>
      </c>
      <c r="AA44" s="46">
        <v>8</v>
      </c>
      <c r="AB44" s="46">
        <v>8</v>
      </c>
      <c r="AC44" s="46">
        <v>6</v>
      </c>
      <c r="AE44" s="46">
        <v>1</v>
      </c>
      <c r="AI44" s="46">
        <v>1</v>
      </c>
      <c r="AK44" s="46">
        <v>1</v>
      </c>
      <c r="AL44" s="46">
        <v>1</v>
      </c>
      <c r="AU44" s="46">
        <v>1</v>
      </c>
      <c r="AX44" s="46">
        <v>1</v>
      </c>
      <c r="BB44" s="46">
        <v>1</v>
      </c>
      <c r="BJ44" s="46">
        <v>1</v>
      </c>
      <c r="BX44" s="46">
        <v>1</v>
      </c>
      <c r="CA44" s="46">
        <v>1</v>
      </c>
      <c r="CD44" s="46">
        <v>1</v>
      </c>
      <c r="CJ44" s="46">
        <v>1</v>
      </c>
      <c r="CV44" s="50">
        <v>46456</v>
      </c>
    </row>
    <row r="45" spans="1:100">
      <c r="A45" s="46">
        <f t="shared" si="0"/>
        <v>42</v>
      </c>
      <c r="B45" s="46" t="s">
        <v>1597</v>
      </c>
      <c r="C45" s="46" t="s">
        <v>1598</v>
      </c>
      <c r="D45" s="46">
        <v>47</v>
      </c>
      <c r="E45" s="46" t="s">
        <v>1484</v>
      </c>
      <c r="F45" s="46" t="s">
        <v>1599</v>
      </c>
      <c r="G45" s="46" t="s">
        <v>127</v>
      </c>
      <c r="I45" s="46">
        <v>1</v>
      </c>
      <c r="N45" s="46">
        <v>1</v>
      </c>
      <c r="R45" s="113"/>
      <c r="S45" s="113"/>
      <c r="T45" s="46">
        <v>1</v>
      </c>
      <c r="X45" s="46">
        <v>15</v>
      </c>
      <c r="Y45" s="46">
        <v>13</v>
      </c>
      <c r="Z45" s="46">
        <v>16</v>
      </c>
      <c r="AA45" s="46">
        <v>10</v>
      </c>
      <c r="AB45" s="46">
        <v>7</v>
      </c>
      <c r="AC45" s="46">
        <v>7</v>
      </c>
      <c r="AI45" s="46">
        <v>1</v>
      </c>
      <c r="AJ45" s="46">
        <v>1</v>
      </c>
      <c r="AL45" s="46">
        <v>1</v>
      </c>
      <c r="AU45" s="46">
        <v>1</v>
      </c>
      <c r="AX45" s="46">
        <v>1</v>
      </c>
      <c r="BB45" s="46">
        <v>1</v>
      </c>
      <c r="BJ45" s="46">
        <v>1</v>
      </c>
      <c r="CB45" s="46">
        <v>1</v>
      </c>
      <c r="CC45" s="46" t="s">
        <v>1600</v>
      </c>
      <c r="CD45" s="46">
        <v>1</v>
      </c>
      <c r="CJ45" s="46">
        <v>1</v>
      </c>
      <c r="CV45" s="50">
        <v>46457</v>
      </c>
    </row>
    <row r="46" spans="1:100">
      <c r="A46" s="46">
        <f t="shared" si="0"/>
        <v>43</v>
      </c>
      <c r="B46" s="46" t="s">
        <v>1601</v>
      </c>
      <c r="C46" s="46" t="s">
        <v>1602</v>
      </c>
      <c r="D46" s="46">
        <v>44</v>
      </c>
      <c r="E46" s="46" t="s">
        <v>1505</v>
      </c>
      <c r="F46" s="46" t="s">
        <v>1603</v>
      </c>
      <c r="G46" s="46" t="s">
        <v>112</v>
      </c>
      <c r="I46" s="46">
        <v>1</v>
      </c>
      <c r="N46" s="46">
        <v>1</v>
      </c>
      <c r="S46" s="46">
        <v>1</v>
      </c>
      <c r="V46" s="46">
        <v>1</v>
      </c>
      <c r="X46" s="46">
        <v>15</v>
      </c>
      <c r="Y46" s="46">
        <v>16</v>
      </c>
      <c r="Z46" s="46">
        <v>22</v>
      </c>
      <c r="AA46" s="46">
        <v>8</v>
      </c>
      <c r="AB46" s="46">
        <v>6</v>
      </c>
      <c r="AC46" s="46">
        <v>6</v>
      </c>
      <c r="AI46" s="46">
        <v>1</v>
      </c>
      <c r="AK46" s="46">
        <v>1</v>
      </c>
      <c r="AL46" s="46">
        <v>1</v>
      </c>
      <c r="AU46" s="46">
        <v>1</v>
      </c>
      <c r="AX46" s="46">
        <v>1</v>
      </c>
      <c r="BB46" s="46">
        <v>1</v>
      </c>
      <c r="BJ46" s="46">
        <v>1</v>
      </c>
      <c r="CA46" s="46">
        <v>1</v>
      </c>
      <c r="CD46" s="46">
        <v>1</v>
      </c>
      <c r="CJ46" s="46">
        <v>1</v>
      </c>
      <c r="CV46" s="50">
        <v>46458</v>
      </c>
    </row>
    <row r="47" spans="1:100">
      <c r="A47" s="46">
        <f t="shared" si="0"/>
        <v>44</v>
      </c>
      <c r="B47" s="46" t="s">
        <v>1604</v>
      </c>
      <c r="C47" s="46" t="s">
        <v>1605</v>
      </c>
      <c r="D47" s="46">
        <v>36</v>
      </c>
      <c r="E47" s="46" t="s">
        <v>1484</v>
      </c>
      <c r="F47" s="46" t="s">
        <v>1606</v>
      </c>
      <c r="G47" s="46" t="s">
        <v>1509</v>
      </c>
      <c r="I47" s="46">
        <v>1</v>
      </c>
      <c r="N47" s="46">
        <v>1</v>
      </c>
      <c r="S47" s="46">
        <v>1</v>
      </c>
      <c r="T47" s="46">
        <v>1</v>
      </c>
      <c r="X47" s="46">
        <v>15</v>
      </c>
      <c r="Y47" s="46">
        <v>16</v>
      </c>
      <c r="Z47" s="46">
        <v>17</v>
      </c>
      <c r="AA47" s="46">
        <v>9</v>
      </c>
      <c r="AB47" s="46">
        <v>8</v>
      </c>
      <c r="AC47" s="46">
        <v>7</v>
      </c>
      <c r="AI47" s="46">
        <v>1</v>
      </c>
      <c r="AK47" s="46">
        <v>1</v>
      </c>
      <c r="AL47" s="46">
        <v>1</v>
      </c>
      <c r="AU47" s="46">
        <v>1</v>
      </c>
      <c r="AY47" s="46">
        <v>1</v>
      </c>
      <c r="BB47" s="46">
        <v>1</v>
      </c>
      <c r="BJ47" s="46">
        <v>1</v>
      </c>
      <c r="BX47" s="46">
        <v>1</v>
      </c>
      <c r="CA47" s="46">
        <v>1</v>
      </c>
      <c r="CD47" s="46">
        <v>1</v>
      </c>
      <c r="CJ47" s="46">
        <v>1</v>
      </c>
      <c r="CV47" s="50">
        <v>46459</v>
      </c>
    </row>
    <row r="48" spans="1:100">
      <c r="A48" s="46">
        <f t="shared" si="0"/>
        <v>45</v>
      </c>
      <c r="B48" s="46" t="s">
        <v>1607</v>
      </c>
      <c r="C48" s="46" t="s">
        <v>1608</v>
      </c>
      <c r="D48" s="46">
        <v>20</v>
      </c>
      <c r="E48" s="46" t="s">
        <v>1609</v>
      </c>
      <c r="F48" s="46" t="s">
        <v>1610</v>
      </c>
      <c r="G48" s="46" t="s">
        <v>112</v>
      </c>
      <c r="J48" s="46">
        <v>1</v>
      </c>
      <c r="N48" s="46">
        <v>1</v>
      </c>
      <c r="S48" s="46">
        <v>1</v>
      </c>
      <c r="U48" s="46">
        <v>1</v>
      </c>
      <c r="X48" s="46">
        <v>14</v>
      </c>
      <c r="Y48" s="46">
        <v>17</v>
      </c>
      <c r="Z48" s="46">
        <v>20</v>
      </c>
      <c r="AA48" s="46">
        <v>1</v>
      </c>
      <c r="AB48" s="46">
        <v>1</v>
      </c>
      <c r="AC48" s="46">
        <v>1</v>
      </c>
      <c r="AI48" s="46">
        <v>1</v>
      </c>
      <c r="AK48" s="46">
        <v>1</v>
      </c>
      <c r="AL48" s="46">
        <v>1</v>
      </c>
      <c r="AU48" s="46">
        <v>1</v>
      </c>
      <c r="AX48" s="46">
        <v>1</v>
      </c>
      <c r="BB48" s="46">
        <v>1</v>
      </c>
      <c r="BJ48" s="46">
        <v>1</v>
      </c>
      <c r="CA48" s="46">
        <v>1</v>
      </c>
      <c r="CD48" s="46">
        <v>1</v>
      </c>
      <c r="CJ48" s="46">
        <v>1</v>
      </c>
      <c r="CV48" s="50">
        <v>46460</v>
      </c>
    </row>
    <row r="49" spans="1:100">
      <c r="A49" s="46">
        <f t="shared" si="0"/>
        <v>46</v>
      </c>
      <c r="B49" s="46" t="s">
        <v>1611</v>
      </c>
      <c r="C49" s="46" t="s">
        <v>1612</v>
      </c>
      <c r="D49" s="46">
        <v>50</v>
      </c>
      <c r="E49" s="46" t="s">
        <v>1469</v>
      </c>
      <c r="F49" s="46" t="s">
        <v>191</v>
      </c>
      <c r="G49" s="46" t="s">
        <v>112</v>
      </c>
      <c r="I49" s="46">
        <v>1</v>
      </c>
      <c r="N49" s="46">
        <v>1</v>
      </c>
      <c r="S49" s="46">
        <v>1</v>
      </c>
      <c r="U49" s="46">
        <v>1</v>
      </c>
      <c r="X49" s="46">
        <v>19</v>
      </c>
      <c r="Y49" s="46">
        <v>19</v>
      </c>
      <c r="Z49" s="46">
        <v>20</v>
      </c>
      <c r="AA49" s="46">
        <v>8</v>
      </c>
      <c r="AB49" s="46">
        <v>7</v>
      </c>
      <c r="AC49" s="46">
        <v>7</v>
      </c>
      <c r="AF49" s="46">
        <v>1</v>
      </c>
      <c r="AI49" s="46">
        <v>1</v>
      </c>
      <c r="AJ49" s="46">
        <v>1</v>
      </c>
      <c r="AL49" s="46">
        <v>1</v>
      </c>
      <c r="AU49" s="46">
        <v>1</v>
      </c>
      <c r="AX49" s="46">
        <v>1</v>
      </c>
      <c r="BB49" s="46">
        <v>1</v>
      </c>
      <c r="BJ49" s="46">
        <v>1</v>
      </c>
      <c r="CA49" s="46">
        <v>1</v>
      </c>
      <c r="CD49" s="46">
        <v>1</v>
      </c>
      <c r="CJ49" s="46">
        <v>1</v>
      </c>
      <c r="CV49" s="50">
        <v>46461</v>
      </c>
    </row>
    <row r="50" spans="1:100">
      <c r="A50" s="46">
        <f t="shared" si="0"/>
        <v>47</v>
      </c>
      <c r="B50" s="46" t="s">
        <v>1613</v>
      </c>
      <c r="C50" s="46" t="s">
        <v>1614</v>
      </c>
      <c r="D50" s="46">
        <v>38</v>
      </c>
      <c r="E50" s="46" t="s">
        <v>1581</v>
      </c>
      <c r="F50" s="46" t="s">
        <v>1615</v>
      </c>
      <c r="G50" s="46" t="s">
        <v>145</v>
      </c>
      <c r="K50" s="46">
        <v>1</v>
      </c>
      <c r="N50" s="46">
        <v>1</v>
      </c>
      <c r="S50" s="46">
        <v>1</v>
      </c>
      <c r="W50" s="46">
        <v>1</v>
      </c>
      <c r="X50" s="46">
        <v>14</v>
      </c>
      <c r="Y50" s="46">
        <v>27</v>
      </c>
      <c r="Z50" s="46">
        <v>32</v>
      </c>
      <c r="AA50" s="46">
        <v>3</v>
      </c>
      <c r="AB50" s="46">
        <v>3</v>
      </c>
      <c r="AC50" s="46">
        <v>3</v>
      </c>
      <c r="AI50" s="46">
        <v>1</v>
      </c>
      <c r="AJ50" s="46">
        <v>1</v>
      </c>
      <c r="AL50" s="46">
        <v>1</v>
      </c>
      <c r="AU50" s="46">
        <v>1</v>
      </c>
      <c r="AX50" s="46">
        <v>1</v>
      </c>
      <c r="BB50" s="46">
        <v>1</v>
      </c>
      <c r="BJ50" s="46">
        <v>1</v>
      </c>
      <c r="BX50" s="46">
        <v>1</v>
      </c>
      <c r="CA50" s="46">
        <v>1</v>
      </c>
      <c r="CD50" s="46">
        <v>1</v>
      </c>
      <c r="CJ50" s="46">
        <v>1</v>
      </c>
      <c r="CV50" s="50">
        <v>46462</v>
      </c>
    </row>
    <row r="51" spans="1:100">
      <c r="A51" s="46">
        <f t="shared" si="0"/>
        <v>48</v>
      </c>
      <c r="B51" s="46" t="s">
        <v>1616</v>
      </c>
      <c r="C51" s="46" t="s">
        <v>1617</v>
      </c>
      <c r="D51" s="46">
        <v>18</v>
      </c>
      <c r="E51" s="46" t="s">
        <v>1469</v>
      </c>
      <c r="F51" s="46" t="s">
        <v>191</v>
      </c>
      <c r="G51" s="46" t="s">
        <v>112</v>
      </c>
      <c r="J51" s="46">
        <v>1</v>
      </c>
      <c r="M51" s="46">
        <v>1</v>
      </c>
      <c r="R51" s="46" t="s">
        <v>191</v>
      </c>
      <c r="U51" s="46">
        <v>1</v>
      </c>
      <c r="X51" s="46">
        <v>14</v>
      </c>
      <c r="Y51" s="46">
        <v>16</v>
      </c>
      <c r="Z51" s="46">
        <v>17</v>
      </c>
      <c r="AA51" s="46">
        <v>1</v>
      </c>
      <c r="AB51" s="46">
        <v>1</v>
      </c>
      <c r="AC51" s="46">
        <v>1</v>
      </c>
      <c r="AI51" s="46">
        <v>1</v>
      </c>
      <c r="AK51" s="46">
        <v>1</v>
      </c>
      <c r="AL51" s="46">
        <v>1</v>
      </c>
      <c r="AU51" s="46">
        <v>1</v>
      </c>
      <c r="AX51" s="46">
        <v>1</v>
      </c>
      <c r="BB51" s="46">
        <v>1</v>
      </c>
      <c r="BN51" s="46">
        <v>1</v>
      </c>
      <c r="CA51" s="46">
        <v>1</v>
      </c>
      <c r="CD51" s="46">
        <v>1</v>
      </c>
      <c r="CJ51" s="46">
        <v>1</v>
      </c>
      <c r="CV51" s="50">
        <v>46463</v>
      </c>
    </row>
    <row r="52" spans="1:100">
      <c r="A52" s="46">
        <f t="shared" si="0"/>
        <v>49</v>
      </c>
      <c r="B52" s="46" t="s">
        <v>1618</v>
      </c>
      <c r="C52" s="46" t="s">
        <v>1619</v>
      </c>
      <c r="D52" s="46">
        <v>40</v>
      </c>
      <c r="E52" s="46" t="s">
        <v>1192</v>
      </c>
      <c r="F52" s="46" t="s">
        <v>191</v>
      </c>
      <c r="G52" s="46" t="s">
        <v>1279</v>
      </c>
      <c r="H52" s="46">
        <v>1</v>
      </c>
      <c r="N52" s="46">
        <v>1</v>
      </c>
      <c r="S52" s="46">
        <v>1</v>
      </c>
      <c r="U52" s="46">
        <v>1</v>
      </c>
      <c r="X52" s="46">
        <v>15</v>
      </c>
      <c r="Y52" s="46">
        <v>20</v>
      </c>
      <c r="Z52" s="46">
        <v>20</v>
      </c>
      <c r="AA52" s="46">
        <v>9</v>
      </c>
      <c r="AB52" s="46">
        <v>9</v>
      </c>
      <c r="AC52" s="46">
        <v>7</v>
      </c>
      <c r="AF52" s="46">
        <v>1</v>
      </c>
      <c r="AI52" s="46">
        <v>1</v>
      </c>
      <c r="AJ52" s="46">
        <v>1</v>
      </c>
      <c r="AN52" s="46">
        <v>1</v>
      </c>
      <c r="AU52" s="46">
        <v>1</v>
      </c>
      <c r="AX52" s="46">
        <v>1</v>
      </c>
      <c r="BB52" s="46">
        <v>1</v>
      </c>
      <c r="BK52" s="46">
        <v>1</v>
      </c>
      <c r="CA52" s="46">
        <v>1</v>
      </c>
      <c r="CD52" s="46">
        <v>1</v>
      </c>
      <c r="CJ52" s="46">
        <v>1</v>
      </c>
      <c r="CV52" s="50">
        <v>46464</v>
      </c>
    </row>
    <row r="53" spans="1:100">
      <c r="A53" s="46">
        <f t="shared" si="0"/>
        <v>50</v>
      </c>
      <c r="B53" s="46" t="s">
        <v>1620</v>
      </c>
      <c r="C53" s="46" t="s">
        <v>1621</v>
      </c>
      <c r="D53" s="46">
        <v>18</v>
      </c>
      <c r="E53" s="46" t="s">
        <v>1575</v>
      </c>
      <c r="F53" s="46" t="s">
        <v>1622</v>
      </c>
      <c r="G53" s="46" t="s">
        <v>112</v>
      </c>
      <c r="I53" s="46">
        <v>1</v>
      </c>
      <c r="M53" s="46">
        <v>1</v>
      </c>
      <c r="R53" s="46" t="s">
        <v>191</v>
      </c>
      <c r="V53" s="46">
        <v>1</v>
      </c>
      <c r="X53" s="46">
        <v>14</v>
      </c>
      <c r="Y53" s="46">
        <v>16</v>
      </c>
      <c r="Z53" s="46" t="s">
        <v>191</v>
      </c>
      <c r="AA53" s="46">
        <v>0</v>
      </c>
      <c r="AB53" s="46">
        <v>0</v>
      </c>
      <c r="AC53" s="46">
        <v>0</v>
      </c>
      <c r="AF53" s="46">
        <v>1</v>
      </c>
      <c r="AJ53" s="46">
        <v>1</v>
      </c>
      <c r="AN53" s="46">
        <v>1</v>
      </c>
      <c r="AU53" s="46">
        <v>1</v>
      </c>
      <c r="AY53" s="46">
        <v>1</v>
      </c>
      <c r="BB53" s="46">
        <v>1</v>
      </c>
      <c r="BJ53" s="46">
        <v>1</v>
      </c>
      <c r="BX53" s="46">
        <v>1</v>
      </c>
      <c r="CA53" s="46">
        <v>1</v>
      </c>
      <c r="CD53" s="46">
        <v>1</v>
      </c>
      <c r="CJ53" s="46">
        <v>1</v>
      </c>
      <c r="CV53" s="50">
        <v>46465</v>
      </c>
    </row>
    <row r="54" spans="1:100">
      <c r="A54" s="46">
        <f t="shared" si="0"/>
        <v>51</v>
      </c>
      <c r="B54" s="46" t="s">
        <v>1623</v>
      </c>
      <c r="C54" s="46" t="s">
        <v>1624</v>
      </c>
      <c r="D54" s="46">
        <v>40</v>
      </c>
      <c r="E54" s="46" t="s">
        <v>1472</v>
      </c>
      <c r="F54" s="46" t="s">
        <v>1625</v>
      </c>
      <c r="G54" s="46" t="s">
        <v>112</v>
      </c>
      <c r="I54" s="46">
        <v>1</v>
      </c>
      <c r="N54" s="46">
        <v>1</v>
      </c>
      <c r="R54" s="46">
        <v>1</v>
      </c>
      <c r="U54" s="46">
        <v>1</v>
      </c>
      <c r="X54" s="46">
        <v>12</v>
      </c>
      <c r="Y54" s="46">
        <v>18</v>
      </c>
      <c r="Z54" s="46">
        <v>19</v>
      </c>
      <c r="AA54" s="46">
        <v>8</v>
      </c>
      <c r="AB54" s="46">
        <v>8</v>
      </c>
      <c r="AC54" s="46">
        <v>8</v>
      </c>
      <c r="AE54" s="46">
        <v>1</v>
      </c>
      <c r="AF54" s="46">
        <v>1</v>
      </c>
      <c r="AI54" s="46">
        <v>1</v>
      </c>
      <c r="AK54" s="46">
        <v>1</v>
      </c>
      <c r="AL54" s="46">
        <v>1</v>
      </c>
      <c r="AU54" s="46">
        <v>1</v>
      </c>
      <c r="AX54" s="46">
        <v>1</v>
      </c>
      <c r="BB54" s="46">
        <v>1</v>
      </c>
      <c r="BI54" s="46">
        <v>1</v>
      </c>
      <c r="BO54" s="46">
        <v>1</v>
      </c>
      <c r="BP54" s="46" t="s">
        <v>1626</v>
      </c>
      <c r="CA54" s="46">
        <v>1</v>
      </c>
      <c r="CD54" s="46">
        <v>1</v>
      </c>
      <c r="CJ54" s="46">
        <v>1</v>
      </c>
      <c r="CV54" s="129">
        <v>45383</v>
      </c>
    </row>
    <row r="55" spans="1:100">
      <c r="A55" s="46">
        <f t="shared" si="0"/>
        <v>52</v>
      </c>
      <c r="B55" s="46" t="s">
        <v>1627</v>
      </c>
      <c r="C55" s="46" t="s">
        <v>1628</v>
      </c>
      <c r="D55" s="46">
        <v>31</v>
      </c>
      <c r="E55" s="46" t="s">
        <v>1549</v>
      </c>
      <c r="F55" s="46" t="s">
        <v>1629</v>
      </c>
      <c r="G55" s="46" t="s">
        <v>112</v>
      </c>
      <c r="J55" s="46">
        <v>1</v>
      </c>
      <c r="N55" s="46">
        <v>1</v>
      </c>
      <c r="S55" s="46">
        <v>1</v>
      </c>
      <c r="V55" s="46">
        <v>1</v>
      </c>
      <c r="X55" s="46">
        <v>17</v>
      </c>
      <c r="Y55" s="46">
        <v>15</v>
      </c>
      <c r="Z55" s="46">
        <v>20</v>
      </c>
      <c r="AA55" s="46">
        <v>7</v>
      </c>
      <c r="AB55" s="46">
        <v>5</v>
      </c>
      <c r="AC55" s="46">
        <v>5</v>
      </c>
      <c r="AH55" s="46">
        <v>1</v>
      </c>
      <c r="AJ55" s="46">
        <v>1</v>
      </c>
      <c r="AL55" s="46">
        <v>1</v>
      </c>
      <c r="AU55" s="46">
        <v>1</v>
      </c>
      <c r="AX55" s="46">
        <v>1</v>
      </c>
      <c r="BB55" s="46">
        <v>1</v>
      </c>
      <c r="BI55" s="46">
        <v>1</v>
      </c>
      <c r="BQ55" s="46">
        <v>1</v>
      </c>
      <c r="BW55" s="46">
        <v>1</v>
      </c>
      <c r="BX55" s="46">
        <v>1</v>
      </c>
      <c r="CA55" s="46">
        <v>1</v>
      </c>
      <c r="CD55" s="46">
        <v>1</v>
      </c>
      <c r="CJ55" s="46">
        <v>1</v>
      </c>
      <c r="CV55" s="129">
        <v>45717</v>
      </c>
    </row>
    <row r="56" spans="1:100">
      <c r="A56" s="46">
        <f t="shared" si="0"/>
        <v>53</v>
      </c>
      <c r="B56" s="46" t="s">
        <v>1630</v>
      </c>
      <c r="C56" s="46" t="s">
        <v>1631</v>
      </c>
      <c r="D56" s="46">
        <v>32</v>
      </c>
      <c r="E56" s="46" t="s">
        <v>1632</v>
      </c>
      <c r="F56" s="46" t="s">
        <v>1633</v>
      </c>
      <c r="G56" s="46" t="s">
        <v>112</v>
      </c>
      <c r="I56" s="46">
        <v>1</v>
      </c>
      <c r="N56" s="46">
        <v>1</v>
      </c>
      <c r="S56" s="46">
        <v>1</v>
      </c>
      <c r="U56" s="46">
        <v>1</v>
      </c>
      <c r="X56" s="46">
        <v>14</v>
      </c>
      <c r="Y56" s="46">
        <v>15</v>
      </c>
      <c r="Z56" s="46">
        <v>16</v>
      </c>
      <c r="AA56" s="46">
        <v>7</v>
      </c>
      <c r="AB56" s="46">
        <v>5</v>
      </c>
      <c r="AC56" s="46">
        <v>5</v>
      </c>
      <c r="AF56" s="46">
        <v>1</v>
      </c>
      <c r="AH56" s="46">
        <v>1</v>
      </c>
      <c r="AI56" s="46">
        <v>1</v>
      </c>
      <c r="AK56" s="46">
        <v>1</v>
      </c>
      <c r="AL56" s="46">
        <v>1</v>
      </c>
      <c r="AU56" s="46">
        <v>1</v>
      </c>
      <c r="AX56" s="46">
        <v>1</v>
      </c>
      <c r="BB56" s="46">
        <v>1</v>
      </c>
      <c r="BI56" s="46">
        <v>1</v>
      </c>
      <c r="BQ56" s="46">
        <v>1</v>
      </c>
      <c r="BW56" s="46">
        <v>1</v>
      </c>
      <c r="BX56" s="46">
        <v>1</v>
      </c>
      <c r="CA56" s="46">
        <v>1</v>
      </c>
      <c r="CD56" s="46">
        <v>1</v>
      </c>
      <c r="CJ56" s="46">
        <v>1</v>
      </c>
      <c r="CV56" s="129">
        <v>45718</v>
      </c>
    </row>
    <row r="57" spans="1:100">
      <c r="CV57" s="50"/>
    </row>
    <row r="58" spans="1:100">
      <c r="CV58" s="50"/>
    </row>
    <row r="59" spans="1:100">
      <c r="CV59" s="50"/>
    </row>
    <row r="60" spans="1:100">
      <c r="CV60" s="50"/>
    </row>
  </sheetData>
  <autoFilter ref="B3:CV56"/>
  <mergeCells count="29">
    <mergeCell ref="B1:C1"/>
    <mergeCell ref="D1:F1"/>
    <mergeCell ref="H1:L1"/>
    <mergeCell ref="M1:Q1"/>
    <mergeCell ref="R1:S1"/>
    <mergeCell ref="T1:W1"/>
    <mergeCell ref="X1:AC1"/>
    <mergeCell ref="AD1:AI1"/>
    <mergeCell ref="AJ1:AK1"/>
    <mergeCell ref="AL1:AN1"/>
    <mergeCell ref="AO1:AQ1"/>
    <mergeCell ref="AR1:AT1"/>
    <mergeCell ref="AU1:AV1"/>
    <mergeCell ref="AW1:BA1"/>
    <mergeCell ref="CG1:CI1"/>
    <mergeCell ref="CJ1:CL1"/>
    <mergeCell ref="CN1:CO1"/>
    <mergeCell ref="CP1:CQ1"/>
    <mergeCell ref="CS3:CT3"/>
    <mergeCell ref="BG2:BH2"/>
    <mergeCell ref="BI2:BJ2"/>
    <mergeCell ref="BK2:BN2"/>
    <mergeCell ref="BB1:BH1"/>
    <mergeCell ref="BI1:BN1"/>
    <mergeCell ref="BO1:BQ1"/>
    <mergeCell ref="BR1:BS1"/>
    <mergeCell ref="BV1:BZ1"/>
    <mergeCell ref="CA1:CC1"/>
    <mergeCell ref="CD1:CE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1634</v>
      </c>
      <c r="B3" s="69">
        <v>2</v>
      </c>
      <c r="C3" s="69"/>
      <c r="D3" s="69">
        <v>3</v>
      </c>
      <c r="E3" s="69">
        <f t="shared" ref="E3:E8" si="0">SUM(B3:D3)</f>
        <v>5</v>
      </c>
      <c r="F3" s="70"/>
      <c r="G3" s="70">
        <v>4</v>
      </c>
      <c r="H3" s="70">
        <v>1</v>
      </c>
      <c r="I3" s="71">
        <f t="shared" ref="I3:I9" si="1">SUM(F3:H3)</f>
        <v>5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>
        <v>1</v>
      </c>
      <c r="R3" s="71">
        <f t="shared" ref="R3:R8" si="3">SUM(O3:Q3)</f>
        <v>1</v>
      </c>
      <c r="S3" s="70"/>
      <c r="T3" s="70"/>
      <c r="U3" s="70"/>
      <c r="V3" s="70"/>
      <c r="W3" s="70"/>
      <c r="X3" s="70"/>
      <c r="Y3" s="73">
        <v>5</v>
      </c>
      <c r="Z3" s="73"/>
      <c r="AA3" s="73"/>
      <c r="AB3" s="73"/>
      <c r="AC3" s="73">
        <f t="shared" ref="AC3:AC8" si="4">SUM(Y3:AB3)</f>
        <v>5</v>
      </c>
      <c r="AD3" s="73"/>
    </row>
    <row r="4" spans="1:30">
      <c r="A4" s="74" t="s">
        <v>1635</v>
      </c>
      <c r="B4" s="69">
        <v>12</v>
      </c>
      <c r="C4" s="69"/>
      <c r="D4" s="69">
        <v>1</v>
      </c>
      <c r="E4" s="69">
        <f t="shared" si="0"/>
        <v>13</v>
      </c>
      <c r="F4" s="70">
        <v>1</v>
      </c>
      <c r="G4" s="70">
        <v>12</v>
      </c>
      <c r="H4" s="70"/>
      <c r="I4" s="71">
        <f t="shared" si="1"/>
        <v>13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4</v>
      </c>
      <c r="R4" s="71">
        <f t="shared" si="3"/>
        <v>4</v>
      </c>
      <c r="S4" s="75"/>
      <c r="T4" s="75"/>
      <c r="U4" s="75"/>
      <c r="V4" s="75"/>
      <c r="W4" s="75"/>
      <c r="X4" s="76"/>
      <c r="Y4" s="73">
        <v>13</v>
      </c>
      <c r="Z4" s="73"/>
      <c r="AA4" s="73"/>
      <c r="AB4" s="73"/>
      <c r="AC4" s="73">
        <f t="shared" si="4"/>
        <v>13</v>
      </c>
      <c r="AD4" s="73"/>
    </row>
    <row r="5" spans="1:30">
      <c r="A5" s="77" t="s">
        <v>1636</v>
      </c>
      <c r="B5" s="69">
        <v>12</v>
      </c>
      <c r="C5" s="69">
        <v>1</v>
      </c>
      <c r="D5" s="69">
        <v>2</v>
      </c>
      <c r="E5" s="69">
        <f t="shared" si="0"/>
        <v>15</v>
      </c>
      <c r="F5" s="70">
        <v>4</v>
      </c>
      <c r="G5" s="70">
        <v>9</v>
      </c>
      <c r="H5" s="70"/>
      <c r="I5" s="71">
        <f t="shared" si="1"/>
        <v>13</v>
      </c>
      <c r="J5" s="70">
        <v>1</v>
      </c>
      <c r="K5" s="70"/>
      <c r="L5" s="70"/>
      <c r="M5" s="70">
        <v>1</v>
      </c>
      <c r="N5" s="71">
        <f t="shared" si="2"/>
        <v>2</v>
      </c>
      <c r="O5" s="70">
        <v>3</v>
      </c>
      <c r="P5" s="70"/>
      <c r="Q5" s="70">
        <v>7</v>
      </c>
      <c r="R5" s="71">
        <f t="shared" si="3"/>
        <v>10</v>
      </c>
      <c r="S5" s="75"/>
      <c r="T5" s="75"/>
      <c r="U5" s="75">
        <v>1</v>
      </c>
      <c r="V5" s="75"/>
      <c r="W5" s="75"/>
      <c r="X5" s="76"/>
      <c r="Y5" s="73">
        <v>15</v>
      </c>
      <c r="Z5" s="73"/>
      <c r="AA5" s="73"/>
      <c r="AB5" s="73"/>
      <c r="AC5" s="73">
        <f t="shared" si="4"/>
        <v>15</v>
      </c>
      <c r="AD5" s="73"/>
    </row>
    <row r="6" spans="1:30">
      <c r="A6" s="77" t="s">
        <v>1637</v>
      </c>
      <c r="B6" s="69">
        <v>9</v>
      </c>
      <c r="C6" s="69"/>
      <c r="D6" s="69">
        <v>1</v>
      </c>
      <c r="E6" s="69">
        <f t="shared" si="0"/>
        <v>10</v>
      </c>
      <c r="F6" s="70"/>
      <c r="G6" s="70">
        <v>9</v>
      </c>
      <c r="H6" s="70"/>
      <c r="I6" s="71">
        <f t="shared" si="1"/>
        <v>9</v>
      </c>
      <c r="J6" s="70">
        <v>1</v>
      </c>
      <c r="K6" s="70"/>
      <c r="L6" s="70"/>
      <c r="M6" s="70"/>
      <c r="N6" s="71">
        <f t="shared" si="2"/>
        <v>1</v>
      </c>
      <c r="O6" s="70"/>
      <c r="P6" s="70"/>
      <c r="Q6" s="70"/>
      <c r="R6" s="71">
        <f t="shared" si="3"/>
        <v>0</v>
      </c>
      <c r="S6" s="75"/>
      <c r="T6" s="75"/>
      <c r="U6" s="75"/>
      <c r="V6" s="75"/>
      <c r="W6" s="75"/>
      <c r="X6" s="76"/>
      <c r="Y6" s="73">
        <v>10</v>
      </c>
      <c r="Z6" s="73"/>
      <c r="AA6" s="73"/>
      <c r="AB6" s="73"/>
      <c r="AC6" s="73">
        <f t="shared" si="4"/>
        <v>10</v>
      </c>
      <c r="AD6" s="73"/>
    </row>
    <row r="7" spans="1:30">
      <c r="A7" s="77" t="s">
        <v>1272</v>
      </c>
      <c r="B7" s="69">
        <v>2</v>
      </c>
      <c r="C7" s="69">
        <v>1</v>
      </c>
      <c r="D7" s="69"/>
      <c r="E7" s="69">
        <f t="shared" si="0"/>
        <v>3</v>
      </c>
      <c r="F7" s="70"/>
      <c r="G7" s="70">
        <v>3</v>
      </c>
      <c r="H7" s="70"/>
      <c r="I7" s="71">
        <f t="shared" si="1"/>
        <v>3</v>
      </c>
      <c r="J7" s="70"/>
      <c r="K7" s="70"/>
      <c r="L7" s="70"/>
      <c r="M7" s="70"/>
      <c r="N7" s="71">
        <f t="shared" si="2"/>
        <v>0</v>
      </c>
      <c r="O7" s="70"/>
      <c r="P7" s="70"/>
      <c r="Q7" s="70"/>
      <c r="R7" s="71">
        <f t="shared" si="3"/>
        <v>0</v>
      </c>
      <c r="S7" s="75"/>
      <c r="T7" s="75"/>
      <c r="U7" s="75"/>
      <c r="V7" s="75"/>
      <c r="W7" s="75"/>
      <c r="X7" s="76"/>
      <c r="Y7" s="73">
        <v>3</v>
      </c>
      <c r="Z7" s="73"/>
      <c r="AA7" s="73"/>
      <c r="AB7" s="73"/>
      <c r="AC7" s="73">
        <f t="shared" si="4"/>
        <v>3</v>
      </c>
      <c r="AD7" s="73"/>
    </row>
    <row r="8" spans="1:30">
      <c r="A8" s="78" t="s">
        <v>777</v>
      </c>
      <c r="B8" s="79">
        <v>5</v>
      </c>
      <c r="C8" s="79"/>
      <c r="D8" s="79">
        <v>2</v>
      </c>
      <c r="E8" s="69">
        <f t="shared" si="0"/>
        <v>7</v>
      </c>
      <c r="F8" s="80"/>
      <c r="G8" s="80">
        <v>6</v>
      </c>
      <c r="H8" s="80">
        <v>1</v>
      </c>
      <c r="I8" s="71">
        <f t="shared" si="1"/>
        <v>7</v>
      </c>
      <c r="J8" s="80"/>
      <c r="K8" s="80"/>
      <c r="L8" s="80"/>
      <c r="M8" s="80"/>
      <c r="N8" s="71">
        <f t="shared" si="2"/>
        <v>0</v>
      </c>
      <c r="O8" s="80"/>
      <c r="P8" s="80"/>
      <c r="Q8" s="80">
        <v>4</v>
      </c>
      <c r="R8" s="71">
        <f t="shared" si="3"/>
        <v>4</v>
      </c>
      <c r="S8" s="80"/>
      <c r="T8" s="80"/>
      <c r="U8" s="80"/>
      <c r="V8" s="80"/>
      <c r="W8" s="80"/>
      <c r="X8" s="81"/>
      <c r="Y8" s="82">
        <v>7</v>
      </c>
      <c r="Z8" s="82"/>
      <c r="AA8" s="82"/>
      <c r="AB8" s="82"/>
      <c r="AC8" s="73">
        <f t="shared" si="4"/>
        <v>7</v>
      </c>
      <c r="AD8" s="82"/>
    </row>
    <row r="9" spans="1:30">
      <c r="A9" s="69" t="s">
        <v>376</v>
      </c>
      <c r="B9" s="69">
        <f t="shared" ref="B9:H9" si="5">SUM(B3:B8)</f>
        <v>42</v>
      </c>
      <c r="C9" s="69">
        <f t="shared" si="5"/>
        <v>2</v>
      </c>
      <c r="D9" s="69">
        <f t="shared" si="5"/>
        <v>9</v>
      </c>
      <c r="E9" s="69">
        <f t="shared" si="5"/>
        <v>53</v>
      </c>
      <c r="F9" s="69">
        <f t="shared" si="5"/>
        <v>5</v>
      </c>
      <c r="G9" s="69">
        <f t="shared" si="5"/>
        <v>43</v>
      </c>
      <c r="H9" s="69">
        <f t="shared" si="5"/>
        <v>2</v>
      </c>
      <c r="I9" s="71">
        <f t="shared" si="1"/>
        <v>50</v>
      </c>
      <c r="J9" s="114">
        <f>SUM(J3:J8)</f>
        <v>2</v>
      </c>
      <c r="K9" s="114">
        <f>SUM(K3:K8)</f>
        <v>0</v>
      </c>
      <c r="L9" s="114">
        <f>SUM(L3:L8)</f>
        <v>0</v>
      </c>
      <c r="M9" s="114">
        <f>SUM(M3:M8)</f>
        <v>1</v>
      </c>
      <c r="N9" s="71">
        <f t="shared" si="2"/>
        <v>3</v>
      </c>
      <c r="O9" s="114">
        <f t="shared" ref="O9:AC9" si="6">SUM(O3:O8)</f>
        <v>3</v>
      </c>
      <c r="P9" s="114">
        <f t="shared" si="6"/>
        <v>0</v>
      </c>
      <c r="Q9" s="114">
        <f t="shared" si="6"/>
        <v>16</v>
      </c>
      <c r="R9" s="71">
        <f t="shared" si="6"/>
        <v>19</v>
      </c>
      <c r="S9" s="114">
        <f t="shared" si="6"/>
        <v>0</v>
      </c>
      <c r="T9" s="114">
        <f t="shared" si="6"/>
        <v>0</v>
      </c>
      <c r="U9" s="114">
        <f t="shared" si="6"/>
        <v>1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73">
        <f t="shared" si="6"/>
        <v>53</v>
      </c>
      <c r="Z9" s="73">
        <f t="shared" si="6"/>
        <v>0</v>
      </c>
      <c r="AA9" s="73">
        <f t="shared" si="6"/>
        <v>0</v>
      </c>
      <c r="AB9" s="73">
        <f t="shared" si="6"/>
        <v>0</v>
      </c>
      <c r="AC9" s="73">
        <f t="shared" si="6"/>
        <v>53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7109375" customWidth="1"/>
    <col min="2" max="2" width="18.5703125" customWidth="1"/>
    <col min="3" max="3" width="5.5703125" customWidth="1"/>
    <col min="4" max="4" width="10.140625" customWidth="1"/>
    <col min="5" max="5" width="13.42578125" customWidth="1"/>
    <col min="6" max="6" width="9.85546875" customWidth="1"/>
    <col min="7" max="7" width="8.140625" customWidth="1"/>
    <col min="8" max="8" width="9.85546875" customWidth="1"/>
    <col min="9" max="9" width="8.85546875" customWidth="1"/>
    <col min="10" max="10" width="9" customWidth="1"/>
    <col min="11" max="11" width="8.7109375" customWidth="1"/>
    <col min="12" max="12" width="7.140625" customWidth="1"/>
    <col min="13" max="14" width="7.28515625" customWidth="1"/>
    <col min="15" max="15" width="6.5703125" customWidth="1"/>
    <col min="16" max="16" width="7.85546875" customWidth="1"/>
    <col min="17" max="17" width="9.140625" customWidth="1"/>
    <col min="18" max="19" width="8.5703125" customWidth="1"/>
    <col min="20" max="20" width="8.7109375" customWidth="1"/>
    <col min="21" max="21" width="7.7109375" customWidth="1"/>
    <col min="22" max="22" width="7.42578125" customWidth="1"/>
    <col min="23" max="23" width="11.85546875" customWidth="1"/>
    <col min="24" max="24" width="11.5703125" customWidth="1"/>
    <col min="25" max="25" width="11" customWidth="1"/>
    <col min="26" max="26" width="9.42578125" customWidth="1"/>
    <col min="27" max="27" width="10.140625" customWidth="1"/>
    <col min="28" max="28" width="9.85546875" customWidth="1"/>
    <col min="29" max="29" width="6.140625" customWidth="1"/>
    <col min="30" max="30" width="9.28515625" customWidth="1"/>
    <col min="31" max="31" width="8.28515625" customWidth="1"/>
    <col min="32" max="32" width="9.5703125" customWidth="1"/>
    <col min="33" max="33" width="10.42578125" customWidth="1"/>
    <col min="34" max="34" width="7.85546875" customWidth="1"/>
    <col min="35" max="35" width="7.140625" customWidth="1"/>
    <col min="36" max="36" width="6.28515625" customWidth="1"/>
    <col min="37" max="37" width="7.5703125" customWidth="1"/>
    <col min="38" max="38" width="7.140625" customWidth="1"/>
    <col min="39" max="39" width="12.140625" customWidth="1"/>
    <col min="40" max="40" width="10.5703125" customWidth="1"/>
    <col min="41" max="41" width="8.42578125" customWidth="1"/>
    <col min="42" max="42" width="9.7109375" customWidth="1"/>
    <col min="43" max="43" width="11.42578125" customWidth="1"/>
    <col min="44" max="44" width="13" customWidth="1"/>
    <col min="45" max="45" width="9.140625" customWidth="1"/>
    <col min="46" max="47" width="7.28515625" customWidth="1"/>
    <col min="48" max="48" width="8.7109375" customWidth="1"/>
    <col min="49" max="50" width="10" customWidth="1"/>
    <col min="51" max="51" width="9.7109375" customWidth="1"/>
    <col min="52" max="52" width="7" customWidth="1"/>
    <col min="53" max="53" width="7.140625" customWidth="1"/>
    <col min="54" max="54" width="7" customWidth="1"/>
    <col min="55" max="55" width="8.140625" customWidth="1"/>
    <col min="56" max="56" width="10.5703125" customWidth="1"/>
    <col min="57" max="57" width="10.7109375" customWidth="1"/>
    <col min="58" max="58" width="8.42578125" customWidth="1"/>
    <col min="59" max="59" width="7.7109375" customWidth="1"/>
    <col min="60" max="60" width="7.140625" customWidth="1"/>
    <col min="61" max="61" width="9" customWidth="1"/>
    <col min="62" max="62" width="9.5703125" customWidth="1"/>
    <col min="63" max="63" width="11.140625" customWidth="1"/>
    <col min="64" max="64" width="13.85546875" customWidth="1"/>
    <col min="65" max="65" width="8.5703125" customWidth="1"/>
    <col min="66" max="66" width="7.7109375" customWidth="1"/>
    <col min="67" max="67" width="10" customWidth="1"/>
    <col min="68" max="68" width="8.28515625" customWidth="1"/>
    <col min="69" max="69" width="8.5703125" customWidth="1"/>
    <col min="70" max="70" width="8.28515625" customWidth="1"/>
    <col min="72" max="72" width="1.140625" customWidth="1"/>
    <col min="73" max="73" width="7.85546875" customWidth="1"/>
    <col min="74" max="74" width="10.28515625" customWidth="1"/>
    <col min="75" max="75" width="12" customWidth="1"/>
    <col min="76" max="76" width="9.28515625" customWidth="1"/>
    <col min="77" max="77" width="12.5703125" customWidth="1"/>
    <col min="78" max="78" width="7.85546875" customWidth="1"/>
    <col min="79" max="79" width="7" customWidth="1"/>
    <col min="80" max="80" width="9" customWidth="1"/>
    <col min="81" max="81" width="6.85546875" customWidth="1"/>
    <col min="82" max="82" width="8.28515625" customWidth="1"/>
    <col min="83" max="83" width="11.140625" customWidth="1"/>
    <col min="84" max="84" width="7.42578125" customWidth="1"/>
    <col min="85" max="85" width="8.5703125" customWidth="1"/>
    <col min="86" max="86" width="9" customWidth="1"/>
    <col min="87" max="87" width="10.42578125" customWidth="1"/>
    <col min="88" max="88" width="10.140625" customWidth="1"/>
    <col min="89" max="90" width="10" customWidth="1"/>
    <col min="91" max="91" width="8.140625" customWidth="1"/>
    <col min="92" max="92" width="7.7109375" customWidth="1"/>
    <col min="93" max="93" width="8" customWidth="1"/>
    <col min="94" max="94" width="8.28515625" customWidth="1"/>
    <col min="96" max="96" width="12" customWidth="1"/>
    <col min="98" max="98" width="9.7109375" customWidth="1"/>
    <col min="99" max="99" width="11.5703125" customWidth="1"/>
  </cols>
  <sheetData>
    <row r="1" spans="1:99">
      <c r="A1" s="479" t="s">
        <v>1638</v>
      </c>
      <c r="B1" s="480"/>
      <c r="C1" s="479" t="s">
        <v>1639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30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360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33" t="s">
        <v>101</v>
      </c>
      <c r="CU3" s="45" t="s">
        <v>102</v>
      </c>
    </row>
    <row r="4" spans="1:99" hidden="1">
      <c r="A4" s="46" t="s">
        <v>1640</v>
      </c>
      <c r="B4" s="46" t="s">
        <v>1641</v>
      </c>
      <c r="C4" s="46">
        <v>39</v>
      </c>
      <c r="D4" s="46" t="s">
        <v>1642</v>
      </c>
      <c r="E4" s="46" t="s">
        <v>1643</v>
      </c>
      <c r="F4" s="46" t="s">
        <v>112</v>
      </c>
      <c r="H4" s="46">
        <v>1</v>
      </c>
      <c r="M4" s="46">
        <v>1</v>
      </c>
      <c r="Q4" s="46">
        <v>1</v>
      </c>
      <c r="U4" s="46">
        <v>1</v>
      </c>
      <c r="W4" s="46">
        <v>12</v>
      </c>
      <c r="X4" s="46">
        <v>20</v>
      </c>
      <c r="Y4" s="46">
        <v>20</v>
      </c>
      <c r="Z4" s="46">
        <v>7</v>
      </c>
      <c r="AA4" s="46">
        <v>6</v>
      </c>
      <c r="AB4" s="46">
        <v>5</v>
      </c>
      <c r="AC4" s="46">
        <v>1</v>
      </c>
      <c r="AI4" s="113"/>
      <c r="AJ4" s="113"/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Z4" s="46">
        <v>1</v>
      </c>
      <c r="CC4" s="46">
        <v>1</v>
      </c>
      <c r="CI4" s="46">
        <v>1</v>
      </c>
      <c r="CU4" s="134">
        <v>46447</v>
      </c>
    </row>
    <row r="5" spans="1:99" hidden="1">
      <c r="A5" s="46" t="s">
        <v>1644</v>
      </c>
      <c r="B5" s="46" t="s">
        <v>1645</v>
      </c>
      <c r="C5" s="46">
        <v>50</v>
      </c>
      <c r="D5" s="46" t="s">
        <v>1646</v>
      </c>
      <c r="E5" s="46" t="s">
        <v>1647</v>
      </c>
      <c r="F5" s="46" t="s">
        <v>112</v>
      </c>
      <c r="H5" s="46">
        <v>1</v>
      </c>
      <c r="M5" s="46">
        <v>1</v>
      </c>
      <c r="Q5" s="46">
        <v>1</v>
      </c>
      <c r="U5" s="46">
        <v>1</v>
      </c>
      <c r="W5" s="46">
        <v>18</v>
      </c>
      <c r="X5" s="46">
        <v>22</v>
      </c>
      <c r="Y5" s="46">
        <v>23</v>
      </c>
      <c r="Z5" s="46">
        <v>5</v>
      </c>
      <c r="AA5" s="46">
        <v>5</v>
      </c>
      <c r="AB5" s="46">
        <v>3</v>
      </c>
      <c r="AC5" s="46">
        <v>1</v>
      </c>
      <c r="AI5" s="113"/>
      <c r="AJ5" s="113"/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N5" s="46">
        <v>1</v>
      </c>
      <c r="BO5" s="46" t="s">
        <v>1626</v>
      </c>
      <c r="BS5" s="46">
        <v>1</v>
      </c>
      <c r="BZ5" s="46">
        <v>1</v>
      </c>
      <c r="CC5" s="117">
        <v>1</v>
      </c>
      <c r="CD5" s="115"/>
      <c r="CI5" s="46">
        <v>1</v>
      </c>
      <c r="CU5" s="134">
        <v>46448</v>
      </c>
    </row>
    <row r="6" spans="1:99" hidden="1">
      <c r="A6" s="46" t="s">
        <v>1648</v>
      </c>
      <c r="B6" s="46" t="s">
        <v>1649</v>
      </c>
      <c r="C6" s="46">
        <v>46</v>
      </c>
      <c r="D6" s="46" t="s">
        <v>1650</v>
      </c>
      <c r="E6" s="46" t="s">
        <v>1651</v>
      </c>
      <c r="F6" s="46" t="s">
        <v>112</v>
      </c>
      <c r="G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20</v>
      </c>
      <c r="Y6" s="46">
        <v>20</v>
      </c>
      <c r="Z6" s="46">
        <v>7</v>
      </c>
      <c r="AA6" s="46">
        <v>7</v>
      </c>
      <c r="AB6" s="46">
        <v>6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CA6" s="46">
        <v>1</v>
      </c>
      <c r="CB6" s="46">
        <v>2021</v>
      </c>
      <c r="CC6" s="117">
        <v>1</v>
      </c>
      <c r="CD6" s="115"/>
      <c r="CI6" s="46">
        <v>1</v>
      </c>
      <c r="CU6" s="134">
        <v>46449</v>
      </c>
    </row>
    <row r="7" spans="1:99">
      <c r="A7" s="46" t="s">
        <v>1652</v>
      </c>
      <c r="B7" s="46" t="s">
        <v>1653</v>
      </c>
      <c r="C7" s="46">
        <v>23</v>
      </c>
      <c r="D7" s="46" t="s">
        <v>1650</v>
      </c>
      <c r="E7" s="46" t="s">
        <v>1654</v>
      </c>
      <c r="F7" s="46" t="s">
        <v>112</v>
      </c>
      <c r="H7" s="46">
        <v>1</v>
      </c>
      <c r="M7" s="46">
        <v>1</v>
      </c>
      <c r="Q7" s="46">
        <v>1</v>
      </c>
      <c r="T7" s="46">
        <v>1</v>
      </c>
      <c r="W7" s="46">
        <v>14</v>
      </c>
      <c r="X7" s="46">
        <v>15</v>
      </c>
      <c r="Y7" s="46">
        <v>17</v>
      </c>
      <c r="Z7" s="46">
        <v>3</v>
      </c>
      <c r="AA7" s="46">
        <v>3</v>
      </c>
      <c r="AB7" s="46">
        <v>3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B7" s="46">
        <v>1</v>
      </c>
      <c r="BF7" s="46">
        <v>1</v>
      </c>
      <c r="BM7" s="46" t="s">
        <v>930</v>
      </c>
      <c r="CA7" s="46">
        <v>1</v>
      </c>
      <c r="CB7" s="46">
        <v>2023</v>
      </c>
      <c r="CC7" s="117">
        <v>1</v>
      </c>
      <c r="CD7" s="115"/>
      <c r="CI7" s="46">
        <v>1</v>
      </c>
      <c r="CU7" s="134">
        <v>46450</v>
      </c>
    </row>
    <row r="8" spans="1:99" hidden="1">
      <c r="A8" s="46" t="s">
        <v>1655</v>
      </c>
      <c r="B8" s="46" t="s">
        <v>1656</v>
      </c>
      <c r="C8" s="46">
        <v>62</v>
      </c>
      <c r="D8" s="46" t="s">
        <v>1646</v>
      </c>
      <c r="E8" s="46" t="s">
        <v>1657</v>
      </c>
      <c r="F8" s="46" t="s">
        <v>112</v>
      </c>
      <c r="H8" s="46">
        <v>1</v>
      </c>
      <c r="M8" s="46">
        <v>1</v>
      </c>
      <c r="Q8" s="46">
        <v>1</v>
      </c>
      <c r="T8" s="46">
        <v>1</v>
      </c>
      <c r="W8" s="46">
        <v>18</v>
      </c>
      <c r="X8" s="46">
        <v>29</v>
      </c>
      <c r="Y8" s="46">
        <v>31</v>
      </c>
      <c r="Z8" s="46">
        <v>9</v>
      </c>
      <c r="AA8" s="46">
        <v>9</v>
      </c>
      <c r="AB8" s="46">
        <v>6</v>
      </c>
      <c r="AD8" s="46">
        <v>1</v>
      </c>
      <c r="AE8" s="46">
        <v>1</v>
      </c>
      <c r="AF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X8" s="46">
        <v>1</v>
      </c>
      <c r="BA8" s="46">
        <v>1</v>
      </c>
      <c r="BJ8" s="46">
        <v>1</v>
      </c>
      <c r="CA8" s="46">
        <v>1</v>
      </c>
      <c r="CB8" s="46">
        <v>2017</v>
      </c>
      <c r="CC8" s="117">
        <v>1</v>
      </c>
      <c r="CD8" s="115"/>
      <c r="CI8" s="46">
        <v>1</v>
      </c>
      <c r="CU8" s="134">
        <v>46451</v>
      </c>
    </row>
    <row r="9" spans="1:99" hidden="1">
      <c r="A9" s="46" t="s">
        <v>1658</v>
      </c>
      <c r="B9" s="46" t="s">
        <v>1659</v>
      </c>
      <c r="C9" s="46">
        <v>37</v>
      </c>
      <c r="D9" s="46" t="s">
        <v>1646</v>
      </c>
      <c r="E9" s="46" t="s">
        <v>1660</v>
      </c>
      <c r="F9" s="46" t="s">
        <v>112</v>
      </c>
      <c r="H9" s="46">
        <v>1</v>
      </c>
      <c r="M9" s="46">
        <v>1</v>
      </c>
      <c r="R9" s="46">
        <v>1</v>
      </c>
      <c r="T9" s="46">
        <v>1</v>
      </c>
      <c r="W9" s="46">
        <v>14</v>
      </c>
      <c r="X9" s="46">
        <v>15</v>
      </c>
      <c r="Y9" s="46">
        <v>20</v>
      </c>
      <c r="Z9" s="46">
        <v>6</v>
      </c>
      <c r="AA9" s="46">
        <v>5</v>
      </c>
      <c r="AB9" s="46">
        <v>5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115"/>
      <c r="CD9" s="115"/>
      <c r="CI9" s="46">
        <v>1</v>
      </c>
      <c r="CU9" s="134">
        <v>46452</v>
      </c>
    </row>
    <row r="10" spans="1:99" hidden="1">
      <c r="A10" s="46" t="s">
        <v>1661</v>
      </c>
      <c r="B10" s="46" t="s">
        <v>1662</v>
      </c>
      <c r="C10" s="46">
        <v>35</v>
      </c>
      <c r="D10" s="46" t="s">
        <v>1646</v>
      </c>
      <c r="E10" s="46" t="s">
        <v>1663</v>
      </c>
      <c r="F10" s="46" t="s">
        <v>112</v>
      </c>
      <c r="H10" s="46">
        <v>1</v>
      </c>
      <c r="M10" s="46">
        <v>1</v>
      </c>
      <c r="Q10" s="46">
        <v>1</v>
      </c>
      <c r="U10" s="46">
        <v>1</v>
      </c>
      <c r="W10" s="46">
        <v>13</v>
      </c>
      <c r="X10" s="46">
        <v>15</v>
      </c>
      <c r="Y10" s="46">
        <v>20</v>
      </c>
      <c r="Z10" s="46">
        <v>7</v>
      </c>
      <c r="AA10" s="46">
        <v>6</v>
      </c>
      <c r="AB10" s="46">
        <v>6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117">
        <v>1</v>
      </c>
      <c r="CD10" s="115"/>
      <c r="CI10" s="46">
        <v>1</v>
      </c>
      <c r="CU10" s="134">
        <v>46453</v>
      </c>
    </row>
    <row r="11" spans="1:99" hidden="1">
      <c r="A11" s="46" t="s">
        <v>1664</v>
      </c>
      <c r="B11" s="46" t="s">
        <v>1665</v>
      </c>
      <c r="C11" s="46">
        <v>60</v>
      </c>
      <c r="D11" s="46" t="s">
        <v>1650</v>
      </c>
      <c r="E11" s="46" t="s">
        <v>1666</v>
      </c>
      <c r="F11" s="46" t="s">
        <v>145</v>
      </c>
      <c r="G11" s="46">
        <v>1</v>
      </c>
      <c r="O11" s="46">
        <v>1</v>
      </c>
      <c r="R11" s="46">
        <v>1</v>
      </c>
      <c r="T11" s="46">
        <v>1</v>
      </c>
      <c r="W11" s="46">
        <v>14</v>
      </c>
      <c r="X11" s="46">
        <v>15</v>
      </c>
      <c r="Y11" s="46">
        <v>17</v>
      </c>
      <c r="Z11" s="46">
        <v>6</v>
      </c>
      <c r="AA11" s="46">
        <v>6</v>
      </c>
      <c r="AB11" s="46">
        <v>6</v>
      </c>
      <c r="AC11" s="46">
        <v>1</v>
      </c>
      <c r="AI11" s="46">
        <v>1</v>
      </c>
      <c r="AK11" s="46">
        <v>1</v>
      </c>
      <c r="AT11" s="46">
        <v>1</v>
      </c>
      <c r="AX11" s="46">
        <v>1</v>
      </c>
      <c r="BA11" s="46">
        <v>1</v>
      </c>
      <c r="BM11" s="46" t="s">
        <v>930</v>
      </c>
      <c r="BZ11" s="46">
        <v>1</v>
      </c>
      <c r="CC11" s="117">
        <v>1</v>
      </c>
      <c r="CD11" s="115"/>
      <c r="CL11" s="46">
        <v>1</v>
      </c>
      <c r="CU11" s="134">
        <v>46454</v>
      </c>
    </row>
    <row r="12" spans="1:99" hidden="1">
      <c r="A12" s="46" t="s">
        <v>1667</v>
      </c>
      <c r="B12" s="46" t="s">
        <v>1668</v>
      </c>
      <c r="C12" s="46">
        <v>32</v>
      </c>
      <c r="D12" s="46" t="s">
        <v>1646</v>
      </c>
      <c r="E12" s="46" t="s">
        <v>1669</v>
      </c>
      <c r="F12" s="46" t="s">
        <v>112</v>
      </c>
      <c r="K12" s="46">
        <v>1</v>
      </c>
      <c r="M12" s="46">
        <v>1</v>
      </c>
      <c r="Q12" s="46">
        <v>1</v>
      </c>
      <c r="U12" s="46">
        <v>1</v>
      </c>
      <c r="W12" s="46">
        <v>16</v>
      </c>
      <c r="X12" s="46">
        <v>15</v>
      </c>
      <c r="Y12" s="46">
        <v>18</v>
      </c>
      <c r="Z12" s="46">
        <v>7</v>
      </c>
      <c r="AA12" s="46">
        <v>7</v>
      </c>
      <c r="AB12" s="46">
        <v>5</v>
      </c>
      <c r="AC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115"/>
      <c r="CD12" s="115"/>
      <c r="CI12" s="46">
        <v>1</v>
      </c>
      <c r="CU12" s="134">
        <v>46455</v>
      </c>
    </row>
    <row r="13" spans="1:99" hidden="1">
      <c r="A13" s="46" t="s">
        <v>1670</v>
      </c>
      <c r="B13" s="46" t="s">
        <v>1671</v>
      </c>
      <c r="C13" s="46">
        <v>43</v>
      </c>
      <c r="D13" s="46" t="s">
        <v>1646</v>
      </c>
      <c r="E13" s="46" t="s">
        <v>1672</v>
      </c>
      <c r="F13" s="46" t="s">
        <v>112</v>
      </c>
      <c r="H13" s="46">
        <v>1</v>
      </c>
      <c r="M13" s="46">
        <v>1</v>
      </c>
      <c r="Q13" s="46">
        <v>1</v>
      </c>
      <c r="S13" s="46">
        <v>1</v>
      </c>
      <c r="W13" s="46">
        <v>16</v>
      </c>
      <c r="X13" s="46">
        <v>18</v>
      </c>
      <c r="Y13" s="46">
        <v>19</v>
      </c>
      <c r="Z13" s="46">
        <v>13</v>
      </c>
      <c r="AA13" s="46">
        <v>13</v>
      </c>
      <c r="AB13" s="46">
        <v>13</v>
      </c>
      <c r="AH13" s="46">
        <v>1</v>
      </c>
      <c r="AI13" s="46">
        <v>1</v>
      </c>
      <c r="AM13" s="46">
        <v>1</v>
      </c>
      <c r="AT13" s="46">
        <v>1</v>
      </c>
      <c r="AW13" s="46">
        <v>1</v>
      </c>
      <c r="BA13" s="46">
        <v>1</v>
      </c>
      <c r="BI13" s="46">
        <v>1</v>
      </c>
      <c r="BW13" s="46">
        <v>1</v>
      </c>
      <c r="BZ13" s="113"/>
      <c r="CA13" s="113"/>
      <c r="CC13" s="117">
        <v>1</v>
      </c>
      <c r="CD13" s="115"/>
      <c r="CI13" s="46">
        <v>1</v>
      </c>
      <c r="CU13" s="134">
        <v>46456</v>
      </c>
    </row>
    <row r="14" spans="1:99" hidden="1">
      <c r="A14" s="46" t="s">
        <v>1673</v>
      </c>
      <c r="B14" s="46" t="s">
        <v>1674</v>
      </c>
      <c r="C14" s="46">
        <v>38</v>
      </c>
      <c r="D14" s="46" t="s">
        <v>1646</v>
      </c>
      <c r="E14" s="46" t="s">
        <v>1675</v>
      </c>
      <c r="F14" s="46" t="s">
        <v>112</v>
      </c>
      <c r="G14" s="46">
        <v>1</v>
      </c>
      <c r="M14" s="46">
        <v>1</v>
      </c>
      <c r="R14" s="46">
        <v>1</v>
      </c>
      <c r="U14" s="46">
        <v>1</v>
      </c>
      <c r="W14" s="46">
        <v>14</v>
      </c>
      <c r="X14" s="46">
        <v>16</v>
      </c>
      <c r="Y14" s="46">
        <v>16</v>
      </c>
      <c r="Z14" s="46">
        <v>7</v>
      </c>
      <c r="AA14" s="46">
        <v>6</v>
      </c>
      <c r="AB14" s="46">
        <v>6</v>
      </c>
      <c r="AC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113"/>
      <c r="CA14" s="113"/>
      <c r="CC14" s="117">
        <v>1</v>
      </c>
      <c r="CD14" s="115"/>
      <c r="CI14" s="46">
        <v>1</v>
      </c>
      <c r="CU14" s="134">
        <v>46457</v>
      </c>
    </row>
    <row r="15" spans="1:99" hidden="1">
      <c r="A15" s="46" t="s">
        <v>1676</v>
      </c>
      <c r="B15" s="46" t="s">
        <v>1677</v>
      </c>
      <c r="C15" s="46">
        <v>50</v>
      </c>
      <c r="D15" s="46" t="s">
        <v>1678</v>
      </c>
      <c r="E15" s="46" t="s">
        <v>1679</v>
      </c>
      <c r="F15" s="46" t="s">
        <v>477</v>
      </c>
      <c r="J15" s="46">
        <v>1</v>
      </c>
      <c r="P15" s="46">
        <v>1</v>
      </c>
      <c r="Q15" s="46">
        <v>1</v>
      </c>
      <c r="T15" s="46">
        <v>1</v>
      </c>
      <c r="W15" s="46">
        <v>14</v>
      </c>
      <c r="X15" s="46">
        <v>20</v>
      </c>
      <c r="Y15" s="46">
        <v>20</v>
      </c>
      <c r="Z15" s="46">
        <v>5</v>
      </c>
      <c r="AA15" s="46">
        <v>5</v>
      </c>
      <c r="AB15" s="46">
        <v>2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113"/>
      <c r="BB15" s="113"/>
      <c r="BJ15" s="46">
        <v>1</v>
      </c>
      <c r="BZ15" s="46">
        <v>1</v>
      </c>
      <c r="CC15" s="117">
        <v>1</v>
      </c>
      <c r="CD15" s="115"/>
      <c r="CI15" s="46">
        <v>1</v>
      </c>
      <c r="CU15" s="134">
        <v>46458</v>
      </c>
    </row>
    <row r="16" spans="1:99" hidden="1">
      <c r="A16" s="46" t="s">
        <v>1680</v>
      </c>
      <c r="B16" s="46" t="s">
        <v>644</v>
      </c>
      <c r="C16" s="46">
        <v>41</v>
      </c>
      <c r="D16" s="46" t="s">
        <v>1646</v>
      </c>
      <c r="E16" s="46" t="s">
        <v>1681</v>
      </c>
      <c r="F16" s="46" t="s">
        <v>112</v>
      </c>
      <c r="H16" s="46">
        <v>1</v>
      </c>
      <c r="M16" s="46">
        <v>1</v>
      </c>
      <c r="Q16" s="46">
        <v>1</v>
      </c>
      <c r="T16" s="46">
        <v>1</v>
      </c>
      <c r="W16" s="46">
        <v>17</v>
      </c>
      <c r="X16" s="46">
        <v>20</v>
      </c>
      <c r="Y16" s="46">
        <v>20</v>
      </c>
      <c r="Z16" s="46">
        <v>6</v>
      </c>
      <c r="AA16" s="46">
        <v>7</v>
      </c>
      <c r="AB16" s="46">
        <v>7</v>
      </c>
      <c r="AC16" s="46">
        <v>1</v>
      </c>
      <c r="AI16" s="113"/>
      <c r="AJ16" s="113"/>
      <c r="AK16" s="46">
        <v>1</v>
      </c>
      <c r="AT16" s="46">
        <v>1</v>
      </c>
      <c r="AX16" s="46">
        <v>1</v>
      </c>
      <c r="BA16" s="46">
        <v>1</v>
      </c>
      <c r="BI16" s="46">
        <v>1</v>
      </c>
      <c r="CA16" s="46">
        <v>1</v>
      </c>
      <c r="CB16" s="46">
        <v>2021</v>
      </c>
      <c r="CC16" s="117">
        <v>1</v>
      </c>
      <c r="CD16" s="115"/>
      <c r="CI16" s="46">
        <v>1</v>
      </c>
      <c r="CU16" s="134">
        <v>46459</v>
      </c>
    </row>
    <row r="17" spans="1:99" hidden="1">
      <c r="A17" s="46" t="s">
        <v>1682</v>
      </c>
      <c r="B17" s="46" t="s">
        <v>1683</v>
      </c>
      <c r="C17" s="46">
        <v>23</v>
      </c>
      <c r="D17" s="46" t="s">
        <v>1646</v>
      </c>
      <c r="E17" s="46" t="s">
        <v>1684</v>
      </c>
      <c r="F17" s="46" t="s">
        <v>112</v>
      </c>
      <c r="K17" s="46">
        <v>1</v>
      </c>
      <c r="M17" s="46">
        <v>1</v>
      </c>
      <c r="R17" s="46">
        <v>1</v>
      </c>
      <c r="T17" s="46">
        <v>1</v>
      </c>
      <c r="W17" s="46">
        <v>14</v>
      </c>
      <c r="X17" s="46">
        <v>16</v>
      </c>
      <c r="Y17" s="46">
        <v>19</v>
      </c>
      <c r="Z17" s="46">
        <v>2</v>
      </c>
      <c r="AA17" s="46">
        <v>2</v>
      </c>
      <c r="AB17" s="46">
        <v>2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115"/>
      <c r="CD17" s="115"/>
      <c r="CI17" s="46">
        <v>1</v>
      </c>
      <c r="CU17" s="134">
        <v>46460</v>
      </c>
    </row>
    <row r="18" spans="1:99" hidden="1">
      <c r="A18" s="46" t="s">
        <v>1685</v>
      </c>
      <c r="B18" s="46" t="s">
        <v>1686</v>
      </c>
      <c r="C18" s="46">
        <v>90</v>
      </c>
      <c r="D18" s="46" t="s">
        <v>1687</v>
      </c>
      <c r="E18" s="46" t="s">
        <v>191</v>
      </c>
      <c r="F18" s="46" t="s">
        <v>112</v>
      </c>
      <c r="J18" s="46">
        <v>1</v>
      </c>
      <c r="P18" s="46">
        <v>1</v>
      </c>
      <c r="R18" s="46">
        <v>1</v>
      </c>
      <c r="S18" s="46">
        <v>1</v>
      </c>
      <c r="W18" s="46">
        <v>14</v>
      </c>
      <c r="X18" s="46">
        <v>17</v>
      </c>
      <c r="Y18" s="117">
        <v>18</v>
      </c>
      <c r="Z18" s="46">
        <v>9</v>
      </c>
      <c r="AA18" s="46">
        <v>8</v>
      </c>
      <c r="AB18" s="46">
        <v>3</v>
      </c>
      <c r="AE18" s="46">
        <v>1</v>
      </c>
      <c r="AI18" s="46">
        <v>1</v>
      </c>
      <c r="AM18" s="46">
        <v>1</v>
      </c>
      <c r="AT18" s="46">
        <v>1</v>
      </c>
      <c r="AX18" s="46">
        <v>1</v>
      </c>
      <c r="BA18" s="46">
        <v>1</v>
      </c>
      <c r="BM18" s="46" t="s">
        <v>930</v>
      </c>
      <c r="BZ18" s="46">
        <v>1</v>
      </c>
      <c r="CC18" s="115"/>
      <c r="CD18" s="115"/>
      <c r="CI18" s="46">
        <v>1</v>
      </c>
      <c r="CU18" s="134">
        <v>46461</v>
      </c>
    </row>
    <row r="19" spans="1:99" hidden="1">
      <c r="A19" s="46" t="s">
        <v>1688</v>
      </c>
      <c r="B19" s="46" t="s">
        <v>1689</v>
      </c>
      <c r="C19" s="46">
        <v>33</v>
      </c>
      <c r="D19" s="46" t="s">
        <v>1690</v>
      </c>
      <c r="E19" s="46" t="s">
        <v>1691</v>
      </c>
      <c r="F19" s="113"/>
      <c r="J19" s="46">
        <v>1</v>
      </c>
      <c r="M19" s="46">
        <v>1</v>
      </c>
      <c r="Q19" s="46">
        <v>1</v>
      </c>
      <c r="T19" s="46">
        <v>1</v>
      </c>
      <c r="W19" s="46">
        <v>14</v>
      </c>
      <c r="X19" s="46">
        <v>16</v>
      </c>
      <c r="Y19" s="46">
        <v>17</v>
      </c>
      <c r="Z19" s="46">
        <v>8</v>
      </c>
      <c r="AA19" s="46">
        <v>8</v>
      </c>
      <c r="AB19" s="46">
        <v>8</v>
      </c>
      <c r="AE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115"/>
      <c r="CD19" s="115"/>
      <c r="CI19" s="46">
        <v>1</v>
      </c>
      <c r="CU19" s="134">
        <v>46462</v>
      </c>
    </row>
    <row r="20" spans="1:99" hidden="1">
      <c r="A20" s="46" t="s">
        <v>1692</v>
      </c>
      <c r="B20" s="46" t="s">
        <v>1693</v>
      </c>
      <c r="C20" s="46">
        <v>19</v>
      </c>
      <c r="D20" s="46" t="s">
        <v>1694</v>
      </c>
      <c r="E20" s="46" t="s">
        <v>191</v>
      </c>
      <c r="F20" s="46" t="s">
        <v>112</v>
      </c>
      <c r="H20" s="46">
        <v>1</v>
      </c>
      <c r="L20" s="46">
        <v>1</v>
      </c>
      <c r="Q20" s="46" t="s">
        <v>191</v>
      </c>
      <c r="T20" s="46">
        <v>1</v>
      </c>
      <c r="W20" s="46">
        <v>14</v>
      </c>
      <c r="X20" s="46">
        <v>17</v>
      </c>
      <c r="Y20" s="46">
        <v>18</v>
      </c>
      <c r="Z20" s="46">
        <v>1</v>
      </c>
      <c r="AA20" s="46">
        <v>1</v>
      </c>
      <c r="AB20" s="46">
        <v>1</v>
      </c>
      <c r="AD20" s="46">
        <v>1</v>
      </c>
      <c r="AI20" s="46">
        <v>1</v>
      </c>
      <c r="AM20" s="46">
        <v>1</v>
      </c>
      <c r="AT20" s="46">
        <v>1</v>
      </c>
      <c r="AX20" s="46">
        <v>1</v>
      </c>
      <c r="BA20" s="46">
        <v>1</v>
      </c>
      <c r="BI20" s="46">
        <v>1</v>
      </c>
      <c r="BZ20" s="46">
        <v>1</v>
      </c>
      <c r="CC20" s="115"/>
      <c r="CD20" s="115"/>
      <c r="CI20" s="46">
        <v>1</v>
      </c>
      <c r="CU20" s="134">
        <v>46463</v>
      </c>
    </row>
    <row r="21" spans="1:99" hidden="1">
      <c r="A21" s="46" t="s">
        <v>1695</v>
      </c>
      <c r="B21" s="46" t="s">
        <v>1696</v>
      </c>
      <c r="C21" s="46">
        <v>25</v>
      </c>
      <c r="D21" s="46" t="s">
        <v>1646</v>
      </c>
      <c r="E21" s="46" t="s">
        <v>1697</v>
      </c>
      <c r="F21" s="46" t="s">
        <v>112</v>
      </c>
      <c r="J21" s="46">
        <v>1</v>
      </c>
      <c r="M21" s="46">
        <v>1</v>
      </c>
      <c r="Q21" s="46">
        <v>1</v>
      </c>
      <c r="T21" s="46">
        <v>1</v>
      </c>
      <c r="W21" s="46">
        <v>14</v>
      </c>
      <c r="X21" s="46">
        <v>16</v>
      </c>
      <c r="Y21" s="46">
        <v>16</v>
      </c>
      <c r="Z21" s="46">
        <v>4</v>
      </c>
      <c r="AA21" s="46">
        <v>1</v>
      </c>
      <c r="AB21" s="46">
        <v>1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C21" s="115"/>
      <c r="CD21" s="115"/>
      <c r="CI21" s="46">
        <v>1</v>
      </c>
      <c r="CU21" s="134">
        <v>46464</v>
      </c>
    </row>
    <row r="22" spans="1:99" hidden="1">
      <c r="A22" s="46" t="s">
        <v>1698</v>
      </c>
      <c r="B22" s="46" t="s">
        <v>1699</v>
      </c>
      <c r="C22" s="46">
        <v>31</v>
      </c>
      <c r="D22" s="46" t="s">
        <v>1646</v>
      </c>
      <c r="E22" s="46" t="s">
        <v>1700</v>
      </c>
      <c r="F22" s="46" t="s">
        <v>112</v>
      </c>
      <c r="H22" s="46">
        <v>1</v>
      </c>
      <c r="O22" s="46">
        <v>1</v>
      </c>
      <c r="R22" s="46">
        <v>1</v>
      </c>
      <c r="T22" s="46">
        <v>1</v>
      </c>
      <c r="W22" s="46">
        <v>14</v>
      </c>
      <c r="X22" s="46">
        <v>16</v>
      </c>
      <c r="Y22" s="46">
        <v>16</v>
      </c>
      <c r="Z22" s="46">
        <v>6</v>
      </c>
      <c r="AA22" s="46">
        <v>7</v>
      </c>
      <c r="AB22" s="46">
        <v>7</v>
      </c>
      <c r="AC22" s="46">
        <v>1</v>
      </c>
      <c r="AI22" s="46">
        <v>1</v>
      </c>
      <c r="AK22" s="46">
        <v>1</v>
      </c>
      <c r="AT22" s="46">
        <v>1</v>
      </c>
      <c r="AX22" s="46">
        <v>1</v>
      </c>
      <c r="BA22" s="46">
        <v>1</v>
      </c>
      <c r="BI22" s="46">
        <v>1</v>
      </c>
      <c r="BZ22" s="46">
        <v>1</v>
      </c>
      <c r="CC22" s="115"/>
      <c r="CD22" s="115"/>
      <c r="CI22" s="46">
        <v>1</v>
      </c>
      <c r="CU22" s="134">
        <v>46465</v>
      </c>
    </row>
    <row r="23" spans="1:99" hidden="1">
      <c r="A23" s="46" t="s">
        <v>1701</v>
      </c>
      <c r="B23" s="46" t="s">
        <v>1702</v>
      </c>
      <c r="C23" s="46">
        <v>70</v>
      </c>
      <c r="D23" s="46" t="s">
        <v>1646</v>
      </c>
      <c r="E23" s="46" t="s">
        <v>191</v>
      </c>
      <c r="F23" s="46" t="s">
        <v>145</v>
      </c>
      <c r="J23" s="46">
        <v>1</v>
      </c>
      <c r="M23" s="46">
        <v>1</v>
      </c>
      <c r="Q23" s="46">
        <v>1</v>
      </c>
      <c r="S23" s="46">
        <v>1</v>
      </c>
      <c r="W23" s="46">
        <v>14</v>
      </c>
      <c r="X23" s="46">
        <v>15</v>
      </c>
      <c r="Y23" s="46">
        <v>19</v>
      </c>
      <c r="Z23" s="46">
        <v>15</v>
      </c>
      <c r="AA23" s="46">
        <v>10</v>
      </c>
      <c r="AB23" s="46">
        <v>5</v>
      </c>
      <c r="AE23" s="46">
        <v>1</v>
      </c>
      <c r="AI23" s="46">
        <v>1</v>
      </c>
      <c r="AL23" s="46">
        <v>1</v>
      </c>
      <c r="AN23" s="113"/>
      <c r="AO23" s="113"/>
      <c r="AP23" s="113"/>
      <c r="AS23" s="46">
        <v>1</v>
      </c>
      <c r="AT23" s="46">
        <v>1</v>
      </c>
      <c r="AX23" s="46">
        <v>1</v>
      </c>
      <c r="BA23" s="46">
        <v>1</v>
      </c>
      <c r="BJ23" s="46">
        <v>1</v>
      </c>
      <c r="BZ23" s="46">
        <v>1</v>
      </c>
      <c r="CC23" s="115"/>
      <c r="CD23" s="115"/>
      <c r="CI23" s="46">
        <v>1</v>
      </c>
      <c r="CU23" s="134">
        <v>46466</v>
      </c>
    </row>
    <row r="24" spans="1:99" hidden="1">
      <c r="A24" s="46" t="s">
        <v>1703</v>
      </c>
      <c r="B24" s="46" t="s">
        <v>1704</v>
      </c>
      <c r="C24" s="46">
        <v>48</v>
      </c>
      <c r="D24" s="46" t="s">
        <v>1705</v>
      </c>
      <c r="E24" s="46" t="s">
        <v>1706</v>
      </c>
      <c r="F24" s="46" t="s">
        <v>112</v>
      </c>
      <c r="J24" s="46">
        <v>1</v>
      </c>
      <c r="M24" s="46">
        <v>1</v>
      </c>
      <c r="Q24" s="46">
        <v>1</v>
      </c>
      <c r="V24" s="46">
        <v>1</v>
      </c>
      <c r="W24" s="46">
        <v>15</v>
      </c>
      <c r="X24" s="46">
        <v>21</v>
      </c>
      <c r="Y24" s="46">
        <v>21</v>
      </c>
      <c r="Z24" s="46">
        <v>9</v>
      </c>
      <c r="AA24" s="46">
        <v>6</v>
      </c>
      <c r="AB24" s="46">
        <v>6</v>
      </c>
      <c r="AE24" s="46">
        <v>1</v>
      </c>
      <c r="AG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D24" s="46">
        <v>1</v>
      </c>
      <c r="CE24" s="46">
        <v>2011</v>
      </c>
      <c r="CG24" s="46">
        <v>1</v>
      </c>
      <c r="CI24" s="46">
        <v>1</v>
      </c>
      <c r="CU24" s="134">
        <v>46467</v>
      </c>
    </row>
    <row r="25" spans="1:99" hidden="1">
      <c r="A25" s="46" t="s">
        <v>1707</v>
      </c>
      <c r="B25" s="46" t="s">
        <v>1708</v>
      </c>
      <c r="C25" s="46">
        <v>44</v>
      </c>
      <c r="D25" s="46" t="s">
        <v>1646</v>
      </c>
      <c r="E25" s="46" t="s">
        <v>1709</v>
      </c>
      <c r="F25" s="46" t="s">
        <v>112</v>
      </c>
      <c r="I25" s="46">
        <v>1</v>
      </c>
      <c r="M25" s="46">
        <v>1</v>
      </c>
      <c r="R25" s="46">
        <v>1</v>
      </c>
      <c r="S25" s="46">
        <v>1</v>
      </c>
      <c r="W25" s="46" t="s">
        <v>360</v>
      </c>
      <c r="X25" s="46">
        <v>13</v>
      </c>
      <c r="Y25" s="46">
        <v>14</v>
      </c>
      <c r="Z25" s="46">
        <v>8</v>
      </c>
      <c r="AA25" s="46">
        <v>8</v>
      </c>
      <c r="AB25" s="46">
        <v>8</v>
      </c>
      <c r="AE25" s="46">
        <v>1</v>
      </c>
      <c r="AI25" s="46">
        <v>1</v>
      </c>
      <c r="AK25" s="46">
        <v>1</v>
      </c>
      <c r="AT25" s="46">
        <v>1</v>
      </c>
      <c r="AX25" s="46">
        <v>1</v>
      </c>
      <c r="BB25" s="46">
        <v>1</v>
      </c>
      <c r="BF25" s="46">
        <v>1</v>
      </c>
      <c r="BI25" s="46">
        <v>1</v>
      </c>
      <c r="BZ25" s="46">
        <v>1</v>
      </c>
      <c r="CC25" s="115"/>
      <c r="CD25" s="115"/>
      <c r="CI25" s="46">
        <v>1</v>
      </c>
      <c r="CU25" s="134">
        <v>46468</v>
      </c>
    </row>
    <row r="26" spans="1:99" hidden="1">
      <c r="A26" s="46" t="s">
        <v>1710</v>
      </c>
      <c r="B26" s="46" t="s">
        <v>1711</v>
      </c>
      <c r="C26" s="46">
        <v>60</v>
      </c>
      <c r="D26" s="46" t="s">
        <v>1646</v>
      </c>
      <c r="E26" s="46" t="s">
        <v>1712</v>
      </c>
      <c r="F26" s="46" t="s">
        <v>861</v>
      </c>
      <c r="G26" s="46">
        <v>1</v>
      </c>
      <c r="M26" s="46">
        <v>1</v>
      </c>
      <c r="Q26" s="46">
        <v>1</v>
      </c>
      <c r="S26" s="46">
        <v>1</v>
      </c>
      <c r="W26" s="46">
        <v>13</v>
      </c>
      <c r="X26" s="46">
        <v>16</v>
      </c>
      <c r="Y26" s="46">
        <v>16</v>
      </c>
      <c r="Z26" s="46">
        <v>14</v>
      </c>
      <c r="AA26" s="46">
        <v>10</v>
      </c>
      <c r="AB26" s="46">
        <v>10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J26" s="46">
        <v>1</v>
      </c>
      <c r="BZ26" s="113"/>
      <c r="CA26" s="113"/>
      <c r="CC26" s="115"/>
      <c r="CD26" s="115"/>
      <c r="CI26" s="46">
        <v>1</v>
      </c>
      <c r="CU26" s="134">
        <v>46469</v>
      </c>
    </row>
    <row r="27" spans="1:99" hidden="1">
      <c r="A27" s="46" t="s">
        <v>1713</v>
      </c>
      <c r="B27" s="46" t="s">
        <v>1714</v>
      </c>
      <c r="C27" s="46">
        <v>33</v>
      </c>
      <c r="D27" s="46" t="s">
        <v>1715</v>
      </c>
      <c r="E27" s="46" t="s">
        <v>1716</v>
      </c>
      <c r="F27" s="46" t="s">
        <v>112</v>
      </c>
      <c r="H27" s="46">
        <v>1</v>
      </c>
      <c r="M27" s="46">
        <v>1</v>
      </c>
      <c r="Q27" s="46">
        <v>1</v>
      </c>
      <c r="U27" s="46">
        <v>1</v>
      </c>
      <c r="W27" s="46">
        <v>12</v>
      </c>
      <c r="X27" s="46">
        <v>19</v>
      </c>
      <c r="Y27" s="46">
        <v>23</v>
      </c>
      <c r="Z27" s="46">
        <v>4</v>
      </c>
      <c r="AA27" s="46">
        <v>4</v>
      </c>
      <c r="AB27" s="46">
        <v>3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115"/>
      <c r="CD27" s="115"/>
      <c r="CI27" s="46">
        <v>1</v>
      </c>
      <c r="CU27" s="134">
        <v>46470</v>
      </c>
    </row>
    <row r="28" spans="1:99" hidden="1">
      <c r="A28" s="46" t="s">
        <v>1717</v>
      </c>
      <c r="B28" s="46" t="s">
        <v>1718</v>
      </c>
      <c r="C28" s="46">
        <v>39</v>
      </c>
      <c r="D28" s="46" t="s">
        <v>1694</v>
      </c>
      <c r="E28" s="46" t="s">
        <v>1719</v>
      </c>
      <c r="F28" s="46" t="s">
        <v>112</v>
      </c>
      <c r="G28" s="113"/>
      <c r="H28" s="113"/>
      <c r="I28" s="113"/>
      <c r="J28" s="113"/>
      <c r="K28" s="113"/>
      <c r="O28" s="46">
        <v>1</v>
      </c>
      <c r="Q28" s="113"/>
      <c r="R28" s="113"/>
      <c r="S28" s="46">
        <v>1</v>
      </c>
      <c r="W28" s="46">
        <v>15</v>
      </c>
      <c r="X28" s="46">
        <v>15</v>
      </c>
      <c r="Y28" s="46">
        <v>20</v>
      </c>
      <c r="Z28" s="46">
        <v>10</v>
      </c>
      <c r="AA28" s="46">
        <v>10</v>
      </c>
      <c r="AB28" s="46">
        <v>7</v>
      </c>
      <c r="AH28" s="46">
        <v>1</v>
      </c>
      <c r="AI28" s="46">
        <v>1</v>
      </c>
      <c r="AK28" s="46">
        <v>1</v>
      </c>
      <c r="AT28" s="46">
        <v>1</v>
      </c>
      <c r="AX28" s="46">
        <v>1</v>
      </c>
      <c r="BA28" s="46">
        <v>1</v>
      </c>
      <c r="BI28" s="46">
        <v>1</v>
      </c>
      <c r="BZ28" s="46">
        <v>1</v>
      </c>
      <c r="CI28" s="46">
        <v>1</v>
      </c>
      <c r="CU28" s="134">
        <v>46471</v>
      </c>
    </row>
    <row r="29" spans="1:99" hidden="1">
      <c r="A29" s="46" t="s">
        <v>1720</v>
      </c>
      <c r="B29" s="46" t="s">
        <v>1721</v>
      </c>
      <c r="C29" s="46">
        <v>47</v>
      </c>
      <c r="D29" s="46" t="s">
        <v>1646</v>
      </c>
      <c r="E29" s="46" t="s">
        <v>1722</v>
      </c>
      <c r="F29" s="46" t="s">
        <v>112</v>
      </c>
      <c r="G29" s="46">
        <v>1</v>
      </c>
      <c r="M29" s="46">
        <v>1</v>
      </c>
      <c r="R29" s="46">
        <v>1</v>
      </c>
      <c r="U29" s="46">
        <v>1</v>
      </c>
      <c r="W29" s="46">
        <v>16</v>
      </c>
      <c r="X29" s="46">
        <v>16</v>
      </c>
      <c r="Y29" s="46">
        <v>19</v>
      </c>
      <c r="Z29" s="46">
        <v>9</v>
      </c>
      <c r="AA29" s="46">
        <v>8</v>
      </c>
      <c r="AB29" s="46">
        <v>7</v>
      </c>
      <c r="AE29" s="46">
        <v>1</v>
      </c>
      <c r="AI29" s="46">
        <v>1</v>
      </c>
      <c r="AK29" s="46">
        <v>1</v>
      </c>
      <c r="AT29" s="46">
        <v>1</v>
      </c>
      <c r="AW29" s="113"/>
      <c r="AX29" s="113"/>
      <c r="AY29" s="113"/>
      <c r="AZ29" s="113"/>
      <c r="BA29" s="46">
        <v>1</v>
      </c>
      <c r="BI29" s="46">
        <v>1</v>
      </c>
      <c r="BZ29" s="46">
        <v>1</v>
      </c>
      <c r="CI29" s="46">
        <v>1</v>
      </c>
      <c r="CU29" s="134">
        <v>46472</v>
      </c>
    </row>
    <row r="30" spans="1:99" hidden="1">
      <c r="A30" s="46" t="s">
        <v>1723</v>
      </c>
      <c r="B30" s="46" t="s">
        <v>1724</v>
      </c>
      <c r="C30" s="46">
        <v>38</v>
      </c>
      <c r="D30" s="46" t="s">
        <v>1646</v>
      </c>
      <c r="E30" s="46" t="s">
        <v>1725</v>
      </c>
      <c r="F30" s="46" t="s">
        <v>112</v>
      </c>
      <c r="G30" s="113"/>
      <c r="H30" s="113"/>
      <c r="I30" s="113"/>
      <c r="J30" s="113"/>
      <c r="K30" s="113"/>
      <c r="M30" s="46">
        <v>1</v>
      </c>
      <c r="R30" s="46">
        <v>1</v>
      </c>
      <c r="T30" s="46">
        <v>1</v>
      </c>
      <c r="W30" s="46">
        <v>15</v>
      </c>
      <c r="X30" s="46">
        <v>15</v>
      </c>
      <c r="Y30" s="46">
        <v>24</v>
      </c>
      <c r="Z30" s="46">
        <v>7</v>
      </c>
      <c r="AA30" s="46">
        <v>6</v>
      </c>
      <c r="AB30" s="46">
        <v>6</v>
      </c>
      <c r="AH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113"/>
      <c r="CA30" s="113"/>
      <c r="CC30" s="46">
        <v>1</v>
      </c>
      <c r="CI30" s="46">
        <v>1</v>
      </c>
      <c r="CU30" s="134">
        <v>46473</v>
      </c>
    </row>
    <row r="31" spans="1:99" hidden="1">
      <c r="A31" s="46" t="s">
        <v>1726</v>
      </c>
      <c r="B31" s="46" t="s">
        <v>1727</v>
      </c>
      <c r="C31" s="46">
        <v>21</v>
      </c>
      <c r="D31" s="46" t="s">
        <v>1650</v>
      </c>
      <c r="E31" s="46" t="s">
        <v>191</v>
      </c>
      <c r="F31" s="46" t="s">
        <v>112</v>
      </c>
      <c r="H31" s="46">
        <v>1</v>
      </c>
      <c r="M31" s="46">
        <v>1</v>
      </c>
      <c r="Q31" s="46">
        <v>1</v>
      </c>
      <c r="T31" s="46">
        <v>1</v>
      </c>
      <c r="W31" s="46">
        <v>13</v>
      </c>
      <c r="X31" s="46">
        <v>15</v>
      </c>
      <c r="Y31" s="46">
        <v>17</v>
      </c>
      <c r="Z31" s="46">
        <v>2</v>
      </c>
      <c r="AA31" s="46">
        <v>2</v>
      </c>
      <c r="AB31" s="46">
        <v>2</v>
      </c>
      <c r="AD31" s="46">
        <v>1</v>
      </c>
      <c r="AJ31" s="46">
        <v>1</v>
      </c>
      <c r="AK31" s="46">
        <v>1</v>
      </c>
      <c r="AT31" s="46">
        <v>1</v>
      </c>
      <c r="AW31" s="113"/>
      <c r="AX31" s="113"/>
      <c r="AY31" s="113"/>
      <c r="AZ31" s="113"/>
      <c r="BA31" s="46">
        <v>1</v>
      </c>
      <c r="BI31" s="46">
        <v>1</v>
      </c>
      <c r="CA31" s="46">
        <v>1</v>
      </c>
      <c r="CB31" s="46" t="s">
        <v>360</v>
      </c>
      <c r="CC31" s="46">
        <v>1</v>
      </c>
      <c r="CI31" s="46">
        <v>1</v>
      </c>
      <c r="CU31" s="134">
        <v>46474</v>
      </c>
    </row>
    <row r="32" spans="1:99" hidden="1">
      <c r="A32" s="46" t="s">
        <v>1728</v>
      </c>
      <c r="B32" s="46" t="s">
        <v>1729</v>
      </c>
      <c r="C32" s="46">
        <v>28</v>
      </c>
      <c r="D32" s="46" t="s">
        <v>1646</v>
      </c>
      <c r="E32" s="46" t="s">
        <v>1730</v>
      </c>
      <c r="F32" s="46" t="s">
        <v>122</v>
      </c>
      <c r="J32" s="46">
        <v>1</v>
      </c>
      <c r="M32" s="46">
        <v>1</v>
      </c>
      <c r="Q32" s="46">
        <v>1</v>
      </c>
      <c r="U32" s="46">
        <v>1</v>
      </c>
      <c r="W32" s="46">
        <v>16</v>
      </c>
      <c r="X32" s="46">
        <v>17</v>
      </c>
      <c r="Y32" s="46">
        <v>18</v>
      </c>
      <c r="Z32" s="46">
        <v>4</v>
      </c>
      <c r="AA32" s="46">
        <v>4</v>
      </c>
      <c r="AB32" s="46">
        <v>4</v>
      </c>
      <c r="AE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I32" s="46">
        <v>1</v>
      </c>
      <c r="CU32" s="134">
        <v>46475</v>
      </c>
    </row>
    <row r="33" spans="1:99" hidden="1">
      <c r="A33" s="46" t="s">
        <v>1731</v>
      </c>
      <c r="B33" s="46" t="s">
        <v>1732</v>
      </c>
      <c r="C33" s="46">
        <v>23</v>
      </c>
      <c r="D33" s="46" t="s">
        <v>1646</v>
      </c>
      <c r="E33" s="46" t="s">
        <v>1733</v>
      </c>
      <c r="F33" s="46" t="s">
        <v>112</v>
      </c>
      <c r="I33" s="46">
        <v>1</v>
      </c>
      <c r="M33" s="46">
        <v>1</v>
      </c>
      <c r="Q33" s="46">
        <v>1</v>
      </c>
      <c r="T33" s="46">
        <v>1</v>
      </c>
      <c r="W33" s="46">
        <v>14</v>
      </c>
      <c r="X33" s="46">
        <v>18</v>
      </c>
      <c r="Y33" s="46">
        <v>18</v>
      </c>
      <c r="Z33" s="46">
        <v>3</v>
      </c>
      <c r="AA33" s="46">
        <v>3</v>
      </c>
      <c r="AB33" s="46">
        <v>3</v>
      </c>
      <c r="AD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I33" s="46">
        <v>1</v>
      </c>
      <c r="CU33" s="134">
        <v>46476</v>
      </c>
    </row>
    <row r="34" spans="1:99" hidden="1">
      <c r="A34" s="46" t="s">
        <v>1734</v>
      </c>
      <c r="B34" s="46" t="s">
        <v>1735</v>
      </c>
      <c r="C34" s="46">
        <v>50</v>
      </c>
      <c r="D34" s="46" t="s">
        <v>1646</v>
      </c>
      <c r="E34" s="46" t="s">
        <v>1684</v>
      </c>
      <c r="F34" s="46" t="s">
        <v>112</v>
      </c>
      <c r="K34" s="46">
        <v>1</v>
      </c>
      <c r="M34" s="46">
        <v>1</v>
      </c>
      <c r="Q34" s="46">
        <v>1</v>
      </c>
      <c r="T34" s="46">
        <v>1</v>
      </c>
      <c r="W34" s="46">
        <v>14</v>
      </c>
      <c r="X34" s="46">
        <v>15</v>
      </c>
      <c r="Y34" s="46">
        <v>16</v>
      </c>
      <c r="Z34" s="46">
        <v>12</v>
      </c>
      <c r="AA34" s="46">
        <v>10</v>
      </c>
      <c r="AB34" s="46">
        <v>10</v>
      </c>
      <c r="AC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I34" s="46">
        <v>1</v>
      </c>
      <c r="CU34" s="134">
        <v>46477</v>
      </c>
    </row>
    <row r="35" spans="1:99" hidden="1">
      <c r="A35" s="46" t="s">
        <v>1736</v>
      </c>
      <c r="B35" s="46" t="s">
        <v>1737</v>
      </c>
      <c r="C35" s="46">
        <v>18</v>
      </c>
      <c r="D35" s="46" t="s">
        <v>1738</v>
      </c>
      <c r="E35" s="46" t="s">
        <v>191</v>
      </c>
      <c r="F35" s="46" t="s">
        <v>122</v>
      </c>
      <c r="G35" s="46">
        <v>1</v>
      </c>
      <c r="M35" s="46">
        <v>1</v>
      </c>
      <c r="Q35" s="46">
        <v>1</v>
      </c>
      <c r="U35" s="46">
        <v>1</v>
      </c>
      <c r="W35" s="46">
        <v>14</v>
      </c>
      <c r="X35" s="46">
        <v>16</v>
      </c>
      <c r="Y35" s="46" t="s">
        <v>191</v>
      </c>
      <c r="Z35" s="46">
        <v>0</v>
      </c>
      <c r="AA35" s="46">
        <v>0</v>
      </c>
      <c r="AB35" s="46">
        <v>0</v>
      </c>
      <c r="AD35" s="46">
        <v>1</v>
      </c>
      <c r="AG35" s="46">
        <v>1</v>
      </c>
      <c r="AH35" s="46">
        <v>1</v>
      </c>
      <c r="AI35" s="113"/>
      <c r="AJ35" s="113"/>
      <c r="AK35" s="46">
        <v>1</v>
      </c>
      <c r="AT35" s="46">
        <v>1</v>
      </c>
      <c r="AW35" s="113"/>
      <c r="AX35" s="113"/>
      <c r="AY35" s="113"/>
      <c r="AZ35" s="113"/>
      <c r="BA35" s="46">
        <v>1</v>
      </c>
      <c r="BM35" s="46" t="s">
        <v>1739</v>
      </c>
      <c r="BZ35" s="46">
        <v>1</v>
      </c>
      <c r="CI35" s="46">
        <v>1</v>
      </c>
      <c r="CU35" s="134">
        <v>46447</v>
      </c>
    </row>
    <row r="36" spans="1:99" hidden="1">
      <c r="A36" s="46" t="s">
        <v>1740</v>
      </c>
      <c r="B36" s="46" t="s">
        <v>1741</v>
      </c>
      <c r="C36" s="46">
        <v>45</v>
      </c>
      <c r="D36" s="46" t="s">
        <v>1646</v>
      </c>
      <c r="E36" s="46" t="s">
        <v>1742</v>
      </c>
      <c r="F36" s="46" t="s">
        <v>112</v>
      </c>
      <c r="G36" s="46">
        <v>1</v>
      </c>
      <c r="O36" s="46">
        <v>1</v>
      </c>
      <c r="Q36" s="113"/>
      <c r="R36" s="113"/>
      <c r="S36" s="46">
        <v>1</v>
      </c>
      <c r="W36" s="113"/>
      <c r="X36" s="113"/>
      <c r="Y36" s="113"/>
      <c r="Z36" s="113"/>
      <c r="AA36" s="113"/>
      <c r="AB36" s="113"/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J36" s="46">
        <v>1</v>
      </c>
      <c r="BZ36" s="46">
        <v>1</v>
      </c>
      <c r="CC36" s="46">
        <v>1</v>
      </c>
      <c r="CI36" s="46">
        <v>1</v>
      </c>
      <c r="CU36" s="134">
        <v>46448</v>
      </c>
    </row>
    <row r="37" spans="1:99" hidden="1">
      <c r="A37" s="46" t="s">
        <v>1743</v>
      </c>
      <c r="B37" s="46" t="s">
        <v>502</v>
      </c>
      <c r="C37" s="46">
        <v>63</v>
      </c>
      <c r="D37" s="46" t="s">
        <v>1744</v>
      </c>
      <c r="E37" s="46" t="s">
        <v>1745</v>
      </c>
      <c r="F37" s="46" t="s">
        <v>112</v>
      </c>
      <c r="J37" s="46">
        <v>1</v>
      </c>
      <c r="P37" s="46">
        <v>1</v>
      </c>
      <c r="Q37" s="113"/>
      <c r="R37" s="113"/>
      <c r="T37" s="46">
        <v>1</v>
      </c>
      <c r="W37" s="46">
        <v>13</v>
      </c>
      <c r="X37" s="46">
        <v>15</v>
      </c>
      <c r="Y37" s="46">
        <v>15</v>
      </c>
      <c r="Z37" s="46">
        <v>2</v>
      </c>
      <c r="AA37" s="46">
        <v>2</v>
      </c>
      <c r="AB37" s="46">
        <v>0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J37" s="46">
        <v>1</v>
      </c>
      <c r="BZ37" s="46">
        <v>1</v>
      </c>
      <c r="CC37" s="46">
        <v>1</v>
      </c>
      <c r="CI37" s="46">
        <v>1</v>
      </c>
      <c r="CU37" s="134">
        <v>46449</v>
      </c>
    </row>
    <row r="38" spans="1:99" hidden="1">
      <c r="A38" s="46" t="s">
        <v>1746</v>
      </c>
      <c r="B38" s="46" t="s">
        <v>1747</v>
      </c>
      <c r="C38" s="46">
        <v>35</v>
      </c>
      <c r="D38" s="46" t="s">
        <v>1646</v>
      </c>
      <c r="E38" s="46" t="s">
        <v>1748</v>
      </c>
      <c r="F38" s="46" t="s">
        <v>112</v>
      </c>
      <c r="G38" s="46">
        <v>1</v>
      </c>
      <c r="M38" s="46">
        <v>1</v>
      </c>
      <c r="R38" s="46">
        <v>1</v>
      </c>
      <c r="T38" s="46">
        <v>1</v>
      </c>
      <c r="W38" s="46">
        <v>14</v>
      </c>
      <c r="X38" s="46">
        <v>14</v>
      </c>
      <c r="Y38" s="46">
        <v>14</v>
      </c>
      <c r="Z38" s="46">
        <v>8</v>
      </c>
      <c r="AA38" s="46">
        <v>7</v>
      </c>
      <c r="AB38" s="46">
        <v>7</v>
      </c>
      <c r="AH38" s="46">
        <v>1</v>
      </c>
      <c r="AI38" s="46">
        <v>1</v>
      </c>
      <c r="AM38" s="46">
        <v>1</v>
      </c>
      <c r="AT38" s="46">
        <v>1</v>
      </c>
      <c r="AW38" s="46">
        <v>1</v>
      </c>
      <c r="BB38" s="46">
        <v>1</v>
      </c>
      <c r="BF38" s="46">
        <v>1</v>
      </c>
      <c r="BI38" s="46">
        <v>1</v>
      </c>
      <c r="BZ38" s="46">
        <v>1</v>
      </c>
      <c r="CC38" s="46">
        <v>1</v>
      </c>
      <c r="CI38" s="46">
        <v>1</v>
      </c>
      <c r="CU38" s="134">
        <v>46450</v>
      </c>
    </row>
    <row r="39" spans="1:99" hidden="1">
      <c r="A39" s="46" t="s">
        <v>1749</v>
      </c>
      <c r="B39" s="46" t="s">
        <v>1750</v>
      </c>
      <c r="C39" s="46">
        <v>30</v>
      </c>
      <c r="D39" s="46" t="s">
        <v>1694</v>
      </c>
      <c r="E39" s="46" t="s">
        <v>1751</v>
      </c>
      <c r="F39" s="46" t="s">
        <v>112</v>
      </c>
      <c r="J39" s="46">
        <v>1</v>
      </c>
      <c r="M39" s="46">
        <v>1</v>
      </c>
      <c r="Q39" s="46">
        <v>1</v>
      </c>
      <c r="T39" s="46">
        <v>1</v>
      </c>
      <c r="W39" s="46">
        <v>14</v>
      </c>
      <c r="X39" s="46">
        <v>16</v>
      </c>
      <c r="Y39" s="46">
        <v>18</v>
      </c>
      <c r="Z39" s="46">
        <v>9</v>
      </c>
      <c r="AA39" s="46">
        <v>8</v>
      </c>
      <c r="AB39" s="46">
        <v>8</v>
      </c>
      <c r="AE39" s="46">
        <v>1</v>
      </c>
      <c r="AH39" s="46">
        <v>1</v>
      </c>
      <c r="AI39" s="46">
        <v>1</v>
      </c>
      <c r="AK39" s="46">
        <v>1</v>
      </c>
      <c r="AT39" s="46">
        <v>1</v>
      </c>
      <c r="AX39" s="46">
        <v>1</v>
      </c>
      <c r="BA39" s="46">
        <v>1</v>
      </c>
      <c r="BI39" s="46">
        <v>1</v>
      </c>
      <c r="BW39" s="46">
        <v>1</v>
      </c>
      <c r="BZ39" s="46">
        <v>1</v>
      </c>
      <c r="CI39" s="46">
        <v>1</v>
      </c>
      <c r="CU39" s="134">
        <v>46451</v>
      </c>
    </row>
    <row r="40" spans="1:99" hidden="1">
      <c r="A40" s="46" t="s">
        <v>1752</v>
      </c>
      <c r="B40" s="46" t="s">
        <v>1753</v>
      </c>
      <c r="C40" s="46">
        <v>46</v>
      </c>
      <c r="D40" s="46" t="s">
        <v>1650</v>
      </c>
      <c r="E40" s="46" t="s">
        <v>1754</v>
      </c>
      <c r="F40" s="46" t="s">
        <v>477</v>
      </c>
      <c r="H40" s="46">
        <v>1</v>
      </c>
      <c r="P40" s="46">
        <v>1</v>
      </c>
      <c r="Q40" s="113"/>
      <c r="R40" s="113"/>
      <c r="T40" s="46">
        <v>1</v>
      </c>
      <c r="W40" s="46">
        <v>16</v>
      </c>
      <c r="X40" s="46">
        <v>16</v>
      </c>
      <c r="Y40" s="46">
        <v>20</v>
      </c>
      <c r="Z40" s="46">
        <v>6</v>
      </c>
      <c r="AA40" s="46">
        <v>6</v>
      </c>
      <c r="AB40" s="46">
        <v>6</v>
      </c>
      <c r="AE40" s="46">
        <v>1</v>
      </c>
      <c r="AG40" s="46">
        <v>1</v>
      </c>
      <c r="AH40" s="46">
        <v>1</v>
      </c>
      <c r="AI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W40" s="46">
        <v>1</v>
      </c>
      <c r="BZ40" s="46">
        <v>1</v>
      </c>
      <c r="CI40" s="46">
        <v>1</v>
      </c>
      <c r="CU40" s="134">
        <v>46452</v>
      </c>
    </row>
    <row r="41" spans="1:99" hidden="1">
      <c r="A41" s="46" t="s">
        <v>1755</v>
      </c>
      <c r="B41" s="46" t="s">
        <v>1756</v>
      </c>
      <c r="C41" s="46">
        <v>22</v>
      </c>
      <c r="D41" s="46" t="s">
        <v>1646</v>
      </c>
      <c r="E41" s="46" t="s">
        <v>1757</v>
      </c>
      <c r="F41" s="46" t="s">
        <v>112</v>
      </c>
      <c r="H41" s="46">
        <v>1</v>
      </c>
      <c r="L41" s="46">
        <v>1</v>
      </c>
      <c r="Q41" s="46" t="s">
        <v>191</v>
      </c>
      <c r="T41" s="46">
        <v>1</v>
      </c>
      <c r="W41" s="46">
        <v>12</v>
      </c>
      <c r="X41" s="46">
        <v>15</v>
      </c>
      <c r="Y41" s="46">
        <v>17</v>
      </c>
      <c r="Z41" s="46">
        <v>1</v>
      </c>
      <c r="AA41" s="46">
        <v>1</v>
      </c>
      <c r="AB41" s="46">
        <v>1</v>
      </c>
      <c r="AE41" s="46">
        <v>1</v>
      </c>
      <c r="AH41" s="46">
        <v>1</v>
      </c>
      <c r="AI41" s="46">
        <v>1</v>
      </c>
      <c r="AK41" s="46">
        <v>1</v>
      </c>
      <c r="AT41" s="46">
        <v>1</v>
      </c>
      <c r="AX41" s="46">
        <v>1</v>
      </c>
      <c r="BA41" s="46">
        <v>1</v>
      </c>
      <c r="BI41" s="46">
        <v>1</v>
      </c>
      <c r="BZ41" s="46">
        <v>1</v>
      </c>
      <c r="CI41" s="46">
        <v>1</v>
      </c>
      <c r="CU41" s="134">
        <v>46453</v>
      </c>
    </row>
    <row r="42" spans="1:99" hidden="1">
      <c r="A42" s="46" t="s">
        <v>1758</v>
      </c>
      <c r="B42" s="46" t="s">
        <v>1759</v>
      </c>
      <c r="C42" s="46">
        <v>17</v>
      </c>
      <c r="D42" s="46" t="s">
        <v>1646</v>
      </c>
      <c r="E42" s="46" t="s">
        <v>1657</v>
      </c>
      <c r="F42" s="46" t="s">
        <v>112</v>
      </c>
      <c r="G42" s="46">
        <v>1</v>
      </c>
      <c r="L42" s="46">
        <v>1</v>
      </c>
      <c r="Q42" s="46" t="s">
        <v>191</v>
      </c>
      <c r="U42" s="46">
        <v>1</v>
      </c>
      <c r="W42" s="46">
        <v>17</v>
      </c>
      <c r="X42" s="46">
        <v>15</v>
      </c>
      <c r="Y42" s="46">
        <v>0</v>
      </c>
      <c r="Z42" s="46">
        <v>0</v>
      </c>
      <c r="AA42" s="46">
        <v>0</v>
      </c>
      <c r="AB42" s="46">
        <v>0</v>
      </c>
      <c r="AD42" s="46">
        <v>1</v>
      </c>
      <c r="AJ42" s="46">
        <v>1</v>
      </c>
      <c r="AM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U42" s="134">
        <v>46447</v>
      </c>
    </row>
    <row r="43" spans="1:99" hidden="1">
      <c r="A43" s="46" t="s">
        <v>1760</v>
      </c>
      <c r="B43" s="46" t="s">
        <v>1761</v>
      </c>
      <c r="C43" s="46">
        <v>53</v>
      </c>
      <c r="D43" s="46" t="s">
        <v>1762</v>
      </c>
      <c r="E43" s="46" t="s">
        <v>1763</v>
      </c>
      <c r="F43" s="46" t="s">
        <v>112</v>
      </c>
      <c r="G43" s="46">
        <v>1</v>
      </c>
      <c r="L43" s="46">
        <v>1</v>
      </c>
      <c r="R43" s="46">
        <v>1</v>
      </c>
      <c r="T43" s="46">
        <v>1</v>
      </c>
      <c r="W43" s="46">
        <v>13</v>
      </c>
      <c r="X43" s="46">
        <v>15</v>
      </c>
      <c r="Y43" s="46">
        <v>15</v>
      </c>
      <c r="Z43" s="46">
        <v>3</v>
      </c>
      <c r="AA43" s="46">
        <v>2</v>
      </c>
      <c r="AB43" s="46">
        <v>2</v>
      </c>
      <c r="AH43" s="46">
        <v>1</v>
      </c>
      <c r="AI43" s="46">
        <v>1</v>
      </c>
      <c r="AK43" s="46">
        <v>1</v>
      </c>
      <c r="AT43" s="46">
        <v>1</v>
      </c>
      <c r="AW43" s="46">
        <v>1</v>
      </c>
      <c r="BA43" s="46">
        <v>1</v>
      </c>
      <c r="BJ43" s="46">
        <v>1</v>
      </c>
      <c r="BZ43" s="46">
        <v>1</v>
      </c>
      <c r="CC43" s="46">
        <v>1</v>
      </c>
      <c r="CI43" s="46">
        <v>1</v>
      </c>
      <c r="CU43" s="134">
        <v>46447</v>
      </c>
    </row>
    <row r="44" spans="1:99" hidden="1">
      <c r="A44" s="46" t="s">
        <v>1764</v>
      </c>
      <c r="B44" s="46" t="s">
        <v>1765</v>
      </c>
      <c r="C44" s="46">
        <v>23</v>
      </c>
      <c r="D44" s="46" t="s">
        <v>1744</v>
      </c>
      <c r="E44" s="46" t="s">
        <v>1766</v>
      </c>
      <c r="F44" s="46" t="s">
        <v>112</v>
      </c>
      <c r="G44" s="46">
        <v>1</v>
      </c>
      <c r="M44" s="46">
        <v>1</v>
      </c>
      <c r="R44" s="46">
        <v>1</v>
      </c>
      <c r="U44" s="46">
        <v>1</v>
      </c>
      <c r="W44" s="46">
        <v>13</v>
      </c>
      <c r="X44" s="46">
        <v>13</v>
      </c>
      <c r="Y44" s="46">
        <v>17</v>
      </c>
      <c r="Z44" s="46">
        <v>3</v>
      </c>
      <c r="AA44" s="46">
        <v>4</v>
      </c>
      <c r="AB44" s="46">
        <v>4</v>
      </c>
      <c r="AC44" s="46">
        <v>1</v>
      </c>
      <c r="AJ44" s="46">
        <v>1</v>
      </c>
      <c r="AK44" s="46">
        <v>1</v>
      </c>
      <c r="AT44" s="46">
        <v>1</v>
      </c>
      <c r="AX44" s="46">
        <v>1</v>
      </c>
      <c r="BA44" s="46">
        <v>1</v>
      </c>
      <c r="BI44" s="46">
        <v>1</v>
      </c>
      <c r="BZ44" s="46">
        <v>1</v>
      </c>
      <c r="CC44" s="46">
        <v>1</v>
      </c>
      <c r="CI44" s="46">
        <v>1</v>
      </c>
      <c r="CU44" s="134">
        <v>46447</v>
      </c>
    </row>
    <row r="45" spans="1:99" hidden="1">
      <c r="A45" s="46" t="s">
        <v>1767</v>
      </c>
      <c r="B45" s="46" t="s">
        <v>1768</v>
      </c>
      <c r="C45" s="46">
        <v>60</v>
      </c>
      <c r="D45" s="46" t="s">
        <v>1650</v>
      </c>
      <c r="E45" s="46" t="s">
        <v>191</v>
      </c>
      <c r="F45" s="46" t="s">
        <v>112</v>
      </c>
      <c r="H45" s="46">
        <v>1</v>
      </c>
      <c r="M45" s="46">
        <v>1</v>
      </c>
      <c r="Q45" s="46">
        <v>1</v>
      </c>
      <c r="T45" s="46">
        <v>1</v>
      </c>
      <c r="W45" s="46">
        <v>14</v>
      </c>
      <c r="X45" s="46">
        <v>20</v>
      </c>
      <c r="Y45" s="46">
        <v>21</v>
      </c>
      <c r="Z45" s="46">
        <v>16</v>
      </c>
      <c r="AA45" s="46">
        <v>16</v>
      </c>
      <c r="AB45" s="46">
        <v>9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Z45" s="46">
        <v>1</v>
      </c>
      <c r="CI45" s="46">
        <v>1</v>
      </c>
      <c r="CU45" s="134">
        <v>46447</v>
      </c>
    </row>
    <row r="46" spans="1:99" hidden="1">
      <c r="A46" s="46" t="s">
        <v>1769</v>
      </c>
      <c r="B46" s="46" t="s">
        <v>1770</v>
      </c>
      <c r="C46" s="46">
        <v>20</v>
      </c>
      <c r="D46" s="46" t="s">
        <v>1762</v>
      </c>
      <c r="E46" s="46" t="s">
        <v>1771</v>
      </c>
      <c r="F46" s="46" t="s">
        <v>112</v>
      </c>
      <c r="J46" s="46">
        <v>1</v>
      </c>
      <c r="L46" s="46">
        <v>1</v>
      </c>
      <c r="Q46" s="46" t="s">
        <v>191</v>
      </c>
      <c r="T46" s="46">
        <v>1</v>
      </c>
      <c r="W46" s="46">
        <v>17</v>
      </c>
      <c r="X46" s="46">
        <v>17</v>
      </c>
      <c r="Y46" s="46">
        <v>18</v>
      </c>
      <c r="Z46" s="46">
        <v>1</v>
      </c>
      <c r="AA46" s="46">
        <v>1</v>
      </c>
      <c r="AB46" s="46">
        <v>1</v>
      </c>
      <c r="AE46" s="46">
        <v>1</v>
      </c>
      <c r="AI46" s="46">
        <v>1</v>
      </c>
      <c r="AK46" s="46">
        <v>1</v>
      </c>
      <c r="AT46" s="46">
        <v>1</v>
      </c>
      <c r="AY46" s="46">
        <v>1</v>
      </c>
      <c r="BA46" s="46">
        <v>1</v>
      </c>
      <c r="BI46" s="46">
        <v>1</v>
      </c>
      <c r="BZ46" s="46">
        <v>1</v>
      </c>
      <c r="CI46" s="46">
        <v>1</v>
      </c>
      <c r="CU46" s="134">
        <v>46447</v>
      </c>
    </row>
    <row r="47" spans="1:99" hidden="1">
      <c r="A47" s="46" t="s">
        <v>1772</v>
      </c>
      <c r="B47" s="46" t="s">
        <v>1773</v>
      </c>
      <c r="C47" s="46">
        <v>23</v>
      </c>
      <c r="D47" s="46" t="s">
        <v>1694</v>
      </c>
      <c r="E47" s="46" t="s">
        <v>1774</v>
      </c>
      <c r="F47" s="46" t="s">
        <v>112</v>
      </c>
      <c r="J47" s="46">
        <v>1</v>
      </c>
      <c r="M47" s="46">
        <v>1</v>
      </c>
      <c r="Q47" s="46">
        <v>1</v>
      </c>
      <c r="T47" s="46">
        <v>1</v>
      </c>
      <c r="W47" s="46">
        <v>14</v>
      </c>
      <c r="X47" s="46">
        <v>16</v>
      </c>
      <c r="Y47" s="46">
        <v>20</v>
      </c>
      <c r="Z47" s="46">
        <v>3</v>
      </c>
      <c r="AA47" s="46">
        <v>2</v>
      </c>
      <c r="AB47" s="46">
        <v>2</v>
      </c>
      <c r="AH47" s="46">
        <v>1</v>
      </c>
      <c r="AJ47" s="46">
        <v>1</v>
      </c>
      <c r="AK47" s="46">
        <v>1</v>
      </c>
      <c r="AT47" s="46">
        <v>1</v>
      </c>
      <c r="AX47" s="46">
        <v>1</v>
      </c>
      <c r="BA47" s="46">
        <v>1</v>
      </c>
      <c r="BI47" s="46">
        <v>1</v>
      </c>
      <c r="BZ47" s="46">
        <v>1</v>
      </c>
      <c r="CI47" s="46">
        <v>1</v>
      </c>
      <c r="CU47" s="134">
        <v>46447</v>
      </c>
    </row>
    <row r="48" spans="1:99" hidden="1">
      <c r="A48" s="46" t="s">
        <v>1775</v>
      </c>
      <c r="B48" s="46" t="s">
        <v>1776</v>
      </c>
      <c r="C48" s="46">
        <v>30</v>
      </c>
      <c r="D48" s="46" t="s">
        <v>1694</v>
      </c>
      <c r="E48" s="46" t="s">
        <v>1777</v>
      </c>
      <c r="F48" s="46" t="s">
        <v>112</v>
      </c>
      <c r="H48" s="46">
        <v>1</v>
      </c>
      <c r="M48" s="46">
        <v>1</v>
      </c>
      <c r="R48" s="46">
        <v>1</v>
      </c>
      <c r="U48" s="46">
        <v>1</v>
      </c>
      <c r="W48" s="46">
        <v>15</v>
      </c>
      <c r="X48" s="46">
        <v>20</v>
      </c>
      <c r="Y48" s="46">
        <v>21</v>
      </c>
      <c r="Z48" s="46">
        <v>5</v>
      </c>
      <c r="AA48" s="46" t="s">
        <v>191</v>
      </c>
      <c r="AB48" s="46">
        <v>2</v>
      </c>
      <c r="AE48" s="46">
        <v>1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I48" s="46">
        <v>1</v>
      </c>
      <c r="BZ48" s="46">
        <v>1</v>
      </c>
      <c r="CI48" s="46">
        <v>1</v>
      </c>
      <c r="CU48" s="134">
        <v>46447</v>
      </c>
    </row>
    <row r="49" spans="1:99" hidden="1">
      <c r="A49" s="46" t="s">
        <v>1778</v>
      </c>
      <c r="B49" s="46" t="s">
        <v>1779</v>
      </c>
      <c r="C49" s="46">
        <v>52</v>
      </c>
      <c r="D49" s="46" t="s">
        <v>1780</v>
      </c>
      <c r="E49" s="46" t="s">
        <v>1781</v>
      </c>
      <c r="F49" s="46" t="s">
        <v>112</v>
      </c>
      <c r="G49" s="46" t="s">
        <v>191</v>
      </c>
      <c r="L49" s="46">
        <v>1</v>
      </c>
      <c r="Q49" s="46" t="s">
        <v>191</v>
      </c>
      <c r="T49" s="46">
        <v>1</v>
      </c>
      <c r="W49" s="46">
        <v>14</v>
      </c>
      <c r="X49" s="46">
        <v>18</v>
      </c>
      <c r="Y49" s="46">
        <v>19</v>
      </c>
      <c r="Z49" s="46">
        <v>9</v>
      </c>
      <c r="AA49" s="46">
        <v>6</v>
      </c>
      <c r="AB49" s="46">
        <v>3</v>
      </c>
      <c r="AH49" s="46">
        <v>1</v>
      </c>
      <c r="AJ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Z49" s="46">
        <v>1</v>
      </c>
      <c r="CC49" s="46">
        <v>1</v>
      </c>
      <c r="CI49" s="46">
        <v>1</v>
      </c>
      <c r="CU49" s="134">
        <v>46447</v>
      </c>
    </row>
    <row r="50" spans="1:99" hidden="1">
      <c r="A50" s="46" t="s">
        <v>1782</v>
      </c>
      <c r="B50" s="46" t="s">
        <v>1783</v>
      </c>
      <c r="C50" s="46">
        <v>35</v>
      </c>
      <c r="D50" s="46" t="s">
        <v>1694</v>
      </c>
      <c r="E50" s="46" t="s">
        <v>1784</v>
      </c>
      <c r="F50" s="46" t="s">
        <v>112</v>
      </c>
      <c r="K50" s="46">
        <v>1</v>
      </c>
      <c r="M50" s="46">
        <v>1</v>
      </c>
      <c r="R50" s="46">
        <v>1</v>
      </c>
      <c r="T50" s="46">
        <v>1</v>
      </c>
      <c r="W50" s="46">
        <v>12</v>
      </c>
      <c r="X50" s="46">
        <v>15</v>
      </c>
      <c r="Y50" s="46">
        <v>17</v>
      </c>
      <c r="Z50" s="46">
        <v>7</v>
      </c>
      <c r="AA50" s="46">
        <v>4</v>
      </c>
      <c r="AB50" s="46">
        <v>5</v>
      </c>
      <c r="AD50" s="46">
        <v>1</v>
      </c>
      <c r="AH50" s="46">
        <v>1</v>
      </c>
      <c r="AJ50" s="46">
        <v>1</v>
      </c>
      <c r="AL50" s="46">
        <v>1</v>
      </c>
      <c r="AO50" s="46">
        <v>1</v>
      </c>
      <c r="AQ50" s="46" t="s">
        <v>1785</v>
      </c>
      <c r="AR50" s="46" t="s">
        <v>1786</v>
      </c>
      <c r="AT50" s="46">
        <v>1</v>
      </c>
      <c r="AW50" s="46">
        <v>1</v>
      </c>
      <c r="BA50" s="46">
        <v>1</v>
      </c>
      <c r="BI50" s="46">
        <v>1</v>
      </c>
      <c r="BZ50" s="46">
        <v>1</v>
      </c>
      <c r="CI50" s="46">
        <v>1</v>
      </c>
      <c r="CU50" s="134">
        <v>46447</v>
      </c>
    </row>
    <row r="51" spans="1:99" hidden="1">
      <c r="A51" s="46" t="s">
        <v>1787</v>
      </c>
      <c r="B51" s="46" t="s">
        <v>1788</v>
      </c>
      <c r="C51" s="46">
        <v>24</v>
      </c>
      <c r="D51" s="46" t="s">
        <v>1762</v>
      </c>
      <c r="E51" s="46" t="s">
        <v>1789</v>
      </c>
      <c r="F51" s="46" t="s">
        <v>112</v>
      </c>
      <c r="G51" s="46" t="s">
        <v>191</v>
      </c>
      <c r="M51" s="46">
        <v>1</v>
      </c>
      <c r="Q51" s="46">
        <v>1</v>
      </c>
      <c r="T51" s="46">
        <v>1</v>
      </c>
      <c r="W51" s="46">
        <v>14</v>
      </c>
      <c r="X51" s="46">
        <v>16</v>
      </c>
      <c r="Y51" s="46">
        <v>16</v>
      </c>
      <c r="Z51" s="46">
        <v>3</v>
      </c>
      <c r="AA51" s="46">
        <v>3</v>
      </c>
      <c r="AB51" s="46">
        <v>3</v>
      </c>
      <c r="AH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W51" s="46">
        <v>1</v>
      </c>
      <c r="BZ51" s="46">
        <v>1</v>
      </c>
      <c r="CI51" s="46">
        <v>1</v>
      </c>
      <c r="CU51" s="134">
        <v>46447</v>
      </c>
    </row>
    <row r="52" spans="1:99" hidden="1">
      <c r="A52" s="46" t="s">
        <v>1790</v>
      </c>
      <c r="B52" s="46" t="s">
        <v>1791</v>
      </c>
      <c r="C52" s="46">
        <v>33</v>
      </c>
      <c r="D52" s="46" t="s">
        <v>1762</v>
      </c>
      <c r="E52" s="46" t="s">
        <v>1792</v>
      </c>
      <c r="F52" s="46" t="s">
        <v>107</v>
      </c>
      <c r="J52" s="46">
        <v>1</v>
      </c>
      <c r="M52" s="46">
        <v>1</v>
      </c>
      <c r="R52" s="46">
        <v>1</v>
      </c>
      <c r="T52" s="46">
        <v>1</v>
      </c>
      <c r="W52" s="46">
        <v>13</v>
      </c>
      <c r="X52" s="46">
        <v>15</v>
      </c>
      <c r="Y52" s="46">
        <v>18</v>
      </c>
      <c r="Z52" s="46">
        <v>9</v>
      </c>
      <c r="AA52" s="46">
        <v>8</v>
      </c>
      <c r="AB52" s="46">
        <v>7</v>
      </c>
      <c r="AC52" s="46">
        <v>1</v>
      </c>
      <c r="AJ52" s="46">
        <v>1</v>
      </c>
      <c r="AK52" s="46">
        <v>1</v>
      </c>
      <c r="AT52" s="46">
        <v>1</v>
      </c>
      <c r="AW52" s="46">
        <v>1</v>
      </c>
      <c r="BB52" s="46">
        <v>1</v>
      </c>
      <c r="BF52" s="46">
        <v>1</v>
      </c>
      <c r="BI52" s="46">
        <v>1</v>
      </c>
      <c r="BW52" s="46">
        <v>1</v>
      </c>
      <c r="BZ52" s="46">
        <v>1</v>
      </c>
      <c r="CC52" s="46">
        <v>1</v>
      </c>
      <c r="CI52" s="46">
        <v>1</v>
      </c>
      <c r="CU52" s="134">
        <v>46447</v>
      </c>
    </row>
    <row r="53" spans="1:99" hidden="1">
      <c r="A53" s="46" t="s">
        <v>1793</v>
      </c>
      <c r="B53" s="46" t="s">
        <v>898</v>
      </c>
      <c r="C53" s="46">
        <v>30</v>
      </c>
      <c r="D53" s="46" t="s">
        <v>1690</v>
      </c>
      <c r="E53" s="46" t="s">
        <v>1712</v>
      </c>
      <c r="F53" s="46" t="s">
        <v>112</v>
      </c>
      <c r="G53" s="46">
        <v>1</v>
      </c>
      <c r="M53" s="46">
        <v>1</v>
      </c>
      <c r="Q53" s="46">
        <v>1</v>
      </c>
      <c r="T53" s="46">
        <v>1</v>
      </c>
      <c r="W53" s="46">
        <v>14</v>
      </c>
      <c r="X53" s="46">
        <v>17</v>
      </c>
      <c r="Y53" s="46">
        <v>18</v>
      </c>
      <c r="Z53" s="46">
        <v>10</v>
      </c>
      <c r="AA53" s="46">
        <v>6</v>
      </c>
      <c r="AB53" s="46">
        <v>6</v>
      </c>
      <c r="AE53" s="46">
        <v>1</v>
      </c>
      <c r="AG53" s="46">
        <v>1</v>
      </c>
      <c r="AH53" s="46">
        <v>1</v>
      </c>
      <c r="AJ53" s="46">
        <v>1</v>
      </c>
      <c r="AK53" s="46">
        <v>1</v>
      </c>
      <c r="AT53" s="46">
        <v>1</v>
      </c>
      <c r="AX53" s="46">
        <v>1</v>
      </c>
      <c r="BA53" s="46">
        <v>1</v>
      </c>
      <c r="BI53" s="46">
        <v>1</v>
      </c>
      <c r="BW53" s="46">
        <v>1</v>
      </c>
      <c r="CA53" s="46">
        <v>1</v>
      </c>
      <c r="CB53" s="46">
        <v>2023</v>
      </c>
      <c r="CD53" s="46">
        <v>1</v>
      </c>
      <c r="CE53" s="46" t="s">
        <v>191</v>
      </c>
      <c r="CH53" s="46" t="s">
        <v>1794</v>
      </c>
      <c r="CI53" s="46">
        <v>1</v>
      </c>
      <c r="CU53" s="134">
        <v>46447</v>
      </c>
    </row>
    <row r="54" spans="1:99" hidden="1">
      <c r="A54" s="46" t="s">
        <v>1795</v>
      </c>
      <c r="B54" s="46" t="s">
        <v>1796</v>
      </c>
      <c r="C54" s="46">
        <v>18</v>
      </c>
      <c r="D54" s="46" t="s">
        <v>1797</v>
      </c>
      <c r="E54" s="46" t="s">
        <v>1798</v>
      </c>
      <c r="F54" s="46" t="s">
        <v>112</v>
      </c>
      <c r="K54" s="46">
        <v>1</v>
      </c>
      <c r="L54" s="46">
        <v>1</v>
      </c>
      <c r="Q54" s="46" t="s">
        <v>191</v>
      </c>
      <c r="T54" s="46">
        <v>1</v>
      </c>
      <c r="W54" s="46">
        <v>15</v>
      </c>
      <c r="X54" s="46">
        <v>17</v>
      </c>
      <c r="Y54" s="46">
        <v>0</v>
      </c>
      <c r="Z54" s="46">
        <v>0</v>
      </c>
      <c r="AA54" s="46">
        <v>0</v>
      </c>
      <c r="AB54" s="46">
        <v>0</v>
      </c>
      <c r="AC54" s="46">
        <v>1</v>
      </c>
      <c r="AJ54" s="46">
        <v>1</v>
      </c>
      <c r="AM54" s="46">
        <v>1</v>
      </c>
      <c r="AT54" s="46">
        <v>1</v>
      </c>
      <c r="AW54" s="46">
        <v>1</v>
      </c>
      <c r="BA54" s="46">
        <v>1</v>
      </c>
      <c r="BI54" s="46">
        <v>1</v>
      </c>
      <c r="BZ54" s="46">
        <v>1</v>
      </c>
      <c r="CC54" s="46">
        <v>1</v>
      </c>
      <c r="CI54" s="46">
        <v>1</v>
      </c>
      <c r="CU54" s="134">
        <v>46447</v>
      </c>
    </row>
    <row r="55" spans="1:99" hidden="1">
      <c r="A55" s="46" t="s">
        <v>1799</v>
      </c>
      <c r="B55" s="46" t="s">
        <v>1800</v>
      </c>
      <c r="C55" s="46">
        <v>40</v>
      </c>
      <c r="D55" s="46" t="s">
        <v>1762</v>
      </c>
      <c r="E55" s="46" t="s">
        <v>191</v>
      </c>
      <c r="F55" s="46" t="s">
        <v>112</v>
      </c>
      <c r="J55" s="46">
        <v>1</v>
      </c>
      <c r="O55" s="46">
        <v>1</v>
      </c>
      <c r="Q55" s="46">
        <v>1</v>
      </c>
      <c r="T55" s="46">
        <v>1</v>
      </c>
      <c r="W55" s="46">
        <v>14</v>
      </c>
      <c r="X55" s="46">
        <v>16</v>
      </c>
      <c r="Y55" s="46">
        <v>17</v>
      </c>
      <c r="Z55" s="46">
        <v>6</v>
      </c>
      <c r="AA55" s="46">
        <v>6</v>
      </c>
      <c r="AB55" s="46">
        <v>6</v>
      </c>
      <c r="AE55" s="46">
        <v>1</v>
      </c>
      <c r="AF55" s="46">
        <v>1</v>
      </c>
      <c r="AG55" s="46">
        <v>1</v>
      </c>
      <c r="AH55" s="46">
        <v>1</v>
      </c>
      <c r="AJ55" s="46">
        <v>1</v>
      </c>
      <c r="AK55" s="46">
        <v>1</v>
      </c>
      <c r="AT55" s="46">
        <v>1</v>
      </c>
      <c r="AW55" s="46">
        <v>1</v>
      </c>
      <c r="BA55" s="46">
        <v>1</v>
      </c>
      <c r="BI55" s="46">
        <v>1</v>
      </c>
      <c r="BZ55" s="46">
        <v>1</v>
      </c>
      <c r="CI55" s="46">
        <v>1</v>
      </c>
      <c r="CU55" s="134">
        <v>46447</v>
      </c>
    </row>
    <row r="56" spans="1:99" hidden="1">
      <c r="A56" s="46" t="s">
        <v>1801</v>
      </c>
      <c r="B56" s="46" t="s">
        <v>1802</v>
      </c>
      <c r="C56" s="46">
        <v>18</v>
      </c>
      <c r="D56" s="46" t="s">
        <v>1650</v>
      </c>
      <c r="E56" s="46" t="s">
        <v>1803</v>
      </c>
      <c r="F56" s="46" t="s">
        <v>112</v>
      </c>
      <c r="J56" s="46">
        <v>1</v>
      </c>
      <c r="L56" s="46">
        <v>1</v>
      </c>
      <c r="Q56" s="46" t="s">
        <v>191</v>
      </c>
      <c r="T56" s="46">
        <v>1</v>
      </c>
      <c r="W56" s="46">
        <v>14</v>
      </c>
      <c r="X56" s="46">
        <v>17</v>
      </c>
      <c r="Y56" s="46">
        <v>0</v>
      </c>
      <c r="Z56" s="46">
        <v>0</v>
      </c>
      <c r="AA56" s="46" t="s">
        <v>191</v>
      </c>
      <c r="AB56" s="46" t="s">
        <v>191</v>
      </c>
      <c r="AE56" s="46">
        <v>1</v>
      </c>
      <c r="AH56" s="46">
        <v>1</v>
      </c>
      <c r="AI56" s="46">
        <v>1</v>
      </c>
      <c r="AM56" s="46">
        <v>1</v>
      </c>
      <c r="AT56" s="46">
        <v>1</v>
      </c>
      <c r="AW56" s="46">
        <v>1</v>
      </c>
      <c r="BA56" s="46">
        <v>1</v>
      </c>
      <c r="BI56" s="46">
        <v>1</v>
      </c>
      <c r="BW56" s="46">
        <v>1</v>
      </c>
      <c r="BZ56" s="46">
        <v>1</v>
      </c>
      <c r="CB56" s="46" t="s">
        <v>1804</v>
      </c>
      <c r="CI56" s="46">
        <v>1</v>
      </c>
      <c r="CU56" s="134">
        <v>46447</v>
      </c>
    </row>
    <row r="57" spans="1:99" hidden="1">
      <c r="A57" s="46" t="s">
        <v>1805</v>
      </c>
      <c r="B57" s="46" t="s">
        <v>1806</v>
      </c>
      <c r="C57" s="46">
        <v>30</v>
      </c>
      <c r="D57" s="46" t="s">
        <v>1762</v>
      </c>
      <c r="E57" s="46" t="s">
        <v>1807</v>
      </c>
      <c r="F57" s="46" t="s">
        <v>112</v>
      </c>
      <c r="I57" s="46">
        <v>1</v>
      </c>
      <c r="M57" s="46">
        <v>1</v>
      </c>
      <c r="R57" s="46">
        <v>1</v>
      </c>
      <c r="U57" s="46">
        <v>1</v>
      </c>
      <c r="W57" s="46">
        <v>15</v>
      </c>
      <c r="X57" s="46">
        <v>19</v>
      </c>
      <c r="Y57" s="46">
        <v>19</v>
      </c>
      <c r="Z57" s="46">
        <v>4</v>
      </c>
      <c r="AA57" s="46">
        <v>4</v>
      </c>
      <c r="AB57" s="46">
        <v>3</v>
      </c>
      <c r="AH57" s="46">
        <v>1</v>
      </c>
      <c r="AJ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Z57" s="46">
        <v>1</v>
      </c>
      <c r="CI57" s="46">
        <v>1</v>
      </c>
      <c r="CU57" s="134">
        <v>46447</v>
      </c>
    </row>
    <row r="58" spans="1:99" hidden="1">
      <c r="A58" s="46" t="s">
        <v>1808</v>
      </c>
      <c r="B58" s="46" t="s">
        <v>1809</v>
      </c>
      <c r="C58" s="46">
        <v>30</v>
      </c>
      <c r="D58" s="46" t="s">
        <v>1762</v>
      </c>
      <c r="E58" s="46" t="s">
        <v>191</v>
      </c>
      <c r="F58" s="46" t="s">
        <v>112</v>
      </c>
      <c r="H58" s="46">
        <v>1</v>
      </c>
      <c r="M58" s="46">
        <v>1</v>
      </c>
      <c r="R58" s="46">
        <v>1</v>
      </c>
      <c r="S58" s="46">
        <v>1</v>
      </c>
      <c r="W58" s="46">
        <v>14</v>
      </c>
      <c r="X58" s="46">
        <v>17</v>
      </c>
      <c r="Y58" s="46">
        <v>17</v>
      </c>
      <c r="Z58" s="46">
        <v>9</v>
      </c>
      <c r="AA58" s="46">
        <v>8</v>
      </c>
      <c r="AB58" s="46">
        <v>6</v>
      </c>
      <c r="AC58" s="46">
        <v>1</v>
      </c>
      <c r="AI58" s="46">
        <v>1</v>
      </c>
      <c r="AK58" s="46">
        <v>1</v>
      </c>
      <c r="AT58" s="46">
        <v>1</v>
      </c>
      <c r="AX58" s="46">
        <v>1</v>
      </c>
      <c r="BA58" s="46">
        <v>1</v>
      </c>
      <c r="BI58" s="46">
        <v>1</v>
      </c>
      <c r="BZ58" s="46">
        <v>1</v>
      </c>
      <c r="CI58" s="46">
        <v>1</v>
      </c>
      <c r="CU58" s="134">
        <v>46447</v>
      </c>
    </row>
    <row r="59" spans="1:99" hidden="1">
      <c r="A59" s="46" t="s">
        <v>1810</v>
      </c>
      <c r="B59" s="46" t="s">
        <v>1811</v>
      </c>
      <c r="C59" s="46">
        <v>65</v>
      </c>
      <c r="D59" s="46" t="s">
        <v>1642</v>
      </c>
      <c r="E59" s="46" t="s">
        <v>1643</v>
      </c>
      <c r="F59" s="46" t="s">
        <v>112</v>
      </c>
      <c r="K59" s="46">
        <v>1</v>
      </c>
      <c r="M59" s="46">
        <v>1</v>
      </c>
      <c r="Q59" s="46">
        <v>1</v>
      </c>
      <c r="S59" s="46">
        <v>1</v>
      </c>
      <c r="W59" s="46">
        <v>15</v>
      </c>
      <c r="X59" s="46">
        <v>15</v>
      </c>
      <c r="Y59" s="46">
        <v>20</v>
      </c>
      <c r="Z59" s="46">
        <v>2</v>
      </c>
      <c r="AA59" s="46">
        <v>2</v>
      </c>
      <c r="AB59" s="46">
        <v>2</v>
      </c>
      <c r="AG59" s="46">
        <v>1</v>
      </c>
      <c r="AH59" s="46">
        <v>1</v>
      </c>
      <c r="AI59" s="46">
        <v>1</v>
      </c>
      <c r="AM59" s="46">
        <v>1</v>
      </c>
      <c r="AT59" s="46">
        <v>1</v>
      </c>
      <c r="AW59" s="46">
        <v>1</v>
      </c>
      <c r="BB59" s="46">
        <v>1</v>
      </c>
      <c r="BF59" s="46">
        <v>1</v>
      </c>
      <c r="BK59" s="46">
        <v>1</v>
      </c>
      <c r="BN59" s="46">
        <v>1</v>
      </c>
      <c r="BZ59" s="46">
        <v>1</v>
      </c>
      <c r="CI59" s="46">
        <v>1</v>
      </c>
      <c r="CU59" s="134">
        <v>45413</v>
      </c>
    </row>
    <row r="60" spans="1:99" hidden="1">
      <c r="A60" s="46" t="s">
        <v>1812</v>
      </c>
      <c r="B60" s="46" t="s">
        <v>1813</v>
      </c>
      <c r="C60" s="46">
        <v>71</v>
      </c>
      <c r="D60" s="46" t="s">
        <v>1762</v>
      </c>
      <c r="E60" s="46" t="s">
        <v>1814</v>
      </c>
      <c r="F60" s="46" t="s">
        <v>112</v>
      </c>
      <c r="I60" s="46">
        <v>1</v>
      </c>
      <c r="P60" s="46">
        <v>1</v>
      </c>
      <c r="R60" s="46">
        <v>1</v>
      </c>
      <c r="S60" s="46">
        <v>1</v>
      </c>
      <c r="W60" s="46">
        <v>14</v>
      </c>
      <c r="X60" s="46" t="s">
        <v>191</v>
      </c>
      <c r="Y60" s="46">
        <v>18</v>
      </c>
      <c r="Z60" s="46">
        <v>9</v>
      </c>
      <c r="AA60" s="46">
        <v>8</v>
      </c>
      <c r="AB60" s="46">
        <v>7</v>
      </c>
      <c r="AD60" s="46">
        <v>1</v>
      </c>
      <c r="AH60" s="46">
        <v>1</v>
      </c>
      <c r="AI60" s="46">
        <v>1</v>
      </c>
      <c r="AM60" s="46">
        <v>1</v>
      </c>
      <c r="AT60" s="46">
        <v>1</v>
      </c>
      <c r="AX60" s="46">
        <v>1</v>
      </c>
      <c r="BA60" s="46">
        <v>1</v>
      </c>
      <c r="BK60" s="46">
        <v>1</v>
      </c>
      <c r="BS60" s="46">
        <v>1</v>
      </c>
      <c r="BW60" s="46">
        <v>1</v>
      </c>
      <c r="BZ60" s="46">
        <v>1</v>
      </c>
      <c r="CI60" s="46">
        <v>1</v>
      </c>
      <c r="CU60" s="134">
        <v>45383</v>
      </c>
    </row>
    <row r="61" spans="1:99" hidden="1">
      <c r="A61" s="46" t="s">
        <v>1815</v>
      </c>
      <c r="B61" s="46" t="s">
        <v>1816</v>
      </c>
      <c r="C61" s="46">
        <v>23</v>
      </c>
      <c r="D61" s="46" t="s">
        <v>1817</v>
      </c>
      <c r="E61" s="46" t="s">
        <v>1818</v>
      </c>
      <c r="F61" s="46" t="s">
        <v>112</v>
      </c>
      <c r="H61" s="46">
        <v>1</v>
      </c>
      <c r="M61" s="46">
        <v>1</v>
      </c>
      <c r="R61" s="46">
        <v>1</v>
      </c>
      <c r="T61" s="46">
        <v>1</v>
      </c>
      <c r="W61" s="46">
        <v>14</v>
      </c>
      <c r="X61" s="46">
        <v>16</v>
      </c>
      <c r="Y61" s="46">
        <v>17</v>
      </c>
      <c r="Z61" s="46">
        <v>5</v>
      </c>
      <c r="AA61" s="46">
        <v>5</v>
      </c>
      <c r="AB61" s="46">
        <v>4</v>
      </c>
      <c r="AF61" s="46">
        <v>1</v>
      </c>
      <c r="AH61" s="46">
        <v>1</v>
      </c>
      <c r="AJ61" s="46">
        <v>1</v>
      </c>
      <c r="AK61" s="46">
        <v>1</v>
      </c>
      <c r="AT61" s="46">
        <v>1</v>
      </c>
      <c r="AX61" s="46">
        <v>1</v>
      </c>
      <c r="BA61" s="46">
        <v>1</v>
      </c>
      <c r="BH61" s="46">
        <v>1</v>
      </c>
      <c r="BV61" s="46">
        <v>1</v>
      </c>
      <c r="BW61" s="46">
        <v>1</v>
      </c>
      <c r="BZ61" s="46">
        <v>1</v>
      </c>
      <c r="CI61" s="46">
        <v>1</v>
      </c>
      <c r="CU61" s="134">
        <v>45717</v>
      </c>
    </row>
    <row r="62" spans="1:99" hidden="1">
      <c r="A62" s="46" t="s">
        <v>1819</v>
      </c>
      <c r="B62" s="46" t="s">
        <v>1820</v>
      </c>
      <c r="C62" s="46">
        <v>25</v>
      </c>
      <c r="D62" s="46" t="s">
        <v>1690</v>
      </c>
      <c r="E62" s="46" t="s">
        <v>1821</v>
      </c>
      <c r="F62" s="46" t="s">
        <v>1288</v>
      </c>
      <c r="K62" s="46">
        <v>1</v>
      </c>
      <c r="M62" s="46">
        <v>1</v>
      </c>
      <c r="Q62" s="46">
        <v>1</v>
      </c>
      <c r="U62" s="46">
        <v>1</v>
      </c>
      <c r="W62" s="46">
        <v>12</v>
      </c>
      <c r="X62" s="46">
        <v>18</v>
      </c>
      <c r="Y62" s="46">
        <v>21</v>
      </c>
      <c r="Z62" s="46">
        <v>4</v>
      </c>
      <c r="AA62" s="46">
        <v>3</v>
      </c>
      <c r="AB62" s="46">
        <v>3</v>
      </c>
      <c r="AD62" s="46">
        <v>1</v>
      </c>
      <c r="AF62" s="46">
        <v>1</v>
      </c>
      <c r="AH62" s="46">
        <v>1</v>
      </c>
      <c r="AJ62" s="46">
        <v>1</v>
      </c>
      <c r="AK62" s="46">
        <v>1</v>
      </c>
      <c r="AT62" s="46">
        <v>1</v>
      </c>
      <c r="BA62" s="46">
        <v>1</v>
      </c>
      <c r="BH62" s="46">
        <v>1</v>
      </c>
      <c r="BV62" s="46">
        <v>1</v>
      </c>
      <c r="BW62" s="46">
        <v>1</v>
      </c>
      <c r="BZ62" s="46">
        <v>1</v>
      </c>
      <c r="CI62" s="46">
        <v>1</v>
      </c>
      <c r="CU62" s="134">
        <v>45717</v>
      </c>
    </row>
  </sheetData>
  <autoFilter ref="A3:CU62">
    <filterColumn colId="0">
      <filters>
        <filter val="S275/24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1634</v>
      </c>
      <c r="B3" s="69">
        <v>1</v>
      </c>
      <c r="C3" s="69"/>
      <c r="D3" s="69">
        <v>4</v>
      </c>
      <c r="E3" s="69">
        <f t="shared" ref="E3:E8" si="0">SUM(B3:D3)</f>
        <v>5</v>
      </c>
      <c r="F3" s="70"/>
      <c r="G3" s="70">
        <v>4</v>
      </c>
      <c r="H3" s="70">
        <v>1</v>
      </c>
      <c r="I3" s="71">
        <f t="shared" ref="I3:I9" si="1">SUM(F3:H3)</f>
        <v>5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>
        <v>1</v>
      </c>
      <c r="R3" s="71">
        <f t="shared" ref="R3:R8" si="3">SUM(O3:Q3)</f>
        <v>1</v>
      </c>
      <c r="S3" s="70"/>
      <c r="T3" s="70"/>
      <c r="U3" s="70"/>
      <c r="V3" s="70"/>
      <c r="W3" s="70"/>
      <c r="X3" s="70"/>
      <c r="Y3" s="73">
        <v>5</v>
      </c>
      <c r="Z3" s="73"/>
      <c r="AA3" s="73"/>
      <c r="AB3" s="73"/>
      <c r="AC3" s="73">
        <f t="shared" ref="AC3:AC8" si="4">SUM(Y3:AB3)</f>
        <v>5</v>
      </c>
      <c r="AD3" s="73"/>
    </row>
    <row r="4" spans="1:30">
      <c r="A4" s="74" t="s">
        <v>1822</v>
      </c>
      <c r="B4" s="69">
        <v>18</v>
      </c>
      <c r="C4" s="69"/>
      <c r="D4" s="69"/>
      <c r="E4" s="69">
        <f t="shared" si="0"/>
        <v>18</v>
      </c>
      <c r="F4" s="70">
        <v>2</v>
      </c>
      <c r="G4" s="70">
        <v>15</v>
      </c>
      <c r="H4" s="70">
        <v>1</v>
      </c>
      <c r="I4" s="71">
        <f t="shared" si="1"/>
        <v>18</v>
      </c>
      <c r="J4" s="70"/>
      <c r="K4" s="70"/>
      <c r="L4" s="70"/>
      <c r="M4" s="70"/>
      <c r="N4" s="71">
        <f t="shared" si="2"/>
        <v>0</v>
      </c>
      <c r="O4" s="70">
        <v>2</v>
      </c>
      <c r="P4" s="70"/>
      <c r="Q4" s="70">
        <v>5</v>
      </c>
      <c r="R4" s="71">
        <f t="shared" si="3"/>
        <v>7</v>
      </c>
      <c r="S4" s="75"/>
      <c r="T4" s="75"/>
      <c r="U4" s="75"/>
      <c r="V4" s="75"/>
      <c r="W4" s="75"/>
      <c r="X4" s="76"/>
      <c r="Y4" s="73">
        <v>18</v>
      </c>
      <c r="Z4" s="73"/>
      <c r="AA4" s="73"/>
      <c r="AB4" s="73"/>
      <c r="AC4" s="73">
        <f t="shared" si="4"/>
        <v>18</v>
      </c>
      <c r="AD4" s="73"/>
    </row>
    <row r="5" spans="1:30">
      <c r="A5" s="77" t="s">
        <v>1823</v>
      </c>
      <c r="B5" s="69">
        <v>12</v>
      </c>
      <c r="C5" s="69">
        <v>1</v>
      </c>
      <c r="D5" s="69">
        <v>1</v>
      </c>
      <c r="E5" s="69">
        <f t="shared" si="0"/>
        <v>14</v>
      </c>
      <c r="F5" s="70"/>
      <c r="G5" s="70">
        <v>14</v>
      </c>
      <c r="H5" s="70"/>
      <c r="I5" s="71">
        <f t="shared" si="1"/>
        <v>14</v>
      </c>
      <c r="J5" s="70"/>
      <c r="K5" s="70"/>
      <c r="L5" s="70"/>
      <c r="M5" s="70"/>
      <c r="N5" s="71">
        <f t="shared" si="2"/>
        <v>0</v>
      </c>
      <c r="O5" s="70"/>
      <c r="P5" s="70"/>
      <c r="Q5" s="70">
        <v>1</v>
      </c>
      <c r="R5" s="71">
        <f t="shared" si="3"/>
        <v>1</v>
      </c>
      <c r="S5" s="75"/>
      <c r="T5" s="75"/>
      <c r="U5" s="75"/>
      <c r="V5" s="75"/>
      <c r="W5" s="75"/>
      <c r="X5" s="76"/>
      <c r="Y5" s="73">
        <v>14</v>
      </c>
      <c r="Z5" s="73"/>
      <c r="AA5" s="73"/>
      <c r="AB5" s="73"/>
      <c r="AC5" s="73">
        <f t="shared" si="4"/>
        <v>14</v>
      </c>
      <c r="AD5" s="73"/>
    </row>
    <row r="6" spans="1:30">
      <c r="A6" s="77" t="s">
        <v>1824</v>
      </c>
      <c r="B6" s="69">
        <v>10</v>
      </c>
      <c r="C6" s="69"/>
      <c r="D6" s="69">
        <v>1</v>
      </c>
      <c r="E6" s="69">
        <f t="shared" si="0"/>
        <v>11</v>
      </c>
      <c r="F6" s="70"/>
      <c r="G6" s="70">
        <v>8</v>
      </c>
      <c r="H6" s="70"/>
      <c r="I6" s="71">
        <f t="shared" si="1"/>
        <v>8</v>
      </c>
      <c r="J6" s="70">
        <v>2</v>
      </c>
      <c r="K6" s="70">
        <v>1</v>
      </c>
      <c r="L6" s="70"/>
      <c r="M6" s="70"/>
      <c r="N6" s="71">
        <f t="shared" si="2"/>
        <v>3</v>
      </c>
      <c r="O6" s="70"/>
      <c r="P6" s="70"/>
      <c r="Q6" s="70">
        <v>2</v>
      </c>
      <c r="R6" s="71">
        <f t="shared" si="3"/>
        <v>2</v>
      </c>
      <c r="S6" s="75"/>
      <c r="T6" s="75"/>
      <c r="U6" s="75"/>
      <c r="V6" s="75">
        <v>1</v>
      </c>
      <c r="W6" s="75"/>
      <c r="X6" s="76"/>
      <c r="Y6" s="73">
        <v>11</v>
      </c>
      <c r="Z6" s="73"/>
      <c r="AA6" s="73"/>
      <c r="AB6" s="73"/>
      <c r="AC6" s="73">
        <f t="shared" si="4"/>
        <v>11</v>
      </c>
      <c r="AD6" s="73"/>
    </row>
    <row r="7" spans="1:30">
      <c r="A7" s="77" t="s">
        <v>555</v>
      </c>
      <c r="B7" s="69">
        <v>5</v>
      </c>
      <c r="C7" s="69"/>
      <c r="D7" s="69">
        <v>2</v>
      </c>
      <c r="E7" s="69">
        <f t="shared" si="0"/>
        <v>7</v>
      </c>
      <c r="F7" s="70"/>
      <c r="G7" s="70">
        <v>1</v>
      </c>
      <c r="H7" s="70"/>
      <c r="I7" s="71">
        <f t="shared" si="1"/>
        <v>1</v>
      </c>
      <c r="J7" s="70">
        <v>2</v>
      </c>
      <c r="K7" s="70"/>
      <c r="L7" s="70"/>
      <c r="M7" s="70">
        <v>2</v>
      </c>
      <c r="N7" s="71">
        <f t="shared" si="2"/>
        <v>4</v>
      </c>
      <c r="O7" s="70"/>
      <c r="P7" s="70"/>
      <c r="Q7" s="70"/>
      <c r="R7" s="71">
        <f t="shared" si="3"/>
        <v>0</v>
      </c>
      <c r="S7" s="75"/>
      <c r="T7" s="75"/>
      <c r="U7" s="75"/>
      <c r="V7" s="75"/>
      <c r="W7" s="75"/>
      <c r="X7" s="76"/>
      <c r="Y7" s="73">
        <v>4</v>
      </c>
      <c r="Z7" s="73"/>
      <c r="AA7" s="73"/>
      <c r="AB7" s="73">
        <v>1</v>
      </c>
      <c r="AC7" s="73">
        <f t="shared" si="4"/>
        <v>5</v>
      </c>
      <c r="AD7" s="73"/>
    </row>
    <row r="8" spans="1:30">
      <c r="A8" s="78" t="s">
        <v>1825</v>
      </c>
      <c r="B8" s="79"/>
      <c r="C8" s="79">
        <v>1</v>
      </c>
      <c r="D8" s="79">
        <v>3</v>
      </c>
      <c r="E8" s="69">
        <f t="shared" si="0"/>
        <v>4</v>
      </c>
      <c r="F8" s="80"/>
      <c r="G8" s="80"/>
      <c r="H8" s="80"/>
      <c r="I8" s="71">
        <f t="shared" si="1"/>
        <v>0</v>
      </c>
      <c r="J8" s="80">
        <v>1</v>
      </c>
      <c r="K8" s="80">
        <v>2</v>
      </c>
      <c r="L8" s="80"/>
      <c r="M8" s="80">
        <v>1</v>
      </c>
      <c r="N8" s="71">
        <f t="shared" si="2"/>
        <v>4</v>
      </c>
      <c r="O8" s="80"/>
      <c r="P8" s="80"/>
      <c r="Q8" s="80">
        <v>1</v>
      </c>
      <c r="R8" s="71">
        <f t="shared" si="3"/>
        <v>1</v>
      </c>
      <c r="S8" s="80"/>
      <c r="T8" s="80"/>
      <c r="U8" s="80"/>
      <c r="V8" s="80">
        <v>1</v>
      </c>
      <c r="W8" s="80"/>
      <c r="X8" s="81"/>
      <c r="Y8" s="82">
        <v>4</v>
      </c>
      <c r="Z8" s="82"/>
      <c r="AA8" s="82"/>
      <c r="AB8" s="82"/>
      <c r="AC8" s="73">
        <f t="shared" si="4"/>
        <v>4</v>
      </c>
      <c r="AD8" s="82"/>
    </row>
    <row r="9" spans="1:30">
      <c r="A9" s="69" t="s">
        <v>376</v>
      </c>
      <c r="B9" s="69">
        <f t="shared" ref="B9:H9" si="5">SUM(B3:B8)</f>
        <v>46</v>
      </c>
      <c r="C9" s="69">
        <f t="shared" si="5"/>
        <v>2</v>
      </c>
      <c r="D9" s="69">
        <f t="shared" si="5"/>
        <v>11</v>
      </c>
      <c r="E9" s="69">
        <f t="shared" si="5"/>
        <v>59</v>
      </c>
      <c r="F9" s="69">
        <f t="shared" si="5"/>
        <v>2</v>
      </c>
      <c r="G9" s="69">
        <f t="shared" si="5"/>
        <v>42</v>
      </c>
      <c r="H9" s="69">
        <f t="shared" si="5"/>
        <v>2</v>
      </c>
      <c r="I9" s="71">
        <f t="shared" si="1"/>
        <v>46</v>
      </c>
      <c r="J9" s="114">
        <f>SUM(J3:J8)</f>
        <v>5</v>
      </c>
      <c r="K9" s="114">
        <f>SUM(K3:K8)</f>
        <v>3</v>
      </c>
      <c r="L9" s="114">
        <f>SUM(L3:L8)</f>
        <v>0</v>
      </c>
      <c r="M9" s="114">
        <f>SUM(M3:M8)</f>
        <v>3</v>
      </c>
      <c r="N9" s="71">
        <f t="shared" si="2"/>
        <v>11</v>
      </c>
      <c r="O9" s="114">
        <f t="shared" ref="O9:AC9" si="6">SUM(O3:O8)</f>
        <v>2</v>
      </c>
      <c r="P9" s="114">
        <f t="shared" si="6"/>
        <v>0</v>
      </c>
      <c r="Q9" s="114">
        <f t="shared" si="6"/>
        <v>10</v>
      </c>
      <c r="R9" s="71">
        <f t="shared" si="6"/>
        <v>12</v>
      </c>
      <c r="S9" s="114">
        <f t="shared" si="6"/>
        <v>0</v>
      </c>
      <c r="T9" s="114">
        <f t="shared" si="6"/>
        <v>0</v>
      </c>
      <c r="U9" s="114">
        <f t="shared" si="6"/>
        <v>0</v>
      </c>
      <c r="V9" s="114">
        <f t="shared" si="6"/>
        <v>2</v>
      </c>
      <c r="W9" s="114">
        <f t="shared" si="6"/>
        <v>0</v>
      </c>
      <c r="X9" s="114">
        <f t="shared" si="6"/>
        <v>0</v>
      </c>
      <c r="Y9" s="73">
        <f t="shared" si="6"/>
        <v>56</v>
      </c>
      <c r="Z9" s="73">
        <f t="shared" si="6"/>
        <v>0</v>
      </c>
      <c r="AA9" s="73">
        <f t="shared" si="6"/>
        <v>0</v>
      </c>
      <c r="AB9" s="73">
        <f t="shared" si="6"/>
        <v>1</v>
      </c>
      <c r="AC9" s="73">
        <f t="shared" si="6"/>
        <v>57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6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85546875" customWidth="1"/>
    <col min="2" max="2" width="20.5703125" customWidth="1"/>
    <col min="3" max="3" width="6.5703125" customWidth="1"/>
    <col min="4" max="4" width="10.85546875" customWidth="1"/>
    <col min="6" max="6" width="13" customWidth="1"/>
    <col min="7" max="7" width="7" customWidth="1"/>
    <col min="8" max="8" width="7.140625" customWidth="1"/>
    <col min="9" max="9" width="7.7109375" customWidth="1"/>
    <col min="10" max="10" width="7.85546875" customWidth="1"/>
    <col min="11" max="11" width="7.7109375" customWidth="1"/>
    <col min="12" max="12" width="6.85546875" customWidth="1"/>
    <col min="13" max="13" width="6.7109375" customWidth="1"/>
    <col min="14" max="14" width="6.5703125" customWidth="1"/>
    <col min="15" max="15" width="5.5703125" customWidth="1"/>
    <col min="16" max="16" width="6.28515625" customWidth="1"/>
    <col min="17" max="17" width="8.5703125" customWidth="1"/>
    <col min="18" max="18" width="8.140625" customWidth="1"/>
    <col min="19" max="19" width="8" customWidth="1"/>
    <col min="20" max="20" width="7.5703125" customWidth="1"/>
    <col min="21" max="21" width="6.5703125" customWidth="1"/>
    <col min="22" max="22" width="6.28515625" customWidth="1"/>
    <col min="23" max="23" width="10.7109375" customWidth="1"/>
    <col min="24" max="24" width="11.140625" customWidth="1"/>
    <col min="25" max="25" width="10.28515625" customWidth="1"/>
    <col min="26" max="26" width="8.28515625" customWidth="1"/>
    <col min="27" max="27" width="9.140625" customWidth="1"/>
    <col min="28" max="28" width="9.42578125" customWidth="1"/>
    <col min="29" max="29" width="5.85546875" customWidth="1"/>
    <col min="30" max="30" width="8.28515625" customWidth="1"/>
    <col min="31" max="31" width="8.42578125" customWidth="1"/>
    <col min="32" max="32" width="9.42578125" customWidth="1"/>
    <col min="33" max="33" width="10" customWidth="1"/>
    <col min="34" max="34" width="7.85546875" customWidth="1"/>
    <col min="35" max="36" width="6.140625" customWidth="1"/>
    <col min="37" max="37" width="6.85546875" customWidth="1"/>
    <col min="38" max="38" width="7.28515625" customWidth="1"/>
    <col min="39" max="39" width="12.140625" customWidth="1"/>
    <col min="40" max="40" width="10.140625" customWidth="1"/>
    <col min="41" max="41" width="8.42578125" customWidth="1"/>
    <col min="42" max="42" width="9.140625" customWidth="1"/>
    <col min="43" max="43" width="11.28515625" customWidth="1"/>
    <col min="44" max="44" width="12.5703125" customWidth="1"/>
    <col min="45" max="45" width="9.28515625" customWidth="1"/>
    <col min="46" max="46" width="5.7109375" customWidth="1"/>
    <col min="47" max="47" width="8" customWidth="1"/>
    <col min="48" max="48" width="9.28515625" customWidth="1"/>
    <col min="49" max="50" width="9.5703125" customWidth="1"/>
    <col min="51" max="51" width="10" customWidth="1"/>
    <col min="52" max="52" width="6.85546875" customWidth="1"/>
    <col min="53" max="53" width="5.85546875" customWidth="1"/>
    <col min="54" max="54" width="7.140625" customWidth="1"/>
    <col min="55" max="55" width="6.85546875" customWidth="1"/>
    <col min="56" max="56" width="12" customWidth="1"/>
    <col min="57" max="57" width="8.140625" customWidth="1"/>
    <col min="58" max="58" width="9.42578125" customWidth="1"/>
    <col min="59" max="59" width="8.5703125" customWidth="1"/>
    <col min="60" max="60" width="7" customWidth="1"/>
    <col min="61" max="61" width="8.28515625" customWidth="1"/>
    <col min="62" max="62" width="9.5703125" customWidth="1"/>
    <col min="63" max="63" width="11.140625" customWidth="1"/>
    <col min="64" max="64" width="8.85546875" customWidth="1"/>
    <col min="65" max="65" width="9" customWidth="1"/>
    <col min="66" max="66" width="6.7109375" customWidth="1"/>
    <col min="67" max="67" width="9.42578125" customWidth="1"/>
    <col min="68" max="68" width="6.5703125" customWidth="1"/>
    <col min="69" max="69" width="7.85546875" customWidth="1"/>
    <col min="70" max="70" width="7.5703125" customWidth="1"/>
    <col min="71" max="71" width="12.85546875" customWidth="1"/>
    <col min="72" max="72" width="1.42578125" customWidth="1"/>
    <col min="73" max="73" width="6.7109375" customWidth="1"/>
    <col min="74" max="74" width="9.7109375" customWidth="1"/>
    <col min="75" max="75" width="12.140625" customWidth="1"/>
    <col min="76" max="76" width="9.28515625" customWidth="1"/>
    <col min="77" max="77" width="12.42578125" customWidth="1"/>
    <col min="78" max="78" width="7.140625" customWidth="1"/>
    <col min="79" max="79" width="8.140625" customWidth="1"/>
    <col min="80" max="80" width="9.7109375" customWidth="1"/>
    <col min="81" max="81" width="7.140625" customWidth="1"/>
    <col min="82" max="82" width="9.5703125" customWidth="1"/>
    <col min="83" max="83" width="10.140625" customWidth="1"/>
    <col min="84" max="84" width="7.5703125" customWidth="1"/>
    <col min="85" max="85" width="8.85546875" customWidth="1"/>
    <col min="86" max="86" width="9.42578125" customWidth="1"/>
    <col min="87" max="87" width="9.140625" customWidth="1"/>
    <col min="88" max="88" width="10.42578125" customWidth="1"/>
    <col min="89" max="89" width="9.42578125" customWidth="1"/>
    <col min="90" max="90" width="10" customWidth="1"/>
    <col min="91" max="91" width="7.7109375" customWidth="1"/>
    <col min="92" max="92" width="6.5703125" customWidth="1"/>
    <col min="93" max="93" width="9.42578125" customWidth="1"/>
    <col min="94" max="94" width="8.85546875" customWidth="1"/>
    <col min="95" max="95" width="11.5703125" customWidth="1"/>
    <col min="96" max="96" width="11.28515625" customWidth="1"/>
    <col min="97" max="97" width="9.85546875" customWidth="1"/>
    <col min="98" max="98" width="12" customWidth="1"/>
  </cols>
  <sheetData>
    <row r="1" spans="1:99">
      <c r="A1" s="479" t="s">
        <v>1826</v>
      </c>
      <c r="B1" s="480"/>
      <c r="C1" s="479" t="s">
        <v>1827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135" t="s">
        <v>81</v>
      </c>
      <c r="BI3" s="111" t="s">
        <v>83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1828</v>
      </c>
      <c r="B4" s="46" t="s">
        <v>1829</v>
      </c>
      <c r="C4" s="46">
        <v>58</v>
      </c>
      <c r="D4" s="46" t="s">
        <v>1830</v>
      </c>
      <c r="E4" s="46" t="s">
        <v>1831</v>
      </c>
      <c r="F4" s="46" t="s">
        <v>112</v>
      </c>
      <c r="J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16</v>
      </c>
      <c r="Y4" s="46">
        <v>18</v>
      </c>
      <c r="Z4" s="46">
        <v>8</v>
      </c>
      <c r="AA4" s="46">
        <v>8</v>
      </c>
      <c r="AB4" s="46">
        <v>8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J4" s="46">
        <v>1</v>
      </c>
      <c r="BZ4" s="46">
        <v>1</v>
      </c>
      <c r="CC4" s="46">
        <v>1</v>
      </c>
      <c r="CJ4" s="46">
        <v>1</v>
      </c>
      <c r="CN4" s="46">
        <v>1</v>
      </c>
      <c r="CU4" s="46" t="s">
        <v>1832</v>
      </c>
    </row>
    <row r="5" spans="1:99">
      <c r="A5" s="46" t="s">
        <v>1833</v>
      </c>
      <c r="B5" s="46" t="s">
        <v>1834</v>
      </c>
      <c r="C5" s="46">
        <v>28</v>
      </c>
      <c r="D5" s="46" t="s">
        <v>1830</v>
      </c>
      <c r="E5" s="46" t="s">
        <v>1835</v>
      </c>
      <c r="F5" s="46" t="s">
        <v>1109</v>
      </c>
      <c r="J5" s="46">
        <v>1</v>
      </c>
      <c r="M5" s="46">
        <v>1</v>
      </c>
      <c r="Q5" s="46">
        <v>1</v>
      </c>
      <c r="U5" s="46">
        <v>1</v>
      </c>
      <c r="W5" s="46">
        <v>13</v>
      </c>
      <c r="X5" s="46">
        <v>17</v>
      </c>
      <c r="Y5" s="46">
        <v>22</v>
      </c>
      <c r="Z5" s="46">
        <v>2</v>
      </c>
      <c r="AA5" s="46">
        <v>2</v>
      </c>
      <c r="AB5" s="46">
        <v>2</v>
      </c>
      <c r="AD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H5" s="46">
        <v>1</v>
      </c>
      <c r="BZ5" s="46">
        <v>1</v>
      </c>
      <c r="CC5" s="46">
        <v>1</v>
      </c>
      <c r="CI5" s="46">
        <v>1</v>
      </c>
      <c r="CU5" s="50">
        <v>46447</v>
      </c>
    </row>
    <row r="6" spans="1:99">
      <c r="A6" s="46" t="s">
        <v>1836</v>
      </c>
      <c r="B6" s="46" t="s">
        <v>1837</v>
      </c>
      <c r="C6" s="46">
        <v>23</v>
      </c>
      <c r="D6" s="46" t="s">
        <v>1830</v>
      </c>
      <c r="E6" s="46" t="s">
        <v>1838</v>
      </c>
      <c r="F6" s="46" t="s">
        <v>112</v>
      </c>
      <c r="J6" s="46">
        <v>1</v>
      </c>
      <c r="L6" s="46">
        <v>1</v>
      </c>
      <c r="Q6" s="46" t="s">
        <v>191</v>
      </c>
      <c r="U6" s="46">
        <v>1</v>
      </c>
      <c r="W6" s="46">
        <v>15</v>
      </c>
      <c r="X6" s="46">
        <v>18</v>
      </c>
      <c r="Y6" s="46" t="s">
        <v>191</v>
      </c>
      <c r="Z6" s="46">
        <v>0</v>
      </c>
      <c r="AA6" s="46">
        <v>0</v>
      </c>
      <c r="AB6" s="46">
        <v>0</v>
      </c>
      <c r="AC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H6" s="46">
        <v>1</v>
      </c>
      <c r="BZ6" s="46">
        <v>1</v>
      </c>
      <c r="CC6" s="46">
        <v>1</v>
      </c>
      <c r="CI6" s="46">
        <v>1</v>
      </c>
      <c r="CU6" s="50">
        <v>46448</v>
      </c>
    </row>
    <row r="7" spans="1:99">
      <c r="A7" s="46" t="s">
        <v>1839</v>
      </c>
      <c r="B7" s="46" t="s">
        <v>1840</v>
      </c>
      <c r="C7" s="46">
        <v>30</v>
      </c>
      <c r="D7" s="46" t="s">
        <v>1830</v>
      </c>
      <c r="E7" s="46" t="s">
        <v>1841</v>
      </c>
      <c r="F7" s="46" t="s">
        <v>112</v>
      </c>
      <c r="J7" s="46">
        <v>1</v>
      </c>
      <c r="L7" s="46">
        <v>1</v>
      </c>
      <c r="Q7" s="46" t="s">
        <v>191</v>
      </c>
      <c r="U7" s="46">
        <v>1</v>
      </c>
      <c r="W7" s="46">
        <v>14</v>
      </c>
      <c r="X7" s="46">
        <v>15</v>
      </c>
      <c r="Y7" s="46">
        <v>16</v>
      </c>
      <c r="Z7" s="46">
        <v>4</v>
      </c>
      <c r="AA7" s="46">
        <v>4</v>
      </c>
      <c r="AB7" s="46">
        <v>4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113"/>
      <c r="BB7" s="113"/>
      <c r="BH7" s="46">
        <v>1</v>
      </c>
      <c r="BZ7" s="46">
        <v>1</v>
      </c>
      <c r="CC7" s="46">
        <v>1</v>
      </c>
      <c r="CI7" s="46">
        <v>1</v>
      </c>
      <c r="CU7" s="50">
        <v>46449</v>
      </c>
    </row>
    <row r="8" spans="1:99">
      <c r="A8" s="46" t="s">
        <v>1842</v>
      </c>
      <c r="B8" s="46" t="s">
        <v>1843</v>
      </c>
      <c r="C8" s="46">
        <v>26</v>
      </c>
      <c r="D8" s="46" t="s">
        <v>1830</v>
      </c>
      <c r="E8" s="46" t="s">
        <v>1844</v>
      </c>
      <c r="F8" s="46" t="s">
        <v>145</v>
      </c>
      <c r="G8" s="46">
        <v>1</v>
      </c>
      <c r="O8" s="46">
        <v>1</v>
      </c>
      <c r="Q8" s="113"/>
      <c r="R8" s="113"/>
      <c r="U8" s="46">
        <v>1</v>
      </c>
      <c r="W8" s="46">
        <v>16</v>
      </c>
      <c r="X8" s="46">
        <v>20</v>
      </c>
      <c r="Y8" s="46">
        <v>20</v>
      </c>
      <c r="Z8" s="46">
        <v>2</v>
      </c>
      <c r="AA8" s="46">
        <v>2</v>
      </c>
      <c r="AB8" s="46">
        <v>2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H8" s="46">
        <v>1</v>
      </c>
      <c r="BW8" s="46">
        <v>1</v>
      </c>
      <c r="BZ8" s="46">
        <v>1</v>
      </c>
      <c r="CC8" s="46">
        <v>1</v>
      </c>
      <c r="CI8" s="46">
        <v>1</v>
      </c>
      <c r="CU8" s="50">
        <v>46450</v>
      </c>
    </row>
    <row r="9" spans="1:99">
      <c r="A9" s="46" t="s">
        <v>1845</v>
      </c>
      <c r="B9" s="46" t="s">
        <v>1846</v>
      </c>
      <c r="C9" s="46">
        <v>28</v>
      </c>
      <c r="D9" s="46" t="s">
        <v>1847</v>
      </c>
      <c r="E9" s="46" t="s">
        <v>1848</v>
      </c>
      <c r="F9" s="46" t="s">
        <v>112</v>
      </c>
      <c r="J9" s="46">
        <v>1</v>
      </c>
      <c r="M9" s="46">
        <v>1</v>
      </c>
      <c r="R9" s="46">
        <v>1</v>
      </c>
      <c r="V9" s="46">
        <v>1</v>
      </c>
      <c r="W9" s="46">
        <v>14</v>
      </c>
      <c r="X9" s="46">
        <v>18</v>
      </c>
      <c r="Y9" s="46">
        <v>24</v>
      </c>
      <c r="Z9" s="46">
        <v>1</v>
      </c>
      <c r="AA9" s="46">
        <v>1</v>
      </c>
      <c r="AB9" s="46">
        <v>1</v>
      </c>
      <c r="AC9" s="46">
        <v>1</v>
      </c>
      <c r="AJ9" s="46">
        <v>1</v>
      </c>
      <c r="AK9" s="46">
        <v>1</v>
      </c>
      <c r="AT9" s="46">
        <v>1</v>
      </c>
      <c r="AX9" s="46">
        <v>1</v>
      </c>
      <c r="BA9" s="46">
        <v>1</v>
      </c>
      <c r="BH9" s="46">
        <v>1</v>
      </c>
      <c r="BZ9" s="46">
        <v>1</v>
      </c>
      <c r="CC9" s="46">
        <v>1</v>
      </c>
      <c r="CI9" s="46">
        <v>1</v>
      </c>
      <c r="CU9" s="50">
        <v>46451</v>
      </c>
    </row>
    <row r="10" spans="1:99">
      <c r="A10" s="46" t="s">
        <v>1849</v>
      </c>
      <c r="B10" s="46" t="s">
        <v>1850</v>
      </c>
      <c r="C10" s="46">
        <v>49</v>
      </c>
      <c r="D10" s="46" t="s">
        <v>1830</v>
      </c>
      <c r="E10" s="46" t="s">
        <v>1851</v>
      </c>
      <c r="F10" s="46" t="s">
        <v>107</v>
      </c>
      <c r="J10" s="46">
        <v>1</v>
      </c>
      <c r="M10" s="46">
        <v>1</v>
      </c>
      <c r="R10" s="46">
        <v>1</v>
      </c>
      <c r="U10" s="46">
        <v>1</v>
      </c>
      <c r="W10" s="46">
        <v>14</v>
      </c>
      <c r="X10" s="46">
        <v>17</v>
      </c>
      <c r="Y10" s="46">
        <v>19</v>
      </c>
      <c r="Z10" s="46">
        <v>7</v>
      </c>
      <c r="AA10" s="46">
        <v>6</v>
      </c>
      <c r="AB10" s="46">
        <v>6</v>
      </c>
      <c r="AH10" s="46">
        <v>1</v>
      </c>
      <c r="AI10" s="46">
        <v>1</v>
      </c>
      <c r="AK10" s="46">
        <v>1</v>
      </c>
      <c r="AT10" s="46">
        <v>1</v>
      </c>
      <c r="AX10" s="46">
        <v>1</v>
      </c>
      <c r="BA10" s="46">
        <v>1</v>
      </c>
      <c r="BH10" s="46">
        <v>1</v>
      </c>
      <c r="BZ10" s="46">
        <v>1</v>
      </c>
      <c r="CC10" s="46">
        <v>1</v>
      </c>
      <c r="CI10" s="46">
        <v>1</v>
      </c>
      <c r="CU10" s="50">
        <v>46452</v>
      </c>
    </row>
    <row r="11" spans="1:99">
      <c r="A11" s="46" t="s">
        <v>1852</v>
      </c>
      <c r="B11" s="46" t="s">
        <v>1853</v>
      </c>
      <c r="C11" s="46">
        <v>40</v>
      </c>
      <c r="D11" s="46" t="s">
        <v>1847</v>
      </c>
      <c r="E11" s="46" t="s">
        <v>1854</v>
      </c>
      <c r="F11" s="46" t="s">
        <v>122</v>
      </c>
      <c r="J11" s="46">
        <v>1</v>
      </c>
      <c r="N11" s="46">
        <v>1</v>
      </c>
      <c r="Q11" s="113"/>
      <c r="R11" s="113"/>
      <c r="U11" s="46">
        <v>1</v>
      </c>
      <c r="W11" s="46">
        <v>16</v>
      </c>
      <c r="X11" s="46">
        <v>10</v>
      </c>
      <c r="Y11" s="46" t="s">
        <v>191</v>
      </c>
      <c r="Z11" s="46">
        <v>0</v>
      </c>
      <c r="AA11" s="46">
        <v>0</v>
      </c>
      <c r="AB11" s="46">
        <v>0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H11" s="46">
        <v>1</v>
      </c>
      <c r="BZ11" s="46">
        <v>1</v>
      </c>
      <c r="CC11" s="113"/>
      <c r="CD11" s="113"/>
      <c r="CI11" s="46">
        <v>1</v>
      </c>
      <c r="CU11" s="50">
        <v>46453</v>
      </c>
    </row>
    <row r="12" spans="1:99">
      <c r="A12" s="46" t="s">
        <v>1855</v>
      </c>
      <c r="B12" s="46" t="s">
        <v>1856</v>
      </c>
      <c r="C12" s="46">
        <v>55</v>
      </c>
      <c r="D12" s="46" t="s">
        <v>1857</v>
      </c>
      <c r="E12" s="46" t="s">
        <v>1858</v>
      </c>
      <c r="F12" s="46" t="s">
        <v>112</v>
      </c>
      <c r="J12" s="46">
        <v>1</v>
      </c>
      <c r="M12" s="46">
        <v>1</v>
      </c>
      <c r="Q12" s="46">
        <v>1</v>
      </c>
      <c r="T12" s="46">
        <v>1</v>
      </c>
      <c r="W12" s="46">
        <v>16</v>
      </c>
      <c r="X12" s="46">
        <v>17</v>
      </c>
      <c r="Y12" s="46">
        <v>19</v>
      </c>
      <c r="Z12" s="46">
        <v>13</v>
      </c>
      <c r="AA12" s="46">
        <v>7</v>
      </c>
      <c r="AB12" s="46">
        <v>6</v>
      </c>
      <c r="AH12" s="46">
        <v>1</v>
      </c>
      <c r="AI12" s="46">
        <v>1</v>
      </c>
      <c r="AK12" s="46">
        <v>1</v>
      </c>
      <c r="AT12" s="46">
        <v>1</v>
      </c>
      <c r="AX12" s="46">
        <v>1</v>
      </c>
      <c r="BA12" s="46">
        <v>1</v>
      </c>
      <c r="BJ12" s="46">
        <v>1</v>
      </c>
      <c r="BZ12" s="46">
        <v>1</v>
      </c>
      <c r="CC12" s="46">
        <v>1</v>
      </c>
      <c r="CI12" s="46">
        <v>1</v>
      </c>
      <c r="CU12" s="50">
        <v>46454</v>
      </c>
    </row>
    <row r="13" spans="1:99">
      <c r="A13" s="46" t="s">
        <v>1859</v>
      </c>
      <c r="B13" s="46" t="s">
        <v>1860</v>
      </c>
      <c r="C13" s="46">
        <v>62</v>
      </c>
      <c r="D13" s="46" t="s">
        <v>1830</v>
      </c>
      <c r="E13" s="46" t="s">
        <v>1861</v>
      </c>
      <c r="F13" s="46" t="s">
        <v>112</v>
      </c>
      <c r="I13" s="46">
        <v>1</v>
      </c>
      <c r="M13" s="46">
        <v>1</v>
      </c>
      <c r="R13" s="46">
        <v>1</v>
      </c>
      <c r="T13" s="46">
        <v>1</v>
      </c>
      <c r="W13" s="46" t="s">
        <v>182</v>
      </c>
      <c r="X13" s="46" t="s">
        <v>182</v>
      </c>
      <c r="Y13" s="46">
        <v>17</v>
      </c>
      <c r="Z13" s="46">
        <v>5</v>
      </c>
      <c r="AA13" s="46">
        <v>5</v>
      </c>
      <c r="AB13" s="46">
        <v>4</v>
      </c>
      <c r="AE13" s="46">
        <v>1</v>
      </c>
      <c r="AI13" s="46">
        <v>1</v>
      </c>
      <c r="AK13" s="46">
        <v>1</v>
      </c>
      <c r="AT13" s="113"/>
      <c r="AU13" s="113"/>
      <c r="AW13" s="46">
        <v>1</v>
      </c>
      <c r="BA13" s="46">
        <v>1</v>
      </c>
      <c r="BM13" s="46">
        <v>1</v>
      </c>
      <c r="BZ13" s="46">
        <v>1</v>
      </c>
      <c r="CC13" s="113"/>
      <c r="CD13" s="113"/>
      <c r="CI13" s="46">
        <v>1</v>
      </c>
      <c r="CU13" s="50">
        <v>46455</v>
      </c>
    </row>
    <row r="14" spans="1:99">
      <c r="A14" s="46" t="s">
        <v>1862</v>
      </c>
      <c r="B14" s="46" t="s">
        <v>1863</v>
      </c>
      <c r="C14" s="46">
        <v>39</v>
      </c>
      <c r="D14" s="46" t="s">
        <v>1830</v>
      </c>
      <c r="E14" s="46" t="s">
        <v>1864</v>
      </c>
      <c r="F14" s="46" t="s">
        <v>107</v>
      </c>
      <c r="I14" s="46">
        <v>1</v>
      </c>
      <c r="O14" s="46">
        <v>1</v>
      </c>
      <c r="Q14" s="113"/>
      <c r="R14" s="113"/>
      <c r="T14" s="46">
        <v>1</v>
      </c>
      <c r="W14" s="46">
        <v>12</v>
      </c>
      <c r="X14" s="46">
        <v>13</v>
      </c>
      <c r="Y14" s="46">
        <v>14</v>
      </c>
      <c r="Z14" s="46">
        <v>10</v>
      </c>
      <c r="AA14" s="46">
        <v>7</v>
      </c>
      <c r="AB14" s="46">
        <v>7</v>
      </c>
      <c r="AF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H14" s="46">
        <v>1</v>
      </c>
      <c r="BZ14" s="46">
        <v>1</v>
      </c>
      <c r="CC14" s="46">
        <v>1</v>
      </c>
      <c r="CI14" s="46">
        <v>1</v>
      </c>
      <c r="CU14" s="50">
        <v>46456</v>
      </c>
    </row>
    <row r="15" spans="1:99">
      <c r="A15" s="46" t="s">
        <v>1865</v>
      </c>
      <c r="B15" s="46" t="s">
        <v>1866</v>
      </c>
      <c r="C15" s="46">
        <v>47</v>
      </c>
      <c r="D15" s="46" t="s">
        <v>1830</v>
      </c>
      <c r="E15" s="46" t="s">
        <v>1867</v>
      </c>
      <c r="F15" s="46" t="s">
        <v>145</v>
      </c>
      <c r="J15" s="46">
        <v>1</v>
      </c>
      <c r="P15" s="46">
        <v>1</v>
      </c>
      <c r="Q15" s="46">
        <v>1</v>
      </c>
      <c r="U15" s="46">
        <v>1</v>
      </c>
      <c r="W15" s="46">
        <v>15</v>
      </c>
      <c r="X15" s="46">
        <v>15</v>
      </c>
      <c r="Y15" s="46">
        <v>23</v>
      </c>
      <c r="Z15" s="46">
        <v>7</v>
      </c>
      <c r="AA15" s="46">
        <v>3</v>
      </c>
      <c r="AB15" s="46">
        <v>3</v>
      </c>
      <c r="AC15" s="46">
        <v>1</v>
      </c>
      <c r="AI15" s="46">
        <v>1</v>
      </c>
      <c r="AL15" s="46">
        <v>1</v>
      </c>
      <c r="AO15" s="113"/>
      <c r="AP15" s="113"/>
      <c r="AQ15" s="46" t="s">
        <v>251</v>
      </c>
      <c r="AR15" s="46" t="s">
        <v>182</v>
      </c>
      <c r="AT15" s="46">
        <v>1</v>
      </c>
      <c r="AW15" s="46">
        <v>1</v>
      </c>
      <c r="BA15" s="46">
        <v>1</v>
      </c>
      <c r="BH15" s="46">
        <v>1</v>
      </c>
      <c r="BZ15" s="46">
        <v>1</v>
      </c>
      <c r="CC15" s="46">
        <v>1</v>
      </c>
      <c r="CI15" s="46">
        <v>1</v>
      </c>
      <c r="CU15" s="50">
        <v>46457</v>
      </c>
    </row>
    <row r="16" spans="1:99">
      <c r="A16" s="46" t="s">
        <v>1868</v>
      </c>
      <c r="B16" s="46" t="s">
        <v>1869</v>
      </c>
      <c r="C16" s="46">
        <v>32</v>
      </c>
      <c r="D16" s="46" t="s">
        <v>1830</v>
      </c>
      <c r="E16" s="46" t="s">
        <v>1870</v>
      </c>
      <c r="F16" s="46" t="s">
        <v>122</v>
      </c>
      <c r="J16" s="46">
        <v>1</v>
      </c>
      <c r="M16" s="46">
        <v>1</v>
      </c>
      <c r="Q16" s="46">
        <v>1</v>
      </c>
      <c r="U16" s="46">
        <v>1</v>
      </c>
      <c r="W16" s="46">
        <v>14</v>
      </c>
      <c r="X16" s="46">
        <v>17</v>
      </c>
      <c r="Y16" s="46">
        <v>24</v>
      </c>
      <c r="Z16" s="46">
        <v>2</v>
      </c>
      <c r="AA16" s="46">
        <v>2</v>
      </c>
      <c r="AB16" s="46">
        <v>2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H16" s="46">
        <v>1</v>
      </c>
      <c r="BZ16" s="46">
        <v>1</v>
      </c>
      <c r="CC16" s="46">
        <v>1</v>
      </c>
      <c r="CI16" s="46">
        <v>1</v>
      </c>
      <c r="CU16" s="50">
        <v>46458</v>
      </c>
    </row>
    <row r="17" spans="1:99">
      <c r="A17" s="46" t="s">
        <v>1871</v>
      </c>
      <c r="B17" s="46" t="s">
        <v>1872</v>
      </c>
      <c r="C17" s="46">
        <v>45</v>
      </c>
      <c r="D17" s="46" t="s">
        <v>1830</v>
      </c>
      <c r="E17" s="46" t="s">
        <v>1873</v>
      </c>
      <c r="F17" s="46" t="s">
        <v>624</v>
      </c>
      <c r="J17" s="46">
        <v>1</v>
      </c>
      <c r="O17" s="46">
        <v>1</v>
      </c>
      <c r="Q17" s="46">
        <v>1</v>
      </c>
      <c r="U17" s="46">
        <v>1</v>
      </c>
      <c r="W17" s="46">
        <v>14</v>
      </c>
      <c r="X17" s="46">
        <v>25</v>
      </c>
      <c r="Y17" s="46" t="s">
        <v>182</v>
      </c>
      <c r="Z17" s="46">
        <v>3</v>
      </c>
      <c r="AA17" s="46">
        <v>3</v>
      </c>
      <c r="AB17" s="46">
        <v>1</v>
      </c>
      <c r="AE17" s="46">
        <v>1</v>
      </c>
      <c r="AI17" s="113"/>
      <c r="AJ17" s="113"/>
      <c r="AL17" s="46">
        <v>1</v>
      </c>
      <c r="AO17" s="113"/>
      <c r="AP17" s="113"/>
      <c r="AQ17" s="46" t="s">
        <v>251</v>
      </c>
      <c r="AR17" s="46" t="s">
        <v>182</v>
      </c>
      <c r="AT17" s="46">
        <v>1</v>
      </c>
      <c r="AX17" s="46">
        <v>1</v>
      </c>
      <c r="BA17" s="46">
        <v>1</v>
      </c>
      <c r="BJ17" s="46">
        <v>1</v>
      </c>
      <c r="BZ17" s="46">
        <v>1</v>
      </c>
      <c r="CC17" s="46">
        <v>1</v>
      </c>
      <c r="CI17" s="46">
        <v>1</v>
      </c>
      <c r="CU17" s="50">
        <v>46459</v>
      </c>
    </row>
    <row r="18" spans="1:99">
      <c r="A18" s="46" t="s">
        <v>1874</v>
      </c>
      <c r="B18" s="46" t="s">
        <v>1875</v>
      </c>
      <c r="C18" s="46">
        <v>26</v>
      </c>
      <c r="D18" s="46" t="s">
        <v>1830</v>
      </c>
      <c r="E18" s="46" t="s">
        <v>1876</v>
      </c>
      <c r="F18" s="46" t="s">
        <v>330</v>
      </c>
      <c r="I18" s="46">
        <v>1</v>
      </c>
      <c r="M18" s="46">
        <v>1</v>
      </c>
      <c r="R18" s="46">
        <v>1</v>
      </c>
      <c r="U18" s="46">
        <v>1</v>
      </c>
      <c r="W18" s="46">
        <v>14</v>
      </c>
      <c r="X18" s="46">
        <v>18</v>
      </c>
      <c r="Y18" s="46">
        <v>19</v>
      </c>
      <c r="Z18" s="46">
        <v>2</v>
      </c>
      <c r="AA18" s="46">
        <v>2</v>
      </c>
      <c r="AB18" s="46">
        <v>2</v>
      </c>
      <c r="AE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H18" s="46">
        <v>1</v>
      </c>
      <c r="BZ18" s="46">
        <v>1</v>
      </c>
      <c r="CC18" s="46">
        <v>1</v>
      </c>
      <c r="CI18" s="46">
        <v>1</v>
      </c>
      <c r="CU18" s="50">
        <v>46460</v>
      </c>
    </row>
    <row r="19" spans="1:99">
      <c r="A19" s="46" t="s">
        <v>1877</v>
      </c>
      <c r="B19" s="46" t="s">
        <v>1878</v>
      </c>
      <c r="C19" s="46">
        <v>30</v>
      </c>
      <c r="D19" s="46" t="s">
        <v>1830</v>
      </c>
      <c r="E19" s="46" t="s">
        <v>1879</v>
      </c>
      <c r="F19" s="46" t="s">
        <v>132</v>
      </c>
      <c r="H19" s="46">
        <v>1</v>
      </c>
      <c r="M19" s="46">
        <v>1</v>
      </c>
      <c r="Q19" s="46">
        <v>1</v>
      </c>
      <c r="U19" s="46">
        <v>1</v>
      </c>
      <c r="W19" s="46">
        <v>14</v>
      </c>
      <c r="X19" s="46">
        <v>18</v>
      </c>
      <c r="Y19" s="46">
        <v>26</v>
      </c>
      <c r="Z19" s="46">
        <v>3</v>
      </c>
      <c r="AA19" s="46">
        <v>3</v>
      </c>
      <c r="AB19" s="46">
        <v>2</v>
      </c>
      <c r="AC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H19" s="46">
        <v>1</v>
      </c>
      <c r="BZ19" s="46">
        <v>1</v>
      </c>
      <c r="CC19" s="46">
        <v>1</v>
      </c>
      <c r="CI19" s="46">
        <v>1</v>
      </c>
      <c r="CU19" s="50">
        <v>46461</v>
      </c>
    </row>
    <row r="20" spans="1:99">
      <c r="A20" s="46" t="s">
        <v>1880</v>
      </c>
      <c r="B20" s="46" t="s">
        <v>1881</v>
      </c>
      <c r="C20" s="46">
        <v>27</v>
      </c>
      <c r="D20" s="46" t="s">
        <v>1830</v>
      </c>
      <c r="E20" s="46" t="s">
        <v>1882</v>
      </c>
      <c r="F20" s="46" t="s">
        <v>1109</v>
      </c>
      <c r="J20" s="46">
        <v>1</v>
      </c>
      <c r="M20" s="46">
        <v>1</v>
      </c>
      <c r="Q20" s="46">
        <v>1</v>
      </c>
      <c r="U20" s="46">
        <v>1</v>
      </c>
      <c r="W20" s="46">
        <v>13</v>
      </c>
      <c r="X20" s="46">
        <v>18</v>
      </c>
      <c r="Y20" s="46">
        <v>19</v>
      </c>
      <c r="Z20" s="46">
        <v>4</v>
      </c>
      <c r="AA20" s="46">
        <v>3</v>
      </c>
      <c r="AB20" s="46">
        <v>3</v>
      </c>
      <c r="AE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H20" s="46">
        <v>1</v>
      </c>
      <c r="BZ20" s="46">
        <v>1</v>
      </c>
      <c r="CC20" s="46">
        <v>1</v>
      </c>
      <c r="CI20" s="46">
        <v>1</v>
      </c>
      <c r="CU20" s="50">
        <v>46462</v>
      </c>
    </row>
    <row r="21" spans="1:99">
      <c r="A21" s="46" t="s">
        <v>1883</v>
      </c>
      <c r="B21" s="46" t="s">
        <v>1884</v>
      </c>
      <c r="C21" s="46">
        <v>42</v>
      </c>
      <c r="D21" s="46" t="s">
        <v>1830</v>
      </c>
      <c r="E21" s="46" t="s">
        <v>191</v>
      </c>
      <c r="F21" s="46" t="s">
        <v>145</v>
      </c>
      <c r="G21" s="46">
        <v>1</v>
      </c>
      <c r="M21" s="46">
        <v>1</v>
      </c>
      <c r="R21" s="46">
        <v>1</v>
      </c>
      <c r="T21" s="46">
        <v>1</v>
      </c>
      <c r="W21" s="46">
        <v>12</v>
      </c>
      <c r="X21" s="46">
        <v>14</v>
      </c>
      <c r="Y21" s="46">
        <v>16</v>
      </c>
      <c r="Z21" s="46">
        <v>5</v>
      </c>
      <c r="AA21" s="46">
        <v>5</v>
      </c>
      <c r="AB21" s="46">
        <v>5</v>
      </c>
      <c r="AD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H21" s="46">
        <v>1</v>
      </c>
      <c r="BZ21" s="46">
        <v>1</v>
      </c>
      <c r="CD21" s="46">
        <v>1</v>
      </c>
      <c r="CE21" s="46" t="s">
        <v>1885</v>
      </c>
      <c r="CG21" s="46">
        <v>1</v>
      </c>
      <c r="CI21" s="46">
        <v>1</v>
      </c>
      <c r="CU21" s="50">
        <v>46463</v>
      </c>
    </row>
    <row r="22" spans="1:99">
      <c r="A22" s="46" t="s">
        <v>1886</v>
      </c>
      <c r="B22" s="46" t="s">
        <v>1887</v>
      </c>
      <c r="C22" s="46">
        <v>48</v>
      </c>
      <c r="D22" s="46" t="s">
        <v>1830</v>
      </c>
      <c r="E22" s="46" t="s">
        <v>1888</v>
      </c>
      <c r="F22" s="46" t="s">
        <v>112</v>
      </c>
      <c r="J22" s="46">
        <v>1</v>
      </c>
      <c r="M22" s="46">
        <v>1</v>
      </c>
      <c r="Q22" s="46">
        <v>1</v>
      </c>
      <c r="U22" s="46">
        <v>1</v>
      </c>
      <c r="W22" s="46">
        <v>16</v>
      </c>
      <c r="X22" s="46">
        <v>23</v>
      </c>
      <c r="Y22" s="46">
        <v>23</v>
      </c>
      <c r="Z22" s="46">
        <v>4</v>
      </c>
      <c r="AA22" s="46">
        <v>4</v>
      </c>
      <c r="AB22" s="46">
        <v>4</v>
      </c>
      <c r="AC22" s="46">
        <v>1</v>
      </c>
      <c r="AI22" s="113"/>
      <c r="AJ22" s="113"/>
      <c r="AK22" s="46">
        <v>1</v>
      </c>
      <c r="AT22" s="46">
        <v>1</v>
      </c>
      <c r="AW22" s="46">
        <v>1</v>
      </c>
      <c r="BA22" s="46">
        <v>1</v>
      </c>
      <c r="BH22" s="46">
        <v>1</v>
      </c>
      <c r="BZ22" s="46">
        <v>1</v>
      </c>
      <c r="CC22" s="46">
        <v>1</v>
      </c>
      <c r="CI22" s="46">
        <v>1</v>
      </c>
      <c r="CU22" s="50">
        <v>46464</v>
      </c>
    </row>
    <row r="23" spans="1:99">
      <c r="A23" s="46" t="s">
        <v>1889</v>
      </c>
      <c r="B23" s="46" t="s">
        <v>1890</v>
      </c>
      <c r="C23" s="46">
        <v>35</v>
      </c>
      <c r="D23" s="46" t="s">
        <v>1830</v>
      </c>
      <c r="E23" s="46" t="s">
        <v>1891</v>
      </c>
      <c r="F23" s="46" t="s">
        <v>112</v>
      </c>
      <c r="J23" s="46">
        <v>1</v>
      </c>
      <c r="M23" s="46">
        <v>1</v>
      </c>
      <c r="Q23" s="46">
        <v>1</v>
      </c>
      <c r="T23" s="46">
        <v>1</v>
      </c>
      <c r="W23" s="46">
        <v>15</v>
      </c>
      <c r="X23" s="46">
        <v>19</v>
      </c>
      <c r="Y23" s="46">
        <v>20</v>
      </c>
      <c r="Z23" s="46">
        <v>5</v>
      </c>
      <c r="AA23" s="46">
        <v>5</v>
      </c>
      <c r="AB23" s="46">
        <v>5</v>
      </c>
      <c r="AE23" s="46">
        <v>1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B23" s="46">
        <v>1</v>
      </c>
      <c r="BF23" s="46">
        <v>1</v>
      </c>
      <c r="BH23" s="46">
        <v>1</v>
      </c>
      <c r="BZ23" s="46">
        <v>1</v>
      </c>
      <c r="CC23" s="46">
        <v>1</v>
      </c>
      <c r="CI23" s="46">
        <v>1</v>
      </c>
      <c r="CU23" s="50">
        <v>46465</v>
      </c>
    </row>
    <row r="24" spans="1:99">
      <c r="A24" s="46" t="s">
        <v>1892</v>
      </c>
      <c r="B24" s="46" t="s">
        <v>1893</v>
      </c>
      <c r="C24" s="46">
        <v>50</v>
      </c>
      <c r="D24" s="46" t="s">
        <v>1830</v>
      </c>
      <c r="E24" s="46" t="s">
        <v>1894</v>
      </c>
      <c r="F24" s="46" t="s">
        <v>107</v>
      </c>
      <c r="I24" s="46">
        <v>1</v>
      </c>
      <c r="M24" s="46">
        <v>1</v>
      </c>
      <c r="R24" s="46">
        <v>1</v>
      </c>
      <c r="T24" s="46">
        <v>1</v>
      </c>
      <c r="W24" s="46">
        <v>14</v>
      </c>
      <c r="X24" s="46">
        <v>15</v>
      </c>
      <c r="Y24" s="46">
        <v>15</v>
      </c>
      <c r="Z24" s="46">
        <v>10</v>
      </c>
      <c r="AA24" s="46">
        <v>10</v>
      </c>
      <c r="AB24" s="46">
        <v>7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J24" s="46">
        <v>1</v>
      </c>
      <c r="BZ24" s="46">
        <v>1</v>
      </c>
      <c r="CC24" s="46">
        <v>1</v>
      </c>
      <c r="CI24" s="46">
        <v>1</v>
      </c>
      <c r="CU24" s="50">
        <v>46466</v>
      </c>
    </row>
    <row r="25" spans="1:99">
      <c r="A25" s="46" t="s">
        <v>1895</v>
      </c>
      <c r="B25" s="46" t="s">
        <v>1631</v>
      </c>
      <c r="C25" s="46">
        <v>29</v>
      </c>
      <c r="D25" s="46" t="s">
        <v>1830</v>
      </c>
      <c r="E25" s="46" t="s">
        <v>1896</v>
      </c>
      <c r="F25" s="46" t="s">
        <v>112</v>
      </c>
      <c r="J25" s="46">
        <v>1</v>
      </c>
      <c r="M25" s="46">
        <v>1</v>
      </c>
      <c r="Q25" s="46">
        <v>1</v>
      </c>
      <c r="V25" s="46">
        <v>1</v>
      </c>
      <c r="W25" s="46">
        <v>15</v>
      </c>
      <c r="X25" s="46">
        <v>20</v>
      </c>
      <c r="Y25" s="46">
        <v>27</v>
      </c>
      <c r="Z25" s="46">
        <v>1</v>
      </c>
      <c r="AA25" s="46">
        <v>1</v>
      </c>
      <c r="AB25" s="46">
        <v>1</v>
      </c>
      <c r="AE25" s="46">
        <v>1</v>
      </c>
      <c r="AH25" s="46">
        <v>1</v>
      </c>
      <c r="AI25" s="46">
        <v>1</v>
      </c>
      <c r="AK25" s="46">
        <v>1</v>
      </c>
      <c r="AT25" s="46">
        <v>1</v>
      </c>
      <c r="AW25" s="118"/>
      <c r="AX25" s="113"/>
      <c r="AY25" s="113"/>
      <c r="AZ25" s="113"/>
      <c r="BA25" s="46">
        <v>1</v>
      </c>
      <c r="BH25" s="46">
        <v>1</v>
      </c>
      <c r="BZ25" s="46">
        <v>1</v>
      </c>
      <c r="CC25" s="46">
        <v>1</v>
      </c>
      <c r="CI25" s="46">
        <v>1</v>
      </c>
      <c r="CU25" s="50">
        <v>46467</v>
      </c>
    </row>
    <row r="26" spans="1:99">
      <c r="A26" s="46" t="s">
        <v>1897</v>
      </c>
      <c r="B26" s="46" t="s">
        <v>1898</v>
      </c>
      <c r="C26" s="46">
        <v>41</v>
      </c>
      <c r="D26" s="46" t="s">
        <v>1830</v>
      </c>
      <c r="E26" s="46" t="s">
        <v>1899</v>
      </c>
      <c r="F26" s="46" t="s">
        <v>107</v>
      </c>
      <c r="J26" s="46">
        <v>1</v>
      </c>
      <c r="M26" s="46">
        <v>1</v>
      </c>
      <c r="Q26" s="46">
        <v>1</v>
      </c>
      <c r="V26" s="46">
        <v>1</v>
      </c>
      <c r="W26" s="46">
        <v>12</v>
      </c>
      <c r="X26" s="46">
        <v>15</v>
      </c>
      <c r="Y26" s="46">
        <v>16</v>
      </c>
      <c r="Z26" s="46">
        <v>7</v>
      </c>
      <c r="AA26" s="46">
        <v>6</v>
      </c>
      <c r="AB26" s="46">
        <v>6</v>
      </c>
      <c r="AC26" s="46">
        <v>1</v>
      </c>
      <c r="AI26" s="46">
        <v>1</v>
      </c>
      <c r="AK26" s="46">
        <v>1</v>
      </c>
      <c r="AT26" s="46">
        <v>1</v>
      </c>
      <c r="AX26" s="46">
        <v>1</v>
      </c>
      <c r="BA26" s="46">
        <v>1</v>
      </c>
      <c r="BH26" s="46">
        <v>1</v>
      </c>
      <c r="BZ26" s="46">
        <v>1</v>
      </c>
      <c r="CC26" s="46">
        <v>1</v>
      </c>
      <c r="CI26" s="46">
        <v>1</v>
      </c>
      <c r="CU26" s="50">
        <v>46468</v>
      </c>
    </row>
    <row r="27" spans="1:99">
      <c r="A27" s="46" t="s">
        <v>1900</v>
      </c>
      <c r="B27" s="46" t="s">
        <v>1901</v>
      </c>
      <c r="C27" s="46">
        <v>24</v>
      </c>
      <c r="D27" s="46" t="s">
        <v>1830</v>
      </c>
      <c r="E27" s="46" t="s">
        <v>1902</v>
      </c>
      <c r="F27" s="46" t="s">
        <v>107</v>
      </c>
      <c r="I27" s="46">
        <v>1</v>
      </c>
      <c r="M27" s="46">
        <v>1</v>
      </c>
      <c r="Q27" s="46">
        <v>1</v>
      </c>
      <c r="U27" s="46">
        <v>1</v>
      </c>
      <c r="W27" s="46">
        <v>16</v>
      </c>
      <c r="X27" s="46">
        <v>22</v>
      </c>
      <c r="Y27" s="46">
        <v>23</v>
      </c>
      <c r="Z27" s="46">
        <v>1</v>
      </c>
      <c r="AA27" s="46">
        <v>1</v>
      </c>
      <c r="AB27" s="46">
        <v>1</v>
      </c>
      <c r="AE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B27" s="46">
        <v>1</v>
      </c>
      <c r="BF27" s="118"/>
      <c r="BG27" s="113"/>
      <c r="BH27" s="46">
        <v>1</v>
      </c>
      <c r="BZ27" s="46">
        <v>1</v>
      </c>
      <c r="CC27" s="46">
        <v>1</v>
      </c>
      <c r="CI27" s="46">
        <v>1</v>
      </c>
      <c r="CU27" s="50">
        <v>46469</v>
      </c>
    </row>
    <row r="28" spans="1:99">
      <c r="A28" s="46" t="s">
        <v>1903</v>
      </c>
      <c r="B28" s="46" t="s">
        <v>1904</v>
      </c>
      <c r="C28" s="46">
        <v>27</v>
      </c>
      <c r="D28" s="46" t="s">
        <v>1905</v>
      </c>
      <c r="E28" s="46" t="s">
        <v>1906</v>
      </c>
      <c r="F28" s="46" t="s">
        <v>112</v>
      </c>
      <c r="J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16</v>
      </c>
      <c r="Y28" s="46">
        <v>18</v>
      </c>
      <c r="Z28" s="46">
        <v>5</v>
      </c>
      <c r="AA28" s="46">
        <v>4</v>
      </c>
      <c r="AB28" s="46">
        <v>4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H28" s="46">
        <v>1</v>
      </c>
      <c r="CA28" s="46">
        <v>1</v>
      </c>
      <c r="CB28" s="46" t="s">
        <v>360</v>
      </c>
      <c r="CC28" s="46">
        <v>1</v>
      </c>
      <c r="CI28" s="46">
        <v>1</v>
      </c>
      <c r="CU28" s="50">
        <v>46470</v>
      </c>
    </row>
    <row r="29" spans="1:99">
      <c r="A29" s="46" t="s">
        <v>1907</v>
      </c>
      <c r="B29" s="46" t="s">
        <v>1908</v>
      </c>
      <c r="C29" s="46">
        <v>38</v>
      </c>
      <c r="D29" s="46" t="s">
        <v>1909</v>
      </c>
      <c r="E29" s="46" t="s">
        <v>1910</v>
      </c>
      <c r="F29" s="46" t="s">
        <v>162</v>
      </c>
      <c r="K29" s="46">
        <v>1</v>
      </c>
      <c r="M29" s="46">
        <v>1</v>
      </c>
      <c r="Q29" s="46">
        <v>1</v>
      </c>
      <c r="T29" s="46">
        <v>1</v>
      </c>
      <c r="W29" s="46">
        <v>19</v>
      </c>
      <c r="X29" s="46">
        <v>19</v>
      </c>
      <c r="Y29" s="46">
        <v>22</v>
      </c>
      <c r="Z29" s="46">
        <v>5</v>
      </c>
      <c r="AA29" s="46">
        <v>5</v>
      </c>
      <c r="AB29" s="46">
        <v>5</v>
      </c>
      <c r="AD29" s="46">
        <v>1</v>
      </c>
      <c r="AH29" s="46">
        <v>1</v>
      </c>
      <c r="AI29" s="46">
        <v>1</v>
      </c>
      <c r="AK29" s="46">
        <v>1</v>
      </c>
      <c r="AT29" s="46">
        <v>1</v>
      </c>
      <c r="AX29" s="46">
        <v>1</v>
      </c>
      <c r="BA29" s="46">
        <v>1</v>
      </c>
      <c r="BI29" s="46">
        <v>1</v>
      </c>
      <c r="BN29" s="46">
        <v>1</v>
      </c>
      <c r="BO29" s="46" t="s">
        <v>952</v>
      </c>
      <c r="BZ29" s="46">
        <v>1</v>
      </c>
      <c r="CC29" s="46">
        <v>1</v>
      </c>
      <c r="CI29" s="46">
        <v>1</v>
      </c>
      <c r="CU29" s="46" t="s">
        <v>117</v>
      </c>
    </row>
    <row r="30" spans="1:99">
      <c r="A30" s="46" t="s">
        <v>1911</v>
      </c>
      <c r="B30" s="46" t="s">
        <v>1912</v>
      </c>
      <c r="C30" s="46">
        <v>38</v>
      </c>
      <c r="D30" s="46" t="s">
        <v>1847</v>
      </c>
      <c r="E30" s="46" t="s">
        <v>1913</v>
      </c>
      <c r="F30" s="113"/>
      <c r="J30" s="46">
        <v>1</v>
      </c>
      <c r="M30" s="46">
        <v>1</v>
      </c>
      <c r="Q30" s="46">
        <v>1</v>
      </c>
      <c r="T30" s="46">
        <v>1</v>
      </c>
      <c r="W30" s="46">
        <v>14</v>
      </c>
      <c r="X30" s="46">
        <v>17</v>
      </c>
      <c r="Y30" s="46">
        <v>22</v>
      </c>
      <c r="Z30" s="46">
        <v>4</v>
      </c>
      <c r="AA30" s="46">
        <v>4</v>
      </c>
      <c r="AB30" s="46">
        <v>4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H30" s="46">
        <v>1</v>
      </c>
      <c r="BZ30" s="46">
        <v>1</v>
      </c>
      <c r="CC30" s="46">
        <v>1</v>
      </c>
      <c r="CI30" s="46">
        <v>1</v>
      </c>
      <c r="CU30" s="50">
        <v>46472</v>
      </c>
    </row>
    <row r="31" spans="1:99">
      <c r="A31" s="46" t="s">
        <v>1914</v>
      </c>
      <c r="B31" s="46" t="s">
        <v>1915</v>
      </c>
      <c r="C31" s="46">
        <v>22</v>
      </c>
      <c r="D31" s="46" t="s">
        <v>1830</v>
      </c>
      <c r="E31" s="46" t="s">
        <v>1916</v>
      </c>
      <c r="F31" s="46" t="s">
        <v>112</v>
      </c>
      <c r="I31" s="46">
        <v>1</v>
      </c>
      <c r="O31" s="46">
        <v>1</v>
      </c>
      <c r="Q31" s="113"/>
      <c r="R31" s="113"/>
      <c r="T31" s="46">
        <v>1</v>
      </c>
      <c r="W31" s="46">
        <v>14</v>
      </c>
      <c r="X31" s="46">
        <v>15</v>
      </c>
      <c r="Y31" s="46">
        <v>17</v>
      </c>
      <c r="Z31" s="46">
        <v>1</v>
      </c>
      <c r="AA31" s="46">
        <v>1</v>
      </c>
      <c r="AB31" s="46">
        <v>1</v>
      </c>
      <c r="AF31" s="46">
        <v>1</v>
      </c>
      <c r="AJ31" s="46">
        <v>1</v>
      </c>
      <c r="AK31" s="46">
        <v>1</v>
      </c>
      <c r="AT31" s="113"/>
      <c r="AU31" s="113"/>
      <c r="AW31" s="46">
        <v>1</v>
      </c>
      <c r="BA31" s="46">
        <v>1</v>
      </c>
      <c r="BH31" s="46">
        <v>1</v>
      </c>
      <c r="BZ31" s="46">
        <v>1</v>
      </c>
      <c r="CC31" s="113"/>
      <c r="CD31" s="113"/>
      <c r="CI31" s="46">
        <v>1</v>
      </c>
      <c r="CU31" s="50">
        <v>46473</v>
      </c>
    </row>
    <row r="32" spans="1:99">
      <c r="A32" s="46" t="s">
        <v>1917</v>
      </c>
      <c r="B32" s="46" t="s">
        <v>1918</v>
      </c>
      <c r="C32" s="46">
        <v>41</v>
      </c>
      <c r="D32" s="46" t="s">
        <v>1919</v>
      </c>
      <c r="E32" s="46" t="s">
        <v>1920</v>
      </c>
      <c r="F32" s="113"/>
      <c r="J32" s="46">
        <v>1</v>
      </c>
      <c r="P32" s="46">
        <v>1</v>
      </c>
      <c r="R32" s="46">
        <v>1</v>
      </c>
      <c r="V32" s="46">
        <v>1</v>
      </c>
      <c r="W32" s="46">
        <v>12</v>
      </c>
      <c r="X32" s="46">
        <v>18</v>
      </c>
      <c r="Y32" s="46">
        <v>27</v>
      </c>
      <c r="Z32" s="46">
        <v>3</v>
      </c>
      <c r="AA32" s="46">
        <v>1</v>
      </c>
      <c r="AB32" s="46">
        <v>1</v>
      </c>
      <c r="AC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H32" s="46">
        <v>1</v>
      </c>
      <c r="BZ32" s="46">
        <v>1</v>
      </c>
      <c r="CC32" s="46">
        <v>1</v>
      </c>
      <c r="CI32" s="46">
        <v>1</v>
      </c>
      <c r="CU32" s="50">
        <v>46474</v>
      </c>
    </row>
    <row r="33" spans="1:99">
      <c r="A33" s="46" t="s">
        <v>1921</v>
      </c>
      <c r="B33" s="46" t="s">
        <v>1922</v>
      </c>
      <c r="C33" s="46">
        <v>24</v>
      </c>
      <c r="D33" s="46" t="s">
        <v>1830</v>
      </c>
      <c r="E33" s="46" t="s">
        <v>1923</v>
      </c>
      <c r="F33" s="46" t="s">
        <v>122</v>
      </c>
      <c r="J33" s="46">
        <v>1</v>
      </c>
      <c r="M33" s="46">
        <v>1</v>
      </c>
      <c r="Q33" s="46">
        <v>1</v>
      </c>
      <c r="U33" s="46">
        <v>1</v>
      </c>
      <c r="W33" s="46">
        <v>17</v>
      </c>
      <c r="X33" s="46">
        <v>23</v>
      </c>
      <c r="Y33" s="46">
        <v>23</v>
      </c>
      <c r="Z33" s="46">
        <v>1</v>
      </c>
      <c r="AA33" s="46">
        <v>1</v>
      </c>
      <c r="AB33" s="46">
        <v>1</v>
      </c>
      <c r="AH33" s="46">
        <v>1</v>
      </c>
      <c r="AI33" s="113"/>
      <c r="AJ33" s="113"/>
      <c r="AK33" s="46">
        <v>1</v>
      </c>
      <c r="AT33" s="46">
        <v>1</v>
      </c>
      <c r="AW33" s="46">
        <v>1</v>
      </c>
      <c r="BA33" s="46">
        <v>1</v>
      </c>
      <c r="BH33" s="46">
        <v>1</v>
      </c>
      <c r="BZ33" s="46">
        <v>1</v>
      </c>
      <c r="CC33" s="46">
        <v>1</v>
      </c>
      <c r="CI33" s="46">
        <v>1</v>
      </c>
      <c r="CU33" s="50">
        <v>46475</v>
      </c>
    </row>
    <row r="34" spans="1:99">
      <c r="A34" s="46" t="s">
        <v>1924</v>
      </c>
      <c r="B34" s="46" t="s">
        <v>1925</v>
      </c>
      <c r="C34" s="46">
        <v>55</v>
      </c>
      <c r="D34" s="46" t="s">
        <v>1857</v>
      </c>
      <c r="E34" s="46" t="s">
        <v>1926</v>
      </c>
      <c r="F34" s="46" t="s">
        <v>112</v>
      </c>
      <c r="I34" s="46">
        <v>1</v>
      </c>
      <c r="O34" s="46">
        <v>1</v>
      </c>
      <c r="Q34" s="46">
        <v>1</v>
      </c>
      <c r="T34" s="46">
        <v>1</v>
      </c>
      <c r="W34" s="46">
        <v>17</v>
      </c>
      <c r="X34" s="46">
        <v>26</v>
      </c>
      <c r="Y34" s="46">
        <v>27</v>
      </c>
      <c r="Z34" s="46">
        <v>8</v>
      </c>
      <c r="AA34" s="46">
        <v>5</v>
      </c>
      <c r="AB34" s="46">
        <v>5</v>
      </c>
      <c r="AC34" s="46">
        <v>1</v>
      </c>
      <c r="AI34" s="118"/>
      <c r="AJ34" s="113"/>
      <c r="AM34" s="46">
        <v>1</v>
      </c>
      <c r="AT34" s="46">
        <v>1</v>
      </c>
      <c r="AW34" s="46">
        <v>1</v>
      </c>
      <c r="BA34" s="46">
        <v>1</v>
      </c>
      <c r="BJ34" s="46">
        <v>1</v>
      </c>
      <c r="BZ34" s="46">
        <v>1</v>
      </c>
      <c r="CC34" s="46">
        <v>1</v>
      </c>
      <c r="CI34" s="46">
        <v>1</v>
      </c>
      <c r="CU34" s="50">
        <v>46476</v>
      </c>
    </row>
    <row r="35" spans="1:99">
      <c r="A35" s="46" t="s">
        <v>1927</v>
      </c>
      <c r="B35" s="46" t="s">
        <v>1928</v>
      </c>
      <c r="C35" s="46">
        <v>27</v>
      </c>
      <c r="D35" s="46" t="s">
        <v>1830</v>
      </c>
      <c r="E35" s="46" t="s">
        <v>1929</v>
      </c>
      <c r="F35" s="46" t="s">
        <v>112</v>
      </c>
      <c r="J35" s="46">
        <v>1</v>
      </c>
      <c r="M35" s="46">
        <v>1</v>
      </c>
      <c r="Q35" s="46">
        <v>1</v>
      </c>
      <c r="T35" s="46">
        <v>1</v>
      </c>
      <c r="W35" s="46">
        <v>12</v>
      </c>
      <c r="X35" s="46">
        <v>17</v>
      </c>
      <c r="Y35" s="46">
        <v>17</v>
      </c>
      <c r="Z35" s="46">
        <v>2</v>
      </c>
      <c r="AA35" s="46">
        <v>2</v>
      </c>
      <c r="AB35" s="46">
        <v>2</v>
      </c>
      <c r="AE35" s="46">
        <v>2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H35" s="46">
        <v>1</v>
      </c>
      <c r="BZ35" s="46">
        <v>1</v>
      </c>
      <c r="CC35" s="46">
        <v>1</v>
      </c>
      <c r="CI35" s="46">
        <v>1</v>
      </c>
      <c r="CU35" s="50">
        <v>46477</v>
      </c>
    </row>
    <row r="36" spans="1:99">
      <c r="A36" s="46" t="s">
        <v>1930</v>
      </c>
      <c r="B36" s="46" t="s">
        <v>1931</v>
      </c>
      <c r="C36" s="46">
        <v>18</v>
      </c>
      <c r="D36" s="46" t="s">
        <v>1932</v>
      </c>
      <c r="E36" s="46" t="s">
        <v>1933</v>
      </c>
      <c r="F36" s="46" t="s">
        <v>112</v>
      </c>
      <c r="J36" s="46">
        <v>1</v>
      </c>
      <c r="N36" s="46">
        <v>1</v>
      </c>
      <c r="Q36" s="46">
        <v>1</v>
      </c>
      <c r="U36" s="46">
        <v>1</v>
      </c>
      <c r="W36" s="46">
        <v>16</v>
      </c>
      <c r="X36" s="46">
        <v>18</v>
      </c>
      <c r="Y36" s="46" t="s">
        <v>191</v>
      </c>
      <c r="Z36" s="46">
        <v>0</v>
      </c>
      <c r="AA36" s="46">
        <v>0</v>
      </c>
      <c r="AB36" s="46">
        <v>0</v>
      </c>
      <c r="AE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H36" s="46">
        <v>1</v>
      </c>
      <c r="BW36" s="46">
        <v>1</v>
      </c>
      <c r="BZ36" s="46">
        <v>1</v>
      </c>
      <c r="CC36" s="46">
        <v>1</v>
      </c>
      <c r="CI36" s="46">
        <v>1</v>
      </c>
      <c r="CU36" s="50">
        <v>46447</v>
      </c>
    </row>
    <row r="37" spans="1:99">
      <c r="A37" s="46" t="s">
        <v>1934</v>
      </c>
      <c r="B37" s="46" t="s">
        <v>1935</v>
      </c>
      <c r="C37" s="46">
        <v>26</v>
      </c>
      <c r="D37" s="46" t="s">
        <v>1830</v>
      </c>
      <c r="E37" s="46" t="s">
        <v>1936</v>
      </c>
      <c r="F37" s="46" t="s">
        <v>127</v>
      </c>
      <c r="J37" s="46">
        <v>1</v>
      </c>
      <c r="M37" s="46">
        <v>1</v>
      </c>
      <c r="Q37" s="46">
        <v>1</v>
      </c>
      <c r="V37" s="46">
        <v>1</v>
      </c>
      <c r="W37" s="46">
        <v>12</v>
      </c>
      <c r="X37" s="46">
        <v>17</v>
      </c>
      <c r="Y37" s="46">
        <v>21</v>
      </c>
      <c r="Z37" s="46">
        <v>1</v>
      </c>
      <c r="AA37" s="46">
        <v>1</v>
      </c>
      <c r="AB37" s="46">
        <v>1</v>
      </c>
      <c r="AH37" s="46">
        <v>1</v>
      </c>
      <c r="AI37" s="46">
        <v>1</v>
      </c>
      <c r="AM37" s="46">
        <v>1</v>
      </c>
      <c r="AT37" s="46">
        <v>1</v>
      </c>
      <c r="AW37" s="46">
        <v>1</v>
      </c>
      <c r="BA37" s="46">
        <v>1</v>
      </c>
      <c r="BM37" s="46">
        <v>1</v>
      </c>
      <c r="BW37" s="46">
        <v>1</v>
      </c>
      <c r="BZ37" s="46">
        <v>1</v>
      </c>
      <c r="CC37" s="46">
        <v>1</v>
      </c>
      <c r="CI37" s="46">
        <v>1</v>
      </c>
      <c r="CU37" s="46" t="s">
        <v>1937</v>
      </c>
    </row>
    <row r="38" spans="1:99">
      <c r="A38" s="46" t="s">
        <v>1938</v>
      </c>
      <c r="B38" s="46" t="s">
        <v>1939</v>
      </c>
      <c r="C38" s="46">
        <v>38</v>
      </c>
      <c r="D38" s="46" t="s">
        <v>1830</v>
      </c>
      <c r="E38" s="46" t="s">
        <v>1940</v>
      </c>
      <c r="F38" s="113"/>
      <c r="G38" s="113"/>
      <c r="H38" s="113"/>
      <c r="I38" s="113"/>
      <c r="J38" s="113"/>
      <c r="K38" s="113"/>
      <c r="O38" s="46">
        <v>1</v>
      </c>
      <c r="Q38" s="113"/>
      <c r="R38" s="113"/>
      <c r="S38" s="46">
        <v>1</v>
      </c>
      <c r="W38" s="46">
        <v>14</v>
      </c>
      <c r="X38" s="46">
        <v>15</v>
      </c>
      <c r="Y38" s="46">
        <v>16</v>
      </c>
      <c r="Z38" s="46">
        <v>6</v>
      </c>
      <c r="AA38" s="113"/>
      <c r="AB38" s="46">
        <v>4</v>
      </c>
      <c r="AH38" s="46">
        <v>1</v>
      </c>
      <c r="AI38" s="46">
        <v>1</v>
      </c>
      <c r="AM38" s="46">
        <v>1</v>
      </c>
      <c r="AT38" s="46">
        <v>1</v>
      </c>
      <c r="AW38" s="46">
        <v>1</v>
      </c>
      <c r="BB38" s="46">
        <v>1</v>
      </c>
      <c r="BF38" s="113"/>
      <c r="BG38" s="113"/>
      <c r="BH38" s="46">
        <v>1</v>
      </c>
      <c r="BW38" s="46">
        <v>1</v>
      </c>
      <c r="BZ38" s="46">
        <v>1</v>
      </c>
      <c r="CC38" s="46">
        <v>1</v>
      </c>
      <c r="CI38" s="46">
        <v>1</v>
      </c>
      <c r="CU38" s="50">
        <v>46449</v>
      </c>
    </row>
    <row r="39" spans="1:99">
      <c r="A39" s="46" t="s">
        <v>1941</v>
      </c>
      <c r="B39" s="46" t="s">
        <v>1942</v>
      </c>
      <c r="C39" s="46">
        <v>63</v>
      </c>
      <c r="D39" s="46" t="s">
        <v>1847</v>
      </c>
      <c r="E39" s="46" t="s">
        <v>1943</v>
      </c>
      <c r="F39" s="46" t="s">
        <v>107</v>
      </c>
      <c r="J39" s="46">
        <v>1</v>
      </c>
      <c r="M39" s="46">
        <v>1</v>
      </c>
      <c r="Q39" s="46">
        <v>1</v>
      </c>
      <c r="U39" s="46">
        <v>1</v>
      </c>
      <c r="W39" s="46">
        <v>16</v>
      </c>
      <c r="X39" s="46">
        <v>16</v>
      </c>
      <c r="Y39" s="46">
        <v>16</v>
      </c>
      <c r="Z39" s="46">
        <v>8</v>
      </c>
      <c r="AA39" s="46">
        <v>7</v>
      </c>
      <c r="AB39" s="46">
        <v>7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J39" s="46">
        <v>1</v>
      </c>
      <c r="BW39" s="46">
        <v>1</v>
      </c>
      <c r="BZ39" s="46">
        <v>1</v>
      </c>
      <c r="CC39" s="46">
        <v>1</v>
      </c>
      <c r="CI39" s="46">
        <v>1</v>
      </c>
      <c r="CU39" s="50">
        <v>46450</v>
      </c>
    </row>
    <row r="40" spans="1:99">
      <c r="A40" s="46" t="s">
        <v>1944</v>
      </c>
      <c r="B40" s="46" t="s">
        <v>1945</v>
      </c>
      <c r="C40" s="46">
        <v>32</v>
      </c>
      <c r="D40" s="46" t="s">
        <v>1830</v>
      </c>
      <c r="E40" s="46" t="s">
        <v>1946</v>
      </c>
      <c r="F40" s="46" t="s">
        <v>389</v>
      </c>
      <c r="J40" s="46">
        <v>1</v>
      </c>
      <c r="M40" s="46">
        <v>1</v>
      </c>
      <c r="Q40" s="46">
        <v>1</v>
      </c>
      <c r="U40" s="46">
        <v>1</v>
      </c>
      <c r="W40" s="46">
        <v>13</v>
      </c>
      <c r="X40" s="46">
        <v>18</v>
      </c>
      <c r="Y40" s="46">
        <v>21</v>
      </c>
      <c r="Z40" s="46">
        <v>2</v>
      </c>
      <c r="AA40" s="46">
        <v>2</v>
      </c>
      <c r="AB40" s="46">
        <v>2</v>
      </c>
      <c r="AC40" s="46">
        <v>1</v>
      </c>
      <c r="AJ40" s="46">
        <v>1</v>
      </c>
      <c r="AK40" s="46">
        <v>1</v>
      </c>
      <c r="AT40" s="46">
        <v>1</v>
      </c>
      <c r="AW40" s="46">
        <v>1</v>
      </c>
      <c r="BB40" s="46">
        <v>1</v>
      </c>
      <c r="BF40" s="117">
        <v>1</v>
      </c>
      <c r="BG40" s="115"/>
      <c r="BH40" s="46">
        <v>1</v>
      </c>
      <c r="BZ40" s="46">
        <v>1</v>
      </c>
      <c r="CC40" s="46">
        <v>1</v>
      </c>
      <c r="CL40" s="46">
        <v>1</v>
      </c>
      <c r="CU40" s="50">
        <v>46451</v>
      </c>
    </row>
    <row r="41" spans="1:99">
      <c r="A41" s="46" t="s">
        <v>1947</v>
      </c>
      <c r="B41" s="46" t="s">
        <v>1948</v>
      </c>
      <c r="C41" s="46">
        <v>27</v>
      </c>
      <c r="D41" s="46" t="s">
        <v>1830</v>
      </c>
      <c r="E41" s="46" t="s">
        <v>1949</v>
      </c>
      <c r="F41" s="46" t="s">
        <v>112</v>
      </c>
      <c r="I41" s="46">
        <v>1</v>
      </c>
      <c r="O41" s="46">
        <v>1</v>
      </c>
      <c r="R41" s="46">
        <v>1</v>
      </c>
      <c r="U41" s="46">
        <v>1</v>
      </c>
      <c r="W41" s="46">
        <v>14</v>
      </c>
      <c r="X41" s="46">
        <v>17</v>
      </c>
      <c r="Y41" s="46">
        <v>17</v>
      </c>
      <c r="Z41" s="46">
        <v>3</v>
      </c>
      <c r="AA41" s="46">
        <v>3</v>
      </c>
      <c r="AB41" s="46">
        <v>3</v>
      </c>
      <c r="AC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H41" s="46">
        <v>1</v>
      </c>
      <c r="BW41" s="46">
        <v>1</v>
      </c>
      <c r="BZ41" s="46">
        <v>1</v>
      </c>
      <c r="CC41" s="113"/>
      <c r="CD41" s="113"/>
      <c r="CL41" s="46">
        <v>1</v>
      </c>
      <c r="CU41" s="50">
        <v>46452</v>
      </c>
    </row>
    <row r="42" spans="1:99">
      <c r="A42" s="46" t="s">
        <v>1950</v>
      </c>
      <c r="B42" s="46" t="s">
        <v>1951</v>
      </c>
      <c r="C42" s="46">
        <v>37</v>
      </c>
      <c r="D42" s="46" t="s">
        <v>1830</v>
      </c>
      <c r="E42" s="46" t="s">
        <v>1952</v>
      </c>
      <c r="F42" s="46" t="s">
        <v>112</v>
      </c>
      <c r="J42" s="46">
        <v>1</v>
      </c>
      <c r="M42" s="46">
        <v>1</v>
      </c>
      <c r="Q42" s="46">
        <v>1</v>
      </c>
      <c r="T42" s="46">
        <v>1</v>
      </c>
      <c r="W42" s="46">
        <v>14</v>
      </c>
      <c r="X42" s="46">
        <v>16</v>
      </c>
      <c r="Y42" s="46">
        <v>17</v>
      </c>
      <c r="Z42" s="46">
        <v>9</v>
      </c>
      <c r="AA42" s="46">
        <v>8</v>
      </c>
      <c r="AB42" s="46">
        <v>8</v>
      </c>
      <c r="AE42" s="46">
        <v>1</v>
      </c>
      <c r="AH42" s="46">
        <v>1</v>
      </c>
      <c r="AI42" s="46">
        <v>1</v>
      </c>
      <c r="AK42" s="46">
        <v>1</v>
      </c>
      <c r="AT42" s="46">
        <v>1</v>
      </c>
      <c r="AX42" s="46">
        <v>1</v>
      </c>
      <c r="BA42" s="46">
        <v>1</v>
      </c>
      <c r="BH42" s="46">
        <v>1</v>
      </c>
      <c r="BW42" s="46">
        <v>1</v>
      </c>
      <c r="BZ42" s="46">
        <v>1</v>
      </c>
      <c r="CC42" s="46">
        <v>1</v>
      </c>
      <c r="CI42" s="46">
        <v>1</v>
      </c>
      <c r="CU42" s="50">
        <v>46453</v>
      </c>
    </row>
    <row r="43" spans="1:99">
      <c r="A43" s="46" t="s">
        <v>1953</v>
      </c>
      <c r="B43" s="46" t="s">
        <v>1954</v>
      </c>
      <c r="C43" s="46">
        <v>48</v>
      </c>
      <c r="D43" s="46" t="s">
        <v>1830</v>
      </c>
      <c r="E43" s="46" t="s">
        <v>1955</v>
      </c>
      <c r="F43" s="46" t="s">
        <v>1956</v>
      </c>
      <c r="H43" s="46">
        <v>1</v>
      </c>
      <c r="M43" s="46">
        <v>1</v>
      </c>
      <c r="R43" s="46">
        <v>1</v>
      </c>
      <c r="U43" s="46">
        <v>1</v>
      </c>
      <c r="W43" s="46">
        <v>18</v>
      </c>
      <c r="X43" s="46">
        <v>24</v>
      </c>
      <c r="Y43" s="46">
        <v>24</v>
      </c>
      <c r="Z43" s="46">
        <v>7</v>
      </c>
      <c r="AA43" s="113"/>
      <c r="AB43" s="46">
        <v>7</v>
      </c>
      <c r="AC43" s="46">
        <v>1</v>
      </c>
      <c r="AI43" s="46">
        <v>1</v>
      </c>
      <c r="AK43" s="46">
        <v>1</v>
      </c>
      <c r="AT43" s="46">
        <v>1</v>
      </c>
      <c r="AW43" s="46">
        <v>1</v>
      </c>
      <c r="BA43" s="46">
        <v>1</v>
      </c>
      <c r="BJ43" s="46">
        <v>1</v>
      </c>
      <c r="BZ43" s="46">
        <v>1</v>
      </c>
      <c r="CC43" s="113"/>
      <c r="CD43" s="113"/>
      <c r="CI43" s="46">
        <v>1</v>
      </c>
      <c r="CU43" s="50">
        <v>46454</v>
      </c>
    </row>
    <row r="44" spans="1:99">
      <c r="A44" s="46" t="s">
        <v>1957</v>
      </c>
      <c r="B44" s="46" t="s">
        <v>1958</v>
      </c>
      <c r="C44" s="46">
        <v>24</v>
      </c>
      <c r="D44" s="46" t="s">
        <v>1830</v>
      </c>
      <c r="E44" s="46" t="s">
        <v>1959</v>
      </c>
      <c r="F44" s="46" t="s">
        <v>1960</v>
      </c>
      <c r="J44" s="46">
        <v>1</v>
      </c>
      <c r="L44" s="46">
        <v>1</v>
      </c>
      <c r="Q44" s="46" t="s">
        <v>191</v>
      </c>
      <c r="V44" s="46">
        <v>1</v>
      </c>
      <c r="W44" s="46">
        <v>14</v>
      </c>
      <c r="X44" s="46">
        <v>19</v>
      </c>
      <c r="Y44" s="113"/>
      <c r="Z44" s="113"/>
      <c r="AA44" s="113"/>
      <c r="AB44" s="113"/>
      <c r="AE44" s="46">
        <v>1</v>
      </c>
      <c r="AF44" s="46">
        <v>1</v>
      </c>
      <c r="AI44" s="113"/>
      <c r="AJ44" s="113"/>
      <c r="AK44" s="46">
        <v>1</v>
      </c>
      <c r="AT44" s="46">
        <v>1</v>
      </c>
      <c r="AW44" s="46">
        <v>1</v>
      </c>
      <c r="BA44" s="46">
        <v>1</v>
      </c>
      <c r="BH44" s="46">
        <v>1</v>
      </c>
      <c r="BW44" s="46">
        <v>1</v>
      </c>
      <c r="BZ44" s="46">
        <v>1</v>
      </c>
      <c r="CC44" s="46">
        <v>1</v>
      </c>
      <c r="CI44" s="46">
        <v>1</v>
      </c>
      <c r="CU44" s="50">
        <v>46455</v>
      </c>
    </row>
    <row r="45" spans="1:99">
      <c r="A45" s="46" t="s">
        <v>1961</v>
      </c>
      <c r="B45" s="46" t="s">
        <v>1962</v>
      </c>
      <c r="C45" s="46">
        <v>29</v>
      </c>
      <c r="D45" s="46" t="s">
        <v>1830</v>
      </c>
      <c r="E45" s="46" t="s">
        <v>1963</v>
      </c>
      <c r="F45" s="46" t="s">
        <v>112</v>
      </c>
      <c r="H45" s="46">
        <v>1</v>
      </c>
      <c r="M45" s="46">
        <v>1</v>
      </c>
      <c r="Q45" s="46">
        <v>1</v>
      </c>
      <c r="T45" s="46">
        <v>1</v>
      </c>
      <c r="W45" s="46">
        <v>17</v>
      </c>
      <c r="X45" s="46">
        <v>17</v>
      </c>
      <c r="Y45" s="46">
        <v>20</v>
      </c>
      <c r="Z45" s="46">
        <v>5</v>
      </c>
      <c r="AA45" s="46">
        <v>3</v>
      </c>
      <c r="AB45" s="46">
        <v>3</v>
      </c>
      <c r="AD45" s="46">
        <v>1</v>
      </c>
      <c r="AE45" s="46">
        <v>1</v>
      </c>
      <c r="AG45" s="46">
        <v>1</v>
      </c>
      <c r="AH45" s="46">
        <v>1</v>
      </c>
      <c r="AJ45" s="46">
        <v>1</v>
      </c>
      <c r="AK45" s="46">
        <v>1</v>
      </c>
      <c r="AT45" s="46">
        <v>1</v>
      </c>
      <c r="AW45" s="46">
        <v>1</v>
      </c>
      <c r="BA45" s="46">
        <v>1</v>
      </c>
      <c r="BH45" s="46">
        <v>1</v>
      </c>
      <c r="BW45" s="46">
        <v>1</v>
      </c>
      <c r="BZ45" s="46">
        <v>1</v>
      </c>
      <c r="CC45" s="46">
        <v>1</v>
      </c>
      <c r="CI45" s="46">
        <v>1</v>
      </c>
      <c r="CU45" s="50">
        <v>46456</v>
      </c>
    </row>
    <row r="46" spans="1:99">
      <c r="A46" s="46" t="s">
        <v>1964</v>
      </c>
      <c r="B46" s="46" t="s">
        <v>1965</v>
      </c>
      <c r="C46" s="46">
        <v>24</v>
      </c>
      <c r="D46" s="46" t="s">
        <v>1830</v>
      </c>
      <c r="E46" s="46" t="s">
        <v>1966</v>
      </c>
      <c r="F46" s="46" t="s">
        <v>122</v>
      </c>
      <c r="J46" s="46">
        <v>1</v>
      </c>
      <c r="M46" s="46">
        <v>1</v>
      </c>
      <c r="Q46" s="46">
        <v>1</v>
      </c>
      <c r="V46" s="46">
        <v>1</v>
      </c>
      <c r="W46" s="46">
        <v>14</v>
      </c>
      <c r="X46" s="46">
        <v>19</v>
      </c>
      <c r="Y46" s="46">
        <v>23</v>
      </c>
      <c r="Z46" s="46">
        <v>1</v>
      </c>
      <c r="AA46" s="46">
        <v>1</v>
      </c>
      <c r="AB46" s="46">
        <v>1</v>
      </c>
      <c r="AE46" s="46">
        <v>1</v>
      </c>
      <c r="AI46" s="118"/>
      <c r="AJ46" s="113"/>
      <c r="AK46" s="46">
        <v>1</v>
      </c>
      <c r="AT46" s="46">
        <v>1</v>
      </c>
      <c r="AW46" s="46">
        <v>1</v>
      </c>
      <c r="BA46" s="46">
        <v>1</v>
      </c>
      <c r="BH46" s="46">
        <v>1</v>
      </c>
      <c r="BZ46" s="46">
        <v>1</v>
      </c>
      <c r="CC46" s="46">
        <v>1</v>
      </c>
      <c r="CL46" s="46">
        <v>1</v>
      </c>
      <c r="CU46" s="50">
        <v>46457</v>
      </c>
    </row>
    <row r="47" spans="1:99">
      <c r="A47" s="46" t="s">
        <v>1967</v>
      </c>
      <c r="B47" s="46" t="s">
        <v>1968</v>
      </c>
      <c r="C47" s="46">
        <v>52</v>
      </c>
      <c r="D47" s="46" t="s">
        <v>1830</v>
      </c>
      <c r="E47" s="46" t="s">
        <v>1969</v>
      </c>
      <c r="F47" s="46" t="s">
        <v>112</v>
      </c>
      <c r="I47" s="46">
        <v>1</v>
      </c>
      <c r="O47" s="46">
        <v>1</v>
      </c>
      <c r="R47" s="46">
        <v>1</v>
      </c>
      <c r="S47" s="46">
        <v>1</v>
      </c>
      <c r="W47" s="46">
        <v>14</v>
      </c>
      <c r="X47" s="46">
        <v>15</v>
      </c>
      <c r="Y47" s="46">
        <v>16</v>
      </c>
      <c r="Z47" s="46">
        <v>7</v>
      </c>
      <c r="AA47" s="46">
        <v>7</v>
      </c>
      <c r="AB47" s="46">
        <v>6</v>
      </c>
      <c r="AE47" s="46">
        <v>1</v>
      </c>
      <c r="AH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J47" s="46">
        <v>1</v>
      </c>
      <c r="BW47" s="46">
        <v>1</v>
      </c>
      <c r="BZ47" s="46">
        <v>1</v>
      </c>
      <c r="CC47" s="46">
        <v>1</v>
      </c>
      <c r="CI47" s="46">
        <v>1</v>
      </c>
      <c r="CU47" s="50">
        <v>46458</v>
      </c>
    </row>
    <row r="48" spans="1:99">
      <c r="A48" s="46" t="s">
        <v>1970</v>
      </c>
      <c r="B48" s="46" t="s">
        <v>650</v>
      </c>
      <c r="C48" s="46">
        <v>33</v>
      </c>
      <c r="D48" s="46" t="s">
        <v>1830</v>
      </c>
      <c r="E48" s="46" t="s">
        <v>191</v>
      </c>
      <c r="F48" s="46" t="s">
        <v>112</v>
      </c>
      <c r="J48" s="46">
        <v>1</v>
      </c>
      <c r="M48" s="46">
        <v>1</v>
      </c>
      <c r="Q48" s="46">
        <v>1</v>
      </c>
      <c r="V48" s="46">
        <v>1</v>
      </c>
      <c r="W48" s="46">
        <v>15</v>
      </c>
      <c r="X48" s="46">
        <v>20</v>
      </c>
      <c r="Y48" s="46">
        <v>28</v>
      </c>
      <c r="Z48" s="46">
        <v>1</v>
      </c>
      <c r="AA48" s="46">
        <v>1</v>
      </c>
      <c r="AB48" s="46">
        <v>1</v>
      </c>
      <c r="AD48" s="46">
        <v>1</v>
      </c>
      <c r="AE48" s="46">
        <v>1</v>
      </c>
      <c r="AG48" s="46">
        <v>1</v>
      </c>
      <c r="AH48" s="46">
        <v>1</v>
      </c>
      <c r="AI48" s="46">
        <v>1</v>
      </c>
      <c r="AK48" s="46">
        <v>1</v>
      </c>
      <c r="AT48" s="46">
        <v>1</v>
      </c>
      <c r="AW48" s="46">
        <v>1</v>
      </c>
      <c r="BB48" s="46">
        <v>1</v>
      </c>
      <c r="BF48" s="46">
        <v>1</v>
      </c>
      <c r="BH48" s="46">
        <v>1</v>
      </c>
      <c r="BW48" s="46">
        <v>1</v>
      </c>
      <c r="BZ48" s="46">
        <v>1</v>
      </c>
      <c r="CC48" s="46">
        <v>1</v>
      </c>
      <c r="CL48" s="46">
        <v>1</v>
      </c>
      <c r="CU48" s="50">
        <v>46459</v>
      </c>
    </row>
    <row r="49" spans="1:99">
      <c r="A49" s="46" t="s">
        <v>1971</v>
      </c>
      <c r="B49" s="46" t="s">
        <v>1972</v>
      </c>
      <c r="C49" s="46">
        <v>48</v>
      </c>
      <c r="D49" s="46" t="s">
        <v>1830</v>
      </c>
      <c r="E49" s="46" t="s">
        <v>1973</v>
      </c>
      <c r="F49" s="46" t="s">
        <v>112</v>
      </c>
      <c r="J49" s="46">
        <v>1</v>
      </c>
      <c r="O49" s="46">
        <v>1</v>
      </c>
      <c r="Q49" s="46">
        <v>1</v>
      </c>
      <c r="U49" s="46">
        <v>1</v>
      </c>
      <c r="W49" s="46">
        <v>15</v>
      </c>
      <c r="X49" s="46">
        <v>17</v>
      </c>
      <c r="Y49" s="46">
        <v>17</v>
      </c>
      <c r="Z49" s="46">
        <v>4</v>
      </c>
      <c r="AA49" s="46">
        <v>1</v>
      </c>
      <c r="AB49" s="46">
        <v>1</v>
      </c>
      <c r="AE49" s="46">
        <v>1</v>
      </c>
      <c r="AI49" s="113"/>
      <c r="AJ49" s="113"/>
      <c r="AK49" s="46">
        <v>1</v>
      </c>
      <c r="AT49" s="46">
        <v>1</v>
      </c>
      <c r="AY49" s="46">
        <v>1</v>
      </c>
      <c r="BA49" s="46">
        <v>1</v>
      </c>
      <c r="BJ49" s="46">
        <v>1</v>
      </c>
      <c r="BZ49" s="46">
        <v>1</v>
      </c>
      <c r="CC49" s="46">
        <v>1</v>
      </c>
      <c r="CI49" s="46">
        <v>1</v>
      </c>
      <c r="CU49" s="50">
        <v>46460</v>
      </c>
    </row>
    <row r="50" spans="1:99">
      <c r="A50" s="46" t="s">
        <v>1974</v>
      </c>
      <c r="B50" s="46" t="s">
        <v>1975</v>
      </c>
      <c r="C50" s="46">
        <v>37</v>
      </c>
      <c r="D50" s="46" t="s">
        <v>1830</v>
      </c>
      <c r="E50" s="46" t="s">
        <v>1976</v>
      </c>
      <c r="F50" s="46" t="s">
        <v>1145</v>
      </c>
      <c r="J50" s="46">
        <v>1</v>
      </c>
      <c r="M50" s="46">
        <v>1</v>
      </c>
      <c r="Q50" s="46">
        <v>1</v>
      </c>
      <c r="T50" s="46">
        <v>1</v>
      </c>
      <c r="W50" s="46">
        <v>13</v>
      </c>
      <c r="X50" s="46">
        <v>16</v>
      </c>
      <c r="Y50" s="46">
        <v>16</v>
      </c>
      <c r="Z50" s="46">
        <v>9</v>
      </c>
      <c r="AA50" s="46">
        <v>9</v>
      </c>
      <c r="AB50" s="46">
        <v>9</v>
      </c>
      <c r="AC50" s="46">
        <v>1</v>
      </c>
      <c r="AI50" s="46">
        <v>1</v>
      </c>
      <c r="AK50" s="46">
        <v>1</v>
      </c>
      <c r="AT50" s="46">
        <v>1</v>
      </c>
      <c r="AW50" s="46">
        <v>1</v>
      </c>
      <c r="BA50" s="46">
        <v>1</v>
      </c>
      <c r="BH50" s="46">
        <v>1</v>
      </c>
      <c r="BZ50" s="46">
        <v>1</v>
      </c>
      <c r="CC50" s="46">
        <v>1</v>
      </c>
      <c r="CL50" s="46">
        <v>1</v>
      </c>
      <c r="CU50" s="50">
        <v>46461</v>
      </c>
    </row>
    <row r="51" spans="1:99">
      <c r="A51" s="46" t="s">
        <v>1977</v>
      </c>
      <c r="B51" s="46" t="s">
        <v>1978</v>
      </c>
      <c r="C51" s="46">
        <v>40</v>
      </c>
      <c r="D51" s="46" t="s">
        <v>1830</v>
      </c>
      <c r="E51" s="46" t="s">
        <v>1979</v>
      </c>
      <c r="F51" s="46" t="s">
        <v>122</v>
      </c>
      <c r="J51" s="46">
        <v>1</v>
      </c>
      <c r="M51" s="46">
        <v>1</v>
      </c>
      <c r="Q51" s="46">
        <v>1</v>
      </c>
      <c r="U51" s="46">
        <v>1</v>
      </c>
      <c r="W51" s="46">
        <v>14</v>
      </c>
      <c r="X51" s="46">
        <v>19</v>
      </c>
      <c r="Y51" s="46">
        <v>20</v>
      </c>
      <c r="Z51" s="46">
        <v>4</v>
      </c>
      <c r="AA51" s="46">
        <v>4</v>
      </c>
      <c r="AB51" s="46">
        <v>4</v>
      </c>
      <c r="AF51" s="46">
        <v>1</v>
      </c>
      <c r="AG51" s="46">
        <v>1</v>
      </c>
      <c r="AH51" s="46">
        <v>1</v>
      </c>
      <c r="AI51" s="46">
        <v>1</v>
      </c>
      <c r="AK51" s="46">
        <v>1</v>
      </c>
      <c r="AT51" s="46">
        <v>1</v>
      </c>
      <c r="AW51" s="46">
        <v>1</v>
      </c>
      <c r="BA51" s="46">
        <v>1</v>
      </c>
      <c r="BJ51" s="46">
        <v>1</v>
      </c>
      <c r="BW51" s="46">
        <v>1</v>
      </c>
      <c r="BZ51" s="46">
        <v>1</v>
      </c>
      <c r="CC51" s="46">
        <v>1</v>
      </c>
      <c r="CL51" s="46">
        <v>1</v>
      </c>
      <c r="CU51" s="50">
        <v>46462</v>
      </c>
    </row>
    <row r="52" spans="1:99">
      <c r="A52" s="46" t="s">
        <v>1980</v>
      </c>
      <c r="B52" s="46" t="s">
        <v>1981</v>
      </c>
      <c r="C52" s="46">
        <v>43</v>
      </c>
      <c r="D52" s="46" t="s">
        <v>1857</v>
      </c>
      <c r="E52" s="46" t="s">
        <v>1982</v>
      </c>
      <c r="F52" s="46" t="s">
        <v>145</v>
      </c>
      <c r="G52" s="46">
        <v>1</v>
      </c>
      <c r="M52" s="46">
        <v>1</v>
      </c>
      <c r="Q52" s="46">
        <v>1</v>
      </c>
      <c r="T52" s="46">
        <v>1</v>
      </c>
      <c r="W52" s="46">
        <v>14</v>
      </c>
      <c r="X52" s="46">
        <v>18</v>
      </c>
      <c r="Y52" s="46">
        <v>20</v>
      </c>
      <c r="Z52" s="46">
        <v>10</v>
      </c>
      <c r="AA52" s="46">
        <v>7</v>
      </c>
      <c r="AB52" s="46">
        <v>7</v>
      </c>
      <c r="AD52" s="46">
        <v>1</v>
      </c>
      <c r="AE52" s="46">
        <v>1</v>
      </c>
      <c r="AH52" s="46">
        <v>1</v>
      </c>
      <c r="AI52" s="113"/>
      <c r="AJ52" s="113"/>
      <c r="AK52" s="46">
        <v>1</v>
      </c>
      <c r="AT52" s="46">
        <v>1</v>
      </c>
      <c r="AX52" s="46">
        <v>1</v>
      </c>
      <c r="BA52" s="46">
        <v>1</v>
      </c>
      <c r="BH52" s="46">
        <v>1</v>
      </c>
      <c r="BW52" s="46">
        <v>1</v>
      </c>
      <c r="CA52" s="46">
        <v>1</v>
      </c>
      <c r="CB52" s="46">
        <v>2021</v>
      </c>
      <c r="CC52" s="46">
        <v>1</v>
      </c>
      <c r="CI52" s="46">
        <v>1</v>
      </c>
      <c r="CU52" s="50">
        <v>46463</v>
      </c>
    </row>
    <row r="53" spans="1:99">
      <c r="A53" s="46" t="s">
        <v>1983</v>
      </c>
      <c r="B53" s="46" t="s">
        <v>1984</v>
      </c>
      <c r="C53" s="46">
        <v>27</v>
      </c>
      <c r="D53" s="46" t="s">
        <v>1830</v>
      </c>
      <c r="E53" s="46" t="s">
        <v>1985</v>
      </c>
      <c r="F53" s="46" t="s">
        <v>145</v>
      </c>
      <c r="H53" s="46">
        <v>1</v>
      </c>
      <c r="M53" s="46">
        <v>1</v>
      </c>
      <c r="Q53" s="46">
        <v>1</v>
      </c>
      <c r="U53" s="46">
        <v>1</v>
      </c>
      <c r="W53" s="46">
        <v>16</v>
      </c>
      <c r="X53" s="46">
        <v>15</v>
      </c>
      <c r="Y53" s="46">
        <v>15</v>
      </c>
      <c r="Z53" s="46">
        <v>3</v>
      </c>
      <c r="AA53" s="46">
        <v>3</v>
      </c>
      <c r="AB53" s="46">
        <v>3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H53" s="46">
        <v>1</v>
      </c>
      <c r="BZ53" s="46">
        <v>1</v>
      </c>
      <c r="CC53" s="46">
        <v>1</v>
      </c>
      <c r="CJ53" s="46">
        <v>1</v>
      </c>
      <c r="CM53" s="46">
        <v>1</v>
      </c>
      <c r="CU53" s="46" t="s">
        <v>117</v>
      </c>
    </row>
    <row r="54" spans="1:99">
      <c r="A54" s="46" t="s">
        <v>1986</v>
      </c>
      <c r="B54" s="46" t="s">
        <v>1987</v>
      </c>
      <c r="C54" s="46">
        <v>39</v>
      </c>
      <c r="D54" s="46" t="s">
        <v>1830</v>
      </c>
      <c r="E54" s="46" t="s">
        <v>1988</v>
      </c>
      <c r="F54" s="46" t="s">
        <v>1989</v>
      </c>
      <c r="G54" s="46">
        <v>1</v>
      </c>
      <c r="L54" s="46">
        <v>1</v>
      </c>
      <c r="Q54" s="46" t="s">
        <v>191</v>
      </c>
      <c r="U54" s="46">
        <v>1</v>
      </c>
      <c r="W54" s="46">
        <v>14</v>
      </c>
      <c r="X54" s="46">
        <v>28</v>
      </c>
      <c r="Y54" s="117" t="s">
        <v>191</v>
      </c>
      <c r="Z54" s="117">
        <v>0</v>
      </c>
      <c r="AA54" s="117">
        <v>0</v>
      </c>
      <c r="AB54" s="117">
        <v>0</v>
      </c>
      <c r="AE54" s="46">
        <v>1</v>
      </c>
      <c r="AG54" s="46">
        <v>1</v>
      </c>
      <c r="AH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H54" s="46">
        <v>1</v>
      </c>
      <c r="BZ54" s="46">
        <v>1</v>
      </c>
      <c r="CC54" s="46">
        <v>1</v>
      </c>
      <c r="CI54" s="46">
        <v>1</v>
      </c>
      <c r="CU54" s="50">
        <v>46465</v>
      </c>
    </row>
    <row r="55" spans="1:99">
      <c r="A55" s="46" t="s">
        <v>1990</v>
      </c>
      <c r="B55" s="46" t="s">
        <v>1991</v>
      </c>
      <c r="C55" s="46">
        <v>33</v>
      </c>
      <c r="D55" s="46" t="s">
        <v>1830</v>
      </c>
      <c r="E55" s="46" t="s">
        <v>1992</v>
      </c>
      <c r="F55" s="46" t="s">
        <v>1045</v>
      </c>
      <c r="J55" s="46">
        <v>1</v>
      </c>
      <c r="O55" s="46">
        <v>1</v>
      </c>
      <c r="R55" s="46">
        <v>1</v>
      </c>
      <c r="S55" s="46">
        <v>1</v>
      </c>
      <c r="W55" s="46">
        <v>13</v>
      </c>
      <c r="X55" s="46">
        <v>16</v>
      </c>
      <c r="Y55" s="46">
        <v>17</v>
      </c>
      <c r="Z55" s="46">
        <v>7</v>
      </c>
      <c r="AA55" s="46">
        <v>7</v>
      </c>
      <c r="AB55" s="46">
        <v>7</v>
      </c>
      <c r="AC55" s="46">
        <v>1</v>
      </c>
      <c r="AI55" s="46">
        <v>1</v>
      </c>
      <c r="AK55" s="46">
        <v>1</v>
      </c>
      <c r="AT55" s="46">
        <v>1</v>
      </c>
      <c r="AX55" s="46">
        <v>1</v>
      </c>
      <c r="BA55" s="46">
        <v>1</v>
      </c>
      <c r="BH55" s="46">
        <v>1</v>
      </c>
      <c r="BW55" s="46">
        <v>1</v>
      </c>
      <c r="BZ55" s="46">
        <v>1</v>
      </c>
      <c r="CC55" s="46">
        <v>1</v>
      </c>
      <c r="CL55" s="46">
        <v>1</v>
      </c>
      <c r="CU55" s="50">
        <v>46466</v>
      </c>
    </row>
    <row r="56" spans="1:99">
      <c r="A56" s="46" t="s">
        <v>1993</v>
      </c>
      <c r="B56" s="46" t="s">
        <v>1994</v>
      </c>
      <c r="C56" s="46">
        <v>27</v>
      </c>
      <c r="D56" s="46" t="s">
        <v>1830</v>
      </c>
      <c r="E56" s="46" t="s">
        <v>1995</v>
      </c>
      <c r="F56" s="46" t="s">
        <v>112</v>
      </c>
      <c r="G56" s="113"/>
      <c r="H56" s="113"/>
      <c r="I56" s="113"/>
      <c r="J56" s="113"/>
      <c r="K56" s="113"/>
      <c r="L56" s="46">
        <v>1</v>
      </c>
      <c r="Q56" s="46" t="s">
        <v>191</v>
      </c>
      <c r="U56" s="46">
        <v>1</v>
      </c>
      <c r="W56" s="46">
        <v>12</v>
      </c>
      <c r="X56" s="46">
        <v>24</v>
      </c>
      <c r="Y56" s="46">
        <v>24</v>
      </c>
      <c r="Z56" s="46">
        <v>2</v>
      </c>
      <c r="AA56" s="46">
        <v>1</v>
      </c>
      <c r="AB56" s="46">
        <v>1</v>
      </c>
      <c r="AC56" s="46">
        <v>1</v>
      </c>
      <c r="AI56" s="46">
        <v>1</v>
      </c>
      <c r="AK56" s="46">
        <v>1</v>
      </c>
      <c r="AT56" s="46">
        <v>1</v>
      </c>
      <c r="AW56" s="46">
        <v>1</v>
      </c>
      <c r="BA56" s="46">
        <v>1</v>
      </c>
      <c r="BH56" s="46">
        <v>1</v>
      </c>
      <c r="CA56" s="46">
        <v>1</v>
      </c>
      <c r="CB56" s="46">
        <v>2023</v>
      </c>
      <c r="CD56" s="46">
        <v>1</v>
      </c>
      <c r="CE56" s="46">
        <v>2023</v>
      </c>
      <c r="CF56" s="46">
        <v>1</v>
      </c>
      <c r="CJ56" s="46">
        <v>1</v>
      </c>
      <c r="CM56" s="46">
        <v>1</v>
      </c>
      <c r="CU56" s="46" t="s">
        <v>117</v>
      </c>
    </row>
    <row r="57" spans="1:99">
      <c r="A57" s="46" t="s">
        <v>1996</v>
      </c>
      <c r="B57" s="46" t="s">
        <v>1997</v>
      </c>
      <c r="C57" s="46">
        <v>27</v>
      </c>
      <c r="D57" s="46" t="s">
        <v>1830</v>
      </c>
      <c r="E57" s="46" t="s">
        <v>1998</v>
      </c>
      <c r="F57" s="46" t="s">
        <v>112</v>
      </c>
      <c r="J57" s="46">
        <v>1</v>
      </c>
      <c r="O57" s="46">
        <v>1</v>
      </c>
      <c r="Q57" s="113"/>
      <c r="R57" s="113"/>
      <c r="V57" s="46">
        <v>1</v>
      </c>
      <c r="W57" s="46">
        <v>17</v>
      </c>
      <c r="X57" s="46">
        <v>10</v>
      </c>
      <c r="Y57" s="46">
        <v>22</v>
      </c>
      <c r="Z57" s="46">
        <v>1</v>
      </c>
      <c r="AA57" s="46">
        <v>1</v>
      </c>
      <c r="AB57" s="46">
        <v>1</v>
      </c>
      <c r="AE57" s="46">
        <v>1</v>
      </c>
      <c r="AJ57" s="46">
        <v>1</v>
      </c>
      <c r="AK57" s="46">
        <v>1</v>
      </c>
      <c r="AT57" s="46">
        <v>1</v>
      </c>
      <c r="AW57" s="46">
        <v>1</v>
      </c>
      <c r="BB57" s="46">
        <v>1</v>
      </c>
      <c r="BF57" s="46">
        <v>1</v>
      </c>
      <c r="BH57" s="46">
        <v>1</v>
      </c>
      <c r="BZ57" s="46">
        <v>1</v>
      </c>
      <c r="CC57" s="46">
        <v>1</v>
      </c>
      <c r="CI57" s="46">
        <v>1</v>
      </c>
      <c r="CU57" s="50">
        <v>46468</v>
      </c>
    </row>
    <row r="58" spans="1:99">
      <c r="A58" s="46" t="s">
        <v>1999</v>
      </c>
      <c r="B58" s="46" t="s">
        <v>2000</v>
      </c>
      <c r="C58" s="46">
        <v>21</v>
      </c>
      <c r="D58" s="46" t="s">
        <v>1830</v>
      </c>
      <c r="E58" s="46" t="s">
        <v>2001</v>
      </c>
      <c r="F58" s="46" t="s">
        <v>1109</v>
      </c>
      <c r="G58" s="46">
        <v>1</v>
      </c>
      <c r="M58" s="46">
        <v>1</v>
      </c>
      <c r="Q58" s="46">
        <v>1</v>
      </c>
      <c r="T58" s="46">
        <v>1</v>
      </c>
      <c r="W58" s="46">
        <v>14</v>
      </c>
      <c r="X58" s="46">
        <v>18</v>
      </c>
      <c r="Y58" s="46">
        <v>20</v>
      </c>
      <c r="Z58" s="46">
        <v>1</v>
      </c>
      <c r="AA58" s="46">
        <v>1</v>
      </c>
      <c r="AB58" s="46">
        <v>1</v>
      </c>
      <c r="AC58" s="46">
        <v>1</v>
      </c>
      <c r="AJ58" s="46">
        <v>1</v>
      </c>
      <c r="AK58" s="46">
        <v>1</v>
      </c>
      <c r="AT58" s="46">
        <v>1</v>
      </c>
      <c r="AW58" s="46">
        <v>1</v>
      </c>
      <c r="BB58" s="46">
        <v>1</v>
      </c>
      <c r="BF58" s="46">
        <v>1</v>
      </c>
      <c r="BH58" s="46">
        <v>1</v>
      </c>
      <c r="BZ58" s="46">
        <v>1</v>
      </c>
      <c r="CC58" s="113"/>
      <c r="CD58" s="113"/>
      <c r="CI58" s="46">
        <v>1</v>
      </c>
      <c r="CU58" s="50">
        <v>46469</v>
      </c>
    </row>
    <row r="59" spans="1:99">
      <c r="A59" s="46" t="s">
        <v>2002</v>
      </c>
      <c r="B59" s="46" t="s">
        <v>2003</v>
      </c>
      <c r="C59" s="46">
        <v>29</v>
      </c>
      <c r="D59" s="46" t="s">
        <v>2004</v>
      </c>
      <c r="E59" s="46" t="s">
        <v>2005</v>
      </c>
      <c r="F59" s="46" t="s">
        <v>122</v>
      </c>
      <c r="K59" s="46">
        <v>1</v>
      </c>
      <c r="M59" s="46">
        <v>1</v>
      </c>
      <c r="Q59" s="46">
        <v>1</v>
      </c>
      <c r="T59" s="46">
        <v>1</v>
      </c>
      <c r="W59" s="46">
        <v>14</v>
      </c>
      <c r="X59" s="46">
        <v>17</v>
      </c>
      <c r="Y59" s="46">
        <v>17</v>
      </c>
      <c r="Z59" s="46">
        <v>5</v>
      </c>
      <c r="AA59" s="46">
        <v>5</v>
      </c>
      <c r="AB59" s="46">
        <v>4</v>
      </c>
      <c r="AH59" s="46">
        <v>1</v>
      </c>
      <c r="AJ59" s="46">
        <v>1</v>
      </c>
      <c r="AL59" s="46">
        <v>1</v>
      </c>
      <c r="AO59" s="113"/>
      <c r="AP59" s="113"/>
      <c r="AR59" s="46" t="s">
        <v>1266</v>
      </c>
      <c r="AS59" s="46">
        <v>1</v>
      </c>
      <c r="AT59" s="46">
        <v>1</v>
      </c>
      <c r="AW59" s="46">
        <v>1</v>
      </c>
      <c r="BB59" s="46">
        <v>1</v>
      </c>
      <c r="BF59" s="113"/>
      <c r="BG59" s="113"/>
      <c r="BH59" s="46">
        <v>1</v>
      </c>
      <c r="BZ59" s="46">
        <v>1</v>
      </c>
      <c r="CD59" s="46">
        <v>1</v>
      </c>
      <c r="CE59" s="46" t="s">
        <v>360</v>
      </c>
      <c r="CI59" s="46">
        <v>1</v>
      </c>
      <c r="CU59" s="50">
        <v>46470</v>
      </c>
    </row>
    <row r="60" spans="1:99">
      <c r="CU60" s="50"/>
    </row>
  </sheetData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68" t="s">
        <v>1361</v>
      </c>
      <c r="B3" s="69">
        <v>1</v>
      </c>
      <c r="C3" s="69"/>
      <c r="D3" s="69"/>
      <c r="E3" s="69">
        <f t="shared" ref="E3:E8" si="0">SUM(B3:D3)</f>
        <v>1</v>
      </c>
      <c r="F3" s="70"/>
      <c r="G3" s="70">
        <v>1</v>
      </c>
      <c r="H3" s="70"/>
      <c r="I3" s="71">
        <f t="shared" ref="I3:I9" si="1">SUM(F3:H3)</f>
        <v>1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>
        <v>1</v>
      </c>
      <c r="R3" s="71">
        <f t="shared" ref="R3:R8" si="3">SUM(O3:Q3)</f>
        <v>1</v>
      </c>
      <c r="S3" s="70"/>
      <c r="T3" s="70"/>
      <c r="U3" s="70"/>
      <c r="V3" s="70"/>
      <c r="W3" s="70"/>
      <c r="X3" s="70"/>
      <c r="Y3" s="73">
        <v>1</v>
      </c>
      <c r="Z3" s="73"/>
      <c r="AA3" s="73"/>
      <c r="AB3" s="73"/>
      <c r="AC3" s="73">
        <f t="shared" ref="AC3:AC8" si="4">SUM(Y3:AB3)</f>
        <v>1</v>
      </c>
      <c r="AD3" s="73"/>
    </row>
    <row r="4" spans="1:30">
      <c r="A4" s="74" t="s">
        <v>552</v>
      </c>
      <c r="B4" s="69">
        <v>22</v>
      </c>
      <c r="C4" s="69">
        <v>1</v>
      </c>
      <c r="D4" s="69">
        <v>1</v>
      </c>
      <c r="E4" s="69">
        <f t="shared" si="0"/>
        <v>24</v>
      </c>
      <c r="F4" s="70"/>
      <c r="G4" s="70">
        <v>23</v>
      </c>
      <c r="H4" s="70">
        <v>1</v>
      </c>
      <c r="I4" s="71">
        <f t="shared" si="1"/>
        <v>24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5</v>
      </c>
      <c r="R4" s="71">
        <f t="shared" si="3"/>
        <v>5</v>
      </c>
      <c r="S4" s="75"/>
      <c r="T4" s="75"/>
      <c r="U4" s="75"/>
      <c r="V4" s="75"/>
      <c r="W4" s="75"/>
      <c r="X4" s="76"/>
      <c r="Y4" s="73">
        <v>20</v>
      </c>
      <c r="Z4" s="73">
        <v>2</v>
      </c>
      <c r="AA4" s="73"/>
      <c r="AB4" s="73">
        <v>2</v>
      </c>
      <c r="AC4" s="73">
        <f t="shared" si="4"/>
        <v>24</v>
      </c>
      <c r="AD4" s="73">
        <v>2</v>
      </c>
    </row>
    <row r="5" spans="1:30">
      <c r="A5" s="77" t="s">
        <v>1823</v>
      </c>
      <c r="B5" s="69">
        <v>13</v>
      </c>
      <c r="C5" s="69"/>
      <c r="D5" s="69">
        <v>1</v>
      </c>
      <c r="E5" s="69">
        <f t="shared" si="0"/>
        <v>14</v>
      </c>
      <c r="F5" s="70">
        <v>1</v>
      </c>
      <c r="G5" s="70">
        <v>12</v>
      </c>
      <c r="H5" s="70"/>
      <c r="I5" s="71">
        <f t="shared" si="1"/>
        <v>13</v>
      </c>
      <c r="J5" s="70">
        <v>1</v>
      </c>
      <c r="K5" s="70"/>
      <c r="L5" s="70"/>
      <c r="M5" s="70"/>
      <c r="N5" s="71">
        <f t="shared" si="2"/>
        <v>1</v>
      </c>
      <c r="O5" s="70"/>
      <c r="P5" s="70"/>
      <c r="Q5" s="70">
        <v>5</v>
      </c>
      <c r="R5" s="71">
        <f t="shared" si="3"/>
        <v>5</v>
      </c>
      <c r="S5" s="75"/>
      <c r="T5" s="75"/>
      <c r="U5" s="75">
        <v>1</v>
      </c>
      <c r="V5" s="75"/>
      <c r="W5" s="75"/>
      <c r="X5" s="76"/>
      <c r="Y5" s="73">
        <v>9</v>
      </c>
      <c r="Z5" s="73"/>
      <c r="AA5" s="73"/>
      <c r="AB5" s="73">
        <v>5</v>
      </c>
      <c r="AC5" s="73">
        <f t="shared" si="4"/>
        <v>14</v>
      </c>
      <c r="AD5" s="73"/>
    </row>
    <row r="6" spans="1:30">
      <c r="A6" s="77" t="s">
        <v>1824</v>
      </c>
      <c r="B6" s="69">
        <v>9</v>
      </c>
      <c r="C6" s="69">
        <v>2</v>
      </c>
      <c r="D6" s="69"/>
      <c r="E6" s="69">
        <f t="shared" si="0"/>
        <v>11</v>
      </c>
      <c r="F6" s="70"/>
      <c r="G6" s="70">
        <v>7</v>
      </c>
      <c r="H6" s="70"/>
      <c r="I6" s="71">
        <f t="shared" si="1"/>
        <v>7</v>
      </c>
      <c r="J6" s="70">
        <v>4</v>
      </c>
      <c r="K6" s="70"/>
      <c r="L6" s="70"/>
      <c r="M6" s="70"/>
      <c r="N6" s="71">
        <f t="shared" si="2"/>
        <v>4</v>
      </c>
      <c r="O6" s="70"/>
      <c r="P6" s="70"/>
      <c r="Q6" s="70">
        <v>1</v>
      </c>
      <c r="R6" s="71">
        <f t="shared" si="3"/>
        <v>1</v>
      </c>
      <c r="S6" s="75"/>
      <c r="T6" s="75"/>
      <c r="U6" s="75"/>
      <c r="V6" s="75"/>
      <c r="W6" s="75"/>
      <c r="X6" s="76"/>
      <c r="Y6" s="73">
        <v>11</v>
      </c>
      <c r="Z6" s="73"/>
      <c r="AA6" s="73"/>
      <c r="AB6" s="73"/>
      <c r="AC6" s="73">
        <f t="shared" si="4"/>
        <v>11</v>
      </c>
      <c r="AD6" s="73"/>
    </row>
    <row r="7" spans="1:30">
      <c r="A7" s="77" t="s">
        <v>776</v>
      </c>
      <c r="B7" s="69">
        <v>3</v>
      </c>
      <c r="C7" s="69"/>
      <c r="D7" s="69">
        <v>1</v>
      </c>
      <c r="E7" s="69">
        <f t="shared" si="0"/>
        <v>4</v>
      </c>
      <c r="F7" s="70"/>
      <c r="G7" s="70"/>
      <c r="H7" s="70"/>
      <c r="I7" s="71">
        <f t="shared" si="1"/>
        <v>0</v>
      </c>
      <c r="J7" s="70">
        <v>4</v>
      </c>
      <c r="K7" s="70"/>
      <c r="L7" s="70"/>
      <c r="M7" s="70"/>
      <c r="N7" s="71">
        <f t="shared" si="2"/>
        <v>4</v>
      </c>
      <c r="O7" s="70"/>
      <c r="P7" s="70"/>
      <c r="Q7" s="70">
        <v>1</v>
      </c>
      <c r="R7" s="71">
        <f t="shared" si="3"/>
        <v>1</v>
      </c>
      <c r="S7" s="75"/>
      <c r="T7" s="75"/>
      <c r="U7" s="75"/>
      <c r="V7" s="75"/>
      <c r="W7" s="75"/>
      <c r="X7" s="76"/>
      <c r="Y7" s="73">
        <v>3</v>
      </c>
      <c r="Z7" s="73">
        <v>1</v>
      </c>
      <c r="AA7" s="73"/>
      <c r="AB7" s="73"/>
      <c r="AC7" s="73">
        <f t="shared" si="4"/>
        <v>4</v>
      </c>
      <c r="AD7" s="73"/>
    </row>
    <row r="8" spans="1:30">
      <c r="A8" s="78" t="s">
        <v>1364</v>
      </c>
      <c r="B8" s="79">
        <v>2</v>
      </c>
      <c r="C8" s="79"/>
      <c r="D8" s="79"/>
      <c r="E8" s="69">
        <f t="shared" si="0"/>
        <v>2</v>
      </c>
      <c r="F8" s="80"/>
      <c r="G8" s="80"/>
      <c r="H8" s="80"/>
      <c r="I8" s="71">
        <f t="shared" si="1"/>
        <v>0</v>
      </c>
      <c r="J8" s="80">
        <v>1</v>
      </c>
      <c r="K8" s="80"/>
      <c r="L8" s="80"/>
      <c r="M8" s="80">
        <v>1</v>
      </c>
      <c r="N8" s="71">
        <f t="shared" si="2"/>
        <v>2</v>
      </c>
      <c r="O8" s="80"/>
      <c r="P8" s="80"/>
      <c r="Q8" s="80">
        <v>1</v>
      </c>
      <c r="R8" s="71">
        <f t="shared" si="3"/>
        <v>1</v>
      </c>
      <c r="S8" s="80"/>
      <c r="T8" s="80"/>
      <c r="U8" s="80"/>
      <c r="V8" s="80"/>
      <c r="W8" s="80"/>
      <c r="X8" s="81"/>
      <c r="Y8" s="82">
        <v>2</v>
      </c>
      <c r="Z8" s="82"/>
      <c r="AA8" s="82"/>
      <c r="AB8" s="82"/>
      <c r="AC8" s="73">
        <f t="shared" si="4"/>
        <v>2</v>
      </c>
      <c r="AD8" s="82"/>
    </row>
    <row r="9" spans="1:30">
      <c r="A9" s="69" t="s">
        <v>376</v>
      </c>
      <c r="B9" s="69">
        <f t="shared" ref="B9:H9" si="5">SUM(B3:B8)</f>
        <v>50</v>
      </c>
      <c r="C9" s="69">
        <f t="shared" si="5"/>
        <v>3</v>
      </c>
      <c r="D9" s="69">
        <f t="shared" si="5"/>
        <v>3</v>
      </c>
      <c r="E9" s="69">
        <f t="shared" si="5"/>
        <v>56</v>
      </c>
      <c r="F9" s="69">
        <f t="shared" si="5"/>
        <v>1</v>
      </c>
      <c r="G9" s="69">
        <f t="shared" si="5"/>
        <v>43</v>
      </c>
      <c r="H9" s="69">
        <f t="shared" si="5"/>
        <v>1</v>
      </c>
      <c r="I9" s="71">
        <f t="shared" si="1"/>
        <v>45</v>
      </c>
      <c r="J9" s="114">
        <f>SUM(J3:J8)</f>
        <v>10</v>
      </c>
      <c r="K9" s="114">
        <f>SUM(K3:K8)</f>
        <v>0</v>
      </c>
      <c r="L9" s="114">
        <f>SUM(L3:L8)</f>
        <v>0</v>
      </c>
      <c r="M9" s="114">
        <f>SUM(M3:M8)</f>
        <v>1</v>
      </c>
      <c r="N9" s="71">
        <f t="shared" si="2"/>
        <v>11</v>
      </c>
      <c r="O9" s="114">
        <f t="shared" ref="O9:AC9" si="6">SUM(O3:O8)</f>
        <v>0</v>
      </c>
      <c r="P9" s="114">
        <f t="shared" si="6"/>
        <v>0</v>
      </c>
      <c r="Q9" s="114">
        <f t="shared" si="6"/>
        <v>14</v>
      </c>
      <c r="R9" s="71">
        <f t="shared" si="6"/>
        <v>14</v>
      </c>
      <c r="S9" s="114">
        <f t="shared" si="6"/>
        <v>0</v>
      </c>
      <c r="T9" s="114">
        <f t="shared" si="6"/>
        <v>0</v>
      </c>
      <c r="U9" s="114">
        <f t="shared" si="6"/>
        <v>1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73">
        <f t="shared" si="6"/>
        <v>46</v>
      </c>
      <c r="Z9" s="73">
        <f t="shared" si="6"/>
        <v>3</v>
      </c>
      <c r="AA9" s="73">
        <f t="shared" si="6"/>
        <v>0</v>
      </c>
      <c r="AB9" s="73">
        <f t="shared" si="6"/>
        <v>7</v>
      </c>
      <c r="AC9" s="73">
        <f t="shared" si="6"/>
        <v>56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8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140625" customWidth="1"/>
    <col min="2" max="2" width="21.140625" customWidth="1"/>
    <col min="3" max="3" width="6.28515625" customWidth="1"/>
    <col min="4" max="4" width="16.5703125" customWidth="1"/>
    <col min="6" max="6" width="9.42578125" customWidth="1"/>
    <col min="7" max="8" width="6.7109375" customWidth="1"/>
    <col min="9" max="9" width="7.5703125" customWidth="1"/>
    <col min="10" max="10" width="7.42578125" customWidth="1"/>
    <col min="11" max="11" width="7.85546875" customWidth="1"/>
    <col min="12" max="12" width="6.7109375" customWidth="1"/>
    <col min="13" max="13" width="7.140625" customWidth="1"/>
    <col min="14" max="14" width="6.42578125" customWidth="1"/>
    <col min="15" max="15" width="6" customWidth="1"/>
    <col min="16" max="16" width="6.5703125" customWidth="1"/>
    <col min="17" max="17" width="8.85546875" customWidth="1"/>
    <col min="18" max="18" width="7.85546875" customWidth="1"/>
    <col min="19" max="19" width="7.5703125" customWidth="1"/>
    <col min="20" max="20" width="6.85546875" customWidth="1"/>
    <col min="21" max="21" width="7.5703125" customWidth="1"/>
    <col min="22" max="22" width="7.42578125" customWidth="1"/>
    <col min="23" max="23" width="10" customWidth="1"/>
    <col min="24" max="24" width="12.28515625" customWidth="1"/>
    <col min="25" max="25" width="9.140625" customWidth="1"/>
    <col min="26" max="26" width="8" customWidth="1"/>
    <col min="27" max="27" width="10.140625" customWidth="1"/>
    <col min="28" max="28" width="9" customWidth="1"/>
    <col min="29" max="29" width="6.7109375" customWidth="1"/>
    <col min="30" max="30" width="8.42578125" customWidth="1"/>
    <col min="31" max="31" width="7.140625" customWidth="1"/>
    <col min="32" max="32" width="9.42578125" customWidth="1"/>
    <col min="33" max="33" width="8.85546875" customWidth="1"/>
    <col min="34" max="34" width="7.5703125" customWidth="1"/>
    <col min="35" max="35" width="7" customWidth="1"/>
    <col min="36" max="36" width="8.28515625" customWidth="1"/>
    <col min="37" max="37" width="6.85546875" customWidth="1"/>
    <col min="38" max="38" width="7.85546875" customWidth="1"/>
    <col min="39" max="39" width="11.85546875" customWidth="1"/>
    <col min="40" max="40" width="8.7109375" customWidth="1"/>
    <col min="41" max="41" width="7.85546875" customWidth="1"/>
    <col min="42" max="42" width="8.7109375" customWidth="1"/>
    <col min="43" max="43" width="11" customWidth="1"/>
    <col min="44" max="44" width="11.85546875" customWidth="1"/>
    <col min="45" max="45" width="9.28515625" customWidth="1"/>
    <col min="46" max="46" width="8.42578125" customWidth="1"/>
    <col min="47" max="47" width="8.85546875" customWidth="1"/>
    <col min="48" max="48" width="8.28515625" customWidth="1"/>
    <col min="49" max="49" width="9" customWidth="1"/>
    <col min="50" max="50" width="9.28515625" customWidth="1"/>
    <col min="51" max="51" width="10.140625" customWidth="1"/>
    <col min="52" max="52" width="7.42578125" customWidth="1"/>
    <col min="53" max="53" width="6.85546875" customWidth="1"/>
    <col min="54" max="54" width="8.5703125" customWidth="1"/>
    <col min="55" max="55" width="7" customWidth="1"/>
    <col min="56" max="56" width="10.5703125" customWidth="1"/>
    <col min="57" max="57" width="8.28515625" customWidth="1"/>
    <col min="58" max="58" width="7.5703125" customWidth="1"/>
    <col min="59" max="59" width="7.28515625" customWidth="1"/>
    <col min="60" max="60" width="7" customWidth="1"/>
    <col min="61" max="61" width="8" customWidth="1"/>
    <col min="62" max="62" width="9.28515625" customWidth="1"/>
    <col min="63" max="63" width="11" customWidth="1"/>
    <col min="64" max="64" width="10.5703125" customWidth="1"/>
    <col min="65" max="65" width="9.28515625" customWidth="1"/>
    <col min="66" max="66" width="7.42578125" customWidth="1"/>
    <col min="67" max="67" width="10.42578125" customWidth="1"/>
    <col min="68" max="68" width="7.7109375" customWidth="1"/>
    <col min="69" max="69" width="9.7109375" customWidth="1"/>
    <col min="70" max="70" width="8.140625" customWidth="1"/>
    <col min="71" max="71" width="12.140625" customWidth="1"/>
    <col min="72" max="72" width="1.42578125" customWidth="1"/>
    <col min="73" max="73" width="7" customWidth="1"/>
    <col min="74" max="74" width="9" customWidth="1"/>
    <col min="75" max="75" width="11" customWidth="1"/>
    <col min="76" max="76" width="9" customWidth="1"/>
    <col min="77" max="77" width="11.85546875" customWidth="1"/>
    <col min="78" max="79" width="7.7109375" customWidth="1"/>
    <col min="80" max="80" width="9.28515625" customWidth="1"/>
    <col min="81" max="81" width="11" customWidth="1"/>
    <col min="82" max="82" width="13.5703125" customWidth="1"/>
    <col min="83" max="83" width="10.7109375" customWidth="1"/>
    <col min="84" max="84" width="7.140625" customWidth="1"/>
    <col min="85" max="86" width="9.42578125" customWidth="1"/>
    <col min="87" max="87" width="10.5703125" customWidth="1"/>
    <col min="88" max="88" width="12.7109375" customWidth="1"/>
    <col min="89" max="89" width="8.7109375" customWidth="1"/>
    <col min="90" max="90" width="10" customWidth="1"/>
    <col min="91" max="91" width="8.7109375" customWidth="1"/>
    <col min="92" max="93" width="8" customWidth="1"/>
    <col min="94" max="94" width="9.140625" customWidth="1"/>
    <col min="95" max="95" width="11" customWidth="1"/>
    <col min="96" max="96" width="11.5703125" customWidth="1"/>
    <col min="97" max="97" width="8.85546875" customWidth="1"/>
    <col min="98" max="98" width="11.140625" customWidth="1"/>
    <col min="99" max="99" width="13.5703125" customWidth="1"/>
  </cols>
  <sheetData>
    <row r="1" spans="1:99">
      <c r="A1" s="479" t="s">
        <v>2006</v>
      </c>
      <c r="B1" s="480"/>
      <c r="C1" s="479" t="s">
        <v>2007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135" t="s">
        <v>81</v>
      </c>
      <c r="BI3" s="111" t="s">
        <v>83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360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2008</v>
      </c>
      <c r="B4" s="46" t="s">
        <v>2009</v>
      </c>
      <c r="C4" s="46">
        <v>49</v>
      </c>
      <c r="D4" s="46" t="s">
        <v>2010</v>
      </c>
      <c r="E4" s="46" t="s">
        <v>2011</v>
      </c>
      <c r="F4" s="46" t="s">
        <v>112</v>
      </c>
      <c r="I4" s="46">
        <v>1</v>
      </c>
      <c r="M4" s="46">
        <v>1</v>
      </c>
      <c r="Q4" s="46">
        <v>1</v>
      </c>
      <c r="U4" s="46">
        <v>1</v>
      </c>
      <c r="W4" s="46">
        <v>15</v>
      </c>
      <c r="X4" s="46">
        <v>18</v>
      </c>
      <c r="Y4" s="46">
        <v>20</v>
      </c>
      <c r="Z4" s="46">
        <v>6</v>
      </c>
      <c r="AA4" s="46">
        <v>5</v>
      </c>
      <c r="AB4" s="46">
        <v>5</v>
      </c>
      <c r="AE4" s="46">
        <v>1</v>
      </c>
      <c r="AG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H4" s="46">
        <v>1</v>
      </c>
      <c r="BZ4" s="46">
        <v>1</v>
      </c>
      <c r="CC4" s="46">
        <v>1</v>
      </c>
      <c r="CL4" s="46">
        <v>1</v>
      </c>
      <c r="CU4" s="50">
        <v>46447</v>
      </c>
    </row>
    <row r="5" spans="1:99">
      <c r="A5" s="46" t="s">
        <v>2012</v>
      </c>
      <c r="B5" s="46" t="s">
        <v>2013</v>
      </c>
      <c r="C5" s="46">
        <v>48</v>
      </c>
      <c r="D5" s="46" t="s">
        <v>2014</v>
      </c>
      <c r="E5" s="46" t="s">
        <v>2015</v>
      </c>
      <c r="F5" s="46" t="s">
        <v>2016</v>
      </c>
      <c r="H5" s="46">
        <v>1</v>
      </c>
      <c r="M5" s="46">
        <v>1</v>
      </c>
      <c r="R5" s="46">
        <v>1</v>
      </c>
      <c r="T5" s="46">
        <v>1</v>
      </c>
      <c r="W5" s="46">
        <v>14</v>
      </c>
      <c r="X5" s="46">
        <v>14</v>
      </c>
      <c r="Y5" s="46">
        <v>15</v>
      </c>
      <c r="Z5" s="46">
        <v>11</v>
      </c>
      <c r="AA5" s="46">
        <v>10</v>
      </c>
      <c r="AB5" s="46">
        <v>9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B5" s="46">
        <v>1</v>
      </c>
      <c r="BF5" s="113"/>
      <c r="BG5" s="113"/>
      <c r="BH5" s="46">
        <v>1</v>
      </c>
      <c r="BZ5" s="46">
        <v>1</v>
      </c>
      <c r="CC5" s="46">
        <v>1</v>
      </c>
      <c r="CL5" s="46">
        <v>1</v>
      </c>
      <c r="CU5" s="50">
        <v>46448</v>
      </c>
    </row>
    <row r="6" spans="1:99">
      <c r="A6" s="46" t="s">
        <v>2017</v>
      </c>
      <c r="B6" s="46" t="s">
        <v>2018</v>
      </c>
      <c r="C6" s="46">
        <v>25</v>
      </c>
      <c r="D6" s="46" t="s">
        <v>2019</v>
      </c>
      <c r="E6" s="46" t="s">
        <v>2020</v>
      </c>
      <c r="F6" s="46" t="s">
        <v>112</v>
      </c>
      <c r="H6" s="46">
        <v>1</v>
      </c>
      <c r="M6" s="46">
        <v>1</v>
      </c>
      <c r="Q6" s="46">
        <v>1</v>
      </c>
      <c r="T6" s="46">
        <v>1</v>
      </c>
      <c r="W6" s="46">
        <v>12</v>
      </c>
      <c r="X6" s="46">
        <v>14</v>
      </c>
      <c r="Y6" s="46">
        <v>14</v>
      </c>
      <c r="Z6" s="46">
        <v>4</v>
      </c>
      <c r="AA6" s="46">
        <v>2</v>
      </c>
      <c r="AB6" s="46">
        <v>2</v>
      </c>
      <c r="AE6" s="46">
        <v>1</v>
      </c>
      <c r="AF6" s="46">
        <v>1</v>
      </c>
      <c r="AG6" s="46">
        <v>1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P6" s="46">
        <v>1</v>
      </c>
      <c r="BV6" s="46">
        <v>1</v>
      </c>
      <c r="BW6" s="46">
        <v>1</v>
      </c>
      <c r="BZ6" s="46">
        <v>1</v>
      </c>
      <c r="CC6" s="46">
        <v>1</v>
      </c>
      <c r="CL6" s="46">
        <v>1</v>
      </c>
      <c r="CU6" s="129">
        <v>45719</v>
      </c>
    </row>
    <row r="7" spans="1:99">
      <c r="A7" s="46" t="s">
        <v>2021</v>
      </c>
      <c r="B7" s="46" t="s">
        <v>2022</v>
      </c>
      <c r="C7" s="46">
        <v>16</v>
      </c>
      <c r="D7" s="46" t="s">
        <v>2010</v>
      </c>
      <c r="E7" s="46" t="s">
        <v>191</v>
      </c>
      <c r="F7" s="46" t="s">
        <v>2023</v>
      </c>
      <c r="H7" s="46">
        <v>1</v>
      </c>
      <c r="L7" s="46">
        <v>1</v>
      </c>
      <c r="Q7" s="46" t="s">
        <v>191</v>
      </c>
      <c r="T7" s="46">
        <v>1</v>
      </c>
      <c r="W7" s="46">
        <v>15</v>
      </c>
      <c r="X7" s="46">
        <v>16</v>
      </c>
      <c r="Y7" s="46" t="s">
        <v>191</v>
      </c>
      <c r="Z7" s="46">
        <v>0</v>
      </c>
      <c r="AA7" s="46">
        <v>0</v>
      </c>
      <c r="AB7" s="46">
        <v>0</v>
      </c>
      <c r="AE7" s="46">
        <v>1</v>
      </c>
      <c r="AH7" s="46">
        <v>1</v>
      </c>
      <c r="AI7" s="46">
        <v>1</v>
      </c>
      <c r="AM7" s="46">
        <v>1</v>
      </c>
      <c r="AT7" s="46">
        <v>1</v>
      </c>
      <c r="AW7" s="46">
        <v>1</v>
      </c>
      <c r="BA7" s="46">
        <v>1</v>
      </c>
      <c r="BM7" s="46">
        <v>1</v>
      </c>
      <c r="BZ7" s="46">
        <v>1</v>
      </c>
      <c r="CC7" s="46">
        <v>1</v>
      </c>
      <c r="CL7" s="46">
        <v>1</v>
      </c>
      <c r="CU7" s="50">
        <v>46450</v>
      </c>
    </row>
    <row r="8" spans="1:99">
      <c r="A8" s="46" t="s">
        <v>2024</v>
      </c>
      <c r="B8" s="46" t="s">
        <v>2025</v>
      </c>
      <c r="C8" s="46">
        <v>32</v>
      </c>
      <c r="D8" s="46" t="s">
        <v>2010</v>
      </c>
      <c r="E8" s="46" t="s">
        <v>2026</v>
      </c>
      <c r="F8" s="46" t="s">
        <v>112</v>
      </c>
      <c r="G8" s="113"/>
      <c r="H8" s="113"/>
      <c r="I8" s="113"/>
      <c r="J8" s="113"/>
      <c r="K8" s="113"/>
      <c r="M8" s="46">
        <v>1</v>
      </c>
      <c r="Q8" s="46">
        <v>1</v>
      </c>
      <c r="U8" s="46">
        <v>1</v>
      </c>
      <c r="W8" s="46">
        <v>13</v>
      </c>
      <c r="X8" s="46">
        <v>15</v>
      </c>
      <c r="Y8" s="46">
        <v>21</v>
      </c>
      <c r="Z8" s="46">
        <v>3</v>
      </c>
      <c r="AA8" s="46">
        <v>3</v>
      </c>
      <c r="AB8" s="46">
        <v>3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H8" s="46">
        <v>1</v>
      </c>
      <c r="BZ8" s="115"/>
      <c r="CA8" s="115"/>
      <c r="CB8" s="115"/>
      <c r="CC8" s="117"/>
      <c r="CD8" s="115"/>
      <c r="CL8" s="46">
        <v>1</v>
      </c>
      <c r="CU8" s="50">
        <v>46451</v>
      </c>
    </row>
    <row r="9" spans="1:99">
      <c r="A9" s="46" t="s">
        <v>2027</v>
      </c>
      <c r="B9" s="46" t="s">
        <v>2028</v>
      </c>
      <c r="C9" s="46">
        <v>43</v>
      </c>
      <c r="D9" s="46" t="s">
        <v>2029</v>
      </c>
      <c r="E9" s="46" t="s">
        <v>2030</v>
      </c>
      <c r="F9" s="46" t="s">
        <v>2023</v>
      </c>
      <c r="H9" s="46">
        <v>1</v>
      </c>
      <c r="M9" s="46">
        <v>1</v>
      </c>
      <c r="Q9" s="46">
        <v>1</v>
      </c>
      <c r="S9" s="46">
        <v>1</v>
      </c>
      <c r="W9" s="46">
        <v>13</v>
      </c>
      <c r="X9" s="46">
        <v>18</v>
      </c>
      <c r="Y9" s="46">
        <v>20</v>
      </c>
      <c r="Z9" s="46">
        <v>4</v>
      </c>
      <c r="AA9" s="46">
        <v>4</v>
      </c>
      <c r="AB9" s="46">
        <v>4</v>
      </c>
      <c r="AH9" s="46">
        <v>1</v>
      </c>
      <c r="AI9" s="46">
        <v>1</v>
      </c>
      <c r="AL9" s="46">
        <v>1</v>
      </c>
      <c r="AP9" s="46">
        <v>1</v>
      </c>
      <c r="AS9" s="46">
        <v>1</v>
      </c>
      <c r="AT9" s="46">
        <v>1</v>
      </c>
      <c r="AX9" s="46">
        <v>1</v>
      </c>
      <c r="BA9" s="46">
        <v>1</v>
      </c>
      <c r="BH9" s="46">
        <v>1</v>
      </c>
      <c r="BZ9" s="117"/>
      <c r="CA9" s="115"/>
      <c r="CB9" s="115"/>
      <c r="CC9" s="117"/>
      <c r="CD9" s="115"/>
      <c r="CL9" s="46">
        <v>1</v>
      </c>
      <c r="CU9" s="50">
        <v>46452</v>
      </c>
    </row>
    <row r="10" spans="1:99">
      <c r="A10" s="46" t="s">
        <v>2031</v>
      </c>
      <c r="B10" s="46" t="s">
        <v>2032</v>
      </c>
      <c r="C10" s="46">
        <v>60</v>
      </c>
      <c r="D10" s="46" t="s">
        <v>2033</v>
      </c>
      <c r="E10" s="46" t="s">
        <v>2034</v>
      </c>
      <c r="F10" s="46" t="s">
        <v>2035</v>
      </c>
      <c r="G10" s="113"/>
      <c r="H10" s="113"/>
      <c r="I10" s="113"/>
      <c r="J10" s="113"/>
      <c r="K10" s="113"/>
      <c r="P10" s="46">
        <v>1</v>
      </c>
      <c r="Q10" s="46">
        <v>1</v>
      </c>
      <c r="T10" s="46">
        <v>1</v>
      </c>
      <c r="W10" s="46">
        <v>15</v>
      </c>
      <c r="X10" s="46">
        <v>18</v>
      </c>
      <c r="Y10" s="46">
        <v>21</v>
      </c>
      <c r="Z10" s="46">
        <v>9</v>
      </c>
      <c r="AA10" s="46">
        <v>8</v>
      </c>
      <c r="AB10" s="46">
        <v>8</v>
      </c>
      <c r="AG10" s="46">
        <v>1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Z10" s="117">
        <v>1</v>
      </c>
      <c r="CA10" s="115"/>
      <c r="CB10" s="115"/>
      <c r="CC10" s="117">
        <v>1</v>
      </c>
      <c r="CD10" s="115"/>
      <c r="CL10" s="46">
        <v>1</v>
      </c>
      <c r="CU10" s="50">
        <v>46453</v>
      </c>
    </row>
    <row r="11" spans="1:99">
      <c r="A11" s="46" t="s">
        <v>2036</v>
      </c>
      <c r="B11" s="46" t="s">
        <v>2037</v>
      </c>
      <c r="C11" s="46">
        <v>30</v>
      </c>
      <c r="D11" s="46" t="s">
        <v>2038</v>
      </c>
      <c r="E11" s="46" t="s">
        <v>2039</v>
      </c>
      <c r="F11" s="46" t="s">
        <v>145</v>
      </c>
      <c r="I11" s="46">
        <v>1</v>
      </c>
      <c r="M11" s="46">
        <v>1</v>
      </c>
      <c r="R11" s="46">
        <v>1</v>
      </c>
      <c r="T11" s="46">
        <v>1</v>
      </c>
      <c r="W11" s="46">
        <v>13</v>
      </c>
      <c r="X11" s="46">
        <v>15</v>
      </c>
      <c r="Y11" s="46">
        <v>16</v>
      </c>
      <c r="Z11" s="46">
        <v>3</v>
      </c>
      <c r="AA11" s="46">
        <v>3</v>
      </c>
      <c r="AB11" s="46">
        <v>3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H11" s="46">
        <v>1</v>
      </c>
      <c r="BZ11" s="115"/>
      <c r="CA11" s="115"/>
      <c r="CB11" s="115"/>
      <c r="CC11" s="117"/>
      <c r="CD11" s="115"/>
      <c r="CI11" s="46">
        <v>1</v>
      </c>
      <c r="CU11" s="50">
        <v>46454</v>
      </c>
    </row>
    <row r="12" spans="1:99">
      <c r="A12" s="46" t="s">
        <v>2040</v>
      </c>
      <c r="B12" s="46" t="s">
        <v>2041</v>
      </c>
      <c r="C12" s="46">
        <v>17</v>
      </c>
      <c r="D12" s="46" t="s">
        <v>2010</v>
      </c>
      <c r="E12" s="46" t="s">
        <v>2042</v>
      </c>
      <c r="F12" s="46" t="s">
        <v>112</v>
      </c>
      <c r="G12" s="46">
        <v>1</v>
      </c>
      <c r="M12" s="46">
        <v>1</v>
      </c>
      <c r="Q12" s="46">
        <v>1</v>
      </c>
      <c r="T12" s="46">
        <v>1</v>
      </c>
      <c r="W12" s="46">
        <v>13</v>
      </c>
      <c r="X12" s="46">
        <v>13</v>
      </c>
      <c r="Y12" s="113"/>
      <c r="Z12" s="46">
        <v>1</v>
      </c>
      <c r="AA12" s="113"/>
      <c r="AB12" s="113"/>
      <c r="AG12" s="46">
        <v>1</v>
      </c>
      <c r="AH12" s="46">
        <v>1</v>
      </c>
      <c r="AJ12" s="46">
        <v>1</v>
      </c>
      <c r="AM12" s="46">
        <v>1</v>
      </c>
      <c r="AT12" s="46">
        <v>1</v>
      </c>
      <c r="AX12" s="46">
        <v>1</v>
      </c>
      <c r="BA12" s="113"/>
      <c r="BB12" s="113"/>
      <c r="BH12" s="46">
        <v>1</v>
      </c>
      <c r="BW12" s="46">
        <v>1</v>
      </c>
      <c r="BZ12" s="115"/>
      <c r="CA12" s="115"/>
      <c r="CB12" s="115"/>
      <c r="CC12" s="115"/>
      <c r="CD12" s="115"/>
      <c r="CI12" s="46">
        <v>1</v>
      </c>
      <c r="CU12" s="50">
        <v>46455</v>
      </c>
    </row>
    <row r="13" spans="1:99">
      <c r="A13" s="46" t="s">
        <v>2043</v>
      </c>
      <c r="B13" s="46" t="s">
        <v>2044</v>
      </c>
      <c r="C13" s="46">
        <v>20</v>
      </c>
      <c r="D13" s="46" t="s">
        <v>2010</v>
      </c>
      <c r="E13" s="46" t="s">
        <v>2045</v>
      </c>
      <c r="F13" s="46" t="s">
        <v>112</v>
      </c>
      <c r="I13" s="46">
        <v>1</v>
      </c>
      <c r="M13" s="46">
        <v>1</v>
      </c>
      <c r="Q13" s="46">
        <v>1</v>
      </c>
      <c r="T13" s="46">
        <v>1</v>
      </c>
      <c r="W13" s="46">
        <v>13</v>
      </c>
      <c r="X13" s="46">
        <v>17</v>
      </c>
      <c r="Y13" s="46">
        <v>18</v>
      </c>
      <c r="Z13" s="46">
        <v>2</v>
      </c>
      <c r="AA13" s="46">
        <v>2</v>
      </c>
      <c r="AB13" s="46">
        <v>2</v>
      </c>
      <c r="AD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H13" s="46">
        <v>1</v>
      </c>
      <c r="BZ13" s="115"/>
      <c r="CA13" s="117">
        <v>1</v>
      </c>
      <c r="CB13" s="117" t="s">
        <v>360</v>
      </c>
      <c r="CC13" s="117">
        <v>1</v>
      </c>
      <c r="CD13" s="115"/>
      <c r="CI13" s="46">
        <v>1</v>
      </c>
      <c r="CU13" s="50">
        <v>46456</v>
      </c>
    </row>
    <row r="14" spans="1:99">
      <c r="A14" s="46" t="s">
        <v>2046</v>
      </c>
      <c r="B14" s="46" t="s">
        <v>2047</v>
      </c>
      <c r="C14" s="46">
        <v>25</v>
      </c>
      <c r="D14" s="46" t="s">
        <v>2010</v>
      </c>
      <c r="E14" s="46" t="s">
        <v>2048</v>
      </c>
      <c r="F14" s="46" t="s">
        <v>330</v>
      </c>
      <c r="J14" s="46">
        <v>1</v>
      </c>
      <c r="M14" s="46">
        <v>1</v>
      </c>
      <c r="R14" s="46">
        <v>1</v>
      </c>
      <c r="S14" s="46">
        <v>1</v>
      </c>
      <c r="W14" s="46">
        <v>14</v>
      </c>
      <c r="X14" s="46">
        <v>14</v>
      </c>
      <c r="Y14" s="46">
        <v>16</v>
      </c>
      <c r="Z14" s="46">
        <v>3</v>
      </c>
      <c r="AA14" s="46">
        <v>3</v>
      </c>
      <c r="AB14" s="46">
        <v>3</v>
      </c>
      <c r="AG14" s="46">
        <v>1</v>
      </c>
      <c r="AH14" s="46">
        <v>1</v>
      </c>
      <c r="AI14" s="46">
        <v>1</v>
      </c>
      <c r="AL14" s="46">
        <v>1</v>
      </c>
      <c r="AO14" s="113"/>
      <c r="AP14" s="113"/>
      <c r="AS14" s="46">
        <v>1</v>
      </c>
      <c r="AT14" s="46">
        <v>1</v>
      </c>
      <c r="AY14" s="46">
        <v>1</v>
      </c>
      <c r="BA14" s="46">
        <v>1</v>
      </c>
      <c r="BH14" s="46">
        <v>1</v>
      </c>
      <c r="BZ14" s="117">
        <v>1</v>
      </c>
      <c r="CA14" s="115"/>
      <c r="CB14" s="115"/>
      <c r="CC14" s="117">
        <v>1</v>
      </c>
      <c r="CD14" s="115"/>
      <c r="CI14" s="46">
        <v>1</v>
      </c>
      <c r="CU14" s="50">
        <v>46457</v>
      </c>
    </row>
    <row r="15" spans="1:99">
      <c r="A15" s="46" t="s">
        <v>2049</v>
      </c>
      <c r="B15" s="46" t="s">
        <v>2050</v>
      </c>
      <c r="C15" s="46">
        <v>18</v>
      </c>
      <c r="D15" s="46" t="s">
        <v>2010</v>
      </c>
      <c r="E15" s="46" t="s">
        <v>2051</v>
      </c>
      <c r="F15" s="46" t="s">
        <v>112</v>
      </c>
      <c r="I15" s="46">
        <v>1</v>
      </c>
      <c r="M15" s="46">
        <v>1</v>
      </c>
      <c r="R15" s="46">
        <v>1</v>
      </c>
      <c r="T15" s="46">
        <v>1</v>
      </c>
      <c r="W15" s="46">
        <v>16</v>
      </c>
      <c r="X15" s="46">
        <v>17</v>
      </c>
      <c r="Y15" s="46">
        <v>18</v>
      </c>
      <c r="Z15" s="46">
        <v>2</v>
      </c>
      <c r="AA15" s="46">
        <v>1</v>
      </c>
      <c r="AB15" s="46">
        <v>1</v>
      </c>
      <c r="AH15" s="46">
        <v>1</v>
      </c>
      <c r="AI15" s="46">
        <v>1</v>
      </c>
      <c r="AK15" s="46">
        <v>1</v>
      </c>
      <c r="AT15" s="46">
        <v>1</v>
      </c>
      <c r="AX15" s="46">
        <v>1</v>
      </c>
      <c r="BA15" s="46">
        <v>1</v>
      </c>
      <c r="BH15" s="46">
        <v>1</v>
      </c>
      <c r="BZ15" s="115"/>
      <c r="CA15" s="115"/>
      <c r="CB15" s="115"/>
      <c r="CC15" s="117"/>
      <c r="CD15" s="115"/>
      <c r="CL15" s="46">
        <v>1</v>
      </c>
      <c r="CU15" s="50">
        <v>46458</v>
      </c>
    </row>
    <row r="16" spans="1:99">
      <c r="A16" s="46" t="s">
        <v>2052</v>
      </c>
      <c r="B16" s="46" t="s">
        <v>2053</v>
      </c>
      <c r="C16" s="46">
        <v>28</v>
      </c>
      <c r="D16" s="46" t="s">
        <v>2019</v>
      </c>
      <c r="E16" s="46" t="s">
        <v>2054</v>
      </c>
      <c r="F16" s="46" t="s">
        <v>112</v>
      </c>
      <c r="G16" s="46">
        <v>1</v>
      </c>
      <c r="P16" s="46">
        <v>1</v>
      </c>
      <c r="Q16" s="46">
        <v>1</v>
      </c>
      <c r="T16" s="46">
        <v>1</v>
      </c>
      <c r="W16" s="46">
        <v>13</v>
      </c>
      <c r="X16" s="46">
        <v>17</v>
      </c>
      <c r="Y16" s="46">
        <v>17</v>
      </c>
      <c r="Z16" s="46">
        <v>5</v>
      </c>
      <c r="AA16" s="46">
        <v>4</v>
      </c>
      <c r="AB16" s="46">
        <v>4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H16" s="46">
        <v>1</v>
      </c>
      <c r="BZ16" s="115"/>
      <c r="CA16" s="115"/>
      <c r="CB16" s="115"/>
      <c r="CC16" s="115"/>
      <c r="CD16" s="115"/>
      <c r="CL16" s="46">
        <v>1</v>
      </c>
      <c r="CU16" s="50">
        <v>46459</v>
      </c>
    </row>
    <row r="17" spans="1:99">
      <c r="A17" s="46" t="s">
        <v>2055</v>
      </c>
      <c r="B17" s="46" t="s">
        <v>2056</v>
      </c>
      <c r="C17" s="46">
        <v>50</v>
      </c>
      <c r="D17" s="46" t="s">
        <v>2010</v>
      </c>
      <c r="E17" s="46" t="s">
        <v>2057</v>
      </c>
      <c r="F17" s="46" t="s">
        <v>112</v>
      </c>
      <c r="H17" s="46">
        <v>1</v>
      </c>
      <c r="M17" s="46">
        <v>1</v>
      </c>
      <c r="R17" s="46">
        <v>1</v>
      </c>
      <c r="S17" s="46">
        <v>1</v>
      </c>
      <c r="W17" s="46">
        <v>13</v>
      </c>
      <c r="X17" s="46">
        <v>15</v>
      </c>
      <c r="Y17" s="46">
        <v>16</v>
      </c>
      <c r="Z17" s="113"/>
      <c r="AA17" s="46">
        <v>10</v>
      </c>
      <c r="AB17" s="46">
        <v>8</v>
      </c>
      <c r="AE17" s="46">
        <v>1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CL17" s="46">
        <v>1</v>
      </c>
      <c r="CU17" s="50">
        <v>46460</v>
      </c>
    </row>
    <row r="18" spans="1:99">
      <c r="A18" s="46" t="s">
        <v>2058</v>
      </c>
      <c r="B18" s="46" t="s">
        <v>2059</v>
      </c>
      <c r="C18" s="46">
        <v>47</v>
      </c>
      <c r="D18" s="46" t="s">
        <v>2010</v>
      </c>
      <c r="E18" s="46" t="s">
        <v>2060</v>
      </c>
      <c r="F18" s="46" t="s">
        <v>112</v>
      </c>
      <c r="G18" s="46">
        <v>1</v>
      </c>
      <c r="M18" s="46">
        <v>1</v>
      </c>
      <c r="R18" s="46">
        <v>1</v>
      </c>
      <c r="S18" s="46">
        <v>1</v>
      </c>
      <c r="W18" s="46">
        <v>13</v>
      </c>
      <c r="X18" s="46">
        <v>13</v>
      </c>
      <c r="Y18" s="46">
        <v>14</v>
      </c>
      <c r="Z18" s="46">
        <v>10</v>
      </c>
      <c r="AA18" s="46">
        <v>9</v>
      </c>
      <c r="AB18" s="46">
        <v>8</v>
      </c>
      <c r="AC18" s="46">
        <v>1</v>
      </c>
      <c r="AI18" s="46">
        <v>1</v>
      </c>
      <c r="AM18" s="46">
        <v>1</v>
      </c>
      <c r="AT18" s="46">
        <v>1</v>
      </c>
      <c r="AW18" s="46">
        <v>1</v>
      </c>
      <c r="BB18" s="46">
        <v>1</v>
      </c>
      <c r="BF18" s="113"/>
      <c r="BG18" s="113"/>
      <c r="BM18" s="46">
        <v>1</v>
      </c>
      <c r="CA18" s="46">
        <v>1</v>
      </c>
      <c r="CB18" s="46" t="s">
        <v>2061</v>
      </c>
      <c r="CC18" s="46">
        <v>1</v>
      </c>
      <c r="CJ18" s="46">
        <v>1</v>
      </c>
      <c r="CM18" s="46">
        <v>1</v>
      </c>
      <c r="CQ18" s="46" t="s">
        <v>2062</v>
      </c>
      <c r="CU18" s="129">
        <v>45383</v>
      </c>
    </row>
    <row r="19" spans="1:99">
      <c r="A19" s="46" t="s">
        <v>2063</v>
      </c>
      <c r="B19" s="46" t="s">
        <v>2064</v>
      </c>
      <c r="C19" s="46">
        <v>80</v>
      </c>
      <c r="D19" s="46" t="s">
        <v>2033</v>
      </c>
      <c r="E19" s="46" t="s">
        <v>2065</v>
      </c>
      <c r="F19" s="46" t="s">
        <v>2066</v>
      </c>
      <c r="H19" s="46">
        <v>1</v>
      </c>
      <c r="L19" s="46">
        <v>1</v>
      </c>
      <c r="Q19" s="46" t="s">
        <v>191</v>
      </c>
      <c r="S19" s="46">
        <v>1</v>
      </c>
      <c r="W19" s="46">
        <v>19</v>
      </c>
      <c r="X19" s="46">
        <v>19</v>
      </c>
      <c r="Y19" s="46">
        <v>20</v>
      </c>
      <c r="Z19" s="46">
        <v>10</v>
      </c>
      <c r="AA19" s="46">
        <v>10</v>
      </c>
      <c r="AB19" s="46">
        <v>8</v>
      </c>
      <c r="AE19" s="46">
        <v>1</v>
      </c>
      <c r="AH19" s="46">
        <v>1</v>
      </c>
      <c r="AI19" s="46">
        <v>1</v>
      </c>
      <c r="AK19" s="46">
        <v>1</v>
      </c>
      <c r="AT19" s="46">
        <v>1</v>
      </c>
      <c r="AW19" s="113"/>
      <c r="AX19" s="113"/>
      <c r="AY19" s="113"/>
      <c r="AZ19" s="113"/>
      <c r="BA19" s="46">
        <v>1</v>
      </c>
      <c r="BJ19" s="46">
        <v>1</v>
      </c>
      <c r="BW19" s="46">
        <v>1</v>
      </c>
      <c r="BZ19" s="46">
        <v>1</v>
      </c>
      <c r="CC19" s="46">
        <v>1</v>
      </c>
      <c r="CL19" s="46">
        <v>1</v>
      </c>
      <c r="CU19" s="50">
        <v>46462</v>
      </c>
    </row>
    <row r="20" spans="1:99">
      <c r="A20" s="46" t="s">
        <v>2067</v>
      </c>
      <c r="B20" s="46" t="s">
        <v>2068</v>
      </c>
      <c r="C20" s="46">
        <v>42</v>
      </c>
      <c r="D20" s="46" t="s">
        <v>2019</v>
      </c>
      <c r="E20" s="46" t="s">
        <v>2069</v>
      </c>
      <c r="F20" s="46" t="s">
        <v>2070</v>
      </c>
      <c r="G20" s="46">
        <v>1</v>
      </c>
      <c r="M20" s="46">
        <v>1</v>
      </c>
      <c r="Q20" s="46">
        <v>1</v>
      </c>
      <c r="S20" s="46">
        <v>1</v>
      </c>
      <c r="W20" s="46">
        <v>15</v>
      </c>
      <c r="X20" s="46">
        <v>16</v>
      </c>
      <c r="Y20" s="46">
        <v>19</v>
      </c>
      <c r="Z20" s="46">
        <v>7</v>
      </c>
      <c r="AA20" s="46">
        <v>7</v>
      </c>
      <c r="AB20" s="46">
        <v>6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H20" s="46">
        <v>1</v>
      </c>
      <c r="BW20" s="46">
        <v>1</v>
      </c>
      <c r="BZ20" s="46">
        <v>1</v>
      </c>
      <c r="CC20" s="46">
        <v>1</v>
      </c>
      <c r="CL20" s="46">
        <v>1</v>
      </c>
      <c r="CU20" s="50">
        <v>46463</v>
      </c>
    </row>
    <row r="21" spans="1:99">
      <c r="A21" s="46" t="s">
        <v>2071</v>
      </c>
      <c r="B21" s="46" t="s">
        <v>2072</v>
      </c>
      <c r="C21" s="46">
        <v>24</v>
      </c>
      <c r="D21" s="46" t="s">
        <v>2010</v>
      </c>
      <c r="E21" s="46" t="s">
        <v>2073</v>
      </c>
      <c r="F21" s="46" t="s">
        <v>107</v>
      </c>
      <c r="I21" s="46">
        <v>1</v>
      </c>
      <c r="M21" s="46">
        <v>1</v>
      </c>
      <c r="Q21" s="46">
        <v>1</v>
      </c>
      <c r="U21" s="46">
        <v>1</v>
      </c>
      <c r="W21" s="46">
        <v>14</v>
      </c>
      <c r="X21" s="46">
        <v>16</v>
      </c>
      <c r="Y21" s="46">
        <v>20</v>
      </c>
      <c r="Z21" s="46">
        <v>2</v>
      </c>
      <c r="AA21" s="46">
        <v>2</v>
      </c>
      <c r="AB21" s="46">
        <v>2</v>
      </c>
      <c r="AE21" s="46">
        <v>1</v>
      </c>
      <c r="AF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H21" s="46">
        <v>1</v>
      </c>
      <c r="BW21" s="46">
        <v>1</v>
      </c>
      <c r="BZ21" s="46">
        <v>1</v>
      </c>
      <c r="CC21" s="46">
        <v>1</v>
      </c>
      <c r="CL21" s="46">
        <v>1</v>
      </c>
      <c r="CU21" s="50">
        <v>46464</v>
      </c>
    </row>
    <row r="22" spans="1:99">
      <c r="A22" s="46" t="s">
        <v>2074</v>
      </c>
      <c r="B22" s="46" t="s">
        <v>2075</v>
      </c>
      <c r="C22" s="46">
        <v>40</v>
      </c>
      <c r="D22" s="46" t="s">
        <v>2019</v>
      </c>
      <c r="E22" s="46" t="s">
        <v>2076</v>
      </c>
      <c r="F22" s="46" t="s">
        <v>2070</v>
      </c>
      <c r="G22" s="46">
        <v>1</v>
      </c>
      <c r="O22" s="46">
        <v>1</v>
      </c>
      <c r="Q22" s="46">
        <v>1</v>
      </c>
      <c r="T22" s="46">
        <v>1</v>
      </c>
      <c r="W22" s="46">
        <v>14</v>
      </c>
      <c r="X22" s="46">
        <v>14</v>
      </c>
      <c r="Y22" s="46">
        <v>14</v>
      </c>
      <c r="Z22" s="46">
        <v>7</v>
      </c>
      <c r="AA22" s="46">
        <v>7</v>
      </c>
      <c r="AB22" s="46">
        <v>7</v>
      </c>
      <c r="AE22" s="46">
        <v>1</v>
      </c>
      <c r="AH22" s="46">
        <v>1</v>
      </c>
      <c r="AJ22" s="46">
        <v>1</v>
      </c>
      <c r="AK22" s="46">
        <v>1</v>
      </c>
      <c r="AT22" s="46">
        <v>1</v>
      </c>
      <c r="AW22" s="113"/>
      <c r="AX22" s="113"/>
      <c r="AY22" s="113"/>
      <c r="AZ22" s="113"/>
      <c r="BA22" s="46">
        <v>1</v>
      </c>
      <c r="BH22" s="46">
        <v>1</v>
      </c>
      <c r="BZ22" s="46">
        <v>1</v>
      </c>
      <c r="CL22" s="46">
        <v>1</v>
      </c>
      <c r="CU22" s="50">
        <v>46465</v>
      </c>
    </row>
    <row r="23" spans="1:99">
      <c r="A23" s="46" t="s">
        <v>2077</v>
      </c>
      <c r="B23" s="46" t="s">
        <v>2078</v>
      </c>
      <c r="C23" s="46">
        <v>37</v>
      </c>
      <c r="D23" s="46" t="s">
        <v>2010</v>
      </c>
      <c r="E23" s="46" t="s">
        <v>2079</v>
      </c>
      <c r="F23" s="46" t="s">
        <v>112</v>
      </c>
      <c r="G23" s="113"/>
      <c r="H23" s="113"/>
      <c r="I23" s="113"/>
      <c r="J23" s="113"/>
      <c r="K23" s="113"/>
      <c r="M23" s="46">
        <v>1</v>
      </c>
      <c r="R23" s="46">
        <v>1</v>
      </c>
      <c r="T23" s="46">
        <v>1</v>
      </c>
      <c r="W23" s="46">
        <v>14</v>
      </c>
      <c r="X23" s="46">
        <v>15</v>
      </c>
      <c r="Y23" s="46">
        <v>16</v>
      </c>
      <c r="Z23" s="46">
        <v>5</v>
      </c>
      <c r="AA23" s="46">
        <v>5</v>
      </c>
      <c r="AB23" s="46">
        <v>5</v>
      </c>
      <c r="AE23" s="46">
        <v>1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H23" s="46">
        <v>1</v>
      </c>
      <c r="BZ23" s="46">
        <v>1</v>
      </c>
      <c r="CC23" s="46">
        <v>1</v>
      </c>
      <c r="CI23" s="46">
        <v>1</v>
      </c>
      <c r="CU23" s="50">
        <v>46466</v>
      </c>
    </row>
    <row r="24" spans="1:99">
      <c r="A24" s="46" t="s">
        <v>2080</v>
      </c>
      <c r="B24" s="46" t="s">
        <v>2081</v>
      </c>
      <c r="C24" s="46">
        <v>36</v>
      </c>
      <c r="D24" s="46" t="s">
        <v>2033</v>
      </c>
      <c r="E24" s="46" t="s">
        <v>2082</v>
      </c>
      <c r="F24" s="46" t="s">
        <v>112</v>
      </c>
      <c r="G24" s="46">
        <v>1</v>
      </c>
      <c r="O24" s="46">
        <v>1</v>
      </c>
      <c r="Q24" s="46">
        <v>1</v>
      </c>
      <c r="U24" s="46">
        <v>1</v>
      </c>
      <c r="W24" s="46">
        <v>15</v>
      </c>
      <c r="X24" s="46">
        <v>21</v>
      </c>
      <c r="Y24" s="46">
        <v>21</v>
      </c>
      <c r="Z24" s="46">
        <v>5</v>
      </c>
      <c r="AA24" s="46">
        <v>5</v>
      </c>
      <c r="AB24" s="46">
        <v>5</v>
      </c>
      <c r="AC24" s="46">
        <v>1</v>
      </c>
      <c r="AI24" s="113"/>
      <c r="AJ24" s="113"/>
      <c r="AK24" s="46">
        <v>1</v>
      </c>
      <c r="AT24" s="46">
        <v>1</v>
      </c>
      <c r="AW24" s="46">
        <v>1</v>
      </c>
      <c r="BA24" s="46">
        <v>1</v>
      </c>
      <c r="BH24" s="46">
        <v>1</v>
      </c>
      <c r="BZ24" s="46">
        <v>1</v>
      </c>
      <c r="CC24" s="46">
        <v>1</v>
      </c>
      <c r="CI24" s="46">
        <v>1</v>
      </c>
      <c r="CU24" s="50">
        <v>46467</v>
      </c>
    </row>
    <row r="25" spans="1:99">
      <c r="A25" s="46" t="s">
        <v>2083</v>
      </c>
      <c r="B25" s="46" t="s">
        <v>2084</v>
      </c>
      <c r="C25" s="46">
        <v>35</v>
      </c>
      <c r="D25" s="46" t="s">
        <v>2033</v>
      </c>
      <c r="E25" s="46" t="s">
        <v>2085</v>
      </c>
      <c r="F25" s="46" t="s">
        <v>145</v>
      </c>
      <c r="H25" s="46">
        <v>1</v>
      </c>
      <c r="M25" s="46">
        <v>1</v>
      </c>
      <c r="Q25" s="46">
        <v>1</v>
      </c>
      <c r="T25" s="46">
        <v>1</v>
      </c>
      <c r="W25" s="46">
        <v>19</v>
      </c>
      <c r="X25" s="46">
        <v>20</v>
      </c>
      <c r="Y25" s="46">
        <v>20</v>
      </c>
      <c r="Z25" s="46">
        <v>6</v>
      </c>
      <c r="AA25" s="46">
        <v>6</v>
      </c>
      <c r="AB25" s="46">
        <v>6</v>
      </c>
      <c r="AE25" s="46">
        <v>1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H25" s="46">
        <v>1</v>
      </c>
      <c r="BZ25" s="46">
        <v>1</v>
      </c>
      <c r="CC25" s="46">
        <v>1</v>
      </c>
      <c r="CI25" s="46">
        <v>1</v>
      </c>
      <c r="CU25" s="50">
        <v>46468</v>
      </c>
    </row>
    <row r="26" spans="1:99">
      <c r="A26" s="46" t="s">
        <v>2086</v>
      </c>
      <c r="B26" s="46" t="s">
        <v>2087</v>
      </c>
      <c r="C26" s="46">
        <v>24</v>
      </c>
      <c r="D26" s="46" t="s">
        <v>2088</v>
      </c>
      <c r="E26" s="46" t="s">
        <v>2089</v>
      </c>
      <c r="F26" s="46" t="s">
        <v>112</v>
      </c>
      <c r="G26" s="46">
        <v>1</v>
      </c>
      <c r="M26" s="46">
        <v>1</v>
      </c>
      <c r="Q26" s="46">
        <v>1</v>
      </c>
      <c r="U26" s="46">
        <v>1</v>
      </c>
      <c r="W26" s="46">
        <v>18</v>
      </c>
      <c r="X26" s="46">
        <v>19</v>
      </c>
      <c r="Y26" s="46">
        <v>21</v>
      </c>
      <c r="Z26" s="46">
        <v>1</v>
      </c>
      <c r="AA26" s="46">
        <v>1</v>
      </c>
      <c r="AB26" s="46">
        <v>1</v>
      </c>
      <c r="AH26" s="46">
        <v>1</v>
      </c>
      <c r="AI26" s="46">
        <v>1</v>
      </c>
      <c r="AK26" s="46">
        <v>1</v>
      </c>
      <c r="AT26" s="46">
        <v>1</v>
      </c>
      <c r="AX26" s="46">
        <v>1</v>
      </c>
      <c r="BB26" s="46">
        <v>1</v>
      </c>
      <c r="BF26" s="46">
        <v>1</v>
      </c>
      <c r="BH26" s="46">
        <v>1</v>
      </c>
      <c r="BW26" s="46">
        <v>1</v>
      </c>
      <c r="BZ26" s="46">
        <v>1</v>
      </c>
      <c r="CC26" s="46">
        <v>1</v>
      </c>
      <c r="CI26" s="46">
        <v>1</v>
      </c>
      <c r="CU26" s="50">
        <v>46469</v>
      </c>
    </row>
    <row r="27" spans="1:99">
      <c r="A27" s="46" t="s">
        <v>2090</v>
      </c>
      <c r="B27" s="46" t="s">
        <v>2091</v>
      </c>
      <c r="C27" s="46">
        <v>45</v>
      </c>
      <c r="D27" s="46" t="s">
        <v>2019</v>
      </c>
      <c r="E27" s="46" t="s">
        <v>191</v>
      </c>
      <c r="F27" s="46" t="s">
        <v>662</v>
      </c>
      <c r="G27" s="46">
        <v>1</v>
      </c>
      <c r="M27" s="46">
        <v>1</v>
      </c>
      <c r="R27" s="46">
        <v>1</v>
      </c>
      <c r="T27" s="46">
        <v>1</v>
      </c>
      <c r="W27" s="46">
        <v>18</v>
      </c>
      <c r="X27" s="46">
        <v>20</v>
      </c>
      <c r="Y27" s="46">
        <v>22</v>
      </c>
      <c r="Z27" s="46">
        <v>5</v>
      </c>
      <c r="AA27" s="46">
        <v>5</v>
      </c>
      <c r="AB27" s="46">
        <v>5</v>
      </c>
      <c r="AD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H27" s="46">
        <v>1</v>
      </c>
      <c r="BW27" s="46">
        <v>1</v>
      </c>
      <c r="BZ27" s="46">
        <v>1</v>
      </c>
      <c r="CI27" s="46">
        <v>1</v>
      </c>
      <c r="CU27" s="50">
        <v>46470</v>
      </c>
    </row>
    <row r="28" spans="1:99">
      <c r="A28" s="46" t="s">
        <v>2092</v>
      </c>
      <c r="B28" s="46" t="s">
        <v>2093</v>
      </c>
      <c r="C28" s="46">
        <v>28</v>
      </c>
      <c r="D28" s="46" t="s">
        <v>2010</v>
      </c>
      <c r="E28" s="46" t="s">
        <v>2094</v>
      </c>
      <c r="F28" s="46" t="s">
        <v>112</v>
      </c>
      <c r="H28" s="46">
        <v>1</v>
      </c>
      <c r="M28" s="46">
        <v>1</v>
      </c>
      <c r="Q28" s="46">
        <v>1</v>
      </c>
      <c r="T28" s="46">
        <v>1</v>
      </c>
      <c r="W28" s="46">
        <v>16</v>
      </c>
      <c r="X28" s="46">
        <v>17</v>
      </c>
      <c r="Y28" s="46">
        <v>18</v>
      </c>
      <c r="Z28" s="46">
        <v>1</v>
      </c>
      <c r="AA28" s="46">
        <v>1</v>
      </c>
      <c r="AB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P28" s="46">
        <v>1</v>
      </c>
      <c r="BV28" s="46">
        <v>1</v>
      </c>
      <c r="BW28" s="46">
        <v>1</v>
      </c>
      <c r="CI28" s="46">
        <v>1</v>
      </c>
      <c r="CU28" s="129">
        <v>45717</v>
      </c>
    </row>
    <row r="29" spans="1:99">
      <c r="A29" s="46" t="s">
        <v>2095</v>
      </c>
      <c r="B29" s="46" t="s">
        <v>2096</v>
      </c>
      <c r="C29" s="46">
        <v>31</v>
      </c>
      <c r="D29" s="46" t="s">
        <v>2010</v>
      </c>
      <c r="E29" s="46" t="s">
        <v>2097</v>
      </c>
      <c r="F29" s="46" t="s">
        <v>2023</v>
      </c>
      <c r="H29" s="46">
        <v>1</v>
      </c>
      <c r="L29" s="46">
        <v>1</v>
      </c>
      <c r="Q29" s="46" t="s">
        <v>191</v>
      </c>
      <c r="S29" s="46">
        <v>1</v>
      </c>
      <c r="W29" s="46">
        <v>15</v>
      </c>
      <c r="X29" s="46">
        <v>14</v>
      </c>
      <c r="Y29" s="46">
        <v>17</v>
      </c>
      <c r="Z29" s="46">
        <v>7</v>
      </c>
      <c r="AA29" s="46">
        <v>5</v>
      </c>
      <c r="AB29" s="46">
        <v>5</v>
      </c>
      <c r="AC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P29" s="46">
        <v>1</v>
      </c>
      <c r="BV29" s="46">
        <v>1</v>
      </c>
      <c r="BW29" s="46">
        <v>1</v>
      </c>
      <c r="BZ29" s="46">
        <v>1</v>
      </c>
      <c r="CC29" s="46">
        <v>1</v>
      </c>
      <c r="CI29" s="46">
        <v>1</v>
      </c>
      <c r="CU29" s="129">
        <v>45718</v>
      </c>
    </row>
    <row r="30" spans="1:99">
      <c r="A30" s="46" t="s">
        <v>2098</v>
      </c>
      <c r="B30" s="46" t="s">
        <v>2099</v>
      </c>
      <c r="C30" s="46">
        <v>26</v>
      </c>
      <c r="D30" s="46" t="s">
        <v>2010</v>
      </c>
      <c r="E30" s="46" t="s">
        <v>2100</v>
      </c>
      <c r="F30" s="46" t="s">
        <v>112</v>
      </c>
      <c r="G30" s="46">
        <v>1</v>
      </c>
      <c r="M30" s="46">
        <v>1</v>
      </c>
      <c r="Q30" s="46">
        <v>1</v>
      </c>
      <c r="T30" s="46">
        <v>1</v>
      </c>
      <c r="W30" s="46">
        <v>16</v>
      </c>
      <c r="X30" s="46">
        <v>18</v>
      </c>
      <c r="Y30" s="46">
        <v>18</v>
      </c>
      <c r="Z30" s="46">
        <v>4</v>
      </c>
      <c r="AA30" s="46">
        <v>4</v>
      </c>
      <c r="AB30" s="46">
        <v>4</v>
      </c>
      <c r="AH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P30" s="46">
        <v>1</v>
      </c>
      <c r="BV30" s="46">
        <v>1</v>
      </c>
      <c r="BW30" s="46">
        <v>1</v>
      </c>
      <c r="CI30" s="46">
        <v>1</v>
      </c>
      <c r="CU30" s="129">
        <v>45719</v>
      </c>
    </row>
    <row r="31" spans="1:99">
      <c r="A31" s="46" t="s">
        <v>2101</v>
      </c>
      <c r="B31" s="46" t="s">
        <v>2102</v>
      </c>
      <c r="C31" s="46">
        <v>16</v>
      </c>
      <c r="D31" s="46" t="s">
        <v>2103</v>
      </c>
      <c r="E31" s="46" t="s">
        <v>2104</v>
      </c>
      <c r="F31" s="46" t="s">
        <v>107</v>
      </c>
      <c r="G31" s="113"/>
      <c r="H31" s="113"/>
      <c r="I31" s="113"/>
      <c r="J31" s="113"/>
      <c r="K31" s="113"/>
      <c r="M31" s="46">
        <v>1</v>
      </c>
      <c r="Q31" s="46">
        <v>1</v>
      </c>
      <c r="T31" s="46">
        <v>1</v>
      </c>
      <c r="W31" s="46">
        <v>14</v>
      </c>
      <c r="X31" s="46">
        <v>16</v>
      </c>
      <c r="Y31" s="46">
        <v>16</v>
      </c>
      <c r="Z31" s="46">
        <v>1</v>
      </c>
      <c r="AA31" s="46">
        <v>1</v>
      </c>
      <c r="AB31" s="46">
        <v>1</v>
      </c>
      <c r="AD31" s="46">
        <v>1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P31" s="46">
        <v>1</v>
      </c>
      <c r="BV31" s="46">
        <v>1</v>
      </c>
      <c r="BW31" s="46">
        <v>1</v>
      </c>
      <c r="CI31" s="46">
        <v>1</v>
      </c>
      <c r="CU31" s="50">
        <v>46474</v>
      </c>
    </row>
    <row r="32" spans="1:99">
      <c r="A32" s="46" t="s">
        <v>2105</v>
      </c>
      <c r="B32" s="46" t="s">
        <v>2106</v>
      </c>
      <c r="C32" s="46">
        <v>33</v>
      </c>
      <c r="D32" s="46" t="s">
        <v>2107</v>
      </c>
      <c r="E32" s="46" t="s">
        <v>2108</v>
      </c>
      <c r="F32" s="46" t="s">
        <v>112</v>
      </c>
      <c r="H32" s="46">
        <v>1</v>
      </c>
      <c r="L32" s="46">
        <v>1</v>
      </c>
      <c r="Q32" s="46" t="s">
        <v>191</v>
      </c>
      <c r="V32" s="46">
        <v>1</v>
      </c>
      <c r="W32" s="46">
        <v>14</v>
      </c>
      <c r="X32" s="46">
        <v>18</v>
      </c>
      <c r="Y32" s="46">
        <v>19</v>
      </c>
      <c r="Z32" s="46">
        <v>3</v>
      </c>
      <c r="AA32" s="46">
        <v>2</v>
      </c>
      <c r="AB32" s="46">
        <v>2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H32" s="46">
        <v>1</v>
      </c>
      <c r="CI32" s="46">
        <v>1</v>
      </c>
      <c r="CU32" s="50">
        <v>46475</v>
      </c>
    </row>
    <row r="33" spans="1:99">
      <c r="A33" s="46" t="s">
        <v>2109</v>
      </c>
      <c r="B33" s="46" t="s">
        <v>2110</v>
      </c>
      <c r="C33" s="46">
        <v>18</v>
      </c>
      <c r="D33" s="46" t="s">
        <v>2019</v>
      </c>
      <c r="E33" s="46" t="s">
        <v>2111</v>
      </c>
      <c r="F33" s="46" t="s">
        <v>112</v>
      </c>
      <c r="G33" s="113"/>
      <c r="H33" s="113"/>
      <c r="I33" s="113"/>
      <c r="J33" s="113"/>
      <c r="K33" s="113"/>
      <c r="M33" s="46">
        <v>1</v>
      </c>
      <c r="Q33" s="46">
        <v>1</v>
      </c>
      <c r="T33" s="46">
        <v>1</v>
      </c>
      <c r="W33" s="46">
        <v>14</v>
      </c>
      <c r="X33" s="46">
        <v>17</v>
      </c>
      <c r="Y33" s="46">
        <v>17</v>
      </c>
      <c r="Z33" s="46">
        <v>1</v>
      </c>
      <c r="AA33" s="46">
        <v>1</v>
      </c>
      <c r="AB33" s="46">
        <v>1</v>
      </c>
      <c r="AH33" s="46">
        <v>1</v>
      </c>
      <c r="AI33" s="46">
        <v>1</v>
      </c>
      <c r="AK33" s="46">
        <v>1</v>
      </c>
      <c r="AT33" s="46">
        <v>1</v>
      </c>
      <c r="AW33" s="113"/>
      <c r="AX33" s="113"/>
      <c r="AY33" s="113"/>
      <c r="AZ33" s="113"/>
      <c r="BA33" s="46">
        <v>1</v>
      </c>
      <c r="BH33" s="46">
        <v>1</v>
      </c>
      <c r="BW33" s="46">
        <v>1</v>
      </c>
      <c r="BZ33" s="46">
        <v>1</v>
      </c>
      <c r="CI33" s="46">
        <v>1</v>
      </c>
      <c r="CU33" s="50">
        <v>46476</v>
      </c>
    </row>
    <row r="34" spans="1:99">
      <c r="A34" s="46" t="s">
        <v>2112</v>
      </c>
      <c r="B34" s="46" t="s">
        <v>2113</v>
      </c>
      <c r="C34" s="46">
        <v>32</v>
      </c>
      <c r="D34" s="46" t="s">
        <v>2033</v>
      </c>
      <c r="E34" s="46" t="s">
        <v>191</v>
      </c>
      <c r="F34" s="46" t="s">
        <v>112</v>
      </c>
      <c r="J34" s="46">
        <v>1</v>
      </c>
      <c r="M34" s="46">
        <v>1</v>
      </c>
      <c r="R34" s="46">
        <v>1</v>
      </c>
      <c r="U34" s="46">
        <v>1</v>
      </c>
      <c r="W34" s="46">
        <v>17</v>
      </c>
      <c r="X34" s="46">
        <v>20</v>
      </c>
      <c r="Y34" s="46">
        <v>21</v>
      </c>
      <c r="Z34" s="46">
        <v>5</v>
      </c>
      <c r="AA34" s="46">
        <v>5</v>
      </c>
      <c r="AB34" s="46">
        <v>5</v>
      </c>
      <c r="AE34" s="46">
        <v>1</v>
      </c>
      <c r="AH34" s="46">
        <v>1</v>
      </c>
      <c r="AI34" s="46">
        <v>1</v>
      </c>
      <c r="AK34" s="46">
        <v>1</v>
      </c>
      <c r="AT34" s="46">
        <v>1</v>
      </c>
      <c r="AW34" s="113"/>
      <c r="AX34" s="113"/>
      <c r="AY34" s="113"/>
      <c r="AZ34" s="113"/>
      <c r="BA34" s="46">
        <v>1</v>
      </c>
      <c r="BH34" s="46">
        <v>1</v>
      </c>
      <c r="BZ34" s="46">
        <v>1</v>
      </c>
      <c r="CI34" s="46">
        <v>1</v>
      </c>
      <c r="CU34" s="50">
        <v>46477</v>
      </c>
    </row>
    <row r="35" spans="1:99">
      <c r="A35" s="46" t="s">
        <v>2114</v>
      </c>
      <c r="B35" s="46" t="s">
        <v>2115</v>
      </c>
      <c r="C35" s="46">
        <v>25</v>
      </c>
      <c r="D35" s="46" t="s">
        <v>2107</v>
      </c>
      <c r="E35" s="46" t="s">
        <v>2116</v>
      </c>
      <c r="F35" s="46" t="s">
        <v>112</v>
      </c>
      <c r="H35" s="46">
        <v>1</v>
      </c>
      <c r="M35" s="46">
        <v>1</v>
      </c>
      <c r="Q35" s="46">
        <v>1</v>
      </c>
      <c r="U35" s="46">
        <v>1</v>
      </c>
      <c r="W35" s="46">
        <v>14</v>
      </c>
      <c r="X35" s="46">
        <v>18</v>
      </c>
      <c r="Y35" s="46">
        <v>21</v>
      </c>
      <c r="Z35" s="46">
        <v>3</v>
      </c>
      <c r="AA35" s="46">
        <v>2</v>
      </c>
      <c r="AB35" s="46">
        <v>2</v>
      </c>
      <c r="AH35" s="46">
        <v>1</v>
      </c>
      <c r="AI35" s="46">
        <v>1</v>
      </c>
      <c r="AK35" s="46">
        <v>1</v>
      </c>
      <c r="AT35" s="46">
        <v>1</v>
      </c>
      <c r="AW35" s="113"/>
      <c r="AX35" s="113"/>
      <c r="AY35" s="113"/>
      <c r="AZ35" s="113"/>
      <c r="BA35" s="46">
        <v>1</v>
      </c>
      <c r="BH35" s="46">
        <v>1</v>
      </c>
      <c r="BZ35" s="46">
        <v>1</v>
      </c>
      <c r="CI35" s="46">
        <v>1</v>
      </c>
      <c r="CU35" s="50">
        <v>46447</v>
      </c>
    </row>
    <row r="36" spans="1:99">
      <c r="A36" s="46" t="s">
        <v>2117</v>
      </c>
      <c r="B36" s="46" t="s">
        <v>2118</v>
      </c>
      <c r="C36" s="46">
        <v>35</v>
      </c>
      <c r="D36" s="46" t="s">
        <v>2010</v>
      </c>
      <c r="E36" s="46" t="s">
        <v>2119</v>
      </c>
      <c r="F36" s="46" t="s">
        <v>112</v>
      </c>
      <c r="H36" s="46">
        <v>1</v>
      </c>
      <c r="M36" s="46">
        <v>1</v>
      </c>
      <c r="R36" s="46">
        <v>1</v>
      </c>
      <c r="U36" s="46">
        <v>1</v>
      </c>
      <c r="W36" s="46">
        <v>12</v>
      </c>
      <c r="X36" s="46">
        <v>17</v>
      </c>
      <c r="Y36" s="46">
        <v>18</v>
      </c>
      <c r="Z36" s="46">
        <v>6</v>
      </c>
      <c r="AA36" s="46">
        <v>5</v>
      </c>
      <c r="AB36" s="46">
        <v>5</v>
      </c>
      <c r="AC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H36" s="46">
        <v>1</v>
      </c>
      <c r="BZ36" s="46">
        <v>1</v>
      </c>
      <c r="CC36" s="46">
        <v>1</v>
      </c>
      <c r="CI36" s="46">
        <v>1</v>
      </c>
      <c r="CU36" s="50">
        <v>46448</v>
      </c>
    </row>
    <row r="37" spans="1:99">
      <c r="A37" s="46" t="s">
        <v>2120</v>
      </c>
      <c r="B37" s="46" t="s">
        <v>2121</v>
      </c>
      <c r="C37" s="46">
        <v>39</v>
      </c>
      <c r="D37" s="46" t="s">
        <v>2019</v>
      </c>
      <c r="E37" s="46" t="s">
        <v>2122</v>
      </c>
      <c r="F37" s="46" t="s">
        <v>2023</v>
      </c>
      <c r="J37" s="46">
        <v>1</v>
      </c>
      <c r="M37" s="46">
        <v>1</v>
      </c>
      <c r="Q37" s="46">
        <v>1</v>
      </c>
      <c r="T37" s="46">
        <v>1</v>
      </c>
      <c r="W37" s="46">
        <v>13</v>
      </c>
      <c r="X37" s="46">
        <v>14</v>
      </c>
      <c r="Y37" s="46">
        <v>15</v>
      </c>
      <c r="Z37" s="46">
        <v>7</v>
      </c>
      <c r="AA37" s="46">
        <v>4</v>
      </c>
      <c r="AB37" s="46">
        <v>4</v>
      </c>
      <c r="AE37" s="46">
        <v>1</v>
      </c>
      <c r="AG37" s="46">
        <v>1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B37" s="46">
        <v>1</v>
      </c>
      <c r="BF37" s="113"/>
      <c r="BG37" s="113"/>
      <c r="BH37" s="46">
        <v>1</v>
      </c>
      <c r="CA37" s="46">
        <v>1</v>
      </c>
      <c r="CB37" s="46">
        <v>2022</v>
      </c>
      <c r="CC37" s="46">
        <v>1</v>
      </c>
      <c r="CI37" s="46">
        <v>1</v>
      </c>
      <c r="CU37" s="50">
        <v>46449</v>
      </c>
    </row>
    <row r="38" spans="1:99">
      <c r="A38" s="46" t="s">
        <v>2123</v>
      </c>
      <c r="B38" s="46" t="s">
        <v>2124</v>
      </c>
      <c r="C38" s="46">
        <v>80</v>
      </c>
      <c r="D38" s="46" t="s">
        <v>2010</v>
      </c>
      <c r="E38" s="46" t="s">
        <v>191</v>
      </c>
      <c r="F38" s="46" t="s">
        <v>127</v>
      </c>
      <c r="I38" s="46">
        <v>1</v>
      </c>
      <c r="P38" s="46">
        <v>1</v>
      </c>
      <c r="R38" s="46">
        <v>1</v>
      </c>
      <c r="S38" s="113"/>
      <c r="T38" s="113"/>
      <c r="U38" s="113"/>
      <c r="V38" s="113"/>
      <c r="W38" s="46">
        <v>17</v>
      </c>
      <c r="X38" s="46">
        <v>20</v>
      </c>
      <c r="Y38" s="46">
        <v>22</v>
      </c>
      <c r="Z38" s="46">
        <v>14</v>
      </c>
      <c r="AA38" s="46">
        <v>14</v>
      </c>
      <c r="AB38" s="46">
        <v>10</v>
      </c>
      <c r="AE38" s="46">
        <v>1</v>
      </c>
      <c r="AG38" s="46">
        <v>1</v>
      </c>
      <c r="AH38" s="46">
        <v>1</v>
      </c>
      <c r="AI38" s="46">
        <v>1</v>
      </c>
      <c r="AK38" s="46">
        <v>1</v>
      </c>
      <c r="AT38" s="46">
        <v>1</v>
      </c>
      <c r="AW38" s="46">
        <v>1</v>
      </c>
      <c r="BA38" s="46">
        <v>1</v>
      </c>
      <c r="BJ38" s="46">
        <v>1</v>
      </c>
      <c r="BW38" s="46">
        <v>1</v>
      </c>
      <c r="CI38" s="46">
        <v>1</v>
      </c>
      <c r="CU38" s="50">
        <v>46450</v>
      </c>
    </row>
    <row r="39" spans="1:99">
      <c r="A39" s="46" t="s">
        <v>2125</v>
      </c>
      <c r="B39" s="46" t="s">
        <v>2126</v>
      </c>
      <c r="C39" s="46">
        <v>30</v>
      </c>
      <c r="D39" s="46" t="s">
        <v>2010</v>
      </c>
      <c r="E39" s="46" t="s">
        <v>2127</v>
      </c>
      <c r="F39" s="46" t="s">
        <v>122</v>
      </c>
      <c r="G39" s="46">
        <v>1</v>
      </c>
      <c r="M39" s="46">
        <v>1</v>
      </c>
      <c r="Q39" s="46">
        <v>1</v>
      </c>
      <c r="T39" s="46">
        <v>1</v>
      </c>
      <c r="W39" s="46">
        <v>13</v>
      </c>
      <c r="X39" s="46">
        <v>14</v>
      </c>
      <c r="Y39" s="46">
        <v>14</v>
      </c>
      <c r="Z39" s="46">
        <v>5</v>
      </c>
      <c r="AA39" s="46">
        <v>5</v>
      </c>
      <c r="AB39" s="46">
        <v>5</v>
      </c>
      <c r="AC39" s="46">
        <v>1</v>
      </c>
      <c r="AI39" s="46">
        <v>1</v>
      </c>
      <c r="AK39" s="46">
        <v>1</v>
      </c>
      <c r="AT39" s="46">
        <v>1</v>
      </c>
      <c r="AZ39" s="46">
        <v>1</v>
      </c>
      <c r="BA39" s="46">
        <v>1</v>
      </c>
      <c r="BH39" s="46">
        <v>1</v>
      </c>
      <c r="CI39" s="46">
        <v>1</v>
      </c>
      <c r="CU39" s="50">
        <v>46451</v>
      </c>
    </row>
    <row r="40" spans="1:99">
      <c r="A40" s="46" t="s">
        <v>2128</v>
      </c>
      <c r="B40" s="46" t="s">
        <v>2129</v>
      </c>
      <c r="C40" s="46">
        <v>23</v>
      </c>
      <c r="D40" s="46" t="s">
        <v>2010</v>
      </c>
      <c r="E40" s="46" t="s">
        <v>2130</v>
      </c>
      <c r="F40" s="46" t="s">
        <v>112</v>
      </c>
      <c r="H40" s="46">
        <v>1</v>
      </c>
      <c r="M40" s="46">
        <v>1</v>
      </c>
      <c r="Q40" s="46">
        <v>1</v>
      </c>
      <c r="U40" s="46">
        <v>1</v>
      </c>
      <c r="W40" s="46">
        <v>13</v>
      </c>
      <c r="X40" s="46">
        <v>15</v>
      </c>
      <c r="Y40" s="46">
        <v>16</v>
      </c>
      <c r="Z40" s="46">
        <v>2</v>
      </c>
      <c r="AA40" s="46">
        <v>2</v>
      </c>
      <c r="AB40" s="46">
        <v>2</v>
      </c>
      <c r="AC40" s="46">
        <v>1</v>
      </c>
      <c r="AJ40" s="46">
        <v>1</v>
      </c>
      <c r="AK40" s="46">
        <v>1</v>
      </c>
      <c r="AT40" s="46">
        <v>1</v>
      </c>
      <c r="AW40" s="46">
        <v>1</v>
      </c>
      <c r="BA40" s="46">
        <v>1</v>
      </c>
      <c r="BH40" s="46">
        <v>1</v>
      </c>
      <c r="BZ40" s="46">
        <v>1</v>
      </c>
      <c r="CC40" s="46">
        <v>1</v>
      </c>
      <c r="CI40" s="46">
        <v>1</v>
      </c>
      <c r="CU40" s="50">
        <v>46452</v>
      </c>
    </row>
    <row r="41" spans="1:99">
      <c r="A41" s="46" t="s">
        <v>2131</v>
      </c>
      <c r="B41" s="46" t="s">
        <v>2132</v>
      </c>
      <c r="C41" s="46">
        <v>28</v>
      </c>
      <c r="D41" s="46" t="s">
        <v>2133</v>
      </c>
      <c r="E41" s="46" t="s">
        <v>2134</v>
      </c>
      <c r="F41" s="46" t="s">
        <v>122</v>
      </c>
      <c r="H41" s="46">
        <v>1</v>
      </c>
      <c r="M41" s="46">
        <v>1</v>
      </c>
      <c r="R41" s="46">
        <v>1</v>
      </c>
      <c r="T41" s="46">
        <v>1</v>
      </c>
      <c r="W41" s="46">
        <v>17</v>
      </c>
      <c r="X41" s="46">
        <v>20</v>
      </c>
      <c r="Y41" s="46">
        <v>21</v>
      </c>
      <c r="Z41" s="46">
        <v>2</v>
      </c>
      <c r="AA41" s="46">
        <v>2</v>
      </c>
      <c r="AB41" s="46">
        <v>2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H41" s="46">
        <v>1</v>
      </c>
      <c r="BW41" s="46">
        <v>1</v>
      </c>
      <c r="BZ41" s="46">
        <v>1</v>
      </c>
      <c r="CI41" s="46">
        <v>1</v>
      </c>
      <c r="CU41" s="50">
        <v>46453</v>
      </c>
    </row>
    <row r="42" spans="1:99">
      <c r="A42" s="46" t="s">
        <v>2135</v>
      </c>
      <c r="B42" s="46" t="s">
        <v>2136</v>
      </c>
      <c r="C42" s="46">
        <v>26</v>
      </c>
      <c r="D42" s="46" t="s">
        <v>2010</v>
      </c>
      <c r="E42" s="46" t="s">
        <v>2137</v>
      </c>
      <c r="F42" s="46" t="s">
        <v>330</v>
      </c>
      <c r="H42" s="46">
        <v>1</v>
      </c>
      <c r="O42" s="46">
        <v>1</v>
      </c>
      <c r="Q42" s="46">
        <v>1</v>
      </c>
      <c r="U42" s="46">
        <v>1</v>
      </c>
      <c r="W42" s="46">
        <v>17</v>
      </c>
      <c r="X42" s="46">
        <v>22</v>
      </c>
      <c r="Y42" s="46">
        <v>23</v>
      </c>
      <c r="Z42" s="46">
        <v>1</v>
      </c>
      <c r="AA42" s="46">
        <v>1</v>
      </c>
      <c r="AB42" s="46">
        <v>1</v>
      </c>
      <c r="AC42" s="46">
        <v>1</v>
      </c>
      <c r="AI42" s="113"/>
      <c r="AJ42" s="113"/>
      <c r="AK42" s="46">
        <v>1</v>
      </c>
      <c r="AT42" s="46">
        <v>1</v>
      </c>
      <c r="AW42" s="46">
        <v>1</v>
      </c>
      <c r="BA42" s="46">
        <v>1</v>
      </c>
      <c r="BH42" s="46">
        <v>1</v>
      </c>
      <c r="BZ42" s="46">
        <v>1</v>
      </c>
      <c r="CI42" s="46">
        <v>1</v>
      </c>
      <c r="CU42" s="50">
        <v>46454</v>
      </c>
    </row>
    <row r="43" spans="1:99">
      <c r="A43" s="46" t="s">
        <v>2138</v>
      </c>
      <c r="B43" s="46" t="s">
        <v>2139</v>
      </c>
      <c r="C43" s="46">
        <v>37</v>
      </c>
      <c r="D43" s="46" t="s">
        <v>2010</v>
      </c>
      <c r="E43" s="46" t="s">
        <v>2140</v>
      </c>
      <c r="F43" s="46" t="s">
        <v>112</v>
      </c>
      <c r="G43" s="113"/>
      <c r="H43" s="113"/>
      <c r="I43" s="113"/>
      <c r="J43" s="113"/>
      <c r="K43" s="113"/>
      <c r="M43" s="46">
        <v>1</v>
      </c>
      <c r="Q43" s="46">
        <v>1</v>
      </c>
      <c r="U43" s="46">
        <v>1</v>
      </c>
      <c r="W43" s="46">
        <v>13</v>
      </c>
      <c r="X43" s="46">
        <v>15</v>
      </c>
      <c r="Y43" s="46">
        <v>20</v>
      </c>
      <c r="Z43" s="46">
        <v>7</v>
      </c>
      <c r="AA43" s="46">
        <v>6</v>
      </c>
      <c r="AB43" s="46">
        <v>6</v>
      </c>
      <c r="AE43" s="46">
        <v>1</v>
      </c>
      <c r="AG43" s="46">
        <v>1</v>
      </c>
      <c r="AH43" s="46">
        <v>1</v>
      </c>
      <c r="AI43" s="46">
        <v>1</v>
      </c>
      <c r="AK43" s="46">
        <v>1</v>
      </c>
      <c r="AT43" s="46">
        <v>1</v>
      </c>
      <c r="AX43" s="46">
        <v>1</v>
      </c>
      <c r="BA43" s="46">
        <v>1</v>
      </c>
      <c r="BH43" s="46">
        <v>1</v>
      </c>
      <c r="BW43" s="46">
        <v>1</v>
      </c>
      <c r="CA43" s="46">
        <v>1</v>
      </c>
      <c r="CB43" s="46">
        <v>2021</v>
      </c>
      <c r="CI43" s="46">
        <v>1</v>
      </c>
      <c r="CU43" s="50">
        <v>46455</v>
      </c>
    </row>
    <row r="44" spans="1:99">
      <c r="A44" s="46" t="s">
        <v>2141</v>
      </c>
      <c r="B44" s="46" t="s">
        <v>2142</v>
      </c>
      <c r="C44" s="46">
        <v>19</v>
      </c>
      <c r="D44" s="46" t="s">
        <v>2010</v>
      </c>
      <c r="E44" s="46" t="s">
        <v>2143</v>
      </c>
      <c r="F44" s="46" t="s">
        <v>112</v>
      </c>
      <c r="H44" s="46">
        <v>1</v>
      </c>
      <c r="M44" s="46">
        <v>1</v>
      </c>
      <c r="Q44" s="46">
        <v>1</v>
      </c>
      <c r="U44" s="46">
        <v>1</v>
      </c>
      <c r="W44" s="46">
        <v>14</v>
      </c>
      <c r="X44" s="46">
        <v>17</v>
      </c>
      <c r="Y44" s="46">
        <v>18</v>
      </c>
      <c r="Z44" s="46">
        <v>1</v>
      </c>
      <c r="AA44" s="46">
        <v>1</v>
      </c>
      <c r="AB44" s="46">
        <v>1</v>
      </c>
      <c r="AE44" s="46">
        <v>1</v>
      </c>
      <c r="AH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H44" s="46">
        <v>1</v>
      </c>
      <c r="CI44" s="46">
        <v>1</v>
      </c>
      <c r="CU44" s="50">
        <v>46456</v>
      </c>
    </row>
    <row r="45" spans="1:99">
      <c r="A45" s="46" t="s">
        <v>2144</v>
      </c>
      <c r="B45" s="46" t="s">
        <v>2145</v>
      </c>
      <c r="C45" s="46">
        <v>24</v>
      </c>
      <c r="D45" s="46" t="s">
        <v>2010</v>
      </c>
      <c r="E45" s="46" t="s">
        <v>2146</v>
      </c>
      <c r="F45" s="46" t="s">
        <v>112</v>
      </c>
      <c r="G45" s="113"/>
      <c r="H45" s="113"/>
      <c r="I45" s="113"/>
      <c r="J45" s="113"/>
      <c r="K45" s="113"/>
      <c r="M45" s="46">
        <v>1</v>
      </c>
      <c r="R45" s="46">
        <v>1</v>
      </c>
      <c r="T45" s="46">
        <v>1</v>
      </c>
      <c r="W45" s="46">
        <v>15</v>
      </c>
      <c r="X45" s="46">
        <v>17</v>
      </c>
      <c r="Y45" s="46">
        <v>18</v>
      </c>
      <c r="Z45" s="46">
        <v>1</v>
      </c>
      <c r="AA45" s="46">
        <v>1</v>
      </c>
      <c r="AB45" s="46">
        <v>1</v>
      </c>
      <c r="AH45" s="46">
        <v>1</v>
      </c>
      <c r="AJ45" s="46">
        <v>1</v>
      </c>
      <c r="AK45" s="46">
        <v>1</v>
      </c>
      <c r="AT45" s="46">
        <v>1</v>
      </c>
      <c r="AX45" s="46">
        <v>1</v>
      </c>
      <c r="BA45" s="46">
        <v>1</v>
      </c>
      <c r="BH45" s="46">
        <v>1</v>
      </c>
      <c r="CI45" s="46">
        <v>1</v>
      </c>
      <c r="CU45" s="50">
        <v>46457</v>
      </c>
    </row>
    <row r="46" spans="1:99">
      <c r="A46" s="46" t="s">
        <v>2147</v>
      </c>
      <c r="B46" s="46" t="s">
        <v>2148</v>
      </c>
      <c r="C46" s="46">
        <v>28</v>
      </c>
      <c r="D46" s="46" t="s">
        <v>2010</v>
      </c>
      <c r="E46" s="46" t="s">
        <v>2149</v>
      </c>
      <c r="F46" s="46" t="s">
        <v>112</v>
      </c>
      <c r="G46" s="113"/>
      <c r="H46" s="113"/>
      <c r="I46" s="113"/>
      <c r="J46" s="113"/>
      <c r="K46" s="113"/>
      <c r="L46" s="46">
        <v>1</v>
      </c>
      <c r="Q46" s="46" t="s">
        <v>191</v>
      </c>
      <c r="T46" s="46">
        <v>1</v>
      </c>
      <c r="W46" s="46">
        <v>13</v>
      </c>
      <c r="X46" s="46">
        <v>13</v>
      </c>
      <c r="Y46" s="46">
        <v>13</v>
      </c>
      <c r="Z46" s="46">
        <v>1</v>
      </c>
      <c r="AA46" s="46">
        <v>1</v>
      </c>
      <c r="AB46" s="46">
        <v>1</v>
      </c>
      <c r="AE46" s="46">
        <v>1</v>
      </c>
      <c r="AH46" s="46">
        <v>1</v>
      </c>
      <c r="AI46" s="46">
        <v>1</v>
      </c>
      <c r="AK46" s="46">
        <v>1</v>
      </c>
      <c r="AT46" s="46">
        <v>1</v>
      </c>
      <c r="AY46" s="46">
        <v>1</v>
      </c>
      <c r="BA46" s="46">
        <v>1</v>
      </c>
      <c r="BH46" s="46">
        <v>1</v>
      </c>
      <c r="CA46" s="46">
        <v>1</v>
      </c>
      <c r="CB46" s="46">
        <v>2022</v>
      </c>
      <c r="CC46" s="46">
        <v>1</v>
      </c>
      <c r="CI46" s="46">
        <v>1</v>
      </c>
      <c r="CU46" s="50">
        <v>46458</v>
      </c>
    </row>
    <row r="47" spans="1:99">
      <c r="A47" s="46" t="s">
        <v>2150</v>
      </c>
      <c r="B47" s="46" t="s">
        <v>2151</v>
      </c>
      <c r="C47" s="46">
        <v>28</v>
      </c>
      <c r="D47" s="46" t="s">
        <v>2010</v>
      </c>
      <c r="E47" s="46" t="s">
        <v>2152</v>
      </c>
      <c r="F47" s="46" t="s">
        <v>145</v>
      </c>
      <c r="J47" s="46">
        <v>1</v>
      </c>
      <c r="O47" s="46">
        <v>1</v>
      </c>
      <c r="Q47" s="46">
        <v>1</v>
      </c>
      <c r="U47" s="46">
        <v>1</v>
      </c>
      <c r="W47" s="46">
        <v>18</v>
      </c>
      <c r="X47" s="46">
        <v>18</v>
      </c>
      <c r="Y47" s="46">
        <v>18</v>
      </c>
      <c r="Z47" s="46">
        <v>4</v>
      </c>
      <c r="AA47" s="46">
        <v>4</v>
      </c>
      <c r="AB47" s="46">
        <v>4</v>
      </c>
      <c r="AC47" s="46">
        <v>1</v>
      </c>
      <c r="AJ47" s="46">
        <v>1</v>
      </c>
      <c r="AK47" s="46">
        <v>1</v>
      </c>
      <c r="AT47" s="46">
        <v>1</v>
      </c>
      <c r="AW47" s="46">
        <v>1</v>
      </c>
      <c r="BA47" s="46">
        <v>1</v>
      </c>
      <c r="BH47" s="46">
        <v>1</v>
      </c>
      <c r="CI47" s="46">
        <v>1</v>
      </c>
      <c r="CU47" s="50">
        <v>46459</v>
      </c>
    </row>
    <row r="48" spans="1:99">
      <c r="A48" s="46" t="s">
        <v>2153</v>
      </c>
      <c r="B48" s="46" t="s">
        <v>2154</v>
      </c>
      <c r="C48" s="46">
        <v>24</v>
      </c>
      <c r="D48" s="46" t="s">
        <v>2107</v>
      </c>
      <c r="E48" s="46" t="s">
        <v>2155</v>
      </c>
      <c r="F48" s="46" t="s">
        <v>107</v>
      </c>
      <c r="I48" s="46">
        <v>1</v>
      </c>
      <c r="M48" s="46">
        <v>1</v>
      </c>
      <c r="Q48" s="46">
        <v>1</v>
      </c>
      <c r="T48" s="46">
        <v>1</v>
      </c>
      <c r="W48" s="46">
        <v>18</v>
      </c>
      <c r="X48" s="46">
        <v>20</v>
      </c>
      <c r="Y48" s="46">
        <v>22</v>
      </c>
      <c r="Z48" s="46">
        <v>3</v>
      </c>
      <c r="AA48" s="46">
        <v>2</v>
      </c>
      <c r="AB48" s="46">
        <v>2</v>
      </c>
      <c r="AE48" s="46">
        <v>1</v>
      </c>
      <c r="AG48" s="46">
        <v>1</v>
      </c>
      <c r="AI48" s="113"/>
      <c r="AJ48" s="113"/>
      <c r="AK48" s="46">
        <v>1</v>
      </c>
      <c r="AT48" s="46">
        <v>1</v>
      </c>
      <c r="AW48" s="46">
        <v>1</v>
      </c>
      <c r="BA48" s="46">
        <v>1</v>
      </c>
      <c r="BM48" s="46">
        <v>1</v>
      </c>
      <c r="BZ48" s="46">
        <v>1</v>
      </c>
      <c r="CC48" s="46">
        <v>1</v>
      </c>
      <c r="CI48" s="46">
        <v>1</v>
      </c>
      <c r="CU48" s="50">
        <v>46460</v>
      </c>
    </row>
    <row r="49" spans="1:99">
      <c r="A49" s="46" t="s">
        <v>2156</v>
      </c>
      <c r="B49" s="46" t="s">
        <v>2157</v>
      </c>
      <c r="C49" s="46">
        <v>23</v>
      </c>
      <c r="D49" s="46" t="s">
        <v>2010</v>
      </c>
      <c r="E49" s="46" t="s">
        <v>2158</v>
      </c>
      <c r="F49" s="46" t="s">
        <v>112</v>
      </c>
      <c r="I49" s="46">
        <v>1</v>
      </c>
      <c r="M49" s="46">
        <v>1</v>
      </c>
      <c r="Q49" s="46">
        <v>1</v>
      </c>
      <c r="V49" s="46">
        <v>1</v>
      </c>
      <c r="W49" s="46">
        <v>16</v>
      </c>
      <c r="X49" s="46">
        <v>19</v>
      </c>
      <c r="Y49" s="46">
        <v>21</v>
      </c>
      <c r="Z49" s="113"/>
      <c r="AA49" s="46">
        <v>1</v>
      </c>
      <c r="AB49" s="46">
        <v>0</v>
      </c>
      <c r="AC49" s="46">
        <v>1</v>
      </c>
      <c r="AI49" s="46">
        <v>1</v>
      </c>
      <c r="AK49" s="46">
        <v>1</v>
      </c>
      <c r="AT49" s="46">
        <v>1</v>
      </c>
      <c r="AW49" s="113"/>
      <c r="AX49" s="113"/>
      <c r="AY49" s="113"/>
      <c r="AZ49" s="113"/>
      <c r="BB49" s="46">
        <v>1</v>
      </c>
      <c r="BF49" s="46">
        <v>1</v>
      </c>
      <c r="BM49" s="46">
        <v>1</v>
      </c>
      <c r="CA49" s="46">
        <v>1</v>
      </c>
      <c r="CB49" s="46">
        <v>2023</v>
      </c>
      <c r="CC49" s="46">
        <v>1</v>
      </c>
      <c r="CI49" s="46">
        <v>1</v>
      </c>
      <c r="CU49" s="50">
        <v>46461</v>
      </c>
    </row>
    <row r="50" spans="1:99">
      <c r="A50" s="46" t="s">
        <v>2159</v>
      </c>
      <c r="B50" s="46" t="s">
        <v>2160</v>
      </c>
      <c r="C50" s="46">
        <v>29</v>
      </c>
      <c r="D50" s="46" t="s">
        <v>2103</v>
      </c>
      <c r="E50" s="46" t="s">
        <v>2161</v>
      </c>
      <c r="F50" s="46" t="s">
        <v>112</v>
      </c>
      <c r="I50" s="46">
        <v>1</v>
      </c>
      <c r="M50" s="46">
        <v>1</v>
      </c>
      <c r="Q50" s="46">
        <v>1</v>
      </c>
      <c r="U50" s="46">
        <v>1</v>
      </c>
      <c r="W50" s="46">
        <v>15</v>
      </c>
      <c r="X50" s="46">
        <v>18</v>
      </c>
      <c r="Y50" s="46">
        <v>21</v>
      </c>
      <c r="Z50" s="46">
        <v>2</v>
      </c>
      <c r="AA50" s="46">
        <v>2</v>
      </c>
      <c r="AB50" s="46">
        <v>2</v>
      </c>
      <c r="AH50" s="46">
        <v>1</v>
      </c>
      <c r="AI50" s="46">
        <v>1</v>
      </c>
      <c r="AK50" s="46">
        <v>1</v>
      </c>
      <c r="AT50" s="46">
        <v>1</v>
      </c>
      <c r="AW50" s="46">
        <v>1</v>
      </c>
      <c r="BA50" s="46">
        <v>1</v>
      </c>
      <c r="BH50" s="46">
        <v>1</v>
      </c>
      <c r="CI50" s="46">
        <v>1</v>
      </c>
      <c r="CU50" s="50">
        <v>46462</v>
      </c>
    </row>
    <row r="51" spans="1:99">
      <c r="A51" s="46" t="s">
        <v>2162</v>
      </c>
      <c r="B51" s="46" t="s">
        <v>2163</v>
      </c>
      <c r="C51" s="46">
        <v>29</v>
      </c>
      <c r="D51" s="46" t="s">
        <v>2033</v>
      </c>
      <c r="E51" s="46" t="s">
        <v>2164</v>
      </c>
      <c r="F51" s="46" t="s">
        <v>145</v>
      </c>
      <c r="G51" s="46">
        <v>1</v>
      </c>
      <c r="M51" s="46">
        <v>1</v>
      </c>
      <c r="Q51" s="46">
        <v>1</v>
      </c>
      <c r="U51" s="46">
        <v>1</v>
      </c>
      <c r="W51" s="46">
        <v>20</v>
      </c>
      <c r="X51" s="46">
        <v>20</v>
      </c>
      <c r="Y51" s="46">
        <v>21</v>
      </c>
      <c r="Z51" s="46">
        <v>4</v>
      </c>
      <c r="AA51" s="46">
        <v>4</v>
      </c>
      <c r="AB51" s="46">
        <v>4</v>
      </c>
      <c r="AC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H51" s="46">
        <v>1</v>
      </c>
      <c r="BZ51" s="46">
        <v>1</v>
      </c>
      <c r="CC51" s="46">
        <v>1</v>
      </c>
      <c r="CL51" s="46">
        <v>1</v>
      </c>
      <c r="CU51" s="50">
        <v>46463</v>
      </c>
    </row>
    <row r="52" spans="1:99">
      <c r="A52" s="46" t="s">
        <v>2165</v>
      </c>
      <c r="B52" s="46" t="s">
        <v>2166</v>
      </c>
      <c r="C52" s="46">
        <v>48</v>
      </c>
      <c r="D52" s="46" t="s">
        <v>2103</v>
      </c>
      <c r="E52" s="46" t="s">
        <v>2167</v>
      </c>
      <c r="F52" s="46" t="s">
        <v>107</v>
      </c>
      <c r="I52" s="46">
        <v>1</v>
      </c>
      <c r="M52" s="46">
        <v>1</v>
      </c>
      <c r="R52" s="46">
        <v>1</v>
      </c>
      <c r="T52" s="46">
        <v>1</v>
      </c>
      <c r="W52" s="46">
        <v>17</v>
      </c>
      <c r="X52" s="46">
        <v>19</v>
      </c>
      <c r="Y52" s="46">
        <v>20</v>
      </c>
      <c r="Z52" s="46">
        <v>6</v>
      </c>
      <c r="AA52" s="46">
        <v>4</v>
      </c>
      <c r="AB52" s="46">
        <v>4</v>
      </c>
      <c r="AC52" s="46">
        <v>1</v>
      </c>
      <c r="AJ52" s="46">
        <v>1</v>
      </c>
      <c r="AK52" s="46">
        <v>1</v>
      </c>
      <c r="AT52" s="46">
        <v>1</v>
      </c>
      <c r="AW52" s="46">
        <v>1</v>
      </c>
      <c r="BA52" s="46">
        <v>1</v>
      </c>
      <c r="BH52" s="46">
        <v>1</v>
      </c>
      <c r="BZ52" s="46">
        <v>1</v>
      </c>
      <c r="CC52" s="46">
        <v>1</v>
      </c>
      <c r="CI52" s="46">
        <v>1</v>
      </c>
      <c r="CU52" s="50">
        <v>46464</v>
      </c>
    </row>
    <row r="53" spans="1:99">
      <c r="A53" s="46" t="s">
        <v>2168</v>
      </c>
      <c r="B53" s="46" t="s">
        <v>2169</v>
      </c>
      <c r="C53" s="46">
        <v>28</v>
      </c>
      <c r="D53" s="46" t="s">
        <v>2029</v>
      </c>
      <c r="E53" s="46" t="s">
        <v>2170</v>
      </c>
      <c r="F53" s="46" t="s">
        <v>112</v>
      </c>
      <c r="H53" s="46">
        <v>1</v>
      </c>
      <c r="M53" s="46">
        <v>1</v>
      </c>
      <c r="Q53" s="46">
        <v>1</v>
      </c>
      <c r="T53" s="46">
        <v>1</v>
      </c>
      <c r="W53" s="46">
        <v>13</v>
      </c>
      <c r="X53" s="46">
        <v>18</v>
      </c>
      <c r="Y53" s="46">
        <v>23</v>
      </c>
      <c r="Z53" s="46">
        <v>3</v>
      </c>
      <c r="AA53" s="46">
        <v>3</v>
      </c>
      <c r="AB53" s="46">
        <v>3</v>
      </c>
      <c r="AE53" s="46">
        <v>1</v>
      </c>
      <c r="AI53" s="46">
        <v>1</v>
      </c>
      <c r="AK53" s="46">
        <v>1</v>
      </c>
      <c r="AT53" s="46">
        <v>1</v>
      </c>
      <c r="AW53" s="46">
        <v>1</v>
      </c>
      <c r="BA53" s="46">
        <v>1</v>
      </c>
      <c r="BH53" s="46">
        <v>1</v>
      </c>
      <c r="BW53" s="46">
        <v>1</v>
      </c>
      <c r="BZ53" s="46">
        <v>1</v>
      </c>
      <c r="CC53" s="46">
        <v>1</v>
      </c>
      <c r="CI53" s="46">
        <v>1</v>
      </c>
      <c r="CU53" s="50">
        <v>46465</v>
      </c>
    </row>
    <row r="54" spans="1:99">
      <c r="A54" s="46" t="s">
        <v>2171</v>
      </c>
      <c r="B54" s="46" t="s">
        <v>2172</v>
      </c>
      <c r="C54" s="46">
        <v>50</v>
      </c>
      <c r="D54" s="46" t="s">
        <v>2173</v>
      </c>
      <c r="E54" s="46" t="s">
        <v>191</v>
      </c>
      <c r="F54" s="46" t="s">
        <v>2035</v>
      </c>
      <c r="J54" s="46">
        <v>1</v>
      </c>
      <c r="P54" s="46">
        <v>1</v>
      </c>
      <c r="R54" s="46">
        <v>1</v>
      </c>
      <c r="T54" s="46">
        <v>1</v>
      </c>
      <c r="W54" s="46">
        <v>16</v>
      </c>
      <c r="X54" s="46">
        <v>16</v>
      </c>
      <c r="Y54" s="46">
        <v>26</v>
      </c>
      <c r="Z54" s="46">
        <v>7</v>
      </c>
      <c r="AA54" s="46">
        <v>7</v>
      </c>
      <c r="AB54" s="46">
        <v>7</v>
      </c>
      <c r="AC54" s="46">
        <v>1</v>
      </c>
      <c r="AI54" s="46">
        <v>1</v>
      </c>
      <c r="AL54" s="46">
        <v>1</v>
      </c>
      <c r="AO54" s="113"/>
      <c r="AP54" s="113"/>
      <c r="AQ54" s="46" t="s">
        <v>251</v>
      </c>
      <c r="AR54" s="46" t="s">
        <v>360</v>
      </c>
      <c r="AS54" s="46">
        <v>1</v>
      </c>
      <c r="AT54" s="46">
        <v>1</v>
      </c>
      <c r="AW54" s="46">
        <v>1</v>
      </c>
      <c r="BA54" s="46">
        <v>1</v>
      </c>
      <c r="BJ54" s="46">
        <v>1</v>
      </c>
      <c r="BZ54" s="46">
        <v>1</v>
      </c>
      <c r="CC54" s="46">
        <v>1</v>
      </c>
      <c r="CL54" s="46">
        <v>1</v>
      </c>
      <c r="CU54" s="50">
        <v>46466</v>
      </c>
    </row>
    <row r="55" spans="1:99">
      <c r="A55" s="46" t="s">
        <v>2174</v>
      </c>
      <c r="B55" s="46" t="s">
        <v>2175</v>
      </c>
      <c r="C55" s="46">
        <v>23</v>
      </c>
      <c r="D55" s="46" t="s">
        <v>2010</v>
      </c>
      <c r="E55" s="46" t="s">
        <v>2176</v>
      </c>
      <c r="F55" s="46" t="s">
        <v>107</v>
      </c>
      <c r="I55" s="46">
        <v>1</v>
      </c>
      <c r="M55" s="46">
        <v>1</v>
      </c>
      <c r="Q55" s="46">
        <v>1</v>
      </c>
      <c r="U55" s="46">
        <v>1</v>
      </c>
      <c r="W55" s="46">
        <v>14</v>
      </c>
      <c r="X55" s="46">
        <v>16</v>
      </c>
      <c r="Y55" s="46">
        <v>16</v>
      </c>
      <c r="Z55" s="46">
        <v>5</v>
      </c>
      <c r="AA55" s="46">
        <v>3</v>
      </c>
      <c r="AB55" s="46">
        <v>2</v>
      </c>
      <c r="AD55" s="46">
        <v>1</v>
      </c>
      <c r="AE55" s="46">
        <v>1</v>
      </c>
      <c r="AG55" s="46">
        <v>1</v>
      </c>
      <c r="AH55" s="46">
        <v>1</v>
      </c>
      <c r="AJ55" s="46">
        <v>1</v>
      </c>
      <c r="AK55" s="46">
        <v>1</v>
      </c>
      <c r="AT55" s="46">
        <v>1</v>
      </c>
      <c r="AW55" s="46">
        <v>1</v>
      </c>
      <c r="BA55" s="46">
        <v>1</v>
      </c>
      <c r="BH55" s="46">
        <v>1</v>
      </c>
      <c r="BZ55" s="46">
        <v>1</v>
      </c>
      <c r="CC55" s="46">
        <v>1</v>
      </c>
      <c r="CL55" s="46">
        <v>1</v>
      </c>
      <c r="CU55" s="50">
        <v>46467</v>
      </c>
    </row>
    <row r="56" spans="1:99">
      <c r="A56" s="46" t="s">
        <v>2177</v>
      </c>
      <c r="B56" s="46" t="s">
        <v>2178</v>
      </c>
      <c r="C56" s="46">
        <v>36</v>
      </c>
      <c r="D56" s="46" t="s">
        <v>2010</v>
      </c>
      <c r="E56" s="46" t="s">
        <v>2179</v>
      </c>
      <c r="F56" s="46" t="s">
        <v>145</v>
      </c>
      <c r="H56" s="46">
        <v>1</v>
      </c>
      <c r="M56" s="46">
        <v>1</v>
      </c>
      <c r="R56" s="46">
        <v>1</v>
      </c>
      <c r="S56" s="46">
        <v>1</v>
      </c>
      <c r="W56" s="46">
        <v>16</v>
      </c>
      <c r="X56" s="46">
        <v>20</v>
      </c>
      <c r="Y56" s="46">
        <v>29</v>
      </c>
      <c r="Z56" s="46">
        <v>8</v>
      </c>
      <c r="AA56" s="46">
        <v>5</v>
      </c>
      <c r="AB56" s="46">
        <v>5</v>
      </c>
      <c r="AH56" s="46">
        <v>1</v>
      </c>
      <c r="AJ56" s="46">
        <v>1</v>
      </c>
      <c r="AK56" s="46">
        <v>1</v>
      </c>
      <c r="AT56" s="46">
        <v>1</v>
      </c>
      <c r="AW56" s="46">
        <v>1</v>
      </c>
      <c r="BA56" s="46">
        <v>1</v>
      </c>
      <c r="BH56" s="46">
        <v>1</v>
      </c>
      <c r="BZ56" s="46">
        <v>1</v>
      </c>
      <c r="CC56" s="46">
        <v>1</v>
      </c>
      <c r="CI56" s="46">
        <v>1</v>
      </c>
      <c r="CU56" s="50">
        <v>46468</v>
      </c>
    </row>
    <row r="57" spans="1:99">
      <c r="A57" s="46" t="s">
        <v>2180</v>
      </c>
      <c r="B57" s="46" t="s">
        <v>2181</v>
      </c>
      <c r="C57" s="46">
        <v>50</v>
      </c>
      <c r="D57" s="46" t="s">
        <v>2029</v>
      </c>
      <c r="E57" s="46" t="s">
        <v>191</v>
      </c>
      <c r="F57" s="46" t="s">
        <v>2023</v>
      </c>
      <c r="G57" s="46">
        <v>1</v>
      </c>
      <c r="M57" s="46">
        <v>1</v>
      </c>
      <c r="R57" s="46">
        <v>1</v>
      </c>
      <c r="S57" s="46">
        <v>1</v>
      </c>
      <c r="W57" s="113"/>
      <c r="X57" s="46">
        <v>16</v>
      </c>
      <c r="Y57" s="113"/>
      <c r="Z57" s="46">
        <v>10</v>
      </c>
      <c r="AA57" s="46">
        <v>10</v>
      </c>
      <c r="AB57" s="46">
        <v>8</v>
      </c>
      <c r="AE57" s="46">
        <v>1</v>
      </c>
      <c r="AG57" s="46">
        <v>1</v>
      </c>
      <c r="AH57" s="46">
        <v>1</v>
      </c>
      <c r="AI57" s="46">
        <v>1</v>
      </c>
      <c r="AK57" s="46">
        <v>1</v>
      </c>
      <c r="AT57" s="46">
        <v>1</v>
      </c>
      <c r="AW57" s="46">
        <v>1</v>
      </c>
      <c r="BA57" s="46">
        <v>1</v>
      </c>
      <c r="BJ57" s="46">
        <v>1</v>
      </c>
      <c r="BZ57" s="46">
        <v>1</v>
      </c>
      <c r="CC57" s="46">
        <v>1</v>
      </c>
      <c r="CL57" s="46">
        <v>1</v>
      </c>
      <c r="CU57" s="50">
        <v>46469</v>
      </c>
    </row>
    <row r="58" spans="1:99">
      <c r="A58" s="46" t="s">
        <v>2182</v>
      </c>
      <c r="B58" s="46" t="s">
        <v>2183</v>
      </c>
      <c r="C58" s="46">
        <v>28</v>
      </c>
      <c r="D58" s="46" t="s">
        <v>2019</v>
      </c>
      <c r="E58" s="46" t="s">
        <v>191</v>
      </c>
      <c r="F58" s="46" t="s">
        <v>2023</v>
      </c>
      <c r="H58" s="46">
        <v>1</v>
      </c>
      <c r="N58" s="46">
        <v>1</v>
      </c>
      <c r="Q58" s="46">
        <v>1</v>
      </c>
      <c r="U58" s="46">
        <v>1</v>
      </c>
      <c r="W58" s="46">
        <v>12</v>
      </c>
      <c r="X58" s="46">
        <v>7</v>
      </c>
      <c r="Y58" s="46">
        <v>18</v>
      </c>
      <c r="Z58" s="46">
        <v>1</v>
      </c>
      <c r="AA58" s="46">
        <v>1</v>
      </c>
      <c r="AB58" s="46">
        <v>1</v>
      </c>
      <c r="AH58" s="46">
        <v>1</v>
      </c>
      <c r="AI58" s="113"/>
      <c r="AJ58" s="113"/>
      <c r="AM58" s="46">
        <v>1</v>
      </c>
      <c r="AT58" s="46">
        <v>1</v>
      </c>
      <c r="AW58" s="46">
        <v>1</v>
      </c>
      <c r="BA58" s="46">
        <v>1</v>
      </c>
      <c r="BH58" s="46">
        <v>1</v>
      </c>
      <c r="BZ58" s="46">
        <v>1</v>
      </c>
      <c r="CC58" s="46">
        <v>1</v>
      </c>
      <c r="CL58" s="46">
        <v>1</v>
      </c>
      <c r="CU58" s="50">
        <v>46470</v>
      </c>
    </row>
    <row r="59" spans="1:99">
      <c r="A59" s="46" t="s">
        <v>2184</v>
      </c>
      <c r="B59" s="46" t="s">
        <v>2185</v>
      </c>
      <c r="C59" s="46">
        <v>62</v>
      </c>
      <c r="D59" s="46" t="s">
        <v>2010</v>
      </c>
      <c r="E59" s="46" t="s">
        <v>2186</v>
      </c>
      <c r="F59" s="46" t="s">
        <v>112</v>
      </c>
      <c r="G59" s="46">
        <v>1</v>
      </c>
      <c r="M59" s="46">
        <v>1</v>
      </c>
      <c r="R59" s="46">
        <v>1</v>
      </c>
      <c r="T59" s="46">
        <v>1</v>
      </c>
      <c r="W59" s="46">
        <v>15</v>
      </c>
      <c r="X59" s="46">
        <v>16</v>
      </c>
      <c r="Y59" s="46">
        <v>17</v>
      </c>
      <c r="Z59" s="46">
        <v>12</v>
      </c>
      <c r="AA59" s="46">
        <v>10</v>
      </c>
      <c r="AB59" s="46">
        <v>9</v>
      </c>
      <c r="AC59" s="46">
        <v>1</v>
      </c>
      <c r="AI59" s="46">
        <v>1</v>
      </c>
      <c r="AK59" s="46">
        <v>1</v>
      </c>
      <c r="AT59" s="46">
        <v>1</v>
      </c>
      <c r="AX59" s="46">
        <v>1</v>
      </c>
      <c r="BA59" s="46">
        <v>1</v>
      </c>
      <c r="BJ59" s="46">
        <v>1</v>
      </c>
      <c r="BZ59" s="46">
        <v>1</v>
      </c>
      <c r="CC59" s="46">
        <v>1</v>
      </c>
      <c r="CL59" s="46">
        <v>1</v>
      </c>
      <c r="CU59" s="50">
        <v>46471</v>
      </c>
    </row>
    <row r="60" spans="1:99">
      <c r="A60" s="46" t="s">
        <v>2187</v>
      </c>
      <c r="B60" s="46" t="s">
        <v>2188</v>
      </c>
      <c r="C60" s="46">
        <v>24</v>
      </c>
      <c r="D60" s="46" t="s">
        <v>2029</v>
      </c>
      <c r="E60" s="46" t="s">
        <v>2189</v>
      </c>
      <c r="F60" s="46" t="s">
        <v>2023</v>
      </c>
      <c r="G60" s="46">
        <v>1</v>
      </c>
      <c r="M60" s="46">
        <v>1</v>
      </c>
      <c r="Q60" s="46">
        <v>1</v>
      </c>
      <c r="T60" s="46">
        <v>1</v>
      </c>
      <c r="W60" s="46">
        <v>12</v>
      </c>
      <c r="X60" s="46">
        <v>13</v>
      </c>
      <c r="Y60" s="46">
        <v>14</v>
      </c>
      <c r="Z60" s="46">
        <v>4</v>
      </c>
      <c r="AA60" s="46">
        <v>5</v>
      </c>
      <c r="AB60" s="46">
        <v>5</v>
      </c>
      <c r="AE60" s="46">
        <v>1</v>
      </c>
      <c r="AH60" s="46">
        <v>1</v>
      </c>
      <c r="AJ60" s="46">
        <v>1</v>
      </c>
      <c r="AK60" s="46">
        <v>1</v>
      </c>
      <c r="AT60" s="113"/>
      <c r="AU60" s="113"/>
      <c r="AW60" s="46">
        <v>1</v>
      </c>
      <c r="BA60" s="46">
        <v>1</v>
      </c>
      <c r="BH60" s="46">
        <v>1</v>
      </c>
      <c r="BZ60" s="46">
        <v>1</v>
      </c>
      <c r="CL60" s="46">
        <v>1</v>
      </c>
      <c r="CU60" s="50">
        <v>46472</v>
      </c>
    </row>
    <row r="61" spans="1:99">
      <c r="A61" s="46" t="s">
        <v>2190</v>
      </c>
      <c r="B61" s="46" t="s">
        <v>2191</v>
      </c>
      <c r="C61" s="46">
        <v>20</v>
      </c>
      <c r="D61" s="46" t="s">
        <v>2029</v>
      </c>
      <c r="E61" s="46" t="s">
        <v>191</v>
      </c>
      <c r="F61" s="46" t="s">
        <v>2023</v>
      </c>
      <c r="H61" s="46">
        <v>1</v>
      </c>
      <c r="M61" s="46">
        <v>1</v>
      </c>
      <c r="R61" s="46">
        <v>1</v>
      </c>
      <c r="T61" s="46">
        <v>1</v>
      </c>
      <c r="W61" s="46">
        <v>16</v>
      </c>
      <c r="X61" s="46">
        <v>15</v>
      </c>
      <c r="Y61" s="46">
        <v>17</v>
      </c>
      <c r="Z61" s="46">
        <v>2</v>
      </c>
      <c r="AA61" s="46">
        <v>2</v>
      </c>
      <c r="AB61" s="46">
        <v>2</v>
      </c>
      <c r="AC61" s="46">
        <v>1</v>
      </c>
      <c r="AJ61" s="46">
        <v>1</v>
      </c>
      <c r="AK61" s="46">
        <v>1</v>
      </c>
      <c r="AT61" s="46">
        <v>1</v>
      </c>
      <c r="AW61" s="46">
        <v>1</v>
      </c>
      <c r="BA61" s="46">
        <v>1</v>
      </c>
      <c r="BH61" s="46">
        <v>1</v>
      </c>
      <c r="BZ61" s="46">
        <v>1</v>
      </c>
      <c r="CL61" s="46">
        <v>1</v>
      </c>
      <c r="CU61" s="50">
        <v>46473</v>
      </c>
    </row>
    <row r="62" spans="1:99">
      <c r="A62" s="46" t="s">
        <v>2192</v>
      </c>
      <c r="B62" s="46" t="s">
        <v>2193</v>
      </c>
      <c r="C62" s="46">
        <v>39</v>
      </c>
      <c r="D62" s="46" t="s">
        <v>2010</v>
      </c>
      <c r="E62" s="46" t="s">
        <v>2194</v>
      </c>
      <c r="F62" s="46" t="s">
        <v>107</v>
      </c>
      <c r="G62" s="113"/>
      <c r="H62" s="113"/>
      <c r="I62" s="113"/>
      <c r="J62" s="113"/>
      <c r="K62" s="113"/>
      <c r="M62" s="46">
        <v>1</v>
      </c>
      <c r="Q62" s="46">
        <v>1</v>
      </c>
      <c r="U62" s="46">
        <v>1</v>
      </c>
      <c r="W62" s="46">
        <v>16</v>
      </c>
      <c r="X62" s="46">
        <v>17</v>
      </c>
      <c r="Y62" s="46">
        <v>22</v>
      </c>
      <c r="Z62" s="46">
        <v>5</v>
      </c>
      <c r="AA62" s="46">
        <v>4</v>
      </c>
      <c r="AB62" s="46">
        <v>4</v>
      </c>
      <c r="AH62" s="46">
        <v>1</v>
      </c>
      <c r="AI62" s="46">
        <v>1</v>
      </c>
      <c r="AK62" s="46">
        <v>1</v>
      </c>
      <c r="AT62" s="46">
        <v>1</v>
      </c>
      <c r="AW62" s="46">
        <v>1</v>
      </c>
      <c r="BA62" s="46">
        <v>1</v>
      </c>
      <c r="BH62" s="46">
        <v>1</v>
      </c>
      <c r="CL62" s="46">
        <v>1</v>
      </c>
      <c r="CU62" s="50">
        <v>46474</v>
      </c>
    </row>
    <row r="63" spans="1:99">
      <c r="A63" s="46" t="s">
        <v>2195</v>
      </c>
      <c r="B63" s="46" t="s">
        <v>2196</v>
      </c>
      <c r="C63" s="46">
        <v>36</v>
      </c>
      <c r="D63" s="46" t="s">
        <v>2033</v>
      </c>
      <c r="E63" s="46" t="s">
        <v>2197</v>
      </c>
      <c r="F63" s="46" t="s">
        <v>2035</v>
      </c>
      <c r="G63" s="46">
        <v>1</v>
      </c>
      <c r="M63" s="46">
        <v>1</v>
      </c>
      <c r="Q63" s="46">
        <v>1</v>
      </c>
      <c r="U63" s="46">
        <v>1</v>
      </c>
      <c r="W63" s="46">
        <v>19</v>
      </c>
      <c r="X63" s="46">
        <v>23</v>
      </c>
      <c r="Y63" s="46">
        <v>24</v>
      </c>
      <c r="Z63" s="46">
        <v>4</v>
      </c>
      <c r="AA63" s="46">
        <v>4</v>
      </c>
      <c r="AB63" s="46">
        <v>4</v>
      </c>
      <c r="AE63" s="46">
        <v>1</v>
      </c>
      <c r="AG63" s="46">
        <v>1</v>
      </c>
      <c r="AH63" s="46">
        <v>1</v>
      </c>
      <c r="AI63" s="46">
        <v>1</v>
      </c>
      <c r="AK63" s="46">
        <v>1</v>
      </c>
      <c r="AT63" s="46">
        <v>1</v>
      </c>
      <c r="AW63" s="46">
        <v>1</v>
      </c>
      <c r="BA63" s="46">
        <v>1</v>
      </c>
      <c r="BH63" s="46">
        <v>1</v>
      </c>
      <c r="BW63" s="46">
        <v>1</v>
      </c>
      <c r="BZ63" s="46">
        <v>1</v>
      </c>
      <c r="CC63" s="46">
        <v>1</v>
      </c>
      <c r="CI63" s="46">
        <v>1</v>
      </c>
      <c r="CU63" s="50">
        <v>46475</v>
      </c>
    </row>
    <row r="64" spans="1:99">
      <c r="A64" s="46" t="s">
        <v>2198</v>
      </c>
      <c r="B64" s="46" t="s">
        <v>2199</v>
      </c>
      <c r="C64" s="46">
        <v>49</v>
      </c>
      <c r="D64" s="46" t="s">
        <v>2103</v>
      </c>
      <c r="E64" s="46" t="s">
        <v>2200</v>
      </c>
      <c r="F64" s="46" t="s">
        <v>1509</v>
      </c>
      <c r="G64" s="46">
        <v>1</v>
      </c>
      <c r="M64" s="46">
        <v>1</v>
      </c>
      <c r="Q64" s="46">
        <v>1</v>
      </c>
      <c r="T64" s="46">
        <v>1</v>
      </c>
      <c r="W64" s="46">
        <v>14</v>
      </c>
      <c r="X64" s="46">
        <v>18</v>
      </c>
      <c r="Y64" s="46">
        <v>19</v>
      </c>
      <c r="Z64" s="46">
        <v>11</v>
      </c>
      <c r="AA64" s="46">
        <v>8</v>
      </c>
      <c r="AB64" s="46">
        <v>8</v>
      </c>
      <c r="AE64" s="46">
        <v>1</v>
      </c>
      <c r="AG64" s="46">
        <v>1</v>
      </c>
      <c r="AH64" s="46">
        <v>1</v>
      </c>
      <c r="AI64" s="46">
        <v>1</v>
      </c>
      <c r="AK64" s="46">
        <v>1</v>
      </c>
      <c r="AT64" s="46">
        <v>1</v>
      </c>
      <c r="AW64" s="46">
        <v>1</v>
      </c>
      <c r="BA64" s="46">
        <v>1</v>
      </c>
      <c r="BH64" s="46">
        <v>1</v>
      </c>
      <c r="BZ64" s="46">
        <v>1</v>
      </c>
      <c r="CC64" s="46">
        <v>1</v>
      </c>
      <c r="CI64" s="46">
        <v>1</v>
      </c>
      <c r="CU64" s="50">
        <v>46476</v>
      </c>
    </row>
    <row r="65" spans="1:99">
      <c r="A65" s="46" t="s">
        <v>2201</v>
      </c>
      <c r="B65" s="46" t="s">
        <v>2202</v>
      </c>
      <c r="C65" s="46">
        <v>19</v>
      </c>
      <c r="D65" s="46" t="s">
        <v>2088</v>
      </c>
      <c r="E65" s="46" t="s">
        <v>2203</v>
      </c>
      <c r="F65" s="46" t="s">
        <v>145</v>
      </c>
      <c r="G65" s="46">
        <v>1</v>
      </c>
      <c r="N65" s="46">
        <v>1</v>
      </c>
      <c r="Q65" s="46">
        <v>1</v>
      </c>
      <c r="T65" s="46">
        <v>1</v>
      </c>
      <c r="W65" s="46">
        <v>15</v>
      </c>
      <c r="X65" s="46">
        <v>10</v>
      </c>
      <c r="Y65" s="46" t="s">
        <v>191</v>
      </c>
      <c r="Z65" s="46">
        <v>0</v>
      </c>
      <c r="AA65" s="46">
        <v>0</v>
      </c>
      <c r="AB65" s="46">
        <v>0</v>
      </c>
      <c r="AE65" s="46">
        <v>1</v>
      </c>
      <c r="AG65" s="46">
        <v>1</v>
      </c>
      <c r="AH65" s="46">
        <v>1</v>
      </c>
      <c r="AI65" s="113"/>
      <c r="AJ65" s="113"/>
      <c r="AK65" s="46">
        <v>1</v>
      </c>
      <c r="AT65" s="46">
        <v>1</v>
      </c>
      <c r="AZ65" s="46">
        <v>1</v>
      </c>
      <c r="BA65" s="46">
        <v>1</v>
      </c>
      <c r="BH65" s="46">
        <v>1</v>
      </c>
      <c r="BW65" s="46">
        <v>1</v>
      </c>
      <c r="BZ65" s="46">
        <v>1</v>
      </c>
      <c r="CC65" s="46">
        <v>1</v>
      </c>
      <c r="CI65" s="46">
        <v>1</v>
      </c>
      <c r="CU65" s="50">
        <v>46477</v>
      </c>
    </row>
    <row r="66" spans="1:99">
      <c r="A66" s="46" t="s">
        <v>2204</v>
      </c>
      <c r="B66" s="46" t="s">
        <v>2205</v>
      </c>
      <c r="C66" s="46">
        <v>19</v>
      </c>
      <c r="D66" s="46" t="s">
        <v>2010</v>
      </c>
      <c r="E66" s="46" t="s">
        <v>2206</v>
      </c>
      <c r="F66" s="46" t="s">
        <v>2070</v>
      </c>
      <c r="H66" s="46">
        <v>1</v>
      </c>
      <c r="M66" s="46">
        <v>1</v>
      </c>
      <c r="Q66" s="46">
        <v>1</v>
      </c>
      <c r="U66" s="46">
        <v>1</v>
      </c>
      <c r="W66" s="46">
        <v>16</v>
      </c>
      <c r="X66" s="46">
        <v>17</v>
      </c>
      <c r="Y66" s="46">
        <v>18</v>
      </c>
      <c r="Z66" s="46">
        <v>1</v>
      </c>
      <c r="AA66" s="46">
        <v>1</v>
      </c>
      <c r="AB66" s="46">
        <v>1</v>
      </c>
      <c r="AH66" s="46">
        <v>1</v>
      </c>
      <c r="AJ66" s="46">
        <v>1</v>
      </c>
      <c r="AK66" s="46">
        <v>1</v>
      </c>
      <c r="AT66" s="46">
        <v>1</v>
      </c>
      <c r="AW66" s="46">
        <v>1</v>
      </c>
      <c r="BA66" s="46">
        <v>1</v>
      </c>
      <c r="BH66" s="46">
        <v>1</v>
      </c>
      <c r="CA66" s="46">
        <v>1</v>
      </c>
      <c r="CB66" s="46">
        <v>2017</v>
      </c>
      <c r="CC66" s="46">
        <v>1</v>
      </c>
      <c r="CI66" s="46">
        <v>1</v>
      </c>
      <c r="CU66" s="50">
        <v>46447</v>
      </c>
    </row>
    <row r="67" spans="1:99">
      <c r="A67" s="46" t="s">
        <v>2207</v>
      </c>
      <c r="B67" s="46" t="s">
        <v>2208</v>
      </c>
      <c r="C67" s="46">
        <v>27</v>
      </c>
      <c r="D67" s="46" t="s">
        <v>2010</v>
      </c>
      <c r="E67" s="46" t="s">
        <v>2209</v>
      </c>
      <c r="F67" s="46" t="s">
        <v>107</v>
      </c>
      <c r="G67" s="46">
        <v>1</v>
      </c>
      <c r="M67" s="46">
        <v>1</v>
      </c>
      <c r="Q67" s="46">
        <v>1</v>
      </c>
      <c r="U67" s="46">
        <v>1</v>
      </c>
      <c r="W67" s="46">
        <v>12</v>
      </c>
      <c r="X67" s="46">
        <v>15</v>
      </c>
      <c r="Y67" s="46">
        <v>23</v>
      </c>
      <c r="Z67" s="46">
        <v>2</v>
      </c>
      <c r="AA67" s="46">
        <v>2</v>
      </c>
      <c r="AB67" s="46">
        <v>2</v>
      </c>
      <c r="AE67" s="46">
        <v>1</v>
      </c>
      <c r="AG67" s="46">
        <v>1</v>
      </c>
      <c r="AJ67" s="46">
        <v>1</v>
      </c>
      <c r="AK67" s="46">
        <v>1</v>
      </c>
      <c r="AT67" s="46">
        <v>1</v>
      </c>
      <c r="AW67" s="46">
        <v>1</v>
      </c>
      <c r="BA67" s="46">
        <v>1</v>
      </c>
      <c r="BH67" s="46">
        <v>1</v>
      </c>
      <c r="BZ67" s="46">
        <v>1</v>
      </c>
      <c r="CC67" s="46">
        <v>1</v>
      </c>
      <c r="CI67" s="46">
        <v>1</v>
      </c>
      <c r="CU67" s="50">
        <v>46448</v>
      </c>
    </row>
    <row r="68" spans="1:99">
      <c r="A68" s="46" t="s">
        <v>2210</v>
      </c>
      <c r="B68" s="46" t="s">
        <v>2211</v>
      </c>
      <c r="C68" s="46">
        <v>52</v>
      </c>
      <c r="D68" s="46" t="s">
        <v>2033</v>
      </c>
      <c r="E68" s="46" t="s">
        <v>2212</v>
      </c>
      <c r="F68" s="46" t="s">
        <v>112</v>
      </c>
      <c r="J68" s="46">
        <v>1</v>
      </c>
      <c r="M68" s="46">
        <v>1</v>
      </c>
      <c r="Q68" s="46">
        <v>1</v>
      </c>
      <c r="S68" s="46">
        <v>1</v>
      </c>
      <c r="W68" s="46">
        <v>14</v>
      </c>
      <c r="X68" s="46">
        <v>16</v>
      </c>
      <c r="Y68" s="46">
        <v>18</v>
      </c>
      <c r="Z68" s="46">
        <v>7</v>
      </c>
      <c r="AA68" s="46">
        <v>7</v>
      </c>
      <c r="AB68" s="46">
        <v>3</v>
      </c>
      <c r="AD68" s="46">
        <v>1</v>
      </c>
      <c r="AE68" s="46">
        <v>1</v>
      </c>
      <c r="AG68" s="46">
        <v>1</v>
      </c>
      <c r="AI68" s="113"/>
      <c r="AJ68" s="113"/>
      <c r="AK68" s="46">
        <v>1</v>
      </c>
      <c r="AT68" s="46">
        <v>1</v>
      </c>
      <c r="AX68" s="46">
        <v>1</v>
      </c>
      <c r="BA68" s="46">
        <v>1</v>
      </c>
      <c r="BK68" s="46">
        <v>1</v>
      </c>
      <c r="BS68" s="46">
        <v>1</v>
      </c>
      <c r="BX68" s="46" t="s">
        <v>952</v>
      </c>
      <c r="BZ68" s="46">
        <v>1</v>
      </c>
      <c r="CC68" s="46">
        <v>1</v>
      </c>
      <c r="CL68" s="46">
        <v>1</v>
      </c>
      <c r="CU68" s="129">
        <v>45413</v>
      </c>
    </row>
    <row r="69" spans="1:99">
      <c r="A69" s="46" t="s">
        <v>2213</v>
      </c>
      <c r="B69" s="46" t="s">
        <v>2214</v>
      </c>
      <c r="C69" s="46">
        <v>32</v>
      </c>
      <c r="D69" s="46" t="s">
        <v>2019</v>
      </c>
      <c r="E69" s="46" t="s">
        <v>2215</v>
      </c>
      <c r="F69" s="46" t="s">
        <v>112</v>
      </c>
      <c r="H69" s="46">
        <v>1</v>
      </c>
      <c r="M69" s="46">
        <v>1</v>
      </c>
      <c r="Q69" s="46">
        <v>1</v>
      </c>
      <c r="U69" s="46">
        <v>1</v>
      </c>
      <c r="W69" s="46">
        <v>16</v>
      </c>
      <c r="X69" s="46">
        <v>20</v>
      </c>
      <c r="Y69" s="46">
        <v>20</v>
      </c>
      <c r="Z69" s="46">
        <v>5</v>
      </c>
      <c r="AA69" s="46">
        <v>5</v>
      </c>
      <c r="AB69" s="46">
        <v>5</v>
      </c>
      <c r="AC69" s="46">
        <v>1</v>
      </c>
      <c r="AJ69" s="46">
        <v>1</v>
      </c>
      <c r="AK69" s="46">
        <v>1</v>
      </c>
      <c r="AT69" s="46">
        <v>1</v>
      </c>
      <c r="AW69" s="46">
        <v>1</v>
      </c>
      <c r="BA69" s="46">
        <v>1</v>
      </c>
      <c r="BH69" s="46">
        <v>1</v>
      </c>
      <c r="BZ69" s="46">
        <v>1</v>
      </c>
      <c r="CC69" s="46">
        <v>1</v>
      </c>
      <c r="CI69" s="46">
        <v>1</v>
      </c>
      <c r="CU69" s="50">
        <v>46450</v>
      </c>
    </row>
    <row r="70" spans="1:99">
      <c r="A70" s="46" t="s">
        <v>2216</v>
      </c>
      <c r="B70" s="46" t="s">
        <v>2217</v>
      </c>
      <c r="C70" s="46">
        <v>37</v>
      </c>
      <c r="D70" s="46" t="s">
        <v>2033</v>
      </c>
      <c r="E70" s="46" t="s">
        <v>2218</v>
      </c>
      <c r="F70" s="46" t="s">
        <v>107</v>
      </c>
      <c r="H70" s="46">
        <v>1</v>
      </c>
      <c r="M70" s="46">
        <v>1</v>
      </c>
      <c r="Q70" s="46">
        <v>1</v>
      </c>
      <c r="T70" s="46">
        <v>1</v>
      </c>
      <c r="W70" s="46">
        <v>17</v>
      </c>
      <c r="X70" s="46">
        <v>18</v>
      </c>
      <c r="Y70" s="46">
        <v>18</v>
      </c>
      <c r="Z70" s="46">
        <v>6</v>
      </c>
      <c r="AA70" s="46">
        <v>6</v>
      </c>
      <c r="AB70" s="46">
        <v>6</v>
      </c>
      <c r="AC70" s="46">
        <v>1</v>
      </c>
      <c r="AJ70" s="46">
        <v>1</v>
      </c>
      <c r="AK70" s="46">
        <v>1</v>
      </c>
      <c r="AT70" s="46">
        <v>1</v>
      </c>
      <c r="AW70" s="46">
        <v>1</v>
      </c>
      <c r="BB70" s="46">
        <v>1</v>
      </c>
      <c r="BF70" s="46">
        <v>1</v>
      </c>
      <c r="BH70" s="46">
        <v>1</v>
      </c>
      <c r="BZ70" s="46">
        <v>1</v>
      </c>
      <c r="CC70" s="46">
        <v>1</v>
      </c>
      <c r="CI70" s="46">
        <v>1</v>
      </c>
      <c r="CU70" s="50">
        <v>46451</v>
      </c>
    </row>
    <row r="71" spans="1:99">
      <c r="A71" s="46" t="s">
        <v>2219</v>
      </c>
      <c r="B71" s="46" t="s">
        <v>2220</v>
      </c>
      <c r="C71" s="46">
        <v>40</v>
      </c>
      <c r="D71" s="46" t="s">
        <v>2088</v>
      </c>
      <c r="E71" s="46" t="s">
        <v>2221</v>
      </c>
      <c r="F71" s="46" t="s">
        <v>594</v>
      </c>
      <c r="G71" s="46">
        <v>1</v>
      </c>
      <c r="O71" s="46">
        <v>1</v>
      </c>
      <c r="R71" s="46">
        <v>1</v>
      </c>
      <c r="T71" s="46">
        <v>1</v>
      </c>
      <c r="W71" s="46">
        <v>13</v>
      </c>
      <c r="X71" s="46">
        <v>15</v>
      </c>
      <c r="Y71" s="46">
        <v>30</v>
      </c>
      <c r="Z71" s="46">
        <v>4</v>
      </c>
      <c r="AA71" s="46">
        <v>4</v>
      </c>
      <c r="AB71" s="46">
        <v>4</v>
      </c>
      <c r="AC71" s="46">
        <v>1</v>
      </c>
      <c r="AI71" s="46">
        <v>1</v>
      </c>
      <c r="AL71" s="46">
        <v>1</v>
      </c>
      <c r="AO71" s="113"/>
      <c r="AP71" s="113"/>
      <c r="AQ71" s="46" t="s">
        <v>251</v>
      </c>
      <c r="AR71" s="46" t="s">
        <v>360</v>
      </c>
      <c r="AT71" s="46">
        <v>1</v>
      </c>
      <c r="AW71" s="46">
        <v>1</v>
      </c>
      <c r="BA71" s="46">
        <v>1</v>
      </c>
      <c r="BH71" s="46">
        <v>1</v>
      </c>
      <c r="BW71" s="46">
        <v>1</v>
      </c>
      <c r="BZ71" s="46">
        <v>1</v>
      </c>
      <c r="CC71" s="46">
        <v>1</v>
      </c>
      <c r="CI71" s="46">
        <v>1</v>
      </c>
      <c r="CU71" s="50">
        <v>46452</v>
      </c>
    </row>
    <row r="72" spans="1:99">
      <c r="A72" s="46" t="s">
        <v>2222</v>
      </c>
      <c r="B72" s="46" t="s">
        <v>2223</v>
      </c>
      <c r="C72" s="46">
        <v>52</v>
      </c>
      <c r="D72" s="46" t="s">
        <v>2029</v>
      </c>
      <c r="E72" s="46" t="s">
        <v>191</v>
      </c>
      <c r="F72" s="46" t="s">
        <v>2023</v>
      </c>
      <c r="H72" s="46">
        <v>1</v>
      </c>
      <c r="M72" s="46">
        <v>1</v>
      </c>
      <c r="Q72" s="46">
        <v>1</v>
      </c>
      <c r="T72" s="46">
        <v>1</v>
      </c>
      <c r="W72" s="46">
        <v>17</v>
      </c>
      <c r="X72" s="46">
        <v>17</v>
      </c>
      <c r="Y72" s="46">
        <v>20</v>
      </c>
      <c r="Z72" s="46">
        <v>9</v>
      </c>
      <c r="AA72" s="46">
        <v>5</v>
      </c>
      <c r="AB72" s="46">
        <v>5</v>
      </c>
      <c r="AE72" s="46">
        <v>1</v>
      </c>
      <c r="AH72" s="46">
        <v>1</v>
      </c>
      <c r="AI72" s="46">
        <v>1</v>
      </c>
      <c r="AK72" s="46">
        <v>1</v>
      </c>
      <c r="AT72" s="46">
        <v>1</v>
      </c>
      <c r="AW72" s="46">
        <v>1</v>
      </c>
      <c r="BA72" s="46">
        <v>1</v>
      </c>
      <c r="BJ72" s="46">
        <v>1</v>
      </c>
      <c r="BW72" s="46">
        <v>1</v>
      </c>
      <c r="BZ72" s="46">
        <v>1</v>
      </c>
      <c r="CC72" s="46">
        <v>1</v>
      </c>
      <c r="CI72" s="46">
        <v>1</v>
      </c>
      <c r="CU72" s="50">
        <v>46453</v>
      </c>
    </row>
    <row r="73" spans="1:99">
      <c r="A73" s="46" t="s">
        <v>2224</v>
      </c>
      <c r="B73" s="46" t="s">
        <v>2225</v>
      </c>
      <c r="C73" s="46">
        <v>28</v>
      </c>
      <c r="D73" s="46" t="s">
        <v>2033</v>
      </c>
      <c r="E73" s="46" t="s">
        <v>2226</v>
      </c>
      <c r="F73" s="46" t="s">
        <v>2070</v>
      </c>
      <c r="G73" s="46">
        <v>1</v>
      </c>
      <c r="P73" s="46">
        <v>1</v>
      </c>
      <c r="Q73" s="46">
        <v>1</v>
      </c>
      <c r="U73" s="46">
        <v>1</v>
      </c>
      <c r="W73" s="46">
        <v>15</v>
      </c>
      <c r="X73" s="46">
        <v>17</v>
      </c>
      <c r="Y73" s="46">
        <v>22</v>
      </c>
      <c r="Z73" s="46">
        <v>2</v>
      </c>
      <c r="AA73" s="46">
        <v>1</v>
      </c>
      <c r="AB73" s="46">
        <v>1</v>
      </c>
      <c r="AD73" s="46">
        <v>1</v>
      </c>
      <c r="AE73" s="46">
        <v>1</v>
      </c>
      <c r="AH73" s="46">
        <v>1</v>
      </c>
      <c r="AI73" s="46">
        <v>1</v>
      </c>
      <c r="AK73" s="46">
        <v>1</v>
      </c>
      <c r="AT73" s="46">
        <v>1</v>
      </c>
      <c r="AW73" s="46">
        <v>1</v>
      </c>
      <c r="BA73" s="46">
        <v>1</v>
      </c>
      <c r="BK73" s="46">
        <v>1</v>
      </c>
      <c r="BN73" s="46">
        <v>1</v>
      </c>
      <c r="BO73" s="46" t="s">
        <v>952</v>
      </c>
      <c r="BZ73" s="46">
        <v>1</v>
      </c>
      <c r="CC73" s="46">
        <v>1</v>
      </c>
      <c r="CI73" s="46">
        <v>1</v>
      </c>
      <c r="CU73" s="129">
        <v>45413</v>
      </c>
    </row>
    <row r="74" spans="1:99">
      <c r="A74" s="46" t="s">
        <v>2227</v>
      </c>
      <c r="B74" s="46" t="s">
        <v>2228</v>
      </c>
      <c r="C74" s="46">
        <v>27</v>
      </c>
      <c r="D74" s="46" t="s">
        <v>2029</v>
      </c>
      <c r="E74" s="46" t="s">
        <v>191</v>
      </c>
      <c r="F74" s="46" t="s">
        <v>2023</v>
      </c>
      <c r="G74" s="46">
        <v>1</v>
      </c>
      <c r="O74" s="46">
        <v>1</v>
      </c>
      <c r="Q74" s="46">
        <v>1</v>
      </c>
      <c r="T74" s="46">
        <v>1</v>
      </c>
      <c r="W74" s="46">
        <v>15</v>
      </c>
      <c r="X74" s="46">
        <v>19</v>
      </c>
      <c r="Y74" s="46">
        <v>19</v>
      </c>
      <c r="Z74" s="46">
        <v>3</v>
      </c>
      <c r="AA74" s="46">
        <v>3</v>
      </c>
      <c r="AB74" s="46">
        <v>3</v>
      </c>
      <c r="AE74" s="46">
        <v>1</v>
      </c>
      <c r="AI74" s="46">
        <v>1</v>
      </c>
      <c r="AK74" s="46">
        <v>1</v>
      </c>
      <c r="AT74" s="46">
        <v>1</v>
      </c>
      <c r="AW74" s="46">
        <v>1</v>
      </c>
      <c r="BA74" s="46">
        <v>1</v>
      </c>
      <c r="BH74" s="46">
        <v>1</v>
      </c>
      <c r="BW74" s="46">
        <v>1</v>
      </c>
      <c r="BZ74" s="46">
        <v>1</v>
      </c>
      <c r="CC74" s="46">
        <v>1</v>
      </c>
      <c r="CI74" s="46">
        <v>1</v>
      </c>
      <c r="CU74" s="50">
        <v>46455</v>
      </c>
    </row>
    <row r="75" spans="1:99">
      <c r="A75" s="46" t="s">
        <v>2229</v>
      </c>
      <c r="B75" s="46" t="s">
        <v>1191</v>
      </c>
      <c r="C75" s="46">
        <v>33</v>
      </c>
      <c r="D75" s="46" t="s">
        <v>2029</v>
      </c>
      <c r="E75" s="46" t="s">
        <v>191</v>
      </c>
      <c r="F75" s="46" t="s">
        <v>2023</v>
      </c>
      <c r="H75" s="46">
        <v>1</v>
      </c>
      <c r="M75" s="46">
        <v>1</v>
      </c>
      <c r="Q75" s="46">
        <v>1</v>
      </c>
      <c r="T75" s="46">
        <v>1</v>
      </c>
      <c r="W75" s="46">
        <v>12</v>
      </c>
      <c r="X75" s="46">
        <v>14</v>
      </c>
      <c r="Y75" s="46">
        <v>15</v>
      </c>
      <c r="Z75" s="46">
        <v>15</v>
      </c>
      <c r="AA75" s="46">
        <v>6</v>
      </c>
      <c r="AB75" s="46">
        <v>5</v>
      </c>
      <c r="AE75" s="46">
        <v>1</v>
      </c>
      <c r="AJ75" s="46">
        <v>1</v>
      </c>
      <c r="AK75" s="46">
        <v>1</v>
      </c>
      <c r="AT75" s="46">
        <v>1</v>
      </c>
      <c r="AW75" s="113"/>
      <c r="AX75" s="113"/>
      <c r="AY75" s="113"/>
      <c r="AZ75" s="113"/>
      <c r="BA75" s="46">
        <v>1</v>
      </c>
      <c r="BH75" s="46">
        <v>1</v>
      </c>
      <c r="BZ75" s="46">
        <v>1</v>
      </c>
      <c r="CC75" s="46">
        <v>1</v>
      </c>
      <c r="CI75" s="46">
        <v>1</v>
      </c>
      <c r="CU75" s="50">
        <v>46456</v>
      </c>
    </row>
    <row r="76" spans="1:99">
      <c r="A76" s="46" t="s">
        <v>2230</v>
      </c>
      <c r="B76" s="46" t="s">
        <v>2231</v>
      </c>
      <c r="C76" s="46">
        <v>32</v>
      </c>
      <c r="D76" s="46" t="s">
        <v>2103</v>
      </c>
      <c r="E76" s="46" t="s">
        <v>2232</v>
      </c>
      <c r="F76" s="46" t="s">
        <v>112</v>
      </c>
      <c r="H76" s="46">
        <v>1</v>
      </c>
      <c r="M76" s="46">
        <v>1</v>
      </c>
      <c r="Q76" s="46">
        <v>1</v>
      </c>
      <c r="T76" s="46">
        <v>1</v>
      </c>
      <c r="W76" s="46">
        <v>17</v>
      </c>
      <c r="X76" s="46">
        <v>18</v>
      </c>
      <c r="Y76" s="46">
        <v>23</v>
      </c>
      <c r="Z76" s="46">
        <v>2</v>
      </c>
      <c r="AA76" s="46">
        <v>1</v>
      </c>
      <c r="AB76" s="46">
        <v>1</v>
      </c>
      <c r="AE76" s="46">
        <v>1</v>
      </c>
      <c r="AH76" s="46">
        <v>1</v>
      </c>
      <c r="AI76" s="46">
        <v>1</v>
      </c>
      <c r="AK76" s="46">
        <v>1</v>
      </c>
      <c r="AT76" s="46">
        <v>1</v>
      </c>
      <c r="AW76" s="46">
        <v>1</v>
      </c>
      <c r="BA76" s="46">
        <v>1</v>
      </c>
      <c r="BH76" s="46">
        <v>1</v>
      </c>
      <c r="BZ76" s="46">
        <v>1</v>
      </c>
      <c r="CI76" s="46">
        <v>1</v>
      </c>
      <c r="CU76" s="50">
        <v>46457</v>
      </c>
    </row>
    <row r="77" spans="1:99">
      <c r="A77" s="46" t="s">
        <v>2233</v>
      </c>
      <c r="B77" s="46" t="s">
        <v>2234</v>
      </c>
      <c r="C77" s="46">
        <v>32</v>
      </c>
      <c r="D77" s="46" t="s">
        <v>2010</v>
      </c>
      <c r="E77" s="46" t="s">
        <v>2235</v>
      </c>
      <c r="F77" s="46" t="s">
        <v>122</v>
      </c>
      <c r="I77" s="46">
        <v>1</v>
      </c>
      <c r="M77" s="46">
        <v>1</v>
      </c>
      <c r="Q77" s="46">
        <v>1</v>
      </c>
      <c r="T77" s="46">
        <v>1</v>
      </c>
      <c r="W77" s="46">
        <v>17</v>
      </c>
      <c r="X77" s="46">
        <v>18</v>
      </c>
      <c r="Y77" s="46">
        <v>19</v>
      </c>
      <c r="Z77" s="46">
        <v>6</v>
      </c>
      <c r="AA77" s="46">
        <v>5</v>
      </c>
      <c r="AB77" s="46">
        <v>5</v>
      </c>
      <c r="AE77" s="46">
        <v>1</v>
      </c>
      <c r="AH77" s="46">
        <v>1</v>
      </c>
      <c r="AJ77" s="46">
        <v>1</v>
      </c>
      <c r="AK77" s="46">
        <v>1</v>
      </c>
      <c r="AT77" s="46">
        <v>1</v>
      </c>
      <c r="AW77" s="118"/>
      <c r="AX77" s="113"/>
      <c r="AY77" s="113"/>
      <c r="AZ77" s="113"/>
      <c r="BA77" s="46">
        <v>1</v>
      </c>
      <c r="BH77" s="46">
        <v>1</v>
      </c>
      <c r="BW77" s="46">
        <v>1</v>
      </c>
      <c r="BZ77" s="46">
        <v>1</v>
      </c>
      <c r="CC77" s="46">
        <v>1</v>
      </c>
      <c r="CI77" s="46">
        <v>1</v>
      </c>
      <c r="CU77" s="50">
        <v>46458</v>
      </c>
    </row>
    <row r="78" spans="1:99">
      <c r="A78" s="46" t="s">
        <v>2236</v>
      </c>
      <c r="B78" s="46" t="s">
        <v>2237</v>
      </c>
      <c r="C78" s="46">
        <v>36</v>
      </c>
      <c r="D78" s="46" t="s">
        <v>2107</v>
      </c>
      <c r="E78" s="46" t="s">
        <v>2238</v>
      </c>
      <c r="F78" s="46" t="s">
        <v>112</v>
      </c>
      <c r="G78" s="46">
        <v>1</v>
      </c>
      <c r="M78" s="46">
        <v>1</v>
      </c>
      <c r="Q78" s="46">
        <v>1</v>
      </c>
      <c r="U78" s="46">
        <v>1</v>
      </c>
      <c r="W78" s="46">
        <v>14</v>
      </c>
      <c r="X78" s="46">
        <v>16</v>
      </c>
      <c r="Y78" s="46">
        <v>16</v>
      </c>
      <c r="Z78" s="46">
        <v>7</v>
      </c>
      <c r="AA78" s="46">
        <v>6</v>
      </c>
      <c r="AB78" s="46">
        <v>6</v>
      </c>
      <c r="AH78" s="46">
        <v>1</v>
      </c>
      <c r="AI78" s="46">
        <v>1</v>
      </c>
      <c r="AK78" s="46">
        <v>1</v>
      </c>
      <c r="AT78" s="46">
        <v>1</v>
      </c>
      <c r="AW78" s="113"/>
      <c r="AX78" s="113"/>
      <c r="AY78" s="113"/>
      <c r="AZ78" s="113"/>
      <c r="BB78" s="46">
        <v>1</v>
      </c>
      <c r="BF78" s="46">
        <v>1</v>
      </c>
      <c r="BK78" s="46">
        <v>1</v>
      </c>
      <c r="BS78" s="46" t="s">
        <v>952</v>
      </c>
      <c r="BZ78" s="46">
        <v>1</v>
      </c>
      <c r="CI78" s="46">
        <v>1</v>
      </c>
      <c r="CU78" s="136">
        <v>45413</v>
      </c>
    </row>
    <row r="79" spans="1:99">
      <c r="A79" s="46" t="s">
        <v>2239</v>
      </c>
      <c r="B79" s="46" t="s">
        <v>2240</v>
      </c>
      <c r="C79" s="46">
        <v>58</v>
      </c>
      <c r="D79" s="46" t="s">
        <v>2103</v>
      </c>
      <c r="E79" s="46" t="s">
        <v>191</v>
      </c>
      <c r="F79" s="46" t="s">
        <v>127</v>
      </c>
      <c r="J79" s="46">
        <v>1</v>
      </c>
      <c r="L79" s="46">
        <v>1</v>
      </c>
      <c r="Q79" s="46" t="s">
        <v>191</v>
      </c>
      <c r="S79" s="46">
        <v>1</v>
      </c>
      <c r="W79" s="113"/>
      <c r="X79" s="46">
        <v>20</v>
      </c>
      <c r="Y79" s="46">
        <v>23</v>
      </c>
      <c r="Z79" s="46">
        <v>5</v>
      </c>
      <c r="AA79" s="46">
        <v>5</v>
      </c>
      <c r="AB79" s="46">
        <v>5</v>
      </c>
      <c r="AC79" s="46">
        <v>1</v>
      </c>
      <c r="AI79" s="46">
        <v>1</v>
      </c>
      <c r="AK79" s="46">
        <v>1</v>
      </c>
      <c r="AT79" s="46">
        <v>1</v>
      </c>
      <c r="AX79" s="46">
        <v>1</v>
      </c>
      <c r="BA79" s="46">
        <v>1</v>
      </c>
      <c r="BJ79" s="46">
        <v>1</v>
      </c>
      <c r="BM79" s="46">
        <v>1</v>
      </c>
      <c r="BW79" s="46">
        <v>1</v>
      </c>
      <c r="BZ79" s="46">
        <v>1</v>
      </c>
      <c r="CC79" s="46">
        <v>1</v>
      </c>
      <c r="CI79" s="46">
        <v>1</v>
      </c>
      <c r="CU79" s="50">
        <v>46460</v>
      </c>
    </row>
    <row r="80" spans="1:99">
      <c r="A80" s="46" t="s">
        <v>2241</v>
      </c>
      <c r="B80" s="46" t="s">
        <v>2242</v>
      </c>
      <c r="C80" s="46">
        <v>32</v>
      </c>
      <c r="D80" s="46" t="s">
        <v>2088</v>
      </c>
      <c r="E80" s="46" t="s">
        <v>2243</v>
      </c>
      <c r="F80" s="46" t="s">
        <v>2244</v>
      </c>
      <c r="G80" s="46">
        <v>1</v>
      </c>
      <c r="M80" s="46">
        <v>1</v>
      </c>
      <c r="Q80" s="46">
        <v>1</v>
      </c>
      <c r="T80" s="46">
        <v>1</v>
      </c>
      <c r="W80" s="46">
        <v>15</v>
      </c>
      <c r="X80" s="46">
        <v>18</v>
      </c>
      <c r="Y80" s="46" t="s">
        <v>191</v>
      </c>
      <c r="Z80" s="46">
        <v>0</v>
      </c>
      <c r="AA80" s="46">
        <v>0</v>
      </c>
      <c r="AB80" s="46">
        <v>0</v>
      </c>
      <c r="AG80" s="46">
        <v>1</v>
      </c>
      <c r="AI80" s="113"/>
      <c r="AJ80" s="113"/>
      <c r="AK80" s="46">
        <v>1</v>
      </c>
      <c r="AT80" s="46">
        <v>1</v>
      </c>
      <c r="AW80" s="46">
        <v>1</v>
      </c>
      <c r="BA80" s="46">
        <v>1</v>
      </c>
      <c r="BH80" s="46">
        <v>1</v>
      </c>
      <c r="BZ80" s="46">
        <v>1</v>
      </c>
      <c r="CC80" s="46">
        <v>1</v>
      </c>
      <c r="CL80" s="46">
        <v>1</v>
      </c>
      <c r="CU80" s="50">
        <v>46461</v>
      </c>
    </row>
    <row r="81" spans="1:99">
      <c r="A81" s="46" t="s">
        <v>2245</v>
      </c>
      <c r="B81" s="46" t="s">
        <v>2246</v>
      </c>
      <c r="C81" s="46">
        <v>62</v>
      </c>
      <c r="D81" s="46" t="s">
        <v>2103</v>
      </c>
      <c r="E81" s="46" t="s">
        <v>2247</v>
      </c>
      <c r="F81" s="46" t="s">
        <v>112</v>
      </c>
      <c r="H81" s="46">
        <v>1</v>
      </c>
      <c r="M81" s="46">
        <v>1</v>
      </c>
      <c r="Q81" s="46">
        <v>1</v>
      </c>
      <c r="S81" s="46">
        <v>1</v>
      </c>
      <c r="W81" s="46">
        <v>12</v>
      </c>
      <c r="X81" s="46">
        <v>15</v>
      </c>
      <c r="Y81" s="46">
        <v>18</v>
      </c>
      <c r="Z81" s="46">
        <v>9</v>
      </c>
      <c r="AA81" s="46">
        <v>7</v>
      </c>
      <c r="AB81" s="46">
        <v>7</v>
      </c>
      <c r="AE81" s="46">
        <v>1</v>
      </c>
      <c r="AH81" s="46">
        <v>1</v>
      </c>
      <c r="AJ81" s="46">
        <v>1</v>
      </c>
      <c r="AK81" s="46">
        <v>1</v>
      </c>
      <c r="AT81" s="46">
        <v>1</v>
      </c>
      <c r="AW81" s="46">
        <v>1</v>
      </c>
      <c r="BB81" s="46">
        <v>1</v>
      </c>
      <c r="BF81" s="46">
        <v>1</v>
      </c>
      <c r="BJ81" s="46">
        <v>1</v>
      </c>
      <c r="BZ81" s="46">
        <v>1</v>
      </c>
      <c r="CC81" s="46">
        <v>1</v>
      </c>
      <c r="CL81" s="46">
        <v>1</v>
      </c>
      <c r="CU81" s="50">
        <v>46462</v>
      </c>
    </row>
  </sheetData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137" t="s">
        <v>360</v>
      </c>
      <c r="AC2" s="66" t="s">
        <v>369</v>
      </c>
      <c r="AD2" s="64" t="s">
        <v>365</v>
      </c>
    </row>
    <row r="3" spans="1:30">
      <c r="A3" s="68" t="s">
        <v>2248</v>
      </c>
      <c r="B3" s="69">
        <v>6</v>
      </c>
      <c r="C3" s="69"/>
      <c r="D3" s="69">
        <v>2</v>
      </c>
      <c r="E3" s="69">
        <f t="shared" ref="E3:E8" si="0">SUM(B3:D3)</f>
        <v>8</v>
      </c>
      <c r="F3" s="70">
        <v>1</v>
      </c>
      <c r="G3" s="70">
        <v>6</v>
      </c>
      <c r="H3" s="70">
        <v>1</v>
      </c>
      <c r="I3" s="71">
        <f t="shared" ref="I3:I9" si="1">SUM(F3:H3)</f>
        <v>8</v>
      </c>
      <c r="J3" s="70"/>
      <c r="K3" s="70"/>
      <c r="L3" s="70"/>
      <c r="M3" s="70"/>
      <c r="N3" s="71">
        <f t="shared" ref="N3:N9" si="2">SUM(J3:M3)</f>
        <v>0</v>
      </c>
      <c r="O3" s="70">
        <v>1</v>
      </c>
      <c r="P3" s="70"/>
      <c r="Q3" s="70">
        <v>4</v>
      </c>
      <c r="R3" s="71">
        <f t="shared" ref="R3:R8" si="3">SUM(O3:Q3)</f>
        <v>5</v>
      </c>
      <c r="S3" s="70"/>
      <c r="T3" s="70"/>
      <c r="U3" s="70"/>
      <c r="V3" s="70"/>
      <c r="W3" s="70"/>
      <c r="X3" s="70"/>
      <c r="Y3" s="73">
        <v>6</v>
      </c>
      <c r="Z3" s="73"/>
      <c r="AA3" s="73"/>
      <c r="AB3" s="73">
        <v>2</v>
      </c>
      <c r="AC3" s="73">
        <f t="shared" ref="AC3:AC8" si="4">SUM(Y3:AB3)</f>
        <v>8</v>
      </c>
      <c r="AD3" s="73"/>
    </row>
    <row r="4" spans="1:30">
      <c r="A4" s="74" t="s">
        <v>2249</v>
      </c>
      <c r="B4" s="69">
        <v>27</v>
      </c>
      <c r="C4" s="69">
        <v>1</v>
      </c>
      <c r="D4" s="69">
        <v>1</v>
      </c>
      <c r="E4" s="69">
        <f t="shared" si="0"/>
        <v>29</v>
      </c>
      <c r="F4" s="70">
        <v>3</v>
      </c>
      <c r="G4" s="70">
        <v>23</v>
      </c>
      <c r="H4" s="70">
        <v>1</v>
      </c>
      <c r="I4" s="71">
        <f t="shared" si="1"/>
        <v>27</v>
      </c>
      <c r="J4" s="70"/>
      <c r="K4" s="70">
        <v>2</v>
      </c>
      <c r="L4" s="70"/>
      <c r="M4" s="70"/>
      <c r="N4" s="71">
        <f t="shared" si="2"/>
        <v>2</v>
      </c>
      <c r="O4" s="70"/>
      <c r="P4" s="70"/>
      <c r="Q4" s="70">
        <v>2</v>
      </c>
      <c r="R4" s="71">
        <f t="shared" si="3"/>
        <v>2</v>
      </c>
      <c r="S4" s="75"/>
      <c r="T4" s="75"/>
      <c r="U4" s="75">
        <v>1</v>
      </c>
      <c r="V4" s="75"/>
      <c r="W4" s="75"/>
      <c r="X4" s="76"/>
      <c r="Y4" s="73">
        <v>21</v>
      </c>
      <c r="Z4" s="73"/>
      <c r="AA4" s="73"/>
      <c r="AB4" s="73">
        <v>8</v>
      </c>
      <c r="AC4" s="73">
        <f t="shared" si="4"/>
        <v>29</v>
      </c>
      <c r="AD4" s="73"/>
    </row>
    <row r="5" spans="1:30">
      <c r="A5" s="77" t="s">
        <v>2250</v>
      </c>
      <c r="B5" s="69">
        <v>21</v>
      </c>
      <c r="C5" s="69">
        <v>1</v>
      </c>
      <c r="D5" s="69"/>
      <c r="E5" s="69">
        <f t="shared" si="0"/>
        <v>22</v>
      </c>
      <c r="F5" s="70">
        <v>1</v>
      </c>
      <c r="G5" s="70">
        <v>20</v>
      </c>
      <c r="H5" s="70"/>
      <c r="I5" s="71">
        <f t="shared" si="1"/>
        <v>21</v>
      </c>
      <c r="J5" s="70"/>
      <c r="K5" s="70">
        <v>1</v>
      </c>
      <c r="L5" s="70"/>
      <c r="M5" s="70"/>
      <c r="N5" s="71">
        <f t="shared" si="2"/>
        <v>1</v>
      </c>
      <c r="O5" s="70">
        <v>1</v>
      </c>
      <c r="P5" s="70"/>
      <c r="Q5" s="70">
        <v>5</v>
      </c>
      <c r="R5" s="71">
        <f t="shared" si="3"/>
        <v>6</v>
      </c>
      <c r="S5" s="75"/>
      <c r="T5" s="75"/>
      <c r="U5" s="75"/>
      <c r="V5" s="75">
        <v>1</v>
      </c>
      <c r="W5" s="75"/>
      <c r="X5" s="76"/>
      <c r="Y5" s="73">
        <v>18</v>
      </c>
      <c r="Z5" s="73"/>
      <c r="AA5" s="73"/>
      <c r="AB5" s="73">
        <v>4</v>
      </c>
      <c r="AC5" s="73">
        <f t="shared" si="4"/>
        <v>22</v>
      </c>
      <c r="AD5" s="73"/>
    </row>
    <row r="6" spans="1:30">
      <c r="A6" s="77" t="s">
        <v>1824</v>
      </c>
      <c r="B6" s="69">
        <v>8</v>
      </c>
      <c r="C6" s="69">
        <v>2</v>
      </c>
      <c r="D6" s="69">
        <v>1</v>
      </c>
      <c r="E6" s="69">
        <f t="shared" si="0"/>
        <v>11</v>
      </c>
      <c r="F6" s="70"/>
      <c r="G6" s="70">
        <v>7</v>
      </c>
      <c r="H6" s="70">
        <v>1</v>
      </c>
      <c r="I6" s="71">
        <f t="shared" si="1"/>
        <v>8</v>
      </c>
      <c r="J6" s="70">
        <v>3</v>
      </c>
      <c r="K6" s="70"/>
      <c r="L6" s="70"/>
      <c r="M6" s="70"/>
      <c r="N6" s="71">
        <f t="shared" si="2"/>
        <v>3</v>
      </c>
      <c r="O6" s="70"/>
      <c r="P6" s="70"/>
      <c r="Q6" s="70">
        <v>2</v>
      </c>
      <c r="R6" s="71">
        <f t="shared" si="3"/>
        <v>2</v>
      </c>
      <c r="S6" s="75"/>
      <c r="T6" s="75"/>
      <c r="U6" s="75"/>
      <c r="V6" s="75"/>
      <c r="W6" s="75"/>
      <c r="X6" s="76"/>
      <c r="Y6" s="73">
        <v>3</v>
      </c>
      <c r="Z6" s="73">
        <v>1</v>
      </c>
      <c r="AA6" s="73"/>
      <c r="AB6" s="73">
        <v>7</v>
      </c>
      <c r="AC6" s="73">
        <f t="shared" si="4"/>
        <v>11</v>
      </c>
      <c r="AD6" s="73">
        <v>1</v>
      </c>
    </row>
    <row r="7" spans="1:30">
      <c r="A7" s="77" t="s">
        <v>776</v>
      </c>
      <c r="B7" s="69">
        <v>4</v>
      </c>
      <c r="C7" s="69"/>
      <c r="D7" s="69"/>
      <c r="E7" s="69">
        <f t="shared" si="0"/>
        <v>4</v>
      </c>
      <c r="F7" s="70"/>
      <c r="G7" s="70"/>
      <c r="H7" s="70"/>
      <c r="I7" s="71">
        <f t="shared" si="1"/>
        <v>0</v>
      </c>
      <c r="J7" s="70">
        <v>3</v>
      </c>
      <c r="K7" s="70">
        <v>1</v>
      </c>
      <c r="L7" s="70"/>
      <c r="M7" s="70"/>
      <c r="N7" s="71">
        <f t="shared" si="2"/>
        <v>4</v>
      </c>
      <c r="O7" s="70"/>
      <c r="P7" s="70"/>
      <c r="Q7" s="70">
        <v>2</v>
      </c>
      <c r="R7" s="71">
        <f t="shared" si="3"/>
        <v>2</v>
      </c>
      <c r="S7" s="75"/>
      <c r="T7" s="75"/>
      <c r="U7" s="75"/>
      <c r="V7" s="75">
        <v>1</v>
      </c>
      <c r="W7" s="75"/>
      <c r="X7" s="76"/>
      <c r="Y7" s="73">
        <v>2</v>
      </c>
      <c r="Z7" s="73"/>
      <c r="AA7" s="73"/>
      <c r="AB7" s="73">
        <v>2</v>
      </c>
      <c r="AC7" s="73">
        <f t="shared" si="4"/>
        <v>4</v>
      </c>
      <c r="AD7" s="73"/>
    </row>
    <row r="8" spans="1:30">
      <c r="A8" s="78" t="s">
        <v>1825</v>
      </c>
      <c r="B8" s="79">
        <v>4</v>
      </c>
      <c r="C8" s="79"/>
      <c r="D8" s="79"/>
      <c r="E8" s="69">
        <f t="shared" si="0"/>
        <v>4</v>
      </c>
      <c r="F8" s="80"/>
      <c r="G8" s="80"/>
      <c r="H8" s="80"/>
      <c r="I8" s="71">
        <f t="shared" si="1"/>
        <v>0</v>
      </c>
      <c r="J8" s="80">
        <v>4</v>
      </c>
      <c r="K8" s="80"/>
      <c r="L8" s="80"/>
      <c r="M8" s="80"/>
      <c r="N8" s="71">
        <f t="shared" si="2"/>
        <v>4</v>
      </c>
      <c r="O8" s="80"/>
      <c r="P8" s="80"/>
      <c r="Q8" s="80">
        <v>2</v>
      </c>
      <c r="R8" s="71">
        <f t="shared" si="3"/>
        <v>2</v>
      </c>
      <c r="S8" s="80"/>
      <c r="T8" s="80"/>
      <c r="U8" s="80"/>
      <c r="V8" s="80"/>
      <c r="W8" s="80"/>
      <c r="X8" s="81"/>
      <c r="Y8" s="82">
        <v>1</v>
      </c>
      <c r="Z8" s="82"/>
      <c r="AA8" s="82"/>
      <c r="AB8" s="82">
        <v>3</v>
      </c>
      <c r="AC8" s="73">
        <f t="shared" si="4"/>
        <v>4</v>
      </c>
      <c r="AD8" s="82"/>
    </row>
    <row r="9" spans="1:30">
      <c r="A9" s="69" t="s">
        <v>376</v>
      </c>
      <c r="B9" s="69">
        <f t="shared" ref="B9:H9" si="5">SUM(B3:B8)</f>
        <v>70</v>
      </c>
      <c r="C9" s="69">
        <f t="shared" si="5"/>
        <v>4</v>
      </c>
      <c r="D9" s="69">
        <f t="shared" si="5"/>
        <v>4</v>
      </c>
      <c r="E9" s="69">
        <f t="shared" si="5"/>
        <v>78</v>
      </c>
      <c r="F9" s="69">
        <f t="shared" si="5"/>
        <v>5</v>
      </c>
      <c r="G9" s="69">
        <f t="shared" si="5"/>
        <v>56</v>
      </c>
      <c r="H9" s="69">
        <f t="shared" si="5"/>
        <v>3</v>
      </c>
      <c r="I9" s="71">
        <f t="shared" si="1"/>
        <v>64</v>
      </c>
      <c r="J9" s="114">
        <f>SUM(J3:J8)</f>
        <v>10</v>
      </c>
      <c r="K9" s="114">
        <f>SUM(K3:K8)</f>
        <v>4</v>
      </c>
      <c r="L9" s="114">
        <f>SUM(L3:L8)</f>
        <v>0</v>
      </c>
      <c r="M9" s="114">
        <f>SUM(M3:M8)</f>
        <v>0</v>
      </c>
      <c r="N9" s="71">
        <f t="shared" si="2"/>
        <v>14</v>
      </c>
      <c r="O9" s="114">
        <f t="shared" ref="O9:AC9" si="6">SUM(O3:O8)</f>
        <v>2</v>
      </c>
      <c r="P9" s="114">
        <f t="shared" si="6"/>
        <v>0</v>
      </c>
      <c r="Q9" s="114">
        <f t="shared" si="6"/>
        <v>17</v>
      </c>
      <c r="R9" s="71">
        <f t="shared" si="6"/>
        <v>19</v>
      </c>
      <c r="S9" s="114">
        <f t="shared" si="6"/>
        <v>0</v>
      </c>
      <c r="T9" s="114">
        <f t="shared" si="6"/>
        <v>0</v>
      </c>
      <c r="U9" s="114">
        <f t="shared" si="6"/>
        <v>1</v>
      </c>
      <c r="V9" s="114">
        <f t="shared" si="6"/>
        <v>2</v>
      </c>
      <c r="W9" s="114">
        <f t="shared" si="6"/>
        <v>0</v>
      </c>
      <c r="X9" s="114">
        <f t="shared" si="6"/>
        <v>0</v>
      </c>
      <c r="Y9" s="73">
        <f t="shared" si="6"/>
        <v>51</v>
      </c>
      <c r="Z9" s="73">
        <f t="shared" si="6"/>
        <v>1</v>
      </c>
      <c r="AA9" s="73">
        <f t="shared" si="6"/>
        <v>0</v>
      </c>
      <c r="AB9" s="73">
        <f t="shared" si="6"/>
        <v>26</v>
      </c>
      <c r="AC9" s="73">
        <f t="shared" si="6"/>
        <v>78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8.5703125" customWidth="1"/>
    <col min="2" max="2" width="22.140625" customWidth="1"/>
    <col min="3" max="3" width="5.85546875" customWidth="1"/>
    <col min="5" max="5" width="12.7109375" customWidth="1"/>
    <col min="6" max="6" width="11.28515625" customWidth="1"/>
    <col min="7" max="7" width="7.42578125" customWidth="1"/>
    <col min="8" max="8" width="7.85546875" customWidth="1"/>
    <col min="9" max="9" width="7.5703125" customWidth="1"/>
    <col min="10" max="10" width="8" customWidth="1"/>
    <col min="11" max="12" width="7.7109375" customWidth="1"/>
    <col min="13" max="13" width="7" customWidth="1"/>
    <col min="14" max="14" width="6.7109375" customWidth="1"/>
    <col min="15" max="15" width="5.7109375" customWidth="1"/>
    <col min="16" max="16" width="6.28515625" customWidth="1"/>
    <col min="17" max="17" width="8" customWidth="1"/>
    <col min="18" max="18" width="8.28515625" customWidth="1"/>
    <col min="19" max="19" width="8" customWidth="1"/>
    <col min="20" max="20" width="7" customWidth="1"/>
    <col min="21" max="21" width="6.5703125" customWidth="1"/>
    <col min="22" max="22" width="6.85546875" customWidth="1"/>
    <col min="23" max="23" width="9.28515625" customWidth="1"/>
    <col min="24" max="24" width="10.85546875" customWidth="1"/>
    <col min="25" max="25" width="10.5703125" customWidth="1"/>
    <col min="26" max="26" width="8.7109375" customWidth="1"/>
    <col min="27" max="27" width="9.85546875" customWidth="1"/>
    <col min="28" max="28" width="8.42578125" customWidth="1"/>
    <col min="29" max="29" width="6.85546875" customWidth="1"/>
    <col min="30" max="30" width="8.28515625" customWidth="1"/>
    <col min="31" max="31" width="8" customWidth="1"/>
    <col min="32" max="33" width="9" customWidth="1"/>
    <col min="34" max="34" width="6.5703125" customWidth="1"/>
    <col min="35" max="35" width="6.42578125" customWidth="1"/>
    <col min="36" max="36" width="8.5703125" customWidth="1"/>
    <col min="37" max="37" width="7.7109375" customWidth="1"/>
    <col min="38" max="38" width="8.140625" customWidth="1"/>
    <col min="39" max="39" width="11.42578125" customWidth="1"/>
    <col min="40" max="40" width="8.42578125" customWidth="1"/>
    <col min="41" max="41" width="7.85546875" customWidth="1"/>
    <col min="42" max="42" width="9.28515625" customWidth="1"/>
    <col min="43" max="43" width="11" customWidth="1"/>
    <col min="44" max="44" width="12.28515625" customWidth="1"/>
    <col min="45" max="45" width="8.7109375" customWidth="1"/>
    <col min="46" max="46" width="8.42578125" customWidth="1"/>
    <col min="47" max="47" width="9.28515625" customWidth="1"/>
    <col min="48" max="48" width="7.28515625" customWidth="1"/>
    <col min="49" max="50" width="8.85546875" customWidth="1"/>
    <col min="51" max="51" width="8.7109375" customWidth="1"/>
    <col min="52" max="52" width="5.42578125" customWidth="1"/>
    <col min="53" max="53" width="6.42578125" customWidth="1"/>
    <col min="54" max="54" width="6.7109375" customWidth="1"/>
    <col min="55" max="55" width="8.28515625" customWidth="1"/>
    <col min="56" max="56" width="10.5703125" customWidth="1"/>
    <col min="57" max="57" width="8.42578125" customWidth="1"/>
    <col min="58" max="58" width="9.5703125" customWidth="1"/>
    <col min="59" max="59" width="10.42578125" customWidth="1"/>
    <col min="60" max="60" width="6.42578125" customWidth="1"/>
    <col min="61" max="61" width="8.28515625" customWidth="1"/>
    <col min="62" max="62" width="9.42578125" customWidth="1"/>
    <col min="63" max="63" width="10.85546875" customWidth="1"/>
    <col min="64" max="64" width="10.28515625" customWidth="1"/>
    <col min="65" max="65" width="9.42578125" customWidth="1"/>
    <col min="66" max="66" width="7.140625" customWidth="1"/>
    <col min="67" max="67" width="9.42578125" customWidth="1"/>
    <col min="68" max="68" width="7.140625" customWidth="1"/>
    <col min="69" max="69" width="8.28515625" customWidth="1"/>
    <col min="70" max="70" width="10.85546875" customWidth="1"/>
    <col min="71" max="71" width="12" customWidth="1"/>
    <col min="72" max="72" width="2" customWidth="1"/>
    <col min="73" max="73" width="8.140625" customWidth="1"/>
    <col min="74" max="74" width="9.85546875" customWidth="1"/>
    <col min="75" max="75" width="12.140625" customWidth="1"/>
    <col min="76" max="76" width="11" customWidth="1"/>
    <col min="77" max="77" width="12" customWidth="1"/>
    <col min="78" max="78" width="7.42578125" customWidth="1"/>
    <col min="79" max="79" width="9.140625" customWidth="1"/>
    <col min="80" max="80" width="9.85546875" customWidth="1"/>
    <col min="81" max="81" width="10.7109375" customWidth="1"/>
    <col min="82" max="82" width="12.28515625" customWidth="1"/>
    <col min="83" max="83" width="10.5703125" customWidth="1"/>
    <col min="84" max="84" width="8" customWidth="1"/>
    <col min="85" max="85" width="8.140625" customWidth="1"/>
    <col min="86" max="86" width="10.42578125" customWidth="1"/>
    <col min="87" max="87" width="8.28515625" customWidth="1"/>
    <col min="88" max="88" width="11.7109375" customWidth="1"/>
    <col min="89" max="89" width="9.7109375" customWidth="1"/>
    <col min="90" max="90" width="9.5703125" customWidth="1"/>
    <col min="91" max="91" width="8.42578125" customWidth="1"/>
    <col min="92" max="93" width="8.5703125" customWidth="1"/>
    <col min="94" max="94" width="8" customWidth="1"/>
    <col min="95" max="95" width="11.28515625" customWidth="1"/>
    <col min="96" max="96" width="14" customWidth="1"/>
    <col min="98" max="98" width="9.7109375" customWidth="1"/>
    <col min="99" max="99" width="17" customWidth="1"/>
  </cols>
  <sheetData>
    <row r="1" spans="1:99">
      <c r="A1" s="479" t="s">
        <v>2251</v>
      </c>
      <c r="B1" s="480"/>
      <c r="C1" s="479" t="s">
        <v>2252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360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2253</v>
      </c>
      <c r="B4" s="46" t="s">
        <v>2254</v>
      </c>
      <c r="C4" s="46">
        <v>24</v>
      </c>
      <c r="D4" s="46" t="s">
        <v>2255</v>
      </c>
      <c r="E4" s="46" t="s">
        <v>2256</v>
      </c>
      <c r="F4" s="46" t="s">
        <v>145</v>
      </c>
      <c r="J4" s="46">
        <v>1</v>
      </c>
      <c r="O4" s="46">
        <v>1</v>
      </c>
      <c r="R4" s="46">
        <v>1</v>
      </c>
      <c r="T4" s="46">
        <v>1</v>
      </c>
      <c r="W4" s="46">
        <v>15</v>
      </c>
      <c r="X4" s="46">
        <v>17</v>
      </c>
      <c r="Y4" s="46">
        <v>21</v>
      </c>
      <c r="Z4" s="46">
        <v>1</v>
      </c>
      <c r="AA4" s="46">
        <v>1</v>
      </c>
      <c r="AB4" s="46">
        <v>1</v>
      </c>
      <c r="AE4" s="46">
        <v>1</v>
      </c>
      <c r="AG4" s="46">
        <v>1</v>
      </c>
      <c r="AH4" s="46">
        <v>1</v>
      </c>
      <c r="AI4" s="113"/>
      <c r="AJ4" s="113"/>
      <c r="AM4" s="46">
        <v>1</v>
      </c>
      <c r="AT4" s="46">
        <v>1</v>
      </c>
      <c r="AW4" s="46">
        <v>1</v>
      </c>
      <c r="BA4" s="46">
        <v>1</v>
      </c>
      <c r="BM4" s="46">
        <v>1</v>
      </c>
      <c r="BW4" s="46">
        <v>1</v>
      </c>
      <c r="BZ4" s="46">
        <v>1</v>
      </c>
      <c r="CC4" s="46">
        <v>1</v>
      </c>
      <c r="CI4" s="46">
        <v>1</v>
      </c>
      <c r="CU4" s="46" t="s">
        <v>2257</v>
      </c>
    </row>
    <row r="5" spans="1:99">
      <c r="A5" s="46" t="s">
        <v>2258</v>
      </c>
      <c r="B5" s="46" t="s">
        <v>2259</v>
      </c>
      <c r="C5" s="46">
        <v>54</v>
      </c>
      <c r="D5" s="46" t="s">
        <v>1112</v>
      </c>
      <c r="E5" s="46" t="s">
        <v>2260</v>
      </c>
      <c r="F5" s="46" t="s">
        <v>112</v>
      </c>
      <c r="I5" s="46">
        <v>1</v>
      </c>
      <c r="M5" s="46">
        <v>1</v>
      </c>
      <c r="R5" s="46">
        <v>1</v>
      </c>
      <c r="U5" s="46">
        <v>1</v>
      </c>
      <c r="W5" s="46">
        <v>15</v>
      </c>
      <c r="X5" s="46">
        <v>18</v>
      </c>
      <c r="Y5" s="46">
        <v>19</v>
      </c>
      <c r="Z5" s="46">
        <v>5</v>
      </c>
      <c r="AA5" s="46">
        <v>4</v>
      </c>
      <c r="AB5" s="46">
        <v>4</v>
      </c>
      <c r="AE5" s="46">
        <v>1</v>
      </c>
      <c r="AH5" s="46">
        <v>1</v>
      </c>
      <c r="AI5" s="46">
        <v>1</v>
      </c>
      <c r="AM5" s="46">
        <v>1</v>
      </c>
      <c r="AT5" s="46">
        <v>1</v>
      </c>
      <c r="AW5" s="46">
        <v>1</v>
      </c>
      <c r="BA5" s="46">
        <v>1</v>
      </c>
      <c r="BK5" s="46">
        <v>1</v>
      </c>
      <c r="BS5" s="46">
        <v>1</v>
      </c>
      <c r="BX5" s="46" t="s">
        <v>952</v>
      </c>
      <c r="BZ5" s="46">
        <v>1</v>
      </c>
      <c r="CC5" s="46">
        <v>1</v>
      </c>
      <c r="CU5" s="46" t="s">
        <v>2261</v>
      </c>
    </row>
    <row r="6" spans="1:99">
      <c r="A6" s="46" t="s">
        <v>2262</v>
      </c>
      <c r="B6" s="46" t="s">
        <v>2263</v>
      </c>
      <c r="C6" s="46">
        <v>47</v>
      </c>
      <c r="D6" s="46" t="s">
        <v>2004</v>
      </c>
      <c r="E6" s="46" t="s">
        <v>2264</v>
      </c>
      <c r="F6" s="46" t="s">
        <v>112</v>
      </c>
      <c r="H6" s="46">
        <v>1</v>
      </c>
      <c r="M6" s="46">
        <v>1</v>
      </c>
      <c r="R6" s="46">
        <v>1</v>
      </c>
      <c r="U6" s="46">
        <v>1</v>
      </c>
      <c r="W6" s="46">
        <v>17</v>
      </c>
      <c r="X6" s="46">
        <v>18</v>
      </c>
      <c r="Y6" s="46">
        <v>20</v>
      </c>
      <c r="Z6" s="46">
        <v>6</v>
      </c>
      <c r="AA6" s="46">
        <v>4</v>
      </c>
      <c r="AB6" s="46">
        <v>3</v>
      </c>
      <c r="AC6" s="46">
        <v>1</v>
      </c>
      <c r="AI6" s="113"/>
      <c r="AJ6" s="113"/>
      <c r="AK6" s="46">
        <v>1</v>
      </c>
      <c r="AT6" s="46">
        <v>1</v>
      </c>
      <c r="AX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U6" s="50">
        <v>46447</v>
      </c>
    </row>
    <row r="7" spans="1:99">
      <c r="A7" s="46" t="s">
        <v>2265</v>
      </c>
      <c r="B7" s="46" t="s">
        <v>2266</v>
      </c>
      <c r="C7" s="46">
        <v>55</v>
      </c>
      <c r="D7" s="46" t="s">
        <v>1112</v>
      </c>
      <c r="E7" s="46" t="s">
        <v>2267</v>
      </c>
      <c r="F7" s="46" t="s">
        <v>173</v>
      </c>
      <c r="J7" s="46">
        <v>1</v>
      </c>
      <c r="P7" s="46">
        <v>1</v>
      </c>
      <c r="Q7" s="46">
        <v>1</v>
      </c>
      <c r="T7" s="46">
        <v>1</v>
      </c>
      <c r="W7" s="46">
        <v>16</v>
      </c>
      <c r="X7" s="46">
        <v>17</v>
      </c>
      <c r="Y7" s="46">
        <v>18</v>
      </c>
      <c r="Z7" s="46">
        <v>8</v>
      </c>
      <c r="AA7" s="46">
        <v>8</v>
      </c>
      <c r="AB7" s="46">
        <v>8</v>
      </c>
      <c r="AC7" s="46">
        <v>1</v>
      </c>
      <c r="AI7" s="113"/>
      <c r="AJ7" s="113"/>
      <c r="AK7" s="46">
        <v>1</v>
      </c>
      <c r="AT7" s="46">
        <v>1</v>
      </c>
      <c r="AW7" s="46">
        <v>1</v>
      </c>
      <c r="BA7" s="46">
        <v>1</v>
      </c>
      <c r="BJ7" s="46">
        <v>1</v>
      </c>
      <c r="BZ7" s="46">
        <v>1</v>
      </c>
      <c r="CC7" s="46">
        <v>1</v>
      </c>
      <c r="CU7" s="50">
        <v>46448</v>
      </c>
    </row>
    <row r="8" spans="1:99">
      <c r="A8" s="46" t="s">
        <v>2268</v>
      </c>
      <c r="B8" s="46" t="s">
        <v>2269</v>
      </c>
      <c r="C8" s="46">
        <v>36</v>
      </c>
      <c r="D8" s="46" t="s">
        <v>2270</v>
      </c>
      <c r="E8" s="46" t="s">
        <v>2271</v>
      </c>
      <c r="F8" s="46" t="s">
        <v>122</v>
      </c>
      <c r="H8" s="46">
        <v>1</v>
      </c>
      <c r="O8" s="46">
        <v>1</v>
      </c>
      <c r="R8" s="46">
        <v>1</v>
      </c>
      <c r="U8" s="46">
        <v>1</v>
      </c>
      <c r="W8" s="46">
        <v>19</v>
      </c>
      <c r="X8" s="46">
        <v>19</v>
      </c>
      <c r="Y8" s="46">
        <v>20</v>
      </c>
      <c r="Z8" s="46">
        <v>5</v>
      </c>
      <c r="AA8" s="46">
        <v>5</v>
      </c>
      <c r="AB8" s="46">
        <v>5</v>
      </c>
      <c r="AC8" s="46">
        <v>1</v>
      </c>
      <c r="AJ8" s="46">
        <v>1</v>
      </c>
      <c r="AK8" s="46">
        <v>1</v>
      </c>
      <c r="AT8" s="46">
        <v>1</v>
      </c>
      <c r="AX8" s="46">
        <v>1</v>
      </c>
      <c r="BA8" s="46">
        <v>1</v>
      </c>
      <c r="BI8" s="46">
        <v>1</v>
      </c>
      <c r="BZ8" s="46">
        <v>1</v>
      </c>
      <c r="CC8" s="46">
        <v>1</v>
      </c>
      <c r="CU8" s="50">
        <v>46449</v>
      </c>
    </row>
    <row r="9" spans="1:99">
      <c r="A9" s="46" t="s">
        <v>2272</v>
      </c>
      <c r="B9" s="46" t="s">
        <v>2273</v>
      </c>
      <c r="C9" s="46">
        <v>23</v>
      </c>
      <c r="D9" s="46" t="s">
        <v>1112</v>
      </c>
      <c r="E9" s="46" t="s">
        <v>2274</v>
      </c>
      <c r="F9" s="46" t="s">
        <v>112</v>
      </c>
      <c r="H9" s="46">
        <v>1</v>
      </c>
      <c r="N9" s="46">
        <v>1</v>
      </c>
      <c r="Q9" s="46">
        <v>1</v>
      </c>
      <c r="T9" s="46">
        <v>1</v>
      </c>
      <c r="W9" s="46">
        <v>13</v>
      </c>
      <c r="X9" s="46">
        <v>18</v>
      </c>
      <c r="Y9" s="46" t="s">
        <v>191</v>
      </c>
      <c r="Z9" s="46">
        <v>0</v>
      </c>
      <c r="AA9" s="46">
        <v>0</v>
      </c>
      <c r="AB9" s="46">
        <v>0</v>
      </c>
      <c r="AE9" s="46">
        <v>1</v>
      </c>
      <c r="AG9" s="46">
        <v>1</v>
      </c>
      <c r="AH9" s="46">
        <v>1</v>
      </c>
      <c r="AI9" s="113"/>
      <c r="AJ9" s="113"/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U9" s="50">
        <v>46450</v>
      </c>
    </row>
    <row r="10" spans="1:99">
      <c r="A10" s="46" t="s">
        <v>2275</v>
      </c>
      <c r="B10" s="46" t="s">
        <v>2276</v>
      </c>
      <c r="C10" s="46">
        <v>51</v>
      </c>
      <c r="D10" s="46" t="s">
        <v>933</v>
      </c>
      <c r="E10" s="46" t="s">
        <v>2277</v>
      </c>
      <c r="F10" s="46" t="s">
        <v>112</v>
      </c>
      <c r="I10" s="46">
        <v>1</v>
      </c>
      <c r="O10" s="46">
        <v>1</v>
      </c>
      <c r="R10" s="46">
        <v>1</v>
      </c>
      <c r="S10" s="46">
        <v>1</v>
      </c>
      <c r="W10" s="46">
        <v>14</v>
      </c>
      <c r="X10" s="46">
        <v>15</v>
      </c>
      <c r="Y10" s="46">
        <v>17</v>
      </c>
      <c r="Z10" s="46">
        <v>7</v>
      </c>
      <c r="AA10" s="46">
        <v>7</v>
      </c>
      <c r="AB10" s="46">
        <v>3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J10" s="46">
        <v>1</v>
      </c>
      <c r="BZ10" s="46">
        <v>1</v>
      </c>
      <c r="CC10" s="46">
        <v>1</v>
      </c>
      <c r="CU10" s="50">
        <v>46451</v>
      </c>
    </row>
    <row r="11" spans="1:99">
      <c r="A11" s="46" t="s">
        <v>2278</v>
      </c>
      <c r="B11" s="46" t="s">
        <v>2279</v>
      </c>
      <c r="C11" s="46">
        <v>49</v>
      </c>
      <c r="D11" s="46" t="s">
        <v>1459</v>
      </c>
      <c r="E11" s="46" t="s">
        <v>2280</v>
      </c>
      <c r="F11" s="46" t="s">
        <v>112</v>
      </c>
      <c r="H11" s="46">
        <v>1</v>
      </c>
      <c r="O11" s="46">
        <v>1</v>
      </c>
      <c r="R11" s="46">
        <v>1</v>
      </c>
      <c r="U11" s="46">
        <v>1</v>
      </c>
      <c r="W11" s="46">
        <v>13</v>
      </c>
      <c r="X11" s="46" t="s">
        <v>360</v>
      </c>
      <c r="Y11" s="46">
        <v>15</v>
      </c>
      <c r="Z11" s="46">
        <v>7</v>
      </c>
      <c r="AA11" s="46">
        <v>7</v>
      </c>
      <c r="AB11" s="46">
        <v>7</v>
      </c>
      <c r="AC11" s="46">
        <v>1</v>
      </c>
      <c r="AI11" s="46">
        <v>1</v>
      </c>
      <c r="AK11" s="46">
        <v>1</v>
      </c>
      <c r="AT11" s="46">
        <v>1</v>
      </c>
      <c r="AX11" s="46">
        <v>1</v>
      </c>
      <c r="BA11" s="46">
        <v>1</v>
      </c>
      <c r="BI11" s="46">
        <v>1</v>
      </c>
      <c r="BZ11" s="46">
        <v>1</v>
      </c>
      <c r="CC11" s="46">
        <v>1</v>
      </c>
      <c r="CJ11" s="46">
        <v>1</v>
      </c>
      <c r="CU11" s="129">
        <v>45383</v>
      </c>
    </row>
    <row r="12" spans="1:99">
      <c r="A12" s="46" t="s">
        <v>2281</v>
      </c>
      <c r="B12" s="46" t="s">
        <v>2282</v>
      </c>
      <c r="C12" s="46">
        <v>32</v>
      </c>
      <c r="D12" s="46" t="s">
        <v>2283</v>
      </c>
      <c r="E12" s="46" t="s">
        <v>2284</v>
      </c>
      <c r="F12" s="46" t="s">
        <v>2285</v>
      </c>
      <c r="G12" s="46">
        <v>1</v>
      </c>
      <c r="M12" s="46">
        <v>1</v>
      </c>
      <c r="R12" s="46">
        <v>1</v>
      </c>
      <c r="T12" s="46">
        <v>1</v>
      </c>
      <c r="W12" s="46">
        <v>14</v>
      </c>
      <c r="X12" s="46">
        <v>15</v>
      </c>
      <c r="Y12" s="46">
        <v>15</v>
      </c>
      <c r="Z12" s="46">
        <v>1</v>
      </c>
      <c r="AA12" s="46">
        <v>1</v>
      </c>
      <c r="AB12" s="46">
        <v>1</v>
      </c>
      <c r="AD12" s="46">
        <v>1</v>
      </c>
      <c r="AE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U12" s="50">
        <v>46453</v>
      </c>
    </row>
    <row r="13" spans="1:99">
      <c r="A13" s="46" t="s">
        <v>2286</v>
      </c>
      <c r="B13" s="46" t="s">
        <v>2287</v>
      </c>
      <c r="C13" s="46">
        <v>20</v>
      </c>
      <c r="D13" s="46" t="s">
        <v>2288</v>
      </c>
      <c r="E13" s="46" t="s">
        <v>2289</v>
      </c>
      <c r="F13" s="46" t="s">
        <v>107</v>
      </c>
      <c r="H13" s="46">
        <v>1</v>
      </c>
      <c r="N13" s="46">
        <v>1</v>
      </c>
      <c r="Q13" s="46">
        <v>1</v>
      </c>
      <c r="V13" s="46">
        <v>1</v>
      </c>
      <c r="W13" s="46">
        <v>12</v>
      </c>
      <c r="X13" s="46">
        <v>19</v>
      </c>
      <c r="Y13" s="46" t="s">
        <v>191</v>
      </c>
      <c r="Z13" s="46">
        <v>0</v>
      </c>
      <c r="AA13" s="46">
        <v>0</v>
      </c>
      <c r="AB13" s="46">
        <v>0</v>
      </c>
      <c r="AE13" s="46">
        <v>1</v>
      </c>
      <c r="AG13" s="46">
        <v>1</v>
      </c>
      <c r="AI13" s="113"/>
      <c r="AJ13" s="113"/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U13" s="50">
        <v>46454</v>
      </c>
    </row>
    <row r="14" spans="1:99">
      <c r="A14" s="46" t="s">
        <v>2290</v>
      </c>
      <c r="B14" s="46" t="s">
        <v>2291</v>
      </c>
      <c r="C14" s="46">
        <v>60</v>
      </c>
      <c r="D14" s="46" t="s">
        <v>1409</v>
      </c>
      <c r="E14" s="46" t="s">
        <v>2292</v>
      </c>
      <c r="F14" s="46" t="s">
        <v>112</v>
      </c>
      <c r="H14" s="46">
        <v>1</v>
      </c>
      <c r="P14" s="46">
        <v>1</v>
      </c>
      <c r="R14" s="46">
        <v>1</v>
      </c>
      <c r="S14" s="46">
        <v>1</v>
      </c>
      <c r="W14" s="46">
        <v>14</v>
      </c>
      <c r="X14" s="46">
        <v>16</v>
      </c>
      <c r="Y14" s="46">
        <v>19</v>
      </c>
      <c r="Z14" s="113"/>
      <c r="AA14" s="113"/>
      <c r="AB14" s="113"/>
      <c r="AD14" s="46">
        <v>1</v>
      </c>
      <c r="AH14" s="46">
        <v>1</v>
      </c>
      <c r="AJ14" s="46">
        <v>1</v>
      </c>
      <c r="AK14" s="46">
        <v>1</v>
      </c>
      <c r="AT14" s="46">
        <v>1</v>
      </c>
      <c r="AY14" s="46">
        <v>1</v>
      </c>
      <c r="BA14" s="46">
        <v>1</v>
      </c>
      <c r="BJ14" s="46">
        <v>1</v>
      </c>
      <c r="BZ14" s="46">
        <v>1</v>
      </c>
      <c r="CC14" s="46">
        <v>1</v>
      </c>
      <c r="CU14" s="50">
        <v>46455</v>
      </c>
    </row>
    <row r="15" spans="1:99">
      <c r="A15" s="46" t="s">
        <v>2293</v>
      </c>
      <c r="B15" s="46" t="s">
        <v>2294</v>
      </c>
      <c r="C15" s="46">
        <v>26</v>
      </c>
      <c r="D15" s="46" t="s">
        <v>1162</v>
      </c>
      <c r="E15" s="46" t="s">
        <v>2295</v>
      </c>
      <c r="F15" s="46" t="s">
        <v>112</v>
      </c>
      <c r="H15" s="46">
        <v>1</v>
      </c>
      <c r="M15" s="46">
        <v>1</v>
      </c>
      <c r="Q15" s="46">
        <v>1</v>
      </c>
      <c r="T15" s="46">
        <v>1</v>
      </c>
      <c r="W15" s="46">
        <v>14</v>
      </c>
      <c r="X15" s="46">
        <v>18</v>
      </c>
      <c r="Y15" s="46">
        <v>16</v>
      </c>
      <c r="Z15" s="113"/>
      <c r="AA15" s="113"/>
      <c r="AB15" s="113"/>
      <c r="AE15" s="46">
        <v>1</v>
      </c>
      <c r="AI15" s="113"/>
      <c r="AJ15" s="113"/>
      <c r="AK15" s="46">
        <v>1</v>
      </c>
      <c r="AT15" s="46">
        <v>1</v>
      </c>
      <c r="AX15" s="46">
        <v>1</v>
      </c>
      <c r="BA15" s="46">
        <v>1</v>
      </c>
      <c r="BI15" s="46">
        <v>1</v>
      </c>
      <c r="BW15" s="46">
        <v>1</v>
      </c>
      <c r="BZ15" s="46">
        <v>1</v>
      </c>
      <c r="CC15" s="46">
        <v>1</v>
      </c>
      <c r="CI15" s="46">
        <v>1</v>
      </c>
      <c r="CU15" s="50">
        <v>46456</v>
      </c>
    </row>
    <row r="16" spans="1:99">
      <c r="A16" s="46" t="s">
        <v>2296</v>
      </c>
      <c r="B16" s="46" t="s">
        <v>2297</v>
      </c>
      <c r="C16" s="46">
        <v>33</v>
      </c>
      <c r="D16" s="46" t="s">
        <v>1112</v>
      </c>
      <c r="E16" s="46" t="s">
        <v>2298</v>
      </c>
      <c r="F16" s="46" t="s">
        <v>112</v>
      </c>
      <c r="I16" s="46">
        <v>1</v>
      </c>
      <c r="O16" s="46">
        <v>1</v>
      </c>
      <c r="Q16" s="46">
        <v>1</v>
      </c>
      <c r="V16" s="46">
        <v>1</v>
      </c>
      <c r="W16" s="46">
        <v>15</v>
      </c>
      <c r="X16" s="46">
        <v>22</v>
      </c>
      <c r="Y16" s="46">
        <v>27</v>
      </c>
      <c r="Z16" s="46">
        <v>1</v>
      </c>
      <c r="AA16" s="46">
        <v>1</v>
      </c>
      <c r="AB16" s="46">
        <v>1</v>
      </c>
      <c r="AC16" s="46">
        <v>1</v>
      </c>
      <c r="AI16" s="113"/>
      <c r="AJ16" s="113"/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U16" s="50">
        <v>46457</v>
      </c>
    </row>
    <row r="17" spans="1:99">
      <c r="A17" s="46" t="s">
        <v>2299</v>
      </c>
      <c r="B17" s="46" t="s">
        <v>2300</v>
      </c>
      <c r="C17" s="46">
        <v>23</v>
      </c>
      <c r="D17" s="46" t="s">
        <v>1112</v>
      </c>
      <c r="E17" s="46" t="s">
        <v>2301</v>
      </c>
      <c r="F17" s="46" t="s">
        <v>112</v>
      </c>
      <c r="J17" s="46">
        <v>1</v>
      </c>
      <c r="N17" s="46">
        <v>1</v>
      </c>
      <c r="Q17" s="46">
        <v>1</v>
      </c>
      <c r="U17" s="46">
        <v>1</v>
      </c>
      <c r="W17" s="46">
        <v>17</v>
      </c>
      <c r="X17" s="46">
        <v>19</v>
      </c>
      <c r="Y17" s="46" t="s">
        <v>191</v>
      </c>
      <c r="Z17" s="46">
        <v>0</v>
      </c>
      <c r="AA17" s="46">
        <v>0</v>
      </c>
      <c r="AB17" s="46">
        <v>0</v>
      </c>
      <c r="AE17" s="46">
        <v>1</v>
      </c>
      <c r="AH17" s="46">
        <v>1</v>
      </c>
      <c r="AI17" s="113"/>
      <c r="AJ17" s="113"/>
      <c r="AL17" s="46">
        <v>1</v>
      </c>
      <c r="AO17" s="113"/>
      <c r="AP17" s="113"/>
      <c r="AQ17" s="46" t="s">
        <v>251</v>
      </c>
      <c r="AR17" s="46" t="s">
        <v>360</v>
      </c>
      <c r="AT17" s="46">
        <v>1</v>
      </c>
      <c r="AX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U17" s="50">
        <v>46458</v>
      </c>
    </row>
    <row r="18" spans="1:99">
      <c r="A18" s="46" t="s">
        <v>2302</v>
      </c>
      <c r="B18" s="46" t="s">
        <v>2303</v>
      </c>
      <c r="C18" s="46">
        <v>30</v>
      </c>
      <c r="D18" s="46" t="s">
        <v>1149</v>
      </c>
      <c r="E18" s="46" t="s">
        <v>2304</v>
      </c>
      <c r="F18" s="46" t="s">
        <v>112</v>
      </c>
      <c r="H18" s="46">
        <v>1</v>
      </c>
      <c r="M18" s="46">
        <v>1</v>
      </c>
      <c r="Q18" s="46">
        <v>1</v>
      </c>
      <c r="T18" s="46">
        <v>1</v>
      </c>
      <c r="W18" s="46">
        <v>13</v>
      </c>
      <c r="X18" s="113"/>
      <c r="Y18" s="46">
        <v>15</v>
      </c>
      <c r="Z18" s="46">
        <v>6</v>
      </c>
      <c r="AA18" s="46">
        <v>6</v>
      </c>
      <c r="AB18" s="46">
        <v>6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B18" s="46">
        <v>1</v>
      </c>
      <c r="BI18" s="46">
        <v>1</v>
      </c>
      <c r="BZ18" s="46">
        <v>1</v>
      </c>
      <c r="CC18" s="46">
        <v>1</v>
      </c>
      <c r="CI18" s="46">
        <v>1</v>
      </c>
      <c r="CU18" s="50">
        <v>46459</v>
      </c>
    </row>
    <row r="19" spans="1:99">
      <c r="A19" s="46" t="s">
        <v>2305</v>
      </c>
      <c r="B19" s="46" t="s">
        <v>2306</v>
      </c>
      <c r="C19" s="46">
        <v>28</v>
      </c>
      <c r="D19" s="46" t="s">
        <v>1162</v>
      </c>
      <c r="E19" s="46" t="s">
        <v>2307</v>
      </c>
      <c r="F19" s="46" t="s">
        <v>112</v>
      </c>
      <c r="H19" s="46">
        <v>1</v>
      </c>
      <c r="M19" s="46">
        <v>1</v>
      </c>
      <c r="Q19" s="46">
        <v>1</v>
      </c>
      <c r="U19" s="46">
        <v>1</v>
      </c>
      <c r="W19" s="46">
        <v>14</v>
      </c>
      <c r="X19" s="46">
        <v>18</v>
      </c>
      <c r="Y19" s="46">
        <v>26</v>
      </c>
      <c r="Z19" s="46">
        <v>1</v>
      </c>
      <c r="AA19" s="46">
        <v>1</v>
      </c>
      <c r="AB19" s="46">
        <v>1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U19" s="50">
        <v>46460</v>
      </c>
    </row>
    <row r="20" spans="1:99">
      <c r="A20" s="46" t="s">
        <v>2308</v>
      </c>
      <c r="B20" s="46" t="s">
        <v>2309</v>
      </c>
      <c r="C20" s="46">
        <v>53</v>
      </c>
      <c r="D20" s="46" t="s">
        <v>2310</v>
      </c>
      <c r="E20" s="46" t="s">
        <v>2311</v>
      </c>
      <c r="F20" s="46" t="s">
        <v>112</v>
      </c>
      <c r="J20" s="46">
        <v>1</v>
      </c>
      <c r="O20" s="46">
        <v>1</v>
      </c>
      <c r="Q20" s="46">
        <v>1</v>
      </c>
      <c r="U20" s="46">
        <v>1</v>
      </c>
      <c r="W20" s="46">
        <v>14</v>
      </c>
      <c r="X20" s="46">
        <v>16</v>
      </c>
      <c r="Y20" s="46">
        <v>19</v>
      </c>
      <c r="Z20" s="46">
        <v>4</v>
      </c>
      <c r="AA20" s="46">
        <v>4</v>
      </c>
      <c r="AB20" s="46">
        <v>4</v>
      </c>
      <c r="AE20" s="46">
        <v>1</v>
      </c>
      <c r="AH20" s="46">
        <v>1</v>
      </c>
      <c r="AI20" s="46">
        <v>1</v>
      </c>
      <c r="AK20" s="46">
        <v>1</v>
      </c>
      <c r="AT20" s="46">
        <v>1</v>
      </c>
      <c r="AX20" s="46">
        <v>1</v>
      </c>
      <c r="BB20" s="46">
        <v>1</v>
      </c>
      <c r="BF20" s="46">
        <v>1</v>
      </c>
      <c r="BJ20" s="46">
        <v>1</v>
      </c>
      <c r="BZ20" s="46">
        <v>1</v>
      </c>
      <c r="CC20" s="46">
        <v>1</v>
      </c>
      <c r="CI20" s="46">
        <v>1</v>
      </c>
      <c r="CU20" s="50">
        <v>46461</v>
      </c>
    </row>
    <row r="21" spans="1:99">
      <c r="A21" s="46" t="s">
        <v>2312</v>
      </c>
      <c r="B21" s="46" t="s">
        <v>2313</v>
      </c>
      <c r="C21" s="46">
        <v>40</v>
      </c>
      <c r="D21" s="46" t="s">
        <v>933</v>
      </c>
      <c r="E21" s="46" t="s">
        <v>2314</v>
      </c>
      <c r="F21" s="46" t="s">
        <v>112</v>
      </c>
      <c r="I21" s="46">
        <v>1</v>
      </c>
      <c r="M21" s="46">
        <v>1</v>
      </c>
      <c r="R21" s="46">
        <v>1</v>
      </c>
      <c r="T21" s="46">
        <v>1</v>
      </c>
      <c r="W21" s="46">
        <v>10</v>
      </c>
      <c r="X21" s="46">
        <v>12</v>
      </c>
      <c r="Y21" s="46">
        <v>17</v>
      </c>
      <c r="Z21" s="46">
        <v>12</v>
      </c>
      <c r="AA21" s="46">
        <v>12</v>
      </c>
      <c r="AB21" s="46">
        <v>5</v>
      </c>
      <c r="AC21" s="46">
        <v>1</v>
      </c>
      <c r="AI21" s="46">
        <v>1</v>
      </c>
      <c r="AK21" s="46">
        <v>1</v>
      </c>
      <c r="AT21" s="46">
        <v>1</v>
      </c>
      <c r="AW21" s="113"/>
      <c r="AX21" s="113"/>
      <c r="AY21" s="113"/>
      <c r="AZ21" s="113"/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U21" s="50">
        <v>46462</v>
      </c>
    </row>
    <row r="22" spans="1:99">
      <c r="A22" s="46" t="s">
        <v>2315</v>
      </c>
      <c r="B22" s="46" t="s">
        <v>2316</v>
      </c>
      <c r="C22" s="46">
        <v>25</v>
      </c>
      <c r="D22" s="46" t="s">
        <v>2317</v>
      </c>
      <c r="E22" s="46" t="s">
        <v>2318</v>
      </c>
      <c r="F22" s="46" t="s">
        <v>127</v>
      </c>
      <c r="I22" s="46">
        <v>1</v>
      </c>
      <c r="O22" s="46">
        <v>1</v>
      </c>
      <c r="R22" s="46">
        <v>1</v>
      </c>
      <c r="T22" s="46">
        <v>1</v>
      </c>
      <c r="W22" s="46">
        <v>12</v>
      </c>
      <c r="X22" s="46">
        <v>14</v>
      </c>
      <c r="Y22" s="46">
        <v>16</v>
      </c>
      <c r="Z22" s="46">
        <v>4</v>
      </c>
      <c r="AA22" s="46">
        <v>3</v>
      </c>
      <c r="AB22" s="46">
        <v>3</v>
      </c>
      <c r="AD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U22" s="50">
        <v>46463</v>
      </c>
    </row>
    <row r="23" spans="1:99">
      <c r="A23" s="46" t="s">
        <v>2319</v>
      </c>
      <c r="B23" s="46" t="s">
        <v>2320</v>
      </c>
      <c r="C23" s="46">
        <v>39</v>
      </c>
      <c r="D23" s="46" t="s">
        <v>1149</v>
      </c>
      <c r="E23" s="46" t="s">
        <v>2321</v>
      </c>
      <c r="F23" s="46" t="s">
        <v>107</v>
      </c>
      <c r="G23" s="46">
        <v>1</v>
      </c>
      <c r="M23" s="46">
        <v>1</v>
      </c>
      <c r="R23" s="46">
        <v>1</v>
      </c>
      <c r="U23" s="46">
        <v>1</v>
      </c>
      <c r="W23" s="46">
        <v>15</v>
      </c>
      <c r="X23" s="46">
        <v>15</v>
      </c>
      <c r="Y23" s="46">
        <v>19</v>
      </c>
      <c r="Z23" s="46">
        <v>5</v>
      </c>
      <c r="AA23" s="46">
        <v>5</v>
      </c>
      <c r="AB23" s="46">
        <v>5</v>
      </c>
      <c r="AE23" s="46">
        <v>1</v>
      </c>
      <c r="AJ23" s="46">
        <v>1</v>
      </c>
      <c r="AK23" s="46">
        <v>1</v>
      </c>
      <c r="AT23" s="46">
        <v>1</v>
      </c>
      <c r="AX23" s="46">
        <v>1</v>
      </c>
      <c r="BB23" s="46">
        <v>1</v>
      </c>
      <c r="BF23" s="46">
        <v>1</v>
      </c>
      <c r="BI23" s="46">
        <v>1</v>
      </c>
      <c r="BZ23" s="46">
        <v>1</v>
      </c>
      <c r="CC23" s="46">
        <v>1</v>
      </c>
      <c r="CI23" s="46">
        <v>1</v>
      </c>
      <c r="CU23" s="50">
        <v>46464</v>
      </c>
    </row>
    <row r="24" spans="1:99">
      <c r="A24" s="46" t="s">
        <v>2322</v>
      </c>
      <c r="B24" s="46" t="s">
        <v>2323</v>
      </c>
      <c r="C24" s="46">
        <v>30</v>
      </c>
      <c r="D24" s="46" t="s">
        <v>1448</v>
      </c>
      <c r="E24" s="46" t="s">
        <v>2324</v>
      </c>
      <c r="F24" s="46" t="s">
        <v>624</v>
      </c>
      <c r="G24" s="46">
        <v>1</v>
      </c>
      <c r="M24" s="46">
        <v>1</v>
      </c>
      <c r="R24" s="46">
        <v>1</v>
      </c>
      <c r="U24" s="46">
        <v>1</v>
      </c>
      <c r="W24" s="113"/>
      <c r="X24" s="46">
        <v>17</v>
      </c>
      <c r="Y24" s="113"/>
      <c r="Z24" s="113"/>
      <c r="AA24" s="113"/>
      <c r="AB24" s="113"/>
      <c r="AE24" s="46">
        <v>1</v>
      </c>
      <c r="AH24" s="46">
        <v>1</v>
      </c>
      <c r="AI24" s="113"/>
      <c r="AJ24" s="113"/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U24" s="50">
        <v>46465</v>
      </c>
    </row>
    <row r="25" spans="1:99">
      <c r="A25" s="46" t="s">
        <v>2325</v>
      </c>
      <c r="B25" s="46" t="s">
        <v>2326</v>
      </c>
      <c r="C25" s="46">
        <v>49</v>
      </c>
      <c r="D25" s="46" t="s">
        <v>2327</v>
      </c>
      <c r="E25" s="46" t="s">
        <v>2328</v>
      </c>
      <c r="F25" s="46" t="s">
        <v>112</v>
      </c>
      <c r="J25" s="46">
        <v>1</v>
      </c>
      <c r="O25" s="46">
        <v>1</v>
      </c>
      <c r="Q25" s="46">
        <v>1</v>
      </c>
      <c r="V25" s="46">
        <v>1</v>
      </c>
      <c r="W25" s="46">
        <v>16</v>
      </c>
      <c r="X25" s="46">
        <v>22</v>
      </c>
      <c r="Y25" s="46">
        <v>30</v>
      </c>
      <c r="Z25" s="46">
        <v>1</v>
      </c>
      <c r="AA25" s="46">
        <v>1</v>
      </c>
      <c r="AB25" s="46">
        <v>1</v>
      </c>
      <c r="AC25" s="46">
        <v>1</v>
      </c>
      <c r="AI25" s="46">
        <v>1</v>
      </c>
      <c r="AK25" s="46">
        <v>1</v>
      </c>
      <c r="AT25" s="46">
        <v>1</v>
      </c>
      <c r="AX25" s="46">
        <v>1</v>
      </c>
      <c r="BB25" s="46">
        <v>1</v>
      </c>
      <c r="BF25" s="46">
        <v>1</v>
      </c>
      <c r="BI25" s="46">
        <v>1</v>
      </c>
      <c r="BZ25" s="46">
        <v>1</v>
      </c>
      <c r="CC25" s="46">
        <v>1</v>
      </c>
      <c r="CI25" s="46">
        <v>1</v>
      </c>
      <c r="CU25" s="50">
        <v>46466</v>
      </c>
    </row>
    <row r="26" spans="1:99">
      <c r="A26" s="46" t="s">
        <v>2329</v>
      </c>
      <c r="B26" s="46" t="s">
        <v>2330</v>
      </c>
      <c r="C26" s="46">
        <v>40</v>
      </c>
      <c r="D26" s="46" t="s">
        <v>1112</v>
      </c>
      <c r="E26" s="46" t="s">
        <v>2331</v>
      </c>
      <c r="F26" s="46" t="s">
        <v>107</v>
      </c>
      <c r="H26" s="46">
        <v>1</v>
      </c>
      <c r="M26" s="46">
        <v>1</v>
      </c>
      <c r="R26" s="46">
        <v>1</v>
      </c>
      <c r="U26" s="46">
        <v>1</v>
      </c>
      <c r="W26" s="46">
        <v>13</v>
      </c>
      <c r="X26" s="46">
        <v>17</v>
      </c>
      <c r="Y26" s="46">
        <v>17</v>
      </c>
      <c r="Z26" s="46">
        <v>5</v>
      </c>
      <c r="AA26" s="46">
        <v>5</v>
      </c>
      <c r="AB26" s="46">
        <v>5</v>
      </c>
      <c r="AC26" s="46">
        <v>1</v>
      </c>
      <c r="AJ26" s="46">
        <v>1</v>
      </c>
      <c r="AK26" s="46">
        <v>1</v>
      </c>
      <c r="AT26" s="46">
        <v>1</v>
      </c>
      <c r="AZ26" s="46">
        <v>1</v>
      </c>
      <c r="BB26" s="46">
        <v>1</v>
      </c>
      <c r="BF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U26" s="50">
        <v>46467</v>
      </c>
    </row>
    <row r="27" spans="1:99">
      <c r="A27" s="46" t="s">
        <v>2332</v>
      </c>
      <c r="B27" s="46" t="s">
        <v>2333</v>
      </c>
      <c r="C27" s="46">
        <v>38</v>
      </c>
      <c r="D27" s="46" t="s">
        <v>1459</v>
      </c>
      <c r="E27" s="46" t="s">
        <v>2334</v>
      </c>
      <c r="F27" s="46" t="s">
        <v>107</v>
      </c>
      <c r="I27" s="46">
        <v>1</v>
      </c>
      <c r="M27" s="46">
        <v>1</v>
      </c>
      <c r="R27" s="46">
        <v>1</v>
      </c>
      <c r="T27" s="46">
        <v>1</v>
      </c>
      <c r="W27" s="46">
        <v>13</v>
      </c>
      <c r="X27" s="46">
        <v>14</v>
      </c>
      <c r="Y27" s="46">
        <v>14</v>
      </c>
      <c r="Z27" s="46">
        <v>4</v>
      </c>
      <c r="AA27" s="46">
        <v>4</v>
      </c>
      <c r="AB27" s="46">
        <v>3</v>
      </c>
      <c r="AE27" s="46">
        <v>1</v>
      </c>
      <c r="AG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W27" s="46">
        <v>1</v>
      </c>
      <c r="BZ27" s="46">
        <v>1</v>
      </c>
      <c r="CC27" s="46">
        <v>1</v>
      </c>
      <c r="CU27" s="50">
        <v>46468</v>
      </c>
    </row>
    <row r="28" spans="1:99">
      <c r="A28" s="46" t="s">
        <v>2335</v>
      </c>
      <c r="B28" s="46" t="s">
        <v>2336</v>
      </c>
      <c r="C28" s="46">
        <v>50</v>
      </c>
      <c r="D28" s="46" t="s">
        <v>2337</v>
      </c>
      <c r="E28" s="46" t="s">
        <v>2338</v>
      </c>
      <c r="F28" s="46" t="s">
        <v>112</v>
      </c>
      <c r="I28" s="46">
        <v>1</v>
      </c>
      <c r="M28" s="46">
        <v>1</v>
      </c>
      <c r="R28" s="46">
        <v>1</v>
      </c>
      <c r="T28" s="46">
        <v>1</v>
      </c>
      <c r="W28" s="46">
        <v>12</v>
      </c>
      <c r="X28" s="46">
        <v>14</v>
      </c>
      <c r="Y28" s="46">
        <v>15</v>
      </c>
      <c r="Z28" s="46">
        <v>4</v>
      </c>
      <c r="AA28" s="46">
        <v>1</v>
      </c>
      <c r="AB28" s="46">
        <v>1</v>
      </c>
      <c r="AE28" s="46">
        <v>1</v>
      </c>
      <c r="AI28" s="113"/>
      <c r="AJ28" s="113"/>
      <c r="AK28" s="46">
        <v>1</v>
      </c>
      <c r="AT28" s="46">
        <v>1</v>
      </c>
      <c r="AW28" s="46">
        <v>1</v>
      </c>
      <c r="BB28" s="46">
        <v>1</v>
      </c>
      <c r="BF28" s="46">
        <v>1</v>
      </c>
      <c r="BK28" s="46">
        <v>1</v>
      </c>
      <c r="BS28" s="46">
        <v>1</v>
      </c>
      <c r="BW28" s="46">
        <v>1</v>
      </c>
      <c r="BX28" s="46" t="s">
        <v>952</v>
      </c>
      <c r="BZ28" s="46">
        <v>1</v>
      </c>
      <c r="CC28" s="46">
        <v>1</v>
      </c>
      <c r="CU28" s="129">
        <v>45383</v>
      </c>
    </row>
    <row r="29" spans="1:99">
      <c r="A29" s="46" t="s">
        <v>2339</v>
      </c>
      <c r="B29" s="46" t="s">
        <v>2340</v>
      </c>
      <c r="C29" s="46">
        <v>37</v>
      </c>
      <c r="D29" s="46" t="s">
        <v>1162</v>
      </c>
      <c r="E29" s="46" t="s">
        <v>2341</v>
      </c>
      <c r="F29" s="46" t="s">
        <v>112</v>
      </c>
      <c r="J29" s="46">
        <v>1</v>
      </c>
      <c r="M29" s="46">
        <v>1</v>
      </c>
      <c r="R29" s="46">
        <v>1</v>
      </c>
      <c r="U29" s="46">
        <v>1</v>
      </c>
      <c r="W29" s="46">
        <v>18</v>
      </c>
      <c r="X29" s="46">
        <v>23</v>
      </c>
      <c r="Y29" s="46">
        <v>23</v>
      </c>
      <c r="Z29" s="46">
        <v>4</v>
      </c>
      <c r="AA29" s="46">
        <v>4</v>
      </c>
      <c r="AB29" s="46">
        <v>4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B29" s="46">
        <v>1</v>
      </c>
      <c r="BF29" s="46">
        <v>1</v>
      </c>
      <c r="BI29" s="46">
        <v>1</v>
      </c>
      <c r="BZ29" s="113"/>
      <c r="CA29" s="113"/>
      <c r="CC29" s="46">
        <v>1</v>
      </c>
      <c r="CU29" s="50">
        <v>46470</v>
      </c>
    </row>
    <row r="30" spans="1:99">
      <c r="A30" s="46" t="s">
        <v>2342</v>
      </c>
      <c r="B30" s="46" t="s">
        <v>2343</v>
      </c>
      <c r="C30" s="46">
        <v>37</v>
      </c>
      <c r="D30" s="46" t="s">
        <v>1162</v>
      </c>
      <c r="E30" s="46" t="s">
        <v>2344</v>
      </c>
      <c r="F30" s="46" t="s">
        <v>122</v>
      </c>
      <c r="H30" s="46">
        <v>1</v>
      </c>
      <c r="O30" s="46">
        <v>1</v>
      </c>
      <c r="R30" s="46">
        <v>1</v>
      </c>
      <c r="T30" s="46">
        <v>1</v>
      </c>
      <c r="W30" s="46">
        <v>13</v>
      </c>
      <c r="X30" s="46">
        <v>15</v>
      </c>
      <c r="Y30" s="46">
        <v>16</v>
      </c>
      <c r="Z30" s="46">
        <v>4</v>
      </c>
      <c r="AA30" s="46">
        <v>3</v>
      </c>
      <c r="AB30" s="46">
        <v>3</v>
      </c>
      <c r="AE30" s="46">
        <v>1</v>
      </c>
      <c r="AH30" s="46">
        <v>1</v>
      </c>
      <c r="AI30" s="46">
        <v>1</v>
      </c>
      <c r="AK30" s="46">
        <v>1</v>
      </c>
      <c r="AT30" s="46">
        <v>1</v>
      </c>
      <c r="AX30" s="46">
        <v>1</v>
      </c>
      <c r="BA30" s="46">
        <v>1</v>
      </c>
      <c r="BI30" s="46">
        <v>1</v>
      </c>
      <c r="BZ30" s="46">
        <v>1</v>
      </c>
      <c r="CC30" s="46">
        <v>1</v>
      </c>
      <c r="CU30" s="50">
        <v>46471</v>
      </c>
    </row>
    <row r="31" spans="1:99">
      <c r="A31" s="46" t="s">
        <v>2345</v>
      </c>
      <c r="B31" s="46" t="s">
        <v>2346</v>
      </c>
      <c r="C31" s="46">
        <v>23</v>
      </c>
      <c r="D31" s="46" t="s">
        <v>2004</v>
      </c>
      <c r="E31" s="46" t="s">
        <v>2347</v>
      </c>
      <c r="F31" s="46" t="s">
        <v>112</v>
      </c>
      <c r="H31" s="46">
        <v>1</v>
      </c>
      <c r="N31" s="46">
        <v>1</v>
      </c>
      <c r="Q31" s="46">
        <v>1</v>
      </c>
      <c r="T31" s="46">
        <v>1</v>
      </c>
      <c r="W31" s="46">
        <v>15</v>
      </c>
      <c r="X31" s="46">
        <v>20</v>
      </c>
      <c r="Y31" s="46" t="s">
        <v>191</v>
      </c>
      <c r="Z31" s="46">
        <v>0</v>
      </c>
      <c r="AA31" s="46">
        <v>0</v>
      </c>
      <c r="AB31" s="46">
        <v>0</v>
      </c>
      <c r="AC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Z31" s="46">
        <v>1</v>
      </c>
      <c r="CC31" s="46">
        <v>1</v>
      </c>
      <c r="CU31" s="50">
        <v>46472</v>
      </c>
    </row>
    <row r="32" spans="1:99">
      <c r="A32" s="46" t="s">
        <v>2348</v>
      </c>
      <c r="B32" s="46" t="s">
        <v>2349</v>
      </c>
      <c r="C32" s="46">
        <v>34</v>
      </c>
      <c r="D32" s="46" t="s">
        <v>2350</v>
      </c>
      <c r="E32" s="46" t="s">
        <v>2351</v>
      </c>
      <c r="F32" s="46" t="s">
        <v>112</v>
      </c>
      <c r="K32" s="46">
        <v>1</v>
      </c>
      <c r="O32" s="46">
        <v>1</v>
      </c>
      <c r="R32" s="46">
        <v>1</v>
      </c>
      <c r="T32" s="46">
        <v>1</v>
      </c>
      <c r="W32" s="46">
        <v>14</v>
      </c>
      <c r="X32" s="46">
        <v>18</v>
      </c>
      <c r="Y32" s="46">
        <v>19</v>
      </c>
      <c r="Z32" s="46">
        <v>2</v>
      </c>
      <c r="AA32" s="46">
        <v>2</v>
      </c>
      <c r="AB32" s="46">
        <v>2</v>
      </c>
      <c r="AD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K32" s="46">
        <v>1</v>
      </c>
      <c r="BS32" s="46">
        <v>1</v>
      </c>
      <c r="BX32" s="46" t="s">
        <v>952</v>
      </c>
      <c r="BZ32" s="46">
        <v>1</v>
      </c>
      <c r="CC32" s="46">
        <v>1</v>
      </c>
      <c r="CU32" s="46" t="s">
        <v>2261</v>
      </c>
    </row>
    <row r="33" spans="1:99">
      <c r="A33" s="46" t="s">
        <v>2352</v>
      </c>
      <c r="B33" s="46" t="s">
        <v>2353</v>
      </c>
      <c r="C33" s="46">
        <v>38</v>
      </c>
      <c r="D33" s="46" t="s">
        <v>2354</v>
      </c>
      <c r="E33" s="46" t="s">
        <v>191</v>
      </c>
      <c r="F33" s="46" t="s">
        <v>112</v>
      </c>
      <c r="J33" s="46">
        <v>1</v>
      </c>
      <c r="M33" s="46">
        <v>1</v>
      </c>
      <c r="R33" s="46">
        <v>1</v>
      </c>
      <c r="U33" s="46">
        <v>1</v>
      </c>
      <c r="W33" s="46">
        <v>14</v>
      </c>
      <c r="X33" s="46">
        <v>14</v>
      </c>
      <c r="Y33" s="46">
        <v>18</v>
      </c>
      <c r="Z33" s="46">
        <v>4</v>
      </c>
      <c r="AA33" s="46">
        <v>4</v>
      </c>
      <c r="AB33" s="46">
        <v>4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M33" s="46">
        <v>1</v>
      </c>
      <c r="BZ33" s="46">
        <v>1</v>
      </c>
      <c r="CC33" s="46">
        <v>1</v>
      </c>
      <c r="CI33" s="46">
        <v>1</v>
      </c>
      <c r="CU33" s="129">
        <v>45383</v>
      </c>
    </row>
    <row r="34" spans="1:99">
      <c r="A34" s="46" t="s">
        <v>2355</v>
      </c>
      <c r="B34" s="46" t="s">
        <v>2356</v>
      </c>
      <c r="C34" s="46">
        <v>39</v>
      </c>
      <c r="D34" s="46" t="s">
        <v>1112</v>
      </c>
      <c r="E34" s="46" t="s">
        <v>2357</v>
      </c>
      <c r="F34" s="46" t="s">
        <v>112</v>
      </c>
      <c r="H34" s="46">
        <v>1</v>
      </c>
      <c r="M34" s="46">
        <v>1</v>
      </c>
      <c r="Q34" s="46">
        <v>1</v>
      </c>
      <c r="U34" s="46">
        <v>1</v>
      </c>
      <c r="W34" s="46">
        <v>17</v>
      </c>
      <c r="X34" s="46">
        <v>18</v>
      </c>
      <c r="Y34" s="46">
        <v>19</v>
      </c>
      <c r="Z34" s="46">
        <v>4</v>
      </c>
      <c r="AA34" s="46">
        <v>3</v>
      </c>
      <c r="AB34" s="46">
        <v>3</v>
      </c>
      <c r="AH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W34" s="46">
        <v>1</v>
      </c>
      <c r="BZ34" s="46">
        <v>1</v>
      </c>
      <c r="CC34" s="46">
        <v>1</v>
      </c>
      <c r="CI34" s="46">
        <v>1</v>
      </c>
      <c r="CU34" s="50">
        <v>46475</v>
      </c>
    </row>
    <row r="35" spans="1:99">
      <c r="A35" s="46" t="s">
        <v>2358</v>
      </c>
      <c r="B35" s="46" t="s">
        <v>2359</v>
      </c>
      <c r="C35" s="46">
        <v>43</v>
      </c>
      <c r="D35" s="46" t="s">
        <v>2360</v>
      </c>
      <c r="E35" s="46" t="s">
        <v>2361</v>
      </c>
      <c r="F35" s="46" t="s">
        <v>145</v>
      </c>
      <c r="I35" s="46">
        <v>1</v>
      </c>
      <c r="M35" s="46">
        <v>1</v>
      </c>
      <c r="R35" s="46">
        <v>1</v>
      </c>
      <c r="U35" s="46">
        <v>1</v>
      </c>
      <c r="W35" s="46">
        <v>17</v>
      </c>
      <c r="X35" s="113"/>
      <c r="Y35" s="46">
        <v>25</v>
      </c>
      <c r="Z35" s="46">
        <v>6</v>
      </c>
      <c r="AA35" s="46">
        <v>2</v>
      </c>
      <c r="AB35" s="46">
        <v>2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X35" s="46">
        <v>1</v>
      </c>
      <c r="BB35" s="46">
        <v>1</v>
      </c>
      <c r="BF35" s="46">
        <v>1</v>
      </c>
      <c r="BI35" s="46">
        <v>1</v>
      </c>
      <c r="BZ35" s="46">
        <v>1</v>
      </c>
      <c r="CD35" s="46">
        <v>1</v>
      </c>
      <c r="CE35" s="46" t="s">
        <v>2362</v>
      </c>
      <c r="CG35" s="46">
        <v>1</v>
      </c>
      <c r="CI35" s="46">
        <v>1</v>
      </c>
      <c r="CU35" s="50">
        <v>46476</v>
      </c>
    </row>
    <row r="36" spans="1:99">
      <c r="A36" s="46" t="s">
        <v>2363</v>
      </c>
      <c r="B36" s="46" t="s">
        <v>2364</v>
      </c>
      <c r="C36" s="46">
        <v>32</v>
      </c>
      <c r="D36" s="46" t="s">
        <v>2365</v>
      </c>
      <c r="E36" s="46" t="s">
        <v>2366</v>
      </c>
      <c r="F36" s="46" t="s">
        <v>112</v>
      </c>
      <c r="I36" s="46">
        <v>1</v>
      </c>
      <c r="M36" s="46">
        <v>1</v>
      </c>
      <c r="Q36" s="46">
        <v>1</v>
      </c>
      <c r="V36" s="46">
        <v>1</v>
      </c>
      <c r="W36" s="46">
        <v>14</v>
      </c>
      <c r="X36" s="46">
        <v>19</v>
      </c>
      <c r="Y36" s="46">
        <v>23</v>
      </c>
      <c r="Z36" s="46">
        <v>2</v>
      </c>
      <c r="AA36" s="46">
        <v>2</v>
      </c>
      <c r="AB36" s="46">
        <v>2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B36" s="46">
        <v>1</v>
      </c>
      <c r="BF36" s="46">
        <v>1</v>
      </c>
      <c r="BI36" s="46">
        <v>1</v>
      </c>
      <c r="CA36" s="46">
        <v>1</v>
      </c>
      <c r="CB36" s="46" t="s">
        <v>2367</v>
      </c>
      <c r="CD36" s="46">
        <v>1</v>
      </c>
      <c r="CE36" s="46" t="s">
        <v>2368</v>
      </c>
      <c r="CH36" s="46" t="s">
        <v>360</v>
      </c>
      <c r="CJ36" s="46">
        <v>1</v>
      </c>
      <c r="CQ36" s="46" t="s">
        <v>2062</v>
      </c>
      <c r="CU36" s="46" t="s">
        <v>2369</v>
      </c>
    </row>
    <row r="37" spans="1:99">
      <c r="A37" s="46" t="s">
        <v>2370</v>
      </c>
      <c r="B37" s="46" t="s">
        <v>2371</v>
      </c>
      <c r="C37" s="46">
        <v>58</v>
      </c>
      <c r="D37" s="46" t="s">
        <v>2004</v>
      </c>
      <c r="E37" s="46" t="s">
        <v>2372</v>
      </c>
      <c r="F37" s="46" t="s">
        <v>107</v>
      </c>
      <c r="I37" s="46">
        <v>1</v>
      </c>
      <c r="O37" s="46">
        <v>1</v>
      </c>
      <c r="R37" s="46">
        <v>1</v>
      </c>
      <c r="T37" s="46">
        <v>1</v>
      </c>
      <c r="W37" s="46">
        <v>10</v>
      </c>
      <c r="X37" s="46">
        <v>14</v>
      </c>
      <c r="Y37" s="46">
        <v>15</v>
      </c>
      <c r="Z37" s="46">
        <v>5</v>
      </c>
      <c r="AA37" s="46">
        <v>5</v>
      </c>
      <c r="AB37" s="46">
        <v>3</v>
      </c>
      <c r="AC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J37" s="46">
        <v>1</v>
      </c>
      <c r="BZ37" s="46">
        <v>1</v>
      </c>
      <c r="CC37" s="46">
        <v>1</v>
      </c>
      <c r="CI37" s="46">
        <v>1</v>
      </c>
      <c r="CU37" s="50">
        <v>46447</v>
      </c>
    </row>
    <row r="38" spans="1:99">
      <c r="A38" s="46" t="s">
        <v>2373</v>
      </c>
      <c r="B38" s="46" t="s">
        <v>2374</v>
      </c>
      <c r="C38" s="46">
        <v>21</v>
      </c>
      <c r="D38" s="46" t="s">
        <v>2375</v>
      </c>
      <c r="E38" s="46" t="s">
        <v>191</v>
      </c>
      <c r="F38" s="46" t="s">
        <v>624</v>
      </c>
      <c r="H38" s="46">
        <v>1</v>
      </c>
      <c r="O38" s="46">
        <v>1</v>
      </c>
      <c r="Q38" s="46">
        <v>1</v>
      </c>
      <c r="T38" s="46">
        <v>1</v>
      </c>
      <c r="W38" s="46">
        <v>14</v>
      </c>
      <c r="X38" s="46">
        <v>16</v>
      </c>
      <c r="Y38" s="46">
        <v>17</v>
      </c>
      <c r="Z38" s="46">
        <v>1</v>
      </c>
      <c r="AA38" s="46">
        <v>1</v>
      </c>
      <c r="AB38" s="46">
        <v>1</v>
      </c>
      <c r="AE38" s="46">
        <v>1</v>
      </c>
      <c r="AG38" s="46">
        <v>1</v>
      </c>
      <c r="AH38" s="46">
        <v>1</v>
      </c>
      <c r="AI38" s="46">
        <v>1</v>
      </c>
      <c r="AK38" s="46">
        <v>1</v>
      </c>
      <c r="AT38" s="46">
        <v>1</v>
      </c>
      <c r="AX38" s="46">
        <v>1</v>
      </c>
      <c r="BA38" s="46">
        <v>1</v>
      </c>
      <c r="BI38" s="46">
        <v>1</v>
      </c>
      <c r="BZ38" s="46">
        <v>1</v>
      </c>
      <c r="CC38" s="46">
        <v>1</v>
      </c>
      <c r="CI38" s="46">
        <v>1</v>
      </c>
      <c r="CU38" s="50">
        <v>46448</v>
      </c>
    </row>
    <row r="39" spans="1:99">
      <c r="A39" s="46" t="s">
        <v>2376</v>
      </c>
      <c r="B39" s="46" t="s">
        <v>2377</v>
      </c>
      <c r="C39" s="46">
        <v>34</v>
      </c>
      <c r="D39" s="46" t="s">
        <v>1162</v>
      </c>
      <c r="E39" s="46" t="s">
        <v>2378</v>
      </c>
      <c r="F39" s="46" t="s">
        <v>122</v>
      </c>
      <c r="G39" s="46">
        <v>1</v>
      </c>
      <c r="M39" s="46">
        <v>1</v>
      </c>
      <c r="Q39" s="46">
        <v>1</v>
      </c>
      <c r="T39" s="46">
        <v>1</v>
      </c>
      <c r="W39" s="46">
        <v>15</v>
      </c>
      <c r="X39" s="46">
        <v>16</v>
      </c>
      <c r="Y39" s="46">
        <v>22</v>
      </c>
      <c r="Z39" s="46">
        <v>2</v>
      </c>
      <c r="AA39" s="46">
        <v>1</v>
      </c>
      <c r="AB39" s="46">
        <v>1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B39" s="46">
        <v>1</v>
      </c>
      <c r="BF39" s="46">
        <v>1</v>
      </c>
      <c r="BK39" s="46">
        <v>1</v>
      </c>
      <c r="BS39" s="46">
        <v>1</v>
      </c>
      <c r="BX39" s="46" t="s">
        <v>952</v>
      </c>
      <c r="BZ39" s="46">
        <v>1</v>
      </c>
      <c r="CC39" s="46">
        <v>1</v>
      </c>
      <c r="CI39" s="46">
        <v>1</v>
      </c>
      <c r="CU39" s="129">
        <v>45383</v>
      </c>
    </row>
    <row r="40" spans="1:99">
      <c r="A40" s="46" t="s">
        <v>2379</v>
      </c>
      <c r="B40" s="46" t="s">
        <v>2380</v>
      </c>
      <c r="C40" s="46">
        <v>34</v>
      </c>
      <c r="D40" s="46" t="s">
        <v>1149</v>
      </c>
      <c r="E40" s="46" t="s">
        <v>2381</v>
      </c>
      <c r="F40" s="46" t="s">
        <v>112</v>
      </c>
      <c r="H40" s="46">
        <v>1</v>
      </c>
      <c r="M40" s="46">
        <v>1</v>
      </c>
      <c r="R40" s="46">
        <v>1</v>
      </c>
      <c r="U40" s="46">
        <v>1</v>
      </c>
      <c r="W40" s="46">
        <v>14</v>
      </c>
      <c r="X40" s="46">
        <v>25</v>
      </c>
      <c r="Y40" s="46">
        <v>27</v>
      </c>
      <c r="Z40" s="46">
        <v>5</v>
      </c>
      <c r="AA40" s="46">
        <v>5</v>
      </c>
      <c r="AB40" s="46">
        <v>5</v>
      </c>
      <c r="AH40" s="46">
        <v>1</v>
      </c>
      <c r="AJ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Z40" s="46">
        <v>1</v>
      </c>
      <c r="CC40" s="46">
        <v>1</v>
      </c>
      <c r="CI40" s="46">
        <v>1</v>
      </c>
      <c r="CU40" s="50">
        <v>46450</v>
      </c>
    </row>
    <row r="41" spans="1:99">
      <c r="A41" s="46" t="s">
        <v>2382</v>
      </c>
      <c r="B41" s="46" t="s">
        <v>2383</v>
      </c>
      <c r="C41" s="46">
        <v>31</v>
      </c>
      <c r="D41" s="46" t="s">
        <v>2004</v>
      </c>
      <c r="E41" s="46" t="s">
        <v>2384</v>
      </c>
      <c r="F41" s="46" t="s">
        <v>112</v>
      </c>
      <c r="I41" s="46">
        <v>1</v>
      </c>
      <c r="M41" s="46">
        <v>1</v>
      </c>
      <c r="U41" s="46">
        <v>1</v>
      </c>
      <c r="W41" s="46">
        <v>14</v>
      </c>
      <c r="X41" s="46">
        <v>16</v>
      </c>
      <c r="Y41" s="46" t="s">
        <v>191</v>
      </c>
      <c r="Z41" s="46">
        <v>0</v>
      </c>
      <c r="AA41" s="46">
        <v>0</v>
      </c>
      <c r="AB41" s="46">
        <v>0</v>
      </c>
      <c r="AH41" s="46">
        <v>1</v>
      </c>
      <c r="AI41" s="46">
        <v>1</v>
      </c>
      <c r="AK41" s="46">
        <v>1</v>
      </c>
      <c r="AT41" s="46">
        <v>1</v>
      </c>
      <c r="AW41" s="46">
        <v>1</v>
      </c>
      <c r="BB41" s="46">
        <v>1</v>
      </c>
      <c r="BF41" s="46">
        <v>1</v>
      </c>
      <c r="BI41" s="46">
        <v>1</v>
      </c>
      <c r="BZ41" s="46">
        <v>1</v>
      </c>
      <c r="CC41" s="46">
        <v>1</v>
      </c>
      <c r="CI41" s="46">
        <v>1</v>
      </c>
      <c r="CU41" s="50">
        <v>46451</v>
      </c>
    </row>
    <row r="42" spans="1:99">
      <c r="A42" s="46" t="s">
        <v>2385</v>
      </c>
      <c r="B42" s="46" t="s">
        <v>2386</v>
      </c>
      <c r="C42" s="46">
        <v>58</v>
      </c>
      <c r="D42" s="46" t="s">
        <v>1149</v>
      </c>
      <c r="E42" s="46" t="s">
        <v>2387</v>
      </c>
      <c r="F42" s="46" t="s">
        <v>112</v>
      </c>
      <c r="H42" s="46">
        <v>1</v>
      </c>
      <c r="M42" s="46">
        <v>1</v>
      </c>
      <c r="R42" s="46">
        <v>1</v>
      </c>
      <c r="T42" s="46">
        <v>1</v>
      </c>
      <c r="W42" s="46">
        <v>14</v>
      </c>
      <c r="X42" s="46">
        <v>15</v>
      </c>
      <c r="Y42" s="46">
        <v>15</v>
      </c>
      <c r="Z42" s="46">
        <v>10</v>
      </c>
      <c r="AA42" s="46">
        <v>10</v>
      </c>
      <c r="AB42" s="46">
        <v>8</v>
      </c>
      <c r="AG42" s="46">
        <v>1</v>
      </c>
      <c r="AH42" s="46">
        <v>1</v>
      </c>
      <c r="AI42" s="46">
        <v>1</v>
      </c>
      <c r="AK42" s="46">
        <v>1</v>
      </c>
      <c r="AT42" s="46">
        <v>1</v>
      </c>
      <c r="AX42" s="46">
        <v>1</v>
      </c>
      <c r="BA42" s="46">
        <v>1</v>
      </c>
      <c r="BJ42" s="46">
        <v>1</v>
      </c>
      <c r="BZ42" s="46">
        <v>1</v>
      </c>
      <c r="CC42" s="46">
        <v>1</v>
      </c>
      <c r="CI42" s="46">
        <v>1</v>
      </c>
      <c r="CU42" s="50">
        <v>46452</v>
      </c>
    </row>
    <row r="43" spans="1:99">
      <c r="A43" s="46" t="s">
        <v>2388</v>
      </c>
      <c r="B43" s="46" t="s">
        <v>2389</v>
      </c>
      <c r="C43" s="46">
        <v>67</v>
      </c>
      <c r="D43" s="46" t="s">
        <v>2390</v>
      </c>
      <c r="E43" s="46" t="s">
        <v>2391</v>
      </c>
      <c r="F43" s="46" t="s">
        <v>112</v>
      </c>
      <c r="G43" s="46">
        <v>1</v>
      </c>
      <c r="M43" s="46">
        <v>1</v>
      </c>
      <c r="R43" s="46">
        <v>1</v>
      </c>
      <c r="V43" s="46">
        <v>1</v>
      </c>
      <c r="W43" s="46">
        <v>15</v>
      </c>
      <c r="X43" s="46">
        <v>18</v>
      </c>
      <c r="Y43" s="46">
        <v>22</v>
      </c>
      <c r="Z43" s="46">
        <v>7</v>
      </c>
      <c r="AA43" s="46">
        <v>4</v>
      </c>
      <c r="AB43" s="46">
        <v>3</v>
      </c>
      <c r="AC43" s="46">
        <v>1</v>
      </c>
      <c r="AI43" s="46">
        <v>1</v>
      </c>
      <c r="AK43" s="46">
        <v>1</v>
      </c>
      <c r="AT43" s="46">
        <v>1</v>
      </c>
      <c r="AX43" s="46">
        <v>1</v>
      </c>
      <c r="BB43" s="46">
        <v>1</v>
      </c>
      <c r="BF43" s="46">
        <v>1</v>
      </c>
      <c r="BJ43" s="46">
        <v>1</v>
      </c>
      <c r="BW43" s="46">
        <v>1</v>
      </c>
      <c r="BZ43" s="46">
        <v>1</v>
      </c>
      <c r="CC43" s="46">
        <v>1</v>
      </c>
      <c r="CI43" s="46">
        <v>1</v>
      </c>
      <c r="CU43" s="50">
        <v>46453</v>
      </c>
    </row>
    <row r="44" spans="1:99">
      <c r="A44" s="46" t="s">
        <v>2392</v>
      </c>
      <c r="B44" s="46" t="s">
        <v>2393</v>
      </c>
      <c r="C44" s="46">
        <v>32</v>
      </c>
      <c r="D44" s="46" t="s">
        <v>2394</v>
      </c>
      <c r="E44" s="46" t="s">
        <v>2395</v>
      </c>
      <c r="F44" s="46" t="s">
        <v>107</v>
      </c>
      <c r="G44" s="46">
        <v>1</v>
      </c>
      <c r="M44" s="46">
        <v>1</v>
      </c>
      <c r="R44" s="46">
        <v>1</v>
      </c>
      <c r="U44" s="46">
        <v>1</v>
      </c>
      <c r="W44" s="46">
        <v>15</v>
      </c>
      <c r="X44" s="46">
        <v>18</v>
      </c>
      <c r="Y44" s="46">
        <v>20</v>
      </c>
      <c r="Z44" s="46">
        <v>1</v>
      </c>
      <c r="AA44" s="46">
        <v>1</v>
      </c>
      <c r="AB44" s="46">
        <v>1</v>
      </c>
      <c r="AD44" s="46">
        <v>1</v>
      </c>
      <c r="AE44" s="46">
        <v>1</v>
      </c>
      <c r="AG44" s="46">
        <v>1</v>
      </c>
      <c r="AI44" s="46">
        <v>1</v>
      </c>
      <c r="AK44" s="46">
        <v>1</v>
      </c>
      <c r="AT44" s="46">
        <v>1</v>
      </c>
      <c r="AW44" s="46">
        <v>1</v>
      </c>
      <c r="BA44" s="46">
        <v>1</v>
      </c>
      <c r="BH44" s="46">
        <v>1</v>
      </c>
      <c r="BP44" s="46">
        <v>1</v>
      </c>
      <c r="BV44" s="46">
        <v>1</v>
      </c>
      <c r="BW44" s="46">
        <v>1</v>
      </c>
      <c r="BZ44" s="46">
        <v>1</v>
      </c>
      <c r="CC44" s="46">
        <v>1</v>
      </c>
      <c r="CI44" s="46">
        <v>1</v>
      </c>
      <c r="CU44" s="138"/>
    </row>
    <row r="45" spans="1:99">
      <c r="A45" s="46" t="s">
        <v>2396</v>
      </c>
      <c r="B45" s="46" t="s">
        <v>2397</v>
      </c>
      <c r="C45" s="46">
        <v>38</v>
      </c>
      <c r="D45" s="46" t="s">
        <v>1149</v>
      </c>
      <c r="E45" s="46" t="s">
        <v>2398</v>
      </c>
      <c r="F45" s="46" t="s">
        <v>112</v>
      </c>
      <c r="I45" s="46">
        <v>1</v>
      </c>
      <c r="M45" s="46">
        <v>1</v>
      </c>
      <c r="Q45" s="46">
        <v>1</v>
      </c>
      <c r="S45" s="46">
        <v>1</v>
      </c>
      <c r="W45" s="46">
        <v>12</v>
      </c>
      <c r="X45" s="46">
        <v>15</v>
      </c>
      <c r="Y45" s="46">
        <v>15</v>
      </c>
      <c r="Z45" s="46">
        <v>6</v>
      </c>
      <c r="AA45" s="46">
        <v>5</v>
      </c>
      <c r="AB45" s="46">
        <v>5</v>
      </c>
      <c r="AC45" s="46">
        <v>1</v>
      </c>
      <c r="AI45" s="46">
        <v>1</v>
      </c>
      <c r="AK45" s="46">
        <v>1</v>
      </c>
      <c r="AT45" s="46">
        <v>1</v>
      </c>
      <c r="AX45" s="46">
        <v>1</v>
      </c>
      <c r="BB45" s="46">
        <v>1</v>
      </c>
      <c r="BF45" s="46">
        <v>1</v>
      </c>
      <c r="BI45" s="46">
        <v>1</v>
      </c>
      <c r="BZ45" s="46">
        <v>1</v>
      </c>
      <c r="CC45" s="46">
        <v>1</v>
      </c>
      <c r="CI45" s="46">
        <v>1</v>
      </c>
      <c r="CU45" s="129">
        <v>45717</v>
      </c>
    </row>
    <row r="46" spans="1:99">
      <c r="A46" s="46" t="s">
        <v>2399</v>
      </c>
      <c r="B46" s="46" t="s">
        <v>2400</v>
      </c>
      <c r="C46" s="46">
        <v>53</v>
      </c>
      <c r="D46" s="46" t="s">
        <v>2354</v>
      </c>
      <c r="E46" s="46" t="s">
        <v>2401</v>
      </c>
      <c r="F46" s="46" t="s">
        <v>112</v>
      </c>
      <c r="H46" s="46">
        <v>1</v>
      </c>
      <c r="O46" s="46">
        <v>1</v>
      </c>
      <c r="Q46" s="46">
        <v>1</v>
      </c>
      <c r="T46" s="46">
        <v>1</v>
      </c>
      <c r="W46" s="46">
        <v>17</v>
      </c>
      <c r="X46" s="46">
        <v>18</v>
      </c>
      <c r="Y46" s="46">
        <v>19</v>
      </c>
      <c r="Z46" s="46">
        <v>6</v>
      </c>
      <c r="AA46" s="46">
        <v>6</v>
      </c>
      <c r="AB46" s="46">
        <v>6</v>
      </c>
      <c r="AE46" s="46">
        <v>1</v>
      </c>
      <c r="AH46" s="46">
        <v>1</v>
      </c>
      <c r="AI46" s="46">
        <v>1</v>
      </c>
      <c r="AK46" s="46">
        <v>1</v>
      </c>
      <c r="AT46" s="46">
        <v>1</v>
      </c>
      <c r="AZ46" s="46">
        <v>1</v>
      </c>
      <c r="BB46" s="46">
        <v>1</v>
      </c>
      <c r="BG46" s="46" t="s">
        <v>2402</v>
      </c>
      <c r="BK46" s="46">
        <v>1</v>
      </c>
      <c r="BS46" s="46">
        <v>1</v>
      </c>
      <c r="BX46" s="46" t="s">
        <v>952</v>
      </c>
      <c r="BZ46" s="46">
        <v>1</v>
      </c>
      <c r="CC46" s="46">
        <v>1</v>
      </c>
      <c r="CI46" s="46">
        <v>1</v>
      </c>
      <c r="CU46" s="46" t="s">
        <v>2261</v>
      </c>
    </row>
  </sheetData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137" t="s">
        <v>360</v>
      </c>
      <c r="AC2" s="66" t="s">
        <v>369</v>
      </c>
      <c r="AD2" s="64" t="s">
        <v>365</v>
      </c>
    </row>
    <row r="3" spans="1:30">
      <c r="A3" s="68" t="s">
        <v>1169</v>
      </c>
      <c r="B3" s="69"/>
      <c r="C3" s="69"/>
      <c r="D3" s="69"/>
      <c r="E3" s="69">
        <f t="shared" ref="E3:E8" si="0">SUM(B3:D3)</f>
        <v>0</v>
      </c>
      <c r="F3" s="70"/>
      <c r="G3" s="70"/>
      <c r="H3" s="70"/>
      <c r="I3" s="71">
        <f t="shared" ref="I3:I9" si="1">SUM(F3:H3)</f>
        <v>0</v>
      </c>
      <c r="J3" s="70"/>
      <c r="K3" s="70"/>
      <c r="L3" s="70"/>
      <c r="M3" s="70"/>
      <c r="N3" s="71">
        <f t="shared" ref="N3:N9" si="2">SUM(J3:M3)</f>
        <v>0</v>
      </c>
      <c r="O3" s="70"/>
      <c r="P3" s="70"/>
      <c r="Q3" s="70"/>
      <c r="R3" s="71">
        <f t="shared" ref="R3:R8" si="3">SUM(O3:Q3)</f>
        <v>0</v>
      </c>
      <c r="S3" s="70"/>
      <c r="T3" s="70"/>
      <c r="U3" s="70"/>
      <c r="V3" s="70"/>
      <c r="W3" s="70"/>
      <c r="X3" s="70"/>
      <c r="Y3" s="73"/>
      <c r="Z3" s="73"/>
      <c r="AA3" s="73"/>
      <c r="AB3" s="73"/>
      <c r="AC3" s="73">
        <f t="shared" ref="AC3:AC8" si="4">SUM(Y3:AB3)</f>
        <v>0</v>
      </c>
      <c r="AD3" s="73"/>
    </row>
    <row r="4" spans="1:30">
      <c r="A4" s="74" t="s">
        <v>1362</v>
      </c>
      <c r="B4" s="69">
        <v>9</v>
      </c>
      <c r="C4" s="69">
        <v>1</v>
      </c>
      <c r="D4" s="69">
        <v>1</v>
      </c>
      <c r="E4" s="69">
        <f t="shared" si="0"/>
        <v>11</v>
      </c>
      <c r="F4" s="70"/>
      <c r="G4" s="70">
        <v>10</v>
      </c>
      <c r="H4" s="70">
        <v>1</v>
      </c>
      <c r="I4" s="71">
        <f t="shared" si="1"/>
        <v>11</v>
      </c>
      <c r="J4" s="70"/>
      <c r="K4" s="70"/>
      <c r="L4" s="70"/>
      <c r="M4" s="70"/>
      <c r="N4" s="71">
        <f t="shared" si="2"/>
        <v>0</v>
      </c>
      <c r="O4" s="70"/>
      <c r="P4" s="70"/>
      <c r="Q4" s="70">
        <v>2</v>
      </c>
      <c r="R4" s="71">
        <f t="shared" si="3"/>
        <v>2</v>
      </c>
      <c r="S4" s="75"/>
      <c r="T4" s="75"/>
      <c r="U4" s="75"/>
      <c r="V4" s="75"/>
      <c r="W4" s="75"/>
      <c r="X4" s="76"/>
      <c r="Y4" s="73">
        <v>8</v>
      </c>
      <c r="Z4" s="73"/>
      <c r="AA4" s="73"/>
      <c r="AB4" s="73">
        <v>3</v>
      </c>
      <c r="AC4" s="73">
        <f t="shared" si="4"/>
        <v>11</v>
      </c>
      <c r="AD4" s="73"/>
    </row>
    <row r="5" spans="1:30">
      <c r="A5" s="77" t="s">
        <v>774</v>
      </c>
      <c r="B5" s="69">
        <v>18</v>
      </c>
      <c r="C5" s="69"/>
      <c r="D5" s="69"/>
      <c r="E5" s="69">
        <f t="shared" si="0"/>
        <v>18</v>
      </c>
      <c r="F5" s="70">
        <v>1</v>
      </c>
      <c r="G5" s="70">
        <v>14</v>
      </c>
      <c r="H5" s="70"/>
      <c r="I5" s="71">
        <f t="shared" si="1"/>
        <v>15</v>
      </c>
      <c r="J5" s="70"/>
      <c r="K5" s="70">
        <v>2</v>
      </c>
      <c r="L5" s="70"/>
      <c r="M5" s="70">
        <v>1</v>
      </c>
      <c r="N5" s="71">
        <f t="shared" si="2"/>
        <v>3</v>
      </c>
      <c r="O5" s="70"/>
      <c r="P5" s="70"/>
      <c r="Q5" s="70">
        <v>4</v>
      </c>
      <c r="R5" s="71">
        <f t="shared" si="3"/>
        <v>4</v>
      </c>
      <c r="S5" s="75"/>
      <c r="T5" s="75"/>
      <c r="U5" s="75"/>
      <c r="V5" s="75">
        <v>2</v>
      </c>
      <c r="W5" s="75"/>
      <c r="X5" s="76"/>
      <c r="Y5" s="73">
        <v>11</v>
      </c>
      <c r="Z5" s="73">
        <v>1</v>
      </c>
      <c r="AA5" s="73"/>
      <c r="AB5" s="73">
        <v>6</v>
      </c>
      <c r="AC5" s="73">
        <f t="shared" si="4"/>
        <v>18</v>
      </c>
      <c r="AD5" s="73"/>
    </row>
    <row r="6" spans="1:30">
      <c r="A6" s="77" t="s">
        <v>2403</v>
      </c>
      <c r="B6" s="69">
        <v>5</v>
      </c>
      <c r="C6" s="69"/>
      <c r="D6" s="69"/>
      <c r="E6" s="69">
        <f t="shared" si="0"/>
        <v>5</v>
      </c>
      <c r="F6" s="70"/>
      <c r="G6" s="70">
        <v>4</v>
      </c>
      <c r="H6" s="70"/>
      <c r="I6" s="71">
        <f t="shared" si="1"/>
        <v>4</v>
      </c>
      <c r="J6" s="70"/>
      <c r="K6" s="70">
        <v>1</v>
      </c>
      <c r="L6" s="70"/>
      <c r="M6" s="70"/>
      <c r="N6" s="71">
        <f t="shared" si="2"/>
        <v>1</v>
      </c>
      <c r="O6" s="70"/>
      <c r="P6" s="70"/>
      <c r="Q6" s="70">
        <v>1</v>
      </c>
      <c r="R6" s="71">
        <f t="shared" si="3"/>
        <v>1</v>
      </c>
      <c r="S6" s="75"/>
      <c r="T6" s="75"/>
      <c r="U6" s="75"/>
      <c r="V6" s="75">
        <v>1</v>
      </c>
      <c r="W6" s="75"/>
      <c r="X6" s="76"/>
      <c r="Y6" s="73">
        <v>3</v>
      </c>
      <c r="Z6" s="73">
        <v>1</v>
      </c>
      <c r="AA6" s="73"/>
      <c r="AB6" s="73">
        <v>1</v>
      </c>
      <c r="AC6" s="73">
        <f t="shared" si="4"/>
        <v>5</v>
      </c>
      <c r="AD6" s="73"/>
    </row>
    <row r="7" spans="1:30">
      <c r="A7" s="77" t="s">
        <v>374</v>
      </c>
      <c r="B7" s="69">
        <v>7</v>
      </c>
      <c r="C7" s="69"/>
      <c r="D7" s="69">
        <v>1</v>
      </c>
      <c r="E7" s="69">
        <f t="shared" si="0"/>
        <v>8</v>
      </c>
      <c r="F7" s="70"/>
      <c r="G7" s="70"/>
      <c r="H7" s="70"/>
      <c r="I7" s="71">
        <f t="shared" si="1"/>
        <v>0</v>
      </c>
      <c r="J7" s="70">
        <v>6</v>
      </c>
      <c r="K7" s="70">
        <v>2</v>
      </c>
      <c r="L7" s="70"/>
      <c r="M7" s="70"/>
      <c r="N7" s="71">
        <f t="shared" si="2"/>
        <v>8</v>
      </c>
      <c r="O7" s="70"/>
      <c r="P7" s="70"/>
      <c r="Q7" s="70"/>
      <c r="R7" s="71">
        <f t="shared" si="3"/>
        <v>0</v>
      </c>
      <c r="S7" s="75"/>
      <c r="T7" s="75"/>
      <c r="U7" s="75"/>
      <c r="V7" s="75">
        <v>2</v>
      </c>
      <c r="W7" s="75"/>
      <c r="X7" s="76"/>
      <c r="Y7" s="73">
        <v>4</v>
      </c>
      <c r="Z7" s="73"/>
      <c r="AA7" s="73"/>
      <c r="AB7" s="73">
        <v>4</v>
      </c>
      <c r="AC7" s="73">
        <f t="shared" si="4"/>
        <v>8</v>
      </c>
      <c r="AD7" s="73"/>
    </row>
    <row r="8" spans="1:30">
      <c r="A8" s="78" t="s">
        <v>556</v>
      </c>
      <c r="B8" s="79">
        <v>1</v>
      </c>
      <c r="C8" s="79"/>
      <c r="D8" s="79"/>
      <c r="E8" s="69">
        <f t="shared" si="0"/>
        <v>1</v>
      </c>
      <c r="F8" s="80"/>
      <c r="G8" s="80"/>
      <c r="H8" s="80"/>
      <c r="I8" s="71">
        <f t="shared" si="1"/>
        <v>0</v>
      </c>
      <c r="J8" s="80">
        <v>1</v>
      </c>
      <c r="K8" s="80"/>
      <c r="L8" s="80"/>
      <c r="M8" s="80"/>
      <c r="N8" s="71">
        <f t="shared" si="2"/>
        <v>1</v>
      </c>
      <c r="O8" s="80"/>
      <c r="P8" s="80"/>
      <c r="Q8" s="80">
        <v>1</v>
      </c>
      <c r="R8" s="71">
        <f t="shared" si="3"/>
        <v>1</v>
      </c>
      <c r="S8" s="80"/>
      <c r="T8" s="80"/>
      <c r="U8" s="80"/>
      <c r="V8" s="80"/>
      <c r="W8" s="80"/>
      <c r="X8" s="81"/>
      <c r="Y8" s="82">
        <v>1</v>
      </c>
      <c r="Z8" s="82"/>
      <c r="AA8" s="82"/>
      <c r="AB8" s="82"/>
      <c r="AC8" s="73">
        <f t="shared" si="4"/>
        <v>1</v>
      </c>
      <c r="AD8" s="82"/>
    </row>
    <row r="9" spans="1:30">
      <c r="A9" s="69" t="s">
        <v>376</v>
      </c>
      <c r="B9" s="69">
        <f t="shared" ref="B9:H9" si="5">SUM(B3:B8)</f>
        <v>40</v>
      </c>
      <c r="C9" s="69">
        <f t="shared" si="5"/>
        <v>1</v>
      </c>
      <c r="D9" s="69">
        <f t="shared" si="5"/>
        <v>2</v>
      </c>
      <c r="E9" s="69">
        <f t="shared" si="5"/>
        <v>43</v>
      </c>
      <c r="F9" s="69">
        <f t="shared" si="5"/>
        <v>1</v>
      </c>
      <c r="G9" s="69">
        <f t="shared" si="5"/>
        <v>28</v>
      </c>
      <c r="H9" s="69">
        <f t="shared" si="5"/>
        <v>1</v>
      </c>
      <c r="I9" s="71">
        <f t="shared" si="1"/>
        <v>30</v>
      </c>
      <c r="J9" s="114">
        <f>SUM(J3:J8)</f>
        <v>7</v>
      </c>
      <c r="K9" s="114">
        <f>SUM(K3:K8)</f>
        <v>5</v>
      </c>
      <c r="L9" s="114">
        <f>SUM(L3:L8)</f>
        <v>0</v>
      </c>
      <c r="M9" s="114">
        <f>SUM(M3:M8)</f>
        <v>1</v>
      </c>
      <c r="N9" s="71">
        <f t="shared" si="2"/>
        <v>13</v>
      </c>
      <c r="O9" s="114">
        <f t="shared" ref="O9:AC9" si="6">SUM(O3:O8)</f>
        <v>0</v>
      </c>
      <c r="P9" s="114">
        <f t="shared" si="6"/>
        <v>0</v>
      </c>
      <c r="Q9" s="114">
        <f t="shared" si="6"/>
        <v>8</v>
      </c>
      <c r="R9" s="71">
        <f t="shared" si="6"/>
        <v>8</v>
      </c>
      <c r="S9" s="114">
        <f t="shared" si="6"/>
        <v>0</v>
      </c>
      <c r="T9" s="114">
        <f t="shared" si="6"/>
        <v>0</v>
      </c>
      <c r="U9" s="114">
        <f t="shared" si="6"/>
        <v>0</v>
      </c>
      <c r="V9" s="114">
        <f t="shared" si="6"/>
        <v>5</v>
      </c>
      <c r="W9" s="114">
        <f t="shared" si="6"/>
        <v>0</v>
      </c>
      <c r="X9" s="114">
        <f t="shared" si="6"/>
        <v>0</v>
      </c>
      <c r="Y9" s="73">
        <f t="shared" si="6"/>
        <v>27</v>
      </c>
      <c r="Z9" s="73">
        <f t="shared" si="6"/>
        <v>2</v>
      </c>
      <c r="AA9" s="73">
        <f t="shared" si="6"/>
        <v>0</v>
      </c>
      <c r="AB9" s="73">
        <f t="shared" si="6"/>
        <v>14</v>
      </c>
      <c r="AC9" s="73">
        <f t="shared" si="6"/>
        <v>43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140625" customWidth="1"/>
    <col min="2" max="2" width="19.140625" customWidth="1"/>
    <col min="3" max="3" width="7" customWidth="1"/>
    <col min="4" max="4" width="9" customWidth="1"/>
    <col min="6" max="6" width="11.140625" customWidth="1"/>
    <col min="7" max="7" width="7.42578125" customWidth="1"/>
    <col min="8" max="8" width="8" customWidth="1"/>
    <col min="9" max="9" width="8.5703125" customWidth="1"/>
    <col min="10" max="10" width="8.85546875" customWidth="1"/>
    <col min="11" max="11" width="9.140625" customWidth="1"/>
    <col min="12" max="12" width="7.42578125" customWidth="1"/>
    <col min="13" max="13" width="7.85546875" customWidth="1"/>
    <col min="14" max="14" width="9.28515625" customWidth="1"/>
    <col min="15" max="15" width="7.85546875" customWidth="1"/>
    <col min="16" max="16" width="8.42578125" customWidth="1"/>
    <col min="17" max="17" width="8.5703125" customWidth="1"/>
    <col min="18" max="18" width="9.28515625" customWidth="1"/>
    <col min="19" max="19" width="8" customWidth="1"/>
    <col min="20" max="20" width="8.5703125" customWidth="1"/>
    <col min="21" max="21" width="7" customWidth="1"/>
    <col min="22" max="22" width="6.7109375" customWidth="1"/>
    <col min="23" max="23" width="8.5703125" customWidth="1"/>
    <col min="24" max="24" width="12.140625" customWidth="1"/>
    <col min="25" max="25" width="10" customWidth="1"/>
    <col min="26" max="26" width="9.7109375" customWidth="1"/>
    <col min="27" max="27" width="9.5703125" customWidth="1"/>
    <col min="28" max="28" width="10.42578125" customWidth="1"/>
    <col min="29" max="29" width="6.140625" customWidth="1"/>
    <col min="30" max="30" width="8" customWidth="1"/>
    <col min="31" max="31" width="8.140625" customWidth="1"/>
    <col min="32" max="32" width="9" customWidth="1"/>
    <col min="33" max="33" width="9.42578125" customWidth="1"/>
    <col min="34" max="34" width="7.42578125" customWidth="1"/>
    <col min="35" max="35" width="7.140625" customWidth="1"/>
    <col min="36" max="36" width="8.7109375" customWidth="1"/>
    <col min="37" max="37" width="7.140625" customWidth="1"/>
    <col min="38" max="38" width="6.7109375" customWidth="1"/>
    <col min="39" max="39" width="11.7109375" customWidth="1"/>
    <col min="40" max="40" width="11.5703125" customWidth="1"/>
    <col min="41" max="41" width="7.7109375" customWidth="1"/>
    <col min="42" max="42" width="9.28515625" customWidth="1"/>
    <col min="43" max="43" width="9.140625" customWidth="1"/>
    <col min="44" max="44" width="12.28515625" customWidth="1"/>
    <col min="45" max="45" width="10" customWidth="1"/>
    <col min="46" max="46" width="7.28515625" customWidth="1"/>
    <col min="47" max="47" width="10.28515625" customWidth="1"/>
    <col min="48" max="48" width="8.28515625" customWidth="1"/>
    <col min="49" max="49" width="9.42578125" customWidth="1"/>
    <col min="50" max="51" width="9.85546875" customWidth="1"/>
    <col min="52" max="52" width="5.85546875" customWidth="1"/>
    <col min="53" max="53" width="6.28515625" customWidth="1"/>
    <col min="54" max="54" width="7.140625" customWidth="1"/>
    <col min="55" max="55" width="7" customWidth="1"/>
    <col min="56" max="56" width="9.85546875" customWidth="1"/>
    <col min="57" max="57" width="7" customWidth="1"/>
    <col min="58" max="58" width="10.85546875" customWidth="1"/>
    <col min="59" max="59" width="11" customWidth="1"/>
    <col min="60" max="60" width="7.28515625" customWidth="1"/>
    <col min="61" max="61" width="6.85546875" customWidth="1"/>
    <col min="62" max="62" width="8.85546875" customWidth="1"/>
    <col min="63" max="63" width="11" customWidth="1"/>
    <col min="64" max="64" width="9.7109375" customWidth="1"/>
    <col min="65" max="65" width="8.28515625" customWidth="1"/>
    <col min="66" max="66" width="6.140625" customWidth="1"/>
    <col min="67" max="67" width="10.42578125" customWidth="1"/>
    <col min="68" max="68" width="6" customWidth="1"/>
    <col min="69" max="69" width="7.28515625" customWidth="1"/>
    <col min="70" max="70" width="9.28515625" customWidth="1"/>
    <col min="71" max="71" width="12.7109375" customWidth="1"/>
    <col min="72" max="72" width="1.140625" customWidth="1"/>
    <col min="73" max="73" width="6.85546875" customWidth="1"/>
    <col min="74" max="74" width="9.5703125" customWidth="1"/>
    <col min="75" max="75" width="11.85546875" customWidth="1"/>
    <col min="76" max="76" width="9.42578125" customWidth="1"/>
    <col min="77" max="77" width="11.85546875" customWidth="1"/>
    <col min="78" max="78" width="8" customWidth="1"/>
    <col min="79" max="79" width="8.140625" customWidth="1"/>
    <col min="81" max="81" width="12.7109375" customWidth="1"/>
    <col min="83" max="83" width="10" customWidth="1"/>
    <col min="84" max="84" width="6.7109375" customWidth="1"/>
    <col min="85" max="85" width="8" customWidth="1"/>
    <col min="86" max="86" width="9.5703125" customWidth="1"/>
    <col min="87" max="87" width="9.7109375" customWidth="1"/>
    <col min="88" max="88" width="11.28515625" customWidth="1"/>
    <col min="89" max="89" width="9.28515625" customWidth="1"/>
    <col min="90" max="90" width="9.85546875" customWidth="1"/>
    <col min="91" max="91" width="7" customWidth="1"/>
    <col min="92" max="92" width="7.7109375" customWidth="1"/>
    <col min="93" max="93" width="9.42578125" customWidth="1"/>
    <col min="94" max="94" width="7.85546875" customWidth="1"/>
    <col min="96" max="96" width="12.7109375" customWidth="1"/>
  </cols>
  <sheetData>
    <row r="1" spans="1:99">
      <c r="A1" s="479" t="s">
        <v>2404</v>
      </c>
      <c r="B1" s="480"/>
      <c r="C1" s="479" t="s">
        <v>2405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2406</v>
      </c>
      <c r="B4" s="46" t="s">
        <v>2407</v>
      </c>
      <c r="C4" s="46">
        <v>37</v>
      </c>
      <c r="D4" s="46" t="s">
        <v>2408</v>
      </c>
      <c r="E4" s="46" t="s">
        <v>2409</v>
      </c>
      <c r="F4" s="46" t="s">
        <v>112</v>
      </c>
      <c r="H4" s="46">
        <v>1</v>
      </c>
      <c r="O4" s="46">
        <v>1</v>
      </c>
      <c r="R4" s="46">
        <v>1</v>
      </c>
      <c r="T4" s="46">
        <v>1</v>
      </c>
      <c r="W4" s="46">
        <v>15</v>
      </c>
      <c r="X4" s="113"/>
      <c r="Y4" s="46">
        <v>18</v>
      </c>
      <c r="Z4" s="46">
        <v>4</v>
      </c>
      <c r="AA4" s="46">
        <v>4</v>
      </c>
      <c r="AB4" s="46">
        <v>4</v>
      </c>
      <c r="AC4" s="46">
        <v>1</v>
      </c>
      <c r="AI4" s="46">
        <v>1</v>
      </c>
      <c r="AL4" s="46">
        <v>1</v>
      </c>
      <c r="AO4" s="113"/>
      <c r="AP4" s="113"/>
      <c r="AS4" s="46">
        <v>1</v>
      </c>
      <c r="AT4" s="46">
        <v>1</v>
      </c>
      <c r="AW4" s="46">
        <v>1</v>
      </c>
      <c r="BA4" s="46">
        <v>1</v>
      </c>
      <c r="BH4" s="46">
        <v>1</v>
      </c>
      <c r="BP4" s="46">
        <v>1</v>
      </c>
      <c r="BZ4" s="46">
        <v>1</v>
      </c>
      <c r="CC4" s="46">
        <v>1</v>
      </c>
      <c r="CU4" s="129">
        <v>45717</v>
      </c>
    </row>
    <row r="5" spans="1:99">
      <c r="A5" s="46" t="s">
        <v>2410</v>
      </c>
      <c r="B5" s="46" t="s">
        <v>2411</v>
      </c>
      <c r="C5" s="46">
        <v>32</v>
      </c>
      <c r="D5" s="46" t="s">
        <v>2412</v>
      </c>
      <c r="E5" s="46" t="s">
        <v>2413</v>
      </c>
      <c r="F5" s="46" t="s">
        <v>107</v>
      </c>
      <c r="G5" s="46">
        <v>1</v>
      </c>
      <c r="N5" s="46">
        <v>1</v>
      </c>
      <c r="R5" s="46">
        <v>1</v>
      </c>
      <c r="T5" s="46">
        <v>1</v>
      </c>
      <c r="W5" s="46">
        <v>15</v>
      </c>
      <c r="X5" s="46">
        <v>18</v>
      </c>
      <c r="Y5" s="46">
        <v>19</v>
      </c>
      <c r="Z5" s="46">
        <v>4</v>
      </c>
      <c r="AA5" s="46">
        <v>4</v>
      </c>
      <c r="AB5" s="46">
        <v>4</v>
      </c>
      <c r="AC5" s="46">
        <v>1</v>
      </c>
      <c r="AI5" s="113"/>
      <c r="AJ5" s="113"/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U5" s="50">
        <v>46448</v>
      </c>
    </row>
    <row r="6" spans="1:99">
      <c r="A6" s="46" t="s">
        <v>2414</v>
      </c>
      <c r="B6" s="46" t="s">
        <v>2415</v>
      </c>
      <c r="C6" s="46">
        <v>29</v>
      </c>
      <c r="D6" s="46" t="s">
        <v>2412</v>
      </c>
      <c r="E6" s="46" t="s">
        <v>2416</v>
      </c>
      <c r="F6" s="46" t="s">
        <v>107</v>
      </c>
      <c r="G6" s="46">
        <v>1</v>
      </c>
      <c r="N6" s="46">
        <v>1</v>
      </c>
      <c r="Q6" s="46">
        <v>1</v>
      </c>
      <c r="T6" s="46">
        <v>1</v>
      </c>
      <c r="W6" s="46">
        <v>13</v>
      </c>
      <c r="X6" s="46">
        <v>14</v>
      </c>
      <c r="Y6" s="46">
        <v>15</v>
      </c>
      <c r="Z6" s="46">
        <v>2</v>
      </c>
      <c r="AA6" s="46">
        <v>2</v>
      </c>
      <c r="AB6" s="46">
        <v>2</v>
      </c>
      <c r="AC6" s="46">
        <v>1</v>
      </c>
      <c r="AI6" s="113"/>
      <c r="AJ6" s="113"/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113"/>
      <c r="CD6" s="113"/>
      <c r="CU6" s="50">
        <v>46449</v>
      </c>
    </row>
    <row r="7" spans="1:99">
      <c r="A7" s="46" t="s">
        <v>2417</v>
      </c>
      <c r="B7" s="46" t="s">
        <v>2418</v>
      </c>
      <c r="C7" s="46">
        <v>27</v>
      </c>
      <c r="D7" s="46" t="s">
        <v>2419</v>
      </c>
      <c r="E7" s="46" t="s">
        <v>2420</v>
      </c>
      <c r="F7" s="46" t="s">
        <v>112</v>
      </c>
      <c r="J7" s="46">
        <v>1</v>
      </c>
      <c r="M7" s="46">
        <v>1</v>
      </c>
      <c r="Q7" s="46">
        <v>1</v>
      </c>
      <c r="T7" s="46">
        <v>1</v>
      </c>
      <c r="W7" s="46">
        <v>15</v>
      </c>
      <c r="X7" s="46">
        <v>18</v>
      </c>
      <c r="Y7" s="46">
        <v>20</v>
      </c>
      <c r="Z7" s="46">
        <v>1</v>
      </c>
      <c r="AA7" s="46">
        <v>1</v>
      </c>
      <c r="AB7" s="46">
        <v>1</v>
      </c>
      <c r="AE7" s="46">
        <v>1</v>
      </c>
      <c r="AH7" s="46">
        <v>1</v>
      </c>
      <c r="AI7" s="46">
        <v>1</v>
      </c>
      <c r="AK7" s="46">
        <v>1</v>
      </c>
      <c r="AT7" s="46">
        <v>1</v>
      </c>
      <c r="AX7" s="46">
        <v>1</v>
      </c>
      <c r="BA7" s="46">
        <v>1</v>
      </c>
      <c r="BI7" s="46">
        <v>1</v>
      </c>
      <c r="BZ7" s="46">
        <v>1</v>
      </c>
      <c r="CC7" s="46">
        <v>1</v>
      </c>
      <c r="CI7" s="46">
        <v>1</v>
      </c>
      <c r="CU7" s="50">
        <v>46450</v>
      </c>
    </row>
    <row r="8" spans="1:99">
      <c r="A8" s="46" t="s">
        <v>2421</v>
      </c>
      <c r="B8" s="46" t="s">
        <v>2422</v>
      </c>
      <c r="C8" s="46">
        <v>21</v>
      </c>
      <c r="D8" s="46" t="s">
        <v>2412</v>
      </c>
      <c r="E8" s="46" t="s">
        <v>2423</v>
      </c>
      <c r="F8" s="46" t="s">
        <v>2424</v>
      </c>
      <c r="I8" s="46">
        <v>1</v>
      </c>
      <c r="M8" s="46">
        <v>1</v>
      </c>
      <c r="Q8" s="46">
        <v>1</v>
      </c>
      <c r="U8" s="46">
        <v>1</v>
      </c>
      <c r="W8" s="46">
        <v>9</v>
      </c>
      <c r="X8" s="46">
        <v>19</v>
      </c>
      <c r="Y8" s="46">
        <v>21</v>
      </c>
      <c r="Z8" s="46">
        <v>2</v>
      </c>
      <c r="AA8" s="46">
        <v>1</v>
      </c>
      <c r="AB8" s="46">
        <v>1</v>
      </c>
      <c r="AE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  <c r="CU8" s="50">
        <v>46451</v>
      </c>
    </row>
    <row r="9" spans="1:99">
      <c r="A9" s="46" t="s">
        <v>2425</v>
      </c>
      <c r="B9" s="46" t="s">
        <v>2426</v>
      </c>
      <c r="C9" s="46">
        <v>49</v>
      </c>
      <c r="D9" s="46" t="s">
        <v>2419</v>
      </c>
      <c r="E9" s="46" t="s">
        <v>191</v>
      </c>
      <c r="F9" s="46" t="s">
        <v>107</v>
      </c>
      <c r="H9" s="46">
        <v>1</v>
      </c>
      <c r="N9" s="46">
        <v>1</v>
      </c>
      <c r="R9" s="46">
        <v>1</v>
      </c>
      <c r="T9" s="46">
        <v>1</v>
      </c>
      <c r="W9" s="46">
        <v>14</v>
      </c>
      <c r="X9" s="46">
        <v>15</v>
      </c>
      <c r="Y9" s="46">
        <v>15</v>
      </c>
      <c r="Z9" s="46">
        <v>3</v>
      </c>
      <c r="AA9" s="46">
        <v>3</v>
      </c>
      <c r="AB9" s="46">
        <v>3</v>
      </c>
      <c r="AE9" s="46">
        <v>1</v>
      </c>
      <c r="AI9" s="46">
        <v>1</v>
      </c>
      <c r="AK9" s="46">
        <v>1</v>
      </c>
      <c r="AT9" s="46">
        <v>1</v>
      </c>
      <c r="AX9" s="46">
        <v>1</v>
      </c>
      <c r="BA9" s="46">
        <v>1</v>
      </c>
      <c r="BI9" s="46">
        <v>1</v>
      </c>
      <c r="BZ9" s="46">
        <v>1</v>
      </c>
      <c r="CC9" s="46">
        <v>1</v>
      </c>
      <c r="CU9" s="50">
        <v>46452</v>
      </c>
    </row>
    <row r="10" spans="1:99">
      <c r="A10" s="46" t="s">
        <v>2427</v>
      </c>
      <c r="B10" s="46" t="s">
        <v>2428</v>
      </c>
      <c r="C10" s="46">
        <v>33</v>
      </c>
      <c r="D10" s="46" t="s">
        <v>2419</v>
      </c>
      <c r="E10" s="46" t="s">
        <v>2429</v>
      </c>
      <c r="F10" s="46" t="s">
        <v>122</v>
      </c>
      <c r="H10" s="46">
        <v>1</v>
      </c>
      <c r="M10" s="46">
        <v>1</v>
      </c>
      <c r="Q10" s="46">
        <v>1</v>
      </c>
      <c r="T10" s="46">
        <v>1</v>
      </c>
      <c r="W10" s="46">
        <v>13</v>
      </c>
      <c r="X10" s="46">
        <v>15</v>
      </c>
      <c r="Y10" s="46">
        <v>16</v>
      </c>
      <c r="Z10" s="46">
        <v>5</v>
      </c>
      <c r="AA10" s="46">
        <v>5</v>
      </c>
      <c r="AB10" s="46">
        <v>5</v>
      </c>
      <c r="AC10" s="46">
        <v>1</v>
      </c>
      <c r="AI10" s="113"/>
      <c r="AJ10" s="113"/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  <c r="CU10" s="50">
        <v>46453</v>
      </c>
    </row>
    <row r="11" spans="1:99">
      <c r="A11" s="46" t="s">
        <v>2430</v>
      </c>
      <c r="B11" s="46" t="s">
        <v>2431</v>
      </c>
      <c r="C11" s="46">
        <v>28</v>
      </c>
      <c r="D11" s="46" t="s">
        <v>2412</v>
      </c>
      <c r="E11" s="46" t="s">
        <v>2432</v>
      </c>
      <c r="F11" s="46" t="s">
        <v>107</v>
      </c>
      <c r="G11" s="46">
        <v>1</v>
      </c>
      <c r="M11" s="46">
        <v>1</v>
      </c>
      <c r="Q11" s="46">
        <v>1</v>
      </c>
      <c r="U11" s="46">
        <v>1</v>
      </c>
      <c r="W11" s="46">
        <v>15</v>
      </c>
      <c r="X11" s="46">
        <v>17</v>
      </c>
      <c r="Y11" s="46">
        <v>18</v>
      </c>
      <c r="Z11" s="46">
        <v>6</v>
      </c>
      <c r="AA11" s="46">
        <v>6</v>
      </c>
      <c r="AB11" s="46">
        <v>4</v>
      </c>
      <c r="AC11" s="46">
        <v>1</v>
      </c>
      <c r="AI11" s="113"/>
      <c r="AJ11" s="113"/>
      <c r="AK11" s="46">
        <v>1</v>
      </c>
      <c r="AT11" s="46">
        <v>1</v>
      </c>
      <c r="AY11" s="46">
        <v>1</v>
      </c>
      <c r="BA11" s="46">
        <v>1</v>
      </c>
      <c r="BI11" s="46">
        <v>1</v>
      </c>
      <c r="BZ11" s="46">
        <v>1</v>
      </c>
      <c r="CC11" s="46">
        <v>1</v>
      </c>
      <c r="CU11" s="50">
        <v>46454</v>
      </c>
    </row>
    <row r="12" spans="1:99">
      <c r="A12" s="46" t="s">
        <v>2433</v>
      </c>
      <c r="B12" s="46" t="s">
        <v>2434</v>
      </c>
      <c r="C12" s="46">
        <v>43</v>
      </c>
      <c r="D12" s="46" t="s">
        <v>2419</v>
      </c>
      <c r="E12" s="46" t="s">
        <v>2435</v>
      </c>
      <c r="F12" s="46" t="s">
        <v>107</v>
      </c>
      <c r="G12" s="46">
        <v>1</v>
      </c>
      <c r="L12" s="46">
        <v>1</v>
      </c>
      <c r="Q12" s="46" t="s">
        <v>191</v>
      </c>
      <c r="U12" s="46">
        <v>1</v>
      </c>
      <c r="W12" s="46">
        <v>15</v>
      </c>
      <c r="X12" s="46">
        <v>18</v>
      </c>
      <c r="Y12" s="46">
        <v>20</v>
      </c>
      <c r="Z12" s="46">
        <v>4</v>
      </c>
      <c r="AA12" s="46">
        <v>3</v>
      </c>
      <c r="AB12" s="46">
        <v>3</v>
      </c>
      <c r="AC12" s="46">
        <v>1</v>
      </c>
      <c r="AI12" s="113"/>
      <c r="AJ12" s="113"/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U12" s="50">
        <v>46455</v>
      </c>
    </row>
    <row r="13" spans="1:99">
      <c r="A13" s="46" t="s">
        <v>2436</v>
      </c>
      <c r="B13" s="46" t="s">
        <v>2437</v>
      </c>
      <c r="C13" s="46">
        <v>30</v>
      </c>
      <c r="D13" s="46" t="s">
        <v>2438</v>
      </c>
      <c r="E13" s="46" t="s">
        <v>2439</v>
      </c>
      <c r="F13" s="46" t="s">
        <v>107</v>
      </c>
      <c r="G13" s="46">
        <v>1</v>
      </c>
      <c r="M13" s="46">
        <v>1</v>
      </c>
      <c r="Q13" s="46">
        <v>1</v>
      </c>
      <c r="T13" s="46">
        <v>1</v>
      </c>
      <c r="W13" s="46">
        <v>15</v>
      </c>
      <c r="X13" s="46">
        <v>20</v>
      </c>
      <c r="Y13" s="46">
        <v>20</v>
      </c>
      <c r="Z13" s="46">
        <v>8</v>
      </c>
      <c r="AA13" s="46">
        <v>8</v>
      </c>
      <c r="AB13" s="46">
        <v>7</v>
      </c>
      <c r="AE13" s="46">
        <v>1</v>
      </c>
      <c r="AH13" s="46">
        <v>1</v>
      </c>
      <c r="AI13" s="46">
        <v>1</v>
      </c>
      <c r="AK13" s="46">
        <v>1</v>
      </c>
      <c r="AT13" s="46">
        <v>1</v>
      </c>
      <c r="AY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U13" s="50">
        <v>46456</v>
      </c>
    </row>
    <row r="14" spans="1:99">
      <c r="A14" s="46" t="s">
        <v>2440</v>
      </c>
      <c r="B14" s="46" t="s">
        <v>2441</v>
      </c>
      <c r="C14" s="46">
        <v>26</v>
      </c>
      <c r="D14" s="46" t="s">
        <v>2412</v>
      </c>
      <c r="E14" s="46" t="s">
        <v>191</v>
      </c>
      <c r="F14" s="46" t="s">
        <v>107</v>
      </c>
      <c r="J14" s="46">
        <v>1</v>
      </c>
      <c r="M14" s="46">
        <v>1</v>
      </c>
      <c r="R14" s="46">
        <v>1</v>
      </c>
      <c r="U14" s="46">
        <v>1</v>
      </c>
      <c r="W14" s="46">
        <v>13</v>
      </c>
      <c r="X14" s="46">
        <v>16</v>
      </c>
      <c r="Y14" s="46">
        <v>18</v>
      </c>
      <c r="Z14" s="46">
        <v>3</v>
      </c>
      <c r="AA14" s="46">
        <v>3</v>
      </c>
      <c r="AB14" s="46">
        <v>3</v>
      </c>
      <c r="AC14" s="46">
        <v>1</v>
      </c>
      <c r="AI14" s="46">
        <v>1</v>
      </c>
      <c r="AK14" s="46">
        <v>1</v>
      </c>
      <c r="AT14" s="46">
        <v>1</v>
      </c>
      <c r="AX14" s="46">
        <v>1</v>
      </c>
      <c r="BA14" s="46">
        <v>1</v>
      </c>
      <c r="BI14" s="46">
        <v>1</v>
      </c>
      <c r="BZ14" s="46">
        <v>1</v>
      </c>
      <c r="CC14" s="46">
        <v>1</v>
      </c>
      <c r="CI14" s="46">
        <v>1</v>
      </c>
      <c r="CU14" s="50">
        <v>46457</v>
      </c>
    </row>
  </sheetData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137" t="s">
        <v>362</v>
      </c>
      <c r="AC2" s="66" t="s">
        <v>369</v>
      </c>
      <c r="AD2" s="64" t="s">
        <v>365</v>
      </c>
    </row>
    <row r="3" spans="1:30">
      <c r="A3" s="74" t="s">
        <v>2442</v>
      </c>
      <c r="B3" s="69">
        <v>6</v>
      </c>
      <c r="C3" s="69"/>
      <c r="D3" s="69"/>
      <c r="E3" s="69">
        <f>SUM(B3:D3)</f>
        <v>6</v>
      </c>
      <c r="F3" s="70"/>
      <c r="G3" s="70">
        <v>6</v>
      </c>
      <c r="H3" s="70"/>
      <c r="I3" s="71">
        <f>SUM(F3:H3)</f>
        <v>6</v>
      </c>
      <c r="J3" s="70"/>
      <c r="K3" s="70"/>
      <c r="L3" s="70"/>
      <c r="M3" s="70"/>
      <c r="N3" s="71">
        <f>SUM(J3:M3)</f>
        <v>0</v>
      </c>
      <c r="O3" s="70"/>
      <c r="P3" s="70"/>
      <c r="Q3" s="70"/>
      <c r="R3" s="71">
        <f>SUM(O3:Q3)</f>
        <v>0</v>
      </c>
      <c r="S3" s="75"/>
      <c r="T3" s="75"/>
      <c r="U3" s="75"/>
      <c r="V3" s="75"/>
      <c r="W3" s="75"/>
      <c r="X3" s="76"/>
      <c r="Y3" s="73">
        <v>4</v>
      </c>
      <c r="Z3" s="73"/>
      <c r="AA3" s="73"/>
      <c r="AB3" s="73">
        <v>2</v>
      </c>
      <c r="AC3" s="73">
        <f>SUM(Y3:AB3)</f>
        <v>6</v>
      </c>
      <c r="AD3" s="73"/>
    </row>
    <row r="4" spans="1:30">
      <c r="A4" s="77" t="s">
        <v>2443</v>
      </c>
      <c r="B4" s="69">
        <v>2</v>
      </c>
      <c r="C4" s="69">
        <v>1</v>
      </c>
      <c r="D4" s="69"/>
      <c r="E4" s="69">
        <f>SUM(B4:D4)</f>
        <v>3</v>
      </c>
      <c r="F4" s="70">
        <v>1</v>
      </c>
      <c r="G4" s="70">
        <v>2</v>
      </c>
      <c r="H4" s="70"/>
      <c r="I4" s="71">
        <f>SUM(F4:H4)</f>
        <v>3</v>
      </c>
      <c r="J4" s="70"/>
      <c r="K4" s="70"/>
      <c r="L4" s="70"/>
      <c r="M4" s="70"/>
      <c r="N4" s="71">
        <f>SUM(J4:M4)</f>
        <v>0</v>
      </c>
      <c r="O4" s="70"/>
      <c r="P4" s="70"/>
      <c r="Q4" s="70"/>
      <c r="R4" s="71">
        <f>SUM(O4:Q4)</f>
        <v>0</v>
      </c>
      <c r="S4" s="75"/>
      <c r="T4" s="75"/>
      <c r="U4" s="75"/>
      <c r="V4" s="75"/>
      <c r="W4" s="75"/>
      <c r="X4" s="76"/>
      <c r="Y4" s="73"/>
      <c r="Z4" s="73"/>
      <c r="AA4" s="73"/>
      <c r="AB4" s="73">
        <v>3</v>
      </c>
      <c r="AC4" s="73">
        <f>SUM(Y4:AB4)</f>
        <v>3</v>
      </c>
      <c r="AD4" s="73"/>
    </row>
    <row r="5" spans="1:30">
      <c r="A5" s="77" t="s">
        <v>1444</v>
      </c>
      <c r="B5" s="69">
        <v>2</v>
      </c>
      <c r="C5" s="69"/>
      <c r="D5" s="69"/>
      <c r="E5" s="69">
        <f>SUM(B5:D5)</f>
        <v>2</v>
      </c>
      <c r="F5" s="70"/>
      <c r="G5" s="70">
        <v>2</v>
      </c>
      <c r="H5" s="70"/>
      <c r="I5" s="71">
        <f>SUM(F5:H5)</f>
        <v>2</v>
      </c>
      <c r="J5" s="70"/>
      <c r="K5" s="70"/>
      <c r="L5" s="70"/>
      <c r="M5" s="70"/>
      <c r="N5" s="71">
        <f>SUM(J5:M5)</f>
        <v>0</v>
      </c>
      <c r="O5" s="70"/>
      <c r="P5" s="70"/>
      <c r="Q5" s="70"/>
      <c r="R5" s="71">
        <f>SUM(O5:Q5)</f>
        <v>0</v>
      </c>
      <c r="S5" s="75"/>
      <c r="T5" s="75"/>
      <c r="U5" s="75"/>
      <c r="V5" s="75"/>
      <c r="W5" s="75"/>
      <c r="X5" s="76"/>
      <c r="Y5" s="73"/>
      <c r="Z5" s="73"/>
      <c r="AA5" s="73"/>
      <c r="AB5" s="73">
        <v>2</v>
      </c>
      <c r="AC5" s="73">
        <f>SUM(Y5:AB5)</f>
        <v>2</v>
      </c>
      <c r="AD5" s="73"/>
    </row>
    <row r="6" spans="1:30">
      <c r="A6" s="69" t="s">
        <v>376</v>
      </c>
      <c r="B6" s="69">
        <f t="shared" ref="B6:H6" si="0">SUM(B3:B5)</f>
        <v>10</v>
      </c>
      <c r="C6" s="69">
        <f t="shared" si="0"/>
        <v>1</v>
      </c>
      <c r="D6" s="69">
        <f t="shared" si="0"/>
        <v>0</v>
      </c>
      <c r="E6" s="69">
        <f t="shared" si="0"/>
        <v>11</v>
      </c>
      <c r="F6" s="69">
        <f t="shared" si="0"/>
        <v>1</v>
      </c>
      <c r="G6" s="69">
        <f t="shared" si="0"/>
        <v>10</v>
      </c>
      <c r="H6" s="69">
        <f t="shared" si="0"/>
        <v>0</v>
      </c>
      <c r="I6" s="71">
        <f>SUM(F6:H6)</f>
        <v>11</v>
      </c>
      <c r="J6" s="114">
        <f>SUM(J3:J5)</f>
        <v>0</v>
      </c>
      <c r="K6" s="114">
        <f>SUM(K3:K5)</f>
        <v>0</v>
      </c>
      <c r="L6" s="114">
        <f>SUM(L3:L5)</f>
        <v>0</v>
      </c>
      <c r="M6" s="114">
        <f>SUM(M3:M5)</f>
        <v>0</v>
      </c>
      <c r="N6" s="71">
        <f>SUM(J6:M6)</f>
        <v>0</v>
      </c>
      <c r="O6" s="114">
        <f t="shared" ref="O6:AC6" si="1">SUM(O3:O5)</f>
        <v>0</v>
      </c>
      <c r="P6" s="114">
        <f t="shared" si="1"/>
        <v>0</v>
      </c>
      <c r="Q6" s="114">
        <f t="shared" si="1"/>
        <v>0</v>
      </c>
      <c r="R6" s="71">
        <f t="shared" si="1"/>
        <v>0</v>
      </c>
      <c r="S6" s="114">
        <f t="shared" si="1"/>
        <v>0</v>
      </c>
      <c r="T6" s="114">
        <f t="shared" si="1"/>
        <v>0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73">
        <f t="shared" si="1"/>
        <v>4</v>
      </c>
      <c r="Z6" s="73">
        <f t="shared" si="1"/>
        <v>0</v>
      </c>
      <c r="AA6" s="73">
        <f t="shared" si="1"/>
        <v>0</v>
      </c>
      <c r="AB6" s="73">
        <f t="shared" si="1"/>
        <v>7</v>
      </c>
      <c r="AC6" s="73">
        <f t="shared" si="1"/>
        <v>11</v>
      </c>
      <c r="AD6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2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2" max="2" width="21.140625" customWidth="1"/>
    <col min="87" max="87" width="18.42578125" customWidth="1"/>
  </cols>
  <sheetData>
    <row r="1" spans="1:99">
      <c r="A1" s="479" t="s">
        <v>2444</v>
      </c>
      <c r="B1" s="480"/>
      <c r="C1" s="479" t="s">
        <v>1445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467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30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 hidden="1">
      <c r="A4" s="46" t="s">
        <v>1467</v>
      </c>
      <c r="B4" s="46" t="s">
        <v>2445</v>
      </c>
      <c r="C4" s="47">
        <v>50</v>
      </c>
      <c r="D4" s="46" t="s">
        <v>1459</v>
      </c>
      <c r="E4" s="46" t="s">
        <v>2446</v>
      </c>
      <c r="F4" s="46" t="s">
        <v>112</v>
      </c>
      <c r="G4" s="46">
        <v>1</v>
      </c>
      <c r="M4" s="46">
        <v>1</v>
      </c>
      <c r="Q4" s="46">
        <v>1</v>
      </c>
      <c r="V4" s="46">
        <v>1</v>
      </c>
      <c r="W4" s="46">
        <v>13</v>
      </c>
      <c r="X4" s="46">
        <v>22</v>
      </c>
      <c r="Y4" s="46" t="s">
        <v>191</v>
      </c>
      <c r="Z4" s="46">
        <v>0</v>
      </c>
      <c r="AA4" s="46">
        <v>0</v>
      </c>
      <c r="AB4" s="46">
        <v>0</v>
      </c>
      <c r="AC4" s="46">
        <v>1</v>
      </c>
      <c r="AI4" s="113"/>
      <c r="AJ4" s="113"/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I4" s="46">
        <v>1</v>
      </c>
      <c r="BZ4" s="46">
        <v>1</v>
      </c>
      <c r="CD4" s="46">
        <v>1</v>
      </c>
      <c r="CE4" s="46">
        <v>2018</v>
      </c>
      <c r="CG4" s="46">
        <v>1</v>
      </c>
      <c r="CI4" s="46">
        <v>1</v>
      </c>
      <c r="CU4" s="50">
        <v>46447</v>
      </c>
    </row>
    <row r="5" spans="1:99" hidden="1">
      <c r="A5" s="46" t="s">
        <v>1470</v>
      </c>
      <c r="B5" s="46" t="s">
        <v>2447</v>
      </c>
      <c r="C5" s="47">
        <v>26</v>
      </c>
      <c r="D5" s="46" t="s">
        <v>2004</v>
      </c>
      <c r="E5" s="46" t="s">
        <v>2448</v>
      </c>
      <c r="F5" s="46" t="s">
        <v>107</v>
      </c>
      <c r="G5" s="113"/>
      <c r="H5" s="113"/>
      <c r="I5" s="113"/>
      <c r="J5" s="113"/>
      <c r="K5" s="113"/>
      <c r="M5" s="46">
        <v>1</v>
      </c>
      <c r="R5" s="46">
        <v>1</v>
      </c>
      <c r="U5" s="46">
        <v>1</v>
      </c>
      <c r="W5" s="46">
        <v>14</v>
      </c>
      <c r="X5" s="46">
        <v>16</v>
      </c>
      <c r="Y5" s="46">
        <v>22</v>
      </c>
      <c r="Z5" s="46">
        <v>3</v>
      </c>
      <c r="AA5" s="46">
        <v>2</v>
      </c>
      <c r="AB5" s="46">
        <v>2</v>
      </c>
      <c r="AC5" s="46">
        <v>1</v>
      </c>
      <c r="AI5" s="46">
        <v>1</v>
      </c>
      <c r="AL5" s="46">
        <v>1</v>
      </c>
      <c r="AO5" s="113"/>
      <c r="AP5" s="113"/>
      <c r="AS5" s="46">
        <v>1</v>
      </c>
      <c r="AT5" s="46">
        <v>1</v>
      </c>
      <c r="AX5" s="46">
        <v>1</v>
      </c>
      <c r="BB5" s="46">
        <v>1</v>
      </c>
      <c r="BG5" s="46" t="s">
        <v>2402</v>
      </c>
      <c r="BH5" s="46">
        <v>1</v>
      </c>
      <c r="BV5" s="46">
        <v>1</v>
      </c>
      <c r="BW5" s="46">
        <v>1</v>
      </c>
      <c r="BZ5" s="46">
        <v>1</v>
      </c>
      <c r="CC5" s="46">
        <v>1</v>
      </c>
      <c r="CI5" s="46">
        <v>1</v>
      </c>
      <c r="CU5" s="50">
        <v>45717</v>
      </c>
    </row>
    <row r="6" spans="1:99" hidden="1">
      <c r="A6" s="46" t="s">
        <v>1474</v>
      </c>
      <c r="B6" s="46" t="s">
        <v>2449</v>
      </c>
      <c r="C6" s="47">
        <v>43</v>
      </c>
      <c r="D6" s="46" t="s">
        <v>1107</v>
      </c>
      <c r="E6" s="46" t="s">
        <v>2450</v>
      </c>
      <c r="F6" s="46" t="s">
        <v>330</v>
      </c>
      <c r="H6" s="46">
        <v>1</v>
      </c>
      <c r="M6" s="46">
        <v>1</v>
      </c>
      <c r="Q6" s="46">
        <v>1</v>
      </c>
      <c r="V6" s="46">
        <v>1</v>
      </c>
      <c r="W6" s="46">
        <v>15</v>
      </c>
      <c r="X6" s="46">
        <v>21</v>
      </c>
      <c r="Y6" s="46">
        <v>25</v>
      </c>
      <c r="Z6" s="46">
        <v>2</v>
      </c>
      <c r="AA6" s="46">
        <v>2</v>
      </c>
      <c r="AB6" s="46">
        <v>1</v>
      </c>
      <c r="AD6" s="46">
        <v>1</v>
      </c>
      <c r="AI6" s="46">
        <v>1</v>
      </c>
      <c r="AL6" s="46">
        <v>1</v>
      </c>
      <c r="AN6" s="113"/>
      <c r="AO6" s="113"/>
      <c r="AP6" s="113"/>
      <c r="AS6" s="46">
        <v>1</v>
      </c>
      <c r="AT6" s="46">
        <v>1</v>
      </c>
      <c r="AX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U6" s="50">
        <v>46447</v>
      </c>
    </row>
    <row r="7" spans="1:99" hidden="1">
      <c r="A7" s="46" t="s">
        <v>1476</v>
      </c>
      <c r="B7" s="46" t="s">
        <v>2451</v>
      </c>
      <c r="C7" s="47">
        <v>35</v>
      </c>
      <c r="D7" s="46" t="s">
        <v>1909</v>
      </c>
      <c r="E7" s="46" t="s">
        <v>191</v>
      </c>
      <c r="F7" s="46" t="s">
        <v>330</v>
      </c>
      <c r="I7" s="46">
        <v>1</v>
      </c>
      <c r="M7" s="46">
        <v>1</v>
      </c>
      <c r="Q7" s="46">
        <v>1</v>
      </c>
      <c r="U7" s="46">
        <v>1</v>
      </c>
      <c r="W7" s="46">
        <v>15</v>
      </c>
      <c r="X7" s="46">
        <v>18</v>
      </c>
      <c r="Y7" s="46">
        <v>27</v>
      </c>
      <c r="Z7" s="46">
        <v>2</v>
      </c>
      <c r="AA7" s="113"/>
      <c r="AB7" s="46">
        <v>1</v>
      </c>
      <c r="AC7" s="46">
        <v>1</v>
      </c>
      <c r="AI7" s="46">
        <v>1</v>
      </c>
      <c r="AL7" s="46">
        <v>1</v>
      </c>
      <c r="AN7" s="113"/>
      <c r="AO7" s="113"/>
      <c r="AP7" s="113"/>
      <c r="AS7" s="46">
        <v>1</v>
      </c>
      <c r="AT7" s="113"/>
      <c r="AU7" s="113"/>
      <c r="AW7" s="46">
        <v>1</v>
      </c>
      <c r="BB7" s="46">
        <v>1</v>
      </c>
      <c r="BF7" s="46" t="s">
        <v>1600</v>
      </c>
      <c r="BI7" s="46">
        <v>1</v>
      </c>
      <c r="BW7" s="46">
        <v>1</v>
      </c>
      <c r="BZ7" s="113"/>
      <c r="CA7" s="113"/>
      <c r="CC7" s="113"/>
      <c r="CD7" s="113"/>
      <c r="CI7" s="46">
        <v>1</v>
      </c>
      <c r="CU7" s="50">
        <v>46447</v>
      </c>
    </row>
    <row r="8" spans="1:99" hidden="1">
      <c r="A8" s="46" t="s">
        <v>1479</v>
      </c>
      <c r="B8" s="46" t="s">
        <v>2452</v>
      </c>
      <c r="C8" s="47">
        <v>34</v>
      </c>
      <c r="D8" s="46" t="s">
        <v>1448</v>
      </c>
      <c r="E8" s="46" t="s">
        <v>2453</v>
      </c>
      <c r="F8" s="46" t="s">
        <v>112</v>
      </c>
      <c r="H8" s="46">
        <v>1</v>
      </c>
      <c r="N8" s="46">
        <v>1</v>
      </c>
      <c r="Q8" s="46">
        <v>1</v>
      </c>
      <c r="T8" s="46">
        <v>1</v>
      </c>
      <c r="W8" s="46">
        <v>12</v>
      </c>
      <c r="X8" s="46">
        <v>14</v>
      </c>
      <c r="Y8" s="46">
        <v>14</v>
      </c>
      <c r="Z8" s="46">
        <v>3</v>
      </c>
      <c r="AA8" s="46">
        <v>3</v>
      </c>
      <c r="AB8" s="46">
        <v>3</v>
      </c>
      <c r="AF8" s="46">
        <v>1</v>
      </c>
      <c r="AI8" s="46">
        <v>1</v>
      </c>
      <c r="AL8" s="46">
        <v>1</v>
      </c>
      <c r="AP8" s="46">
        <v>1</v>
      </c>
      <c r="AQ8" s="46" t="s">
        <v>251</v>
      </c>
      <c r="AT8" s="46">
        <v>1</v>
      </c>
      <c r="AW8" s="46">
        <v>1</v>
      </c>
      <c r="BB8" s="46">
        <v>1</v>
      </c>
      <c r="BF8" s="46">
        <v>1</v>
      </c>
      <c r="BI8" s="46">
        <v>1</v>
      </c>
      <c r="CI8" s="46">
        <v>1</v>
      </c>
      <c r="CU8" s="50">
        <v>46447</v>
      </c>
    </row>
    <row r="9" spans="1:99" hidden="1">
      <c r="A9" s="46" t="s">
        <v>1482</v>
      </c>
      <c r="B9" s="46" t="s">
        <v>2454</v>
      </c>
      <c r="C9" s="47">
        <v>35</v>
      </c>
      <c r="D9" s="46" t="s">
        <v>2455</v>
      </c>
      <c r="E9" s="46" t="s">
        <v>2456</v>
      </c>
      <c r="F9" s="46" t="s">
        <v>330</v>
      </c>
      <c r="J9" s="46">
        <v>1</v>
      </c>
      <c r="M9" s="46">
        <v>1</v>
      </c>
      <c r="Q9" s="46">
        <v>1</v>
      </c>
      <c r="V9" s="46">
        <v>1</v>
      </c>
      <c r="W9" s="46">
        <v>17</v>
      </c>
      <c r="X9" s="46">
        <v>18</v>
      </c>
      <c r="Y9" s="46">
        <v>24</v>
      </c>
      <c r="Z9" s="46">
        <v>6</v>
      </c>
      <c r="AA9" s="46">
        <v>5</v>
      </c>
      <c r="AB9" s="46">
        <v>5</v>
      </c>
      <c r="AD9" s="46">
        <v>1</v>
      </c>
      <c r="AE9" s="46">
        <v>1</v>
      </c>
      <c r="AG9" s="46">
        <v>1</v>
      </c>
      <c r="AJ9" s="46">
        <v>1</v>
      </c>
      <c r="AK9" s="46">
        <v>1</v>
      </c>
      <c r="AT9" s="46">
        <v>1</v>
      </c>
      <c r="AX9" s="46">
        <v>1</v>
      </c>
      <c r="BB9" s="46">
        <v>1</v>
      </c>
      <c r="BF9" s="46">
        <v>1</v>
      </c>
      <c r="BI9" s="46">
        <v>1</v>
      </c>
      <c r="BW9" s="46">
        <v>1</v>
      </c>
      <c r="CC9" s="46">
        <v>1</v>
      </c>
      <c r="CI9" s="46">
        <v>1</v>
      </c>
      <c r="CU9" s="50">
        <v>46447</v>
      </c>
    </row>
    <row r="10" spans="1:99" hidden="1">
      <c r="A10" s="46" t="s">
        <v>1485</v>
      </c>
      <c r="B10" s="46" t="s">
        <v>2457</v>
      </c>
      <c r="C10" s="47">
        <v>43</v>
      </c>
      <c r="D10" s="46" t="s">
        <v>1112</v>
      </c>
      <c r="E10" s="46" t="s">
        <v>2458</v>
      </c>
      <c r="F10" s="46" t="s">
        <v>112</v>
      </c>
      <c r="I10" s="46">
        <v>1</v>
      </c>
      <c r="M10" s="46">
        <v>1</v>
      </c>
      <c r="R10" s="46">
        <v>1</v>
      </c>
      <c r="V10" s="46">
        <v>1</v>
      </c>
      <c r="W10" s="46">
        <v>16</v>
      </c>
      <c r="X10" s="46">
        <v>22</v>
      </c>
      <c r="Y10" s="46">
        <v>24</v>
      </c>
      <c r="Z10" s="46">
        <v>2</v>
      </c>
      <c r="AA10" s="46">
        <v>1</v>
      </c>
      <c r="AB10" s="46">
        <v>1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I10" s="46">
        <v>1</v>
      </c>
      <c r="CC10" s="46">
        <v>1</v>
      </c>
      <c r="CI10" s="46">
        <v>1</v>
      </c>
      <c r="CU10" s="50">
        <v>46447</v>
      </c>
    </row>
    <row r="11" spans="1:99" hidden="1">
      <c r="A11" s="46" t="s">
        <v>1488</v>
      </c>
      <c r="B11" s="46" t="s">
        <v>2459</v>
      </c>
      <c r="C11" s="47">
        <v>27</v>
      </c>
      <c r="D11" s="46" t="s">
        <v>1373</v>
      </c>
      <c r="E11" s="46" t="s">
        <v>2460</v>
      </c>
      <c r="F11" s="46" t="s">
        <v>112</v>
      </c>
      <c r="H11" s="46">
        <v>1</v>
      </c>
      <c r="N11" s="46">
        <v>1</v>
      </c>
      <c r="Q11" s="46">
        <v>1</v>
      </c>
      <c r="T11" s="46">
        <v>1</v>
      </c>
      <c r="W11" s="46">
        <v>16</v>
      </c>
      <c r="X11" s="46">
        <v>16</v>
      </c>
      <c r="Y11" s="46">
        <v>17</v>
      </c>
      <c r="Z11" s="46">
        <v>8</v>
      </c>
      <c r="AA11" s="46">
        <v>8</v>
      </c>
      <c r="AB11" s="46">
        <v>8</v>
      </c>
      <c r="AE11" s="46">
        <v>1</v>
      </c>
      <c r="AF11" s="46">
        <v>1</v>
      </c>
      <c r="AI11" s="46">
        <v>1</v>
      </c>
      <c r="AL11" s="46">
        <v>1</v>
      </c>
      <c r="AO11" s="46">
        <v>1</v>
      </c>
      <c r="AQ11" s="46" t="s">
        <v>251</v>
      </c>
      <c r="AT11" s="46">
        <v>1</v>
      </c>
      <c r="AX11" s="46">
        <v>1</v>
      </c>
      <c r="BB11" s="46">
        <v>1</v>
      </c>
      <c r="BF11" s="46">
        <v>1</v>
      </c>
      <c r="BI11" s="46">
        <v>1</v>
      </c>
      <c r="BW11" s="46">
        <v>1</v>
      </c>
      <c r="CC11" s="46">
        <v>1</v>
      </c>
      <c r="CI11" s="46">
        <v>1</v>
      </c>
      <c r="CU11" s="50">
        <v>46447</v>
      </c>
    </row>
    <row r="12" spans="1:99" hidden="1">
      <c r="A12" s="46" t="s">
        <v>1491</v>
      </c>
      <c r="B12" s="46" t="s">
        <v>2461</v>
      </c>
      <c r="C12" s="47">
        <v>32</v>
      </c>
      <c r="D12" s="46" t="s">
        <v>2462</v>
      </c>
      <c r="E12" s="46" t="s">
        <v>2463</v>
      </c>
      <c r="F12" s="46" t="s">
        <v>107</v>
      </c>
      <c r="I12" s="46">
        <v>1</v>
      </c>
      <c r="M12" s="46">
        <v>1</v>
      </c>
      <c r="Q12" s="46">
        <v>1</v>
      </c>
      <c r="T12" s="46">
        <v>1</v>
      </c>
      <c r="W12" s="46">
        <v>16</v>
      </c>
      <c r="X12" s="46">
        <v>17</v>
      </c>
      <c r="Y12" s="46">
        <v>17</v>
      </c>
      <c r="Z12" s="46">
        <v>5</v>
      </c>
      <c r="AA12" s="46">
        <v>4</v>
      </c>
      <c r="AB12" s="46">
        <v>4</v>
      </c>
      <c r="AH12" s="46">
        <v>1</v>
      </c>
      <c r="AJ12" s="46">
        <v>1</v>
      </c>
      <c r="AK12" s="46">
        <v>1</v>
      </c>
      <c r="AT12" s="46">
        <v>1</v>
      </c>
      <c r="BB12" s="46">
        <v>1</v>
      </c>
      <c r="BF12" s="46">
        <v>1</v>
      </c>
      <c r="BH12" s="46">
        <v>1</v>
      </c>
      <c r="BV12" s="46">
        <v>1</v>
      </c>
      <c r="CC12" s="46">
        <v>1</v>
      </c>
      <c r="CI12" s="46">
        <v>1</v>
      </c>
      <c r="CU12" s="50">
        <v>46447</v>
      </c>
    </row>
    <row r="13" spans="1:99">
      <c r="A13" s="46" t="s">
        <v>1496</v>
      </c>
      <c r="B13" s="46" t="s">
        <v>2464</v>
      </c>
      <c r="C13" s="47">
        <v>59</v>
      </c>
      <c r="D13" s="46" t="s">
        <v>1162</v>
      </c>
      <c r="E13" s="46" t="s">
        <v>2465</v>
      </c>
      <c r="F13" s="46" t="s">
        <v>1177</v>
      </c>
      <c r="M13" s="46">
        <v>1</v>
      </c>
      <c r="Q13" s="46">
        <v>1</v>
      </c>
      <c r="T13" s="46">
        <v>1</v>
      </c>
      <c r="X13" s="46">
        <v>18</v>
      </c>
      <c r="Y13" s="46">
        <v>19</v>
      </c>
      <c r="Z13" s="46">
        <v>5</v>
      </c>
      <c r="AA13" s="46">
        <v>4</v>
      </c>
      <c r="AB13" s="46">
        <v>3</v>
      </c>
      <c r="AD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A13" s="46">
        <v>1</v>
      </c>
      <c r="CD13" s="46">
        <v>1</v>
      </c>
      <c r="CG13" s="46">
        <v>1</v>
      </c>
      <c r="CI13" s="46">
        <v>1</v>
      </c>
      <c r="CU13" s="50">
        <v>46447</v>
      </c>
    </row>
    <row r="14" spans="1:99">
      <c r="C14" s="59"/>
    </row>
    <row r="15" spans="1:99">
      <c r="C15" s="59"/>
    </row>
    <row r="16" spans="1:99">
      <c r="C16" s="59"/>
    </row>
    <row r="17" spans="3:3">
      <c r="C17" s="59"/>
    </row>
    <row r="18" spans="3:3">
      <c r="C18" s="59"/>
    </row>
    <row r="19" spans="3:3">
      <c r="C19" s="59"/>
    </row>
    <row r="20" spans="3:3">
      <c r="C20" s="59"/>
    </row>
    <row r="21" spans="3:3">
      <c r="C21" s="59"/>
    </row>
    <row r="22" spans="3:3">
      <c r="C22" s="59"/>
    </row>
  </sheetData>
  <autoFilter ref="A3:CU13">
    <filterColumn colId="2">
      <filters>
        <filter val="59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7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</row>
    <row r="3" spans="1:30">
      <c r="A3" s="74" t="s">
        <v>2466</v>
      </c>
      <c r="B3" s="69">
        <v>0</v>
      </c>
      <c r="C3" s="69">
        <v>2</v>
      </c>
      <c r="D3" s="69">
        <v>0</v>
      </c>
      <c r="E3" s="69">
        <f>SUM(B3:D3)</f>
        <v>2</v>
      </c>
      <c r="F3" s="70">
        <v>1</v>
      </c>
      <c r="G3" s="70">
        <v>1</v>
      </c>
      <c r="H3" s="70">
        <v>0</v>
      </c>
      <c r="I3" s="71">
        <f>SUM(F3:H3)</f>
        <v>2</v>
      </c>
      <c r="J3" s="70"/>
      <c r="K3" s="70"/>
      <c r="L3" s="70"/>
      <c r="M3" s="70"/>
      <c r="N3" s="71">
        <f>SUM(J3:M3)</f>
        <v>0</v>
      </c>
      <c r="O3" s="70">
        <v>1</v>
      </c>
      <c r="P3" s="70">
        <v>0</v>
      </c>
      <c r="Q3" s="70">
        <v>2</v>
      </c>
      <c r="R3" s="71">
        <f>SUM(O3:Q3)</f>
        <v>3</v>
      </c>
      <c r="S3" s="75"/>
      <c r="T3" s="75"/>
      <c r="U3" s="75"/>
      <c r="V3" s="75"/>
      <c r="W3" s="75"/>
      <c r="X3" s="76"/>
      <c r="Y3" s="73">
        <v>2</v>
      </c>
      <c r="Z3" s="73"/>
      <c r="AA3" s="73"/>
      <c r="AB3" s="73"/>
      <c r="AC3" s="73">
        <f>SUM(Y3:AB3)</f>
        <v>2</v>
      </c>
      <c r="AD3" s="73"/>
    </row>
    <row r="4" spans="1:30">
      <c r="A4" s="77" t="s">
        <v>2467</v>
      </c>
      <c r="B4" s="69">
        <v>2</v>
      </c>
      <c r="C4" s="69">
        <v>2</v>
      </c>
      <c r="D4" s="69">
        <v>0</v>
      </c>
      <c r="E4" s="69">
        <f>SUM(B4:D4)</f>
        <v>4</v>
      </c>
      <c r="F4" s="70">
        <v>1</v>
      </c>
      <c r="G4" s="70">
        <v>3</v>
      </c>
      <c r="H4" s="70">
        <v>0</v>
      </c>
      <c r="I4" s="71">
        <f>SUM(F4:H4)</f>
        <v>4</v>
      </c>
      <c r="J4" s="70"/>
      <c r="K4" s="70"/>
      <c r="L4" s="70"/>
      <c r="M4" s="70"/>
      <c r="N4" s="71">
        <f>SUM(J4:M4)</f>
        <v>0</v>
      </c>
      <c r="O4" s="70">
        <v>1</v>
      </c>
      <c r="P4" s="70"/>
      <c r="Q4" s="70"/>
      <c r="R4" s="71">
        <f>SUM(O4:Q4)</f>
        <v>1</v>
      </c>
      <c r="S4" s="75"/>
      <c r="T4" s="75"/>
      <c r="U4" s="75"/>
      <c r="V4" s="75"/>
      <c r="W4" s="75"/>
      <c r="X4" s="76"/>
      <c r="Y4" s="73">
        <v>4</v>
      </c>
      <c r="Z4" s="73"/>
      <c r="AA4" s="73"/>
      <c r="AB4" s="73"/>
      <c r="AC4" s="73">
        <f>SUM(Y4:AB4)</f>
        <v>4</v>
      </c>
      <c r="AD4" s="73"/>
    </row>
    <row r="5" spans="1:30">
      <c r="A5" s="77" t="s">
        <v>1096</v>
      </c>
      <c r="B5" s="69">
        <v>2</v>
      </c>
      <c r="C5" s="69">
        <v>1</v>
      </c>
      <c r="D5" s="69">
        <v>0</v>
      </c>
      <c r="E5" s="69">
        <f>SUM(B5:D5)</f>
        <v>3</v>
      </c>
      <c r="F5" s="70">
        <v>1</v>
      </c>
      <c r="G5" s="70">
        <v>2</v>
      </c>
      <c r="H5" s="70">
        <v>0</v>
      </c>
      <c r="I5" s="71">
        <f>SUM(F5:H5)</f>
        <v>3</v>
      </c>
      <c r="J5" s="70"/>
      <c r="K5" s="70"/>
      <c r="L5" s="70"/>
      <c r="M5" s="70"/>
      <c r="N5" s="71">
        <f>SUM(J5:M5)</f>
        <v>0</v>
      </c>
      <c r="O5" s="70"/>
      <c r="P5" s="70"/>
      <c r="Q5" s="70"/>
      <c r="R5" s="71">
        <f>SUM(O5:Q5)</f>
        <v>0</v>
      </c>
      <c r="S5" s="75"/>
      <c r="T5" s="75"/>
      <c r="U5" s="75"/>
      <c r="V5" s="75"/>
      <c r="W5" s="75"/>
      <c r="X5" s="76"/>
      <c r="Y5" s="73">
        <v>3</v>
      </c>
      <c r="Z5" s="73"/>
      <c r="AA5" s="73"/>
      <c r="AB5" s="73"/>
      <c r="AC5" s="73">
        <f>SUM(Y5:AB5)</f>
        <v>3</v>
      </c>
      <c r="AD5" s="73"/>
    </row>
    <row r="6" spans="1:30">
      <c r="A6" s="77" t="s">
        <v>1097</v>
      </c>
      <c r="B6" s="69">
        <v>1</v>
      </c>
      <c r="C6" s="69">
        <v>0</v>
      </c>
      <c r="D6" s="69">
        <v>0</v>
      </c>
      <c r="E6" s="69">
        <f>SUM(B6:D6)</f>
        <v>1</v>
      </c>
      <c r="F6" s="70"/>
      <c r="G6" s="70"/>
      <c r="H6" s="70"/>
      <c r="I6" s="71">
        <f>SUM(F6:H6)</f>
        <v>0</v>
      </c>
      <c r="J6" s="70"/>
      <c r="K6" s="70">
        <v>1</v>
      </c>
      <c r="L6" s="70"/>
      <c r="M6" s="70"/>
      <c r="N6" s="71">
        <f>SUM(J6:M6)</f>
        <v>1</v>
      </c>
      <c r="O6" s="70"/>
      <c r="P6" s="70"/>
      <c r="Q6" s="70">
        <v>0</v>
      </c>
      <c r="R6" s="71">
        <f>SUM(O6:Q6)</f>
        <v>0</v>
      </c>
      <c r="S6" s="75"/>
      <c r="T6" s="75"/>
      <c r="U6" s="75"/>
      <c r="V6" s="75"/>
      <c r="W6" s="75"/>
      <c r="X6" s="76"/>
      <c r="Y6" s="73">
        <v>1</v>
      </c>
      <c r="Z6" s="73"/>
      <c r="AA6" s="73"/>
      <c r="AB6" s="73"/>
      <c r="AC6" s="73">
        <f>SUM(Y6:AB6)</f>
        <v>1</v>
      </c>
      <c r="AD6" s="73"/>
    </row>
    <row r="7" spans="1:30">
      <c r="A7" s="69" t="s">
        <v>376</v>
      </c>
      <c r="B7" s="69">
        <f t="shared" ref="B7:H7" si="0">SUM(B3:B6)</f>
        <v>5</v>
      </c>
      <c r="C7" s="69">
        <f t="shared" si="0"/>
        <v>5</v>
      </c>
      <c r="D7" s="69">
        <f t="shared" si="0"/>
        <v>0</v>
      </c>
      <c r="E7" s="69">
        <f t="shared" si="0"/>
        <v>10</v>
      </c>
      <c r="F7" s="69">
        <f t="shared" si="0"/>
        <v>3</v>
      </c>
      <c r="G7" s="69">
        <f t="shared" si="0"/>
        <v>6</v>
      </c>
      <c r="H7" s="69">
        <f t="shared" si="0"/>
        <v>0</v>
      </c>
      <c r="I7" s="71">
        <f>SUM(F7:H7)</f>
        <v>9</v>
      </c>
      <c r="J7" s="114">
        <f>SUM(J3:J6)</f>
        <v>0</v>
      </c>
      <c r="K7" s="114">
        <f>SUM(K3:K6)</f>
        <v>1</v>
      </c>
      <c r="L7" s="114">
        <f>SUM(L3:L6)</f>
        <v>0</v>
      </c>
      <c r="M7" s="114">
        <f>SUM(M3:M6)</f>
        <v>0</v>
      </c>
      <c r="N7" s="71">
        <f>SUM(J7:M7)</f>
        <v>1</v>
      </c>
      <c r="O7" s="114">
        <f t="shared" ref="O7:AC7" si="1">SUM(O3:O6)</f>
        <v>2</v>
      </c>
      <c r="P7" s="114">
        <f t="shared" si="1"/>
        <v>0</v>
      </c>
      <c r="Q7" s="114">
        <f t="shared" si="1"/>
        <v>2</v>
      </c>
      <c r="R7" s="71">
        <f t="shared" si="1"/>
        <v>4</v>
      </c>
      <c r="S7" s="114">
        <f t="shared" si="1"/>
        <v>0</v>
      </c>
      <c r="T7" s="114">
        <f t="shared" si="1"/>
        <v>0</v>
      </c>
      <c r="U7" s="114">
        <f t="shared" si="1"/>
        <v>0</v>
      </c>
      <c r="V7" s="114">
        <f t="shared" si="1"/>
        <v>0</v>
      </c>
      <c r="W7" s="114">
        <f t="shared" si="1"/>
        <v>0</v>
      </c>
      <c r="X7" s="114">
        <f t="shared" si="1"/>
        <v>0</v>
      </c>
      <c r="Y7" s="73">
        <f t="shared" si="1"/>
        <v>10</v>
      </c>
      <c r="Z7" s="73">
        <f t="shared" si="1"/>
        <v>0</v>
      </c>
      <c r="AA7" s="73">
        <f t="shared" si="1"/>
        <v>0</v>
      </c>
      <c r="AB7" s="73">
        <f t="shared" si="1"/>
        <v>0</v>
      </c>
      <c r="AC7" s="73">
        <f t="shared" si="1"/>
        <v>10</v>
      </c>
      <c r="AD7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6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2578125" defaultRowHeight="15" customHeight="1"/>
  <cols>
    <col min="1" max="1" width="9.42578125" customWidth="1"/>
    <col min="2" max="2" width="24.140625" customWidth="1"/>
    <col min="3" max="3" width="11.5703125" customWidth="1"/>
  </cols>
  <sheetData>
    <row r="1" spans="1:99">
      <c r="A1" s="479" t="s">
        <v>2468</v>
      </c>
      <c r="B1" s="480"/>
      <c r="C1" s="479" t="s">
        <v>2469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>
      <c r="A4" s="46" t="s">
        <v>1499</v>
      </c>
      <c r="B4" s="46" t="s">
        <v>2470</v>
      </c>
      <c r="C4" s="46">
        <v>70</v>
      </c>
      <c r="D4" s="46" t="s">
        <v>2471</v>
      </c>
      <c r="E4" s="46" t="s">
        <v>191</v>
      </c>
      <c r="F4" s="46" t="s">
        <v>2472</v>
      </c>
      <c r="G4" s="46">
        <v>1</v>
      </c>
      <c r="P4" s="46">
        <v>1</v>
      </c>
      <c r="R4" s="46">
        <v>1</v>
      </c>
      <c r="T4" s="46">
        <v>1</v>
      </c>
      <c r="W4" s="46">
        <v>18</v>
      </c>
      <c r="X4" s="46">
        <v>20</v>
      </c>
      <c r="Y4" s="46">
        <v>21</v>
      </c>
      <c r="Z4" s="46">
        <v>7</v>
      </c>
      <c r="AA4" s="46">
        <v>7</v>
      </c>
      <c r="AB4" s="46">
        <v>7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M4" s="46" t="s">
        <v>2473</v>
      </c>
      <c r="BW4" s="46">
        <v>1</v>
      </c>
      <c r="BZ4" s="46">
        <v>1</v>
      </c>
      <c r="CC4" s="46">
        <v>1</v>
      </c>
      <c r="CI4" s="46">
        <v>1</v>
      </c>
      <c r="CU4" s="139">
        <v>46481</v>
      </c>
    </row>
    <row r="5" spans="1:99">
      <c r="A5" s="46" t="s">
        <v>1503</v>
      </c>
      <c r="B5" s="46" t="s">
        <v>2474</v>
      </c>
      <c r="C5" s="46">
        <v>25</v>
      </c>
      <c r="D5" s="46" t="s">
        <v>2475</v>
      </c>
      <c r="E5" s="46" t="s">
        <v>2476</v>
      </c>
      <c r="F5" s="46" t="s">
        <v>1045</v>
      </c>
      <c r="H5" s="46">
        <v>1</v>
      </c>
      <c r="M5" s="46">
        <v>1</v>
      </c>
      <c r="Q5" s="46">
        <v>1</v>
      </c>
      <c r="T5" s="46">
        <v>1</v>
      </c>
      <c r="W5" s="46">
        <v>10</v>
      </c>
      <c r="X5" s="46">
        <v>18</v>
      </c>
      <c r="Y5" s="46">
        <v>20</v>
      </c>
      <c r="Z5" s="46">
        <v>3</v>
      </c>
      <c r="AA5" s="46">
        <v>3</v>
      </c>
      <c r="AB5" s="46">
        <v>3</v>
      </c>
      <c r="AD5" s="46">
        <v>1</v>
      </c>
      <c r="AE5" s="46">
        <v>1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M5" s="46" t="s">
        <v>2477</v>
      </c>
      <c r="BZ5" s="46">
        <v>1</v>
      </c>
      <c r="CC5" s="46">
        <v>1</v>
      </c>
      <c r="CI5" s="46">
        <v>1</v>
      </c>
      <c r="CU5" s="139">
        <v>45386</v>
      </c>
    </row>
    <row r="6" spans="1:99">
      <c r="A6" s="46" t="s">
        <v>1506</v>
      </c>
      <c r="B6" s="46" t="s">
        <v>2478</v>
      </c>
      <c r="C6" s="46">
        <v>38</v>
      </c>
      <c r="D6" s="46" t="s">
        <v>2479</v>
      </c>
      <c r="E6" s="46" t="s">
        <v>2480</v>
      </c>
      <c r="F6" s="46" t="s">
        <v>2472</v>
      </c>
      <c r="H6" s="46">
        <v>1</v>
      </c>
      <c r="M6" s="46">
        <v>1</v>
      </c>
      <c r="Q6" s="46">
        <v>1</v>
      </c>
      <c r="U6" s="46">
        <v>1</v>
      </c>
      <c r="W6" s="46">
        <v>17</v>
      </c>
      <c r="X6" s="46">
        <v>18</v>
      </c>
      <c r="Y6" s="46">
        <v>19</v>
      </c>
      <c r="Z6" s="46">
        <v>7</v>
      </c>
      <c r="AA6" s="46">
        <v>7</v>
      </c>
      <c r="AB6" s="46">
        <v>7</v>
      </c>
      <c r="AC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BN6" s="46">
        <v>1</v>
      </c>
      <c r="BO6" s="46" t="s">
        <v>1133</v>
      </c>
      <c r="BZ6" s="46">
        <v>1</v>
      </c>
      <c r="CC6" s="46">
        <v>1</v>
      </c>
      <c r="CI6" s="46">
        <v>1</v>
      </c>
      <c r="CU6" s="140">
        <v>45383</v>
      </c>
    </row>
    <row r="7" spans="1:99">
      <c r="A7" s="46" t="s">
        <v>1510</v>
      </c>
      <c r="B7" s="46" t="s">
        <v>2481</v>
      </c>
      <c r="C7" s="46">
        <v>25</v>
      </c>
      <c r="D7" s="46" t="s">
        <v>2482</v>
      </c>
      <c r="E7" s="46" t="s">
        <v>2483</v>
      </c>
      <c r="F7" s="46" t="s">
        <v>2484</v>
      </c>
      <c r="H7" s="46">
        <v>1</v>
      </c>
      <c r="M7" s="46">
        <v>1</v>
      </c>
      <c r="R7" s="46">
        <v>1</v>
      </c>
      <c r="T7" s="46">
        <v>1</v>
      </c>
      <c r="W7" s="46">
        <v>16</v>
      </c>
      <c r="X7" s="46">
        <v>20</v>
      </c>
      <c r="Y7" s="46">
        <v>20</v>
      </c>
      <c r="Z7" s="46">
        <v>2</v>
      </c>
      <c r="AA7" s="46">
        <v>2</v>
      </c>
      <c r="AB7" s="46">
        <v>2</v>
      </c>
      <c r="AE7" s="46">
        <v>1</v>
      </c>
      <c r="AH7" s="46">
        <v>1</v>
      </c>
      <c r="AJ7" s="46">
        <v>1</v>
      </c>
      <c r="AM7" s="46">
        <v>1</v>
      </c>
      <c r="AT7" s="46">
        <v>1</v>
      </c>
      <c r="AW7" s="46">
        <v>1</v>
      </c>
      <c r="BA7" s="46">
        <v>1</v>
      </c>
      <c r="BH7" s="46">
        <v>1</v>
      </c>
      <c r="BV7" s="46">
        <v>1</v>
      </c>
      <c r="BW7" s="46">
        <v>1</v>
      </c>
      <c r="BZ7" s="46">
        <v>1</v>
      </c>
      <c r="CC7" s="46">
        <v>1</v>
      </c>
      <c r="CI7" s="46">
        <v>1</v>
      </c>
      <c r="CU7" s="139">
        <v>45751</v>
      </c>
    </row>
    <row r="8" spans="1:99">
      <c r="A8" s="46" t="s">
        <v>1514</v>
      </c>
      <c r="B8" s="46" t="s">
        <v>2485</v>
      </c>
      <c r="C8" s="46">
        <v>42</v>
      </c>
      <c r="D8" s="46" t="s">
        <v>2486</v>
      </c>
      <c r="E8" s="46" t="s">
        <v>2487</v>
      </c>
      <c r="F8" s="46" t="s">
        <v>2484</v>
      </c>
      <c r="H8" s="46">
        <v>1</v>
      </c>
      <c r="O8" s="46">
        <v>1</v>
      </c>
      <c r="T8" s="46">
        <v>1</v>
      </c>
      <c r="W8" s="46">
        <v>15</v>
      </c>
      <c r="X8" s="46">
        <v>16</v>
      </c>
      <c r="Y8" s="46">
        <v>18</v>
      </c>
      <c r="Z8" s="46">
        <v>8</v>
      </c>
      <c r="AA8" s="46">
        <v>7</v>
      </c>
      <c r="AB8" s="46">
        <v>7</v>
      </c>
      <c r="AE8" s="46">
        <v>1</v>
      </c>
      <c r="AI8" s="46">
        <v>1</v>
      </c>
      <c r="AK8" s="46">
        <v>1</v>
      </c>
      <c r="AT8" s="46">
        <v>1</v>
      </c>
      <c r="AY8" s="46">
        <v>1</v>
      </c>
      <c r="BA8" s="46">
        <v>1</v>
      </c>
      <c r="BH8" s="46">
        <v>1</v>
      </c>
      <c r="BV8" s="46">
        <v>1</v>
      </c>
      <c r="BW8" s="46">
        <v>1</v>
      </c>
      <c r="BZ8" s="46">
        <v>1</v>
      </c>
      <c r="CC8" s="46">
        <v>1</v>
      </c>
      <c r="CI8" s="46">
        <v>1</v>
      </c>
      <c r="CU8" s="139">
        <v>46481</v>
      </c>
    </row>
    <row r="9" spans="1:99">
      <c r="A9" s="46" t="s">
        <v>1517</v>
      </c>
      <c r="B9" s="46" t="s">
        <v>2488</v>
      </c>
      <c r="C9" s="46">
        <v>40</v>
      </c>
      <c r="D9" s="46" t="s">
        <v>2475</v>
      </c>
      <c r="E9" s="46" t="s">
        <v>191</v>
      </c>
      <c r="F9" s="46" t="s">
        <v>2484</v>
      </c>
      <c r="G9" s="46">
        <v>1</v>
      </c>
      <c r="O9" s="46">
        <v>1</v>
      </c>
      <c r="T9" s="46">
        <v>1</v>
      </c>
      <c r="W9" s="46">
        <v>18</v>
      </c>
      <c r="X9" s="46">
        <v>18</v>
      </c>
      <c r="Y9" s="46">
        <v>20</v>
      </c>
      <c r="Z9" s="46">
        <v>4</v>
      </c>
      <c r="AA9" s="46">
        <v>4</v>
      </c>
      <c r="AB9" s="46">
        <v>4</v>
      </c>
      <c r="AH9" s="46">
        <v>1</v>
      </c>
      <c r="AI9" s="46">
        <v>1</v>
      </c>
      <c r="AK9" s="46">
        <v>1</v>
      </c>
      <c r="AT9" s="46">
        <v>1</v>
      </c>
      <c r="AX9" s="46">
        <v>1</v>
      </c>
      <c r="BA9" s="46">
        <v>1</v>
      </c>
      <c r="BH9" s="46">
        <v>1</v>
      </c>
      <c r="BV9" s="46">
        <v>1</v>
      </c>
      <c r="BW9" s="46">
        <v>1</v>
      </c>
      <c r="BZ9" s="46">
        <v>1</v>
      </c>
      <c r="CC9" s="46">
        <v>1</v>
      </c>
      <c r="CI9" s="46">
        <v>1</v>
      </c>
      <c r="CU9" s="46" t="s">
        <v>2489</v>
      </c>
    </row>
    <row r="10" spans="1:99">
      <c r="A10" s="46" t="s">
        <v>1520</v>
      </c>
      <c r="B10" s="46" t="s">
        <v>2490</v>
      </c>
      <c r="C10" s="46">
        <v>56</v>
      </c>
      <c r="D10" s="46" t="s">
        <v>2479</v>
      </c>
      <c r="E10" s="46" t="s">
        <v>2491</v>
      </c>
      <c r="F10" s="46" t="s">
        <v>145</v>
      </c>
      <c r="H10" s="46">
        <v>1</v>
      </c>
      <c r="M10" s="46">
        <v>1</v>
      </c>
      <c r="R10" s="46">
        <v>1</v>
      </c>
      <c r="T10" s="46">
        <v>1</v>
      </c>
      <c r="W10" s="46">
        <v>15</v>
      </c>
      <c r="X10" s="46">
        <v>16</v>
      </c>
      <c r="Y10" s="46">
        <v>20</v>
      </c>
      <c r="Z10" s="46">
        <v>8</v>
      </c>
      <c r="AA10" s="46">
        <v>7</v>
      </c>
      <c r="AB10" s="46">
        <v>6</v>
      </c>
      <c r="AH10" s="46" t="s">
        <v>2492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Z10" s="46">
        <v>1</v>
      </c>
      <c r="CC10" s="46">
        <v>1</v>
      </c>
      <c r="CI10" s="46">
        <v>1</v>
      </c>
      <c r="CU10" s="139">
        <v>46481</v>
      </c>
    </row>
    <row r="11" spans="1:99">
      <c r="A11" s="46" t="s">
        <v>1524</v>
      </c>
      <c r="B11" s="46" t="s">
        <v>2493</v>
      </c>
      <c r="C11" s="46">
        <v>50</v>
      </c>
      <c r="D11" s="46" t="s">
        <v>2494</v>
      </c>
      <c r="E11" s="46" t="s">
        <v>2495</v>
      </c>
      <c r="F11" s="46" t="s">
        <v>2484</v>
      </c>
      <c r="J11" s="46">
        <v>1</v>
      </c>
      <c r="M11" s="46">
        <v>1</v>
      </c>
      <c r="Q11" s="46">
        <v>1</v>
      </c>
      <c r="T11" s="46">
        <v>1</v>
      </c>
      <c r="W11" s="46">
        <v>15</v>
      </c>
      <c r="X11" s="46">
        <v>16</v>
      </c>
      <c r="Y11" s="46">
        <v>16</v>
      </c>
      <c r="Z11" s="46">
        <v>13</v>
      </c>
      <c r="AA11" s="46">
        <v>11</v>
      </c>
      <c r="AB11" s="46">
        <v>11</v>
      </c>
      <c r="AE11" s="46">
        <v>1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B11" s="46">
        <v>1</v>
      </c>
      <c r="BG11" s="46">
        <v>1</v>
      </c>
      <c r="BJ11" s="46">
        <v>1</v>
      </c>
      <c r="BW11" s="46">
        <v>1</v>
      </c>
      <c r="BZ11" s="46">
        <v>1</v>
      </c>
      <c r="CC11" s="46">
        <v>1</v>
      </c>
      <c r="CI11" s="46">
        <v>1</v>
      </c>
      <c r="CU11" s="139">
        <v>46481</v>
      </c>
    </row>
    <row r="12" spans="1:99">
      <c r="A12" s="46" t="s">
        <v>1528</v>
      </c>
      <c r="B12" s="46" t="s">
        <v>2496</v>
      </c>
      <c r="C12" s="46">
        <v>26</v>
      </c>
      <c r="D12" s="46" t="s">
        <v>2497</v>
      </c>
      <c r="E12" s="46" t="s">
        <v>2498</v>
      </c>
      <c r="F12" s="46" t="s">
        <v>2484</v>
      </c>
      <c r="H12" s="46">
        <v>1</v>
      </c>
      <c r="M12" s="46">
        <v>1</v>
      </c>
      <c r="R12" s="46">
        <v>1</v>
      </c>
      <c r="U12" s="46">
        <v>1</v>
      </c>
      <c r="W12" s="46">
        <v>15</v>
      </c>
      <c r="X12" s="46">
        <v>19</v>
      </c>
      <c r="Y12" s="46">
        <v>21</v>
      </c>
      <c r="Z12" s="46">
        <v>4</v>
      </c>
      <c r="AA12" s="46">
        <v>3</v>
      </c>
      <c r="AB12" s="46">
        <v>3</v>
      </c>
      <c r="AH12" s="46">
        <v>1</v>
      </c>
      <c r="AJ12" s="46">
        <v>1</v>
      </c>
      <c r="AK12" s="46">
        <v>1</v>
      </c>
      <c r="AT12" s="46">
        <v>1</v>
      </c>
      <c r="AX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U12" s="139">
        <v>46481</v>
      </c>
    </row>
    <row r="13" spans="1:99">
      <c r="A13" s="46" t="s">
        <v>1531</v>
      </c>
      <c r="B13" s="46" t="s">
        <v>2499</v>
      </c>
      <c r="C13" s="46">
        <v>38</v>
      </c>
      <c r="D13" s="46" t="s">
        <v>143</v>
      </c>
      <c r="E13" s="46" t="s">
        <v>2500</v>
      </c>
      <c r="F13" s="46" t="s">
        <v>2484</v>
      </c>
      <c r="H13" s="46">
        <v>1</v>
      </c>
      <c r="M13" s="46">
        <v>1</v>
      </c>
      <c r="Q13" s="46">
        <v>1</v>
      </c>
      <c r="T13" s="46">
        <v>1</v>
      </c>
      <c r="W13" s="46">
        <v>12</v>
      </c>
      <c r="X13" s="46">
        <v>18</v>
      </c>
      <c r="Y13" s="46" t="s">
        <v>191</v>
      </c>
      <c r="Z13" s="46">
        <v>7</v>
      </c>
      <c r="AA13" s="46">
        <v>7</v>
      </c>
      <c r="AB13" s="46">
        <v>6</v>
      </c>
      <c r="AE13" s="46">
        <v>1</v>
      </c>
      <c r="AJ13" s="46">
        <v>1</v>
      </c>
      <c r="AK13" s="46">
        <v>1</v>
      </c>
      <c r="AT13" s="46">
        <v>1</v>
      </c>
      <c r="AX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U13" s="139">
        <v>46481</v>
      </c>
    </row>
    <row r="14" spans="1:99">
      <c r="A14" s="46" t="s">
        <v>1534</v>
      </c>
      <c r="B14" s="46" t="s">
        <v>2501</v>
      </c>
      <c r="C14" s="46">
        <v>20</v>
      </c>
      <c r="D14" s="46" t="s">
        <v>1575</v>
      </c>
      <c r="E14" s="46" t="s">
        <v>191</v>
      </c>
      <c r="F14" s="46" t="s">
        <v>2484</v>
      </c>
      <c r="H14" s="46">
        <v>1</v>
      </c>
      <c r="M14" s="46">
        <v>1</v>
      </c>
      <c r="T14" s="46">
        <v>1</v>
      </c>
      <c r="W14" s="46">
        <v>18</v>
      </c>
      <c r="X14" s="46">
        <v>18</v>
      </c>
      <c r="Y14" s="46">
        <v>1</v>
      </c>
      <c r="Z14" s="46">
        <v>1</v>
      </c>
      <c r="AA14" s="46">
        <v>1</v>
      </c>
      <c r="AB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W14" s="46">
        <v>1</v>
      </c>
      <c r="BZ14" s="46">
        <v>1</v>
      </c>
      <c r="CC14" s="46">
        <v>1</v>
      </c>
      <c r="CI14" s="46">
        <v>1</v>
      </c>
      <c r="CU14" s="139">
        <v>46481</v>
      </c>
    </row>
    <row r="15" spans="1:99">
      <c r="A15" s="46" t="s">
        <v>1537</v>
      </c>
      <c r="B15" s="46" t="s">
        <v>2502</v>
      </c>
      <c r="C15" s="46">
        <v>21</v>
      </c>
      <c r="D15" s="46" t="s">
        <v>2503</v>
      </c>
      <c r="E15" s="46" t="s">
        <v>2504</v>
      </c>
      <c r="F15" s="46" t="s">
        <v>2484</v>
      </c>
      <c r="J15" s="46">
        <v>1</v>
      </c>
      <c r="M15" s="46">
        <v>1</v>
      </c>
      <c r="R15" s="46">
        <v>1</v>
      </c>
      <c r="T15" s="46">
        <v>1</v>
      </c>
      <c r="W15" s="46">
        <v>17</v>
      </c>
      <c r="X15" s="46">
        <v>16</v>
      </c>
      <c r="Y15" s="46">
        <v>20</v>
      </c>
      <c r="Z15" s="46">
        <v>1</v>
      </c>
      <c r="AA15" s="46">
        <v>1</v>
      </c>
      <c r="AB15" s="46">
        <v>1</v>
      </c>
      <c r="AE15" s="46">
        <v>1</v>
      </c>
      <c r="AG15" s="46">
        <v>1</v>
      </c>
      <c r="AH15" s="46">
        <v>1</v>
      </c>
      <c r="AI15" s="46">
        <v>1</v>
      </c>
      <c r="AM15" s="46">
        <v>1</v>
      </c>
      <c r="AT15" s="46">
        <v>1</v>
      </c>
      <c r="AX15" s="46">
        <v>1</v>
      </c>
      <c r="BA15" s="46">
        <v>1</v>
      </c>
      <c r="BI15" s="46">
        <v>1</v>
      </c>
      <c r="CA15" s="46">
        <v>1</v>
      </c>
      <c r="CB15" s="46">
        <v>2023</v>
      </c>
      <c r="CC15" s="46">
        <v>1</v>
      </c>
      <c r="CJ15" s="46">
        <v>1</v>
      </c>
      <c r="CQ15" s="46" t="s">
        <v>2505</v>
      </c>
      <c r="CU15" s="134">
        <v>45383</v>
      </c>
    </row>
    <row r="16" spans="1:99">
      <c r="A16" s="46" t="s">
        <v>1541</v>
      </c>
      <c r="B16" s="46" t="s">
        <v>758</v>
      </c>
      <c r="C16" s="46">
        <v>45</v>
      </c>
      <c r="D16" s="46" t="s">
        <v>1192</v>
      </c>
      <c r="E16" s="46" t="s">
        <v>191</v>
      </c>
      <c r="F16" s="46" t="s">
        <v>2506</v>
      </c>
      <c r="I16" s="46">
        <v>1</v>
      </c>
      <c r="M16" s="46">
        <v>1</v>
      </c>
      <c r="R16" s="46">
        <v>1</v>
      </c>
      <c r="T16" s="46">
        <v>1</v>
      </c>
      <c r="W16" s="46">
        <v>17</v>
      </c>
      <c r="X16" s="46" t="s">
        <v>191</v>
      </c>
      <c r="Y16" s="46" t="s">
        <v>191</v>
      </c>
      <c r="Z16" s="46">
        <v>10</v>
      </c>
      <c r="AA16" s="46">
        <v>10</v>
      </c>
      <c r="AB16" s="46">
        <v>9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U16" s="139">
        <v>46481</v>
      </c>
    </row>
    <row r="17" spans="1:99">
      <c r="A17" s="46" t="s">
        <v>1543</v>
      </c>
      <c r="B17" s="46" t="s">
        <v>2507</v>
      </c>
      <c r="C17" s="46">
        <v>72</v>
      </c>
      <c r="D17" s="46" t="s">
        <v>2508</v>
      </c>
      <c r="E17" s="46" t="s">
        <v>191</v>
      </c>
      <c r="F17" s="46" t="s">
        <v>2484</v>
      </c>
      <c r="G17" s="46">
        <v>1</v>
      </c>
      <c r="P17" s="46">
        <v>1</v>
      </c>
      <c r="Q17" s="46">
        <v>1</v>
      </c>
      <c r="S17" s="46">
        <v>1</v>
      </c>
      <c r="W17" s="46">
        <v>12</v>
      </c>
      <c r="X17" s="46">
        <v>12</v>
      </c>
      <c r="Y17" s="46">
        <v>18</v>
      </c>
      <c r="Z17" s="46">
        <v>12</v>
      </c>
      <c r="AA17" s="46">
        <v>10</v>
      </c>
      <c r="AB17" s="46">
        <v>8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W17" s="46">
        <v>1</v>
      </c>
      <c r="BZ17" s="46">
        <v>1</v>
      </c>
      <c r="CC17" s="46">
        <v>1</v>
      </c>
      <c r="CI17" s="46">
        <v>1</v>
      </c>
      <c r="CU17" s="139">
        <v>46481</v>
      </c>
    </row>
    <row r="18" spans="1:99">
      <c r="A18" s="46" t="s">
        <v>1547</v>
      </c>
      <c r="B18" s="46" t="s">
        <v>2509</v>
      </c>
      <c r="C18" s="46">
        <v>50</v>
      </c>
      <c r="D18" s="46" t="s">
        <v>2479</v>
      </c>
      <c r="E18" s="46" t="s">
        <v>2510</v>
      </c>
      <c r="F18" s="46" t="s">
        <v>2506</v>
      </c>
      <c r="H18" s="46">
        <v>1</v>
      </c>
      <c r="M18" s="46">
        <v>1</v>
      </c>
      <c r="R18" s="46">
        <v>1</v>
      </c>
      <c r="S18" s="46">
        <v>1</v>
      </c>
      <c r="W18" s="46">
        <v>14</v>
      </c>
      <c r="X18" s="46">
        <v>18</v>
      </c>
      <c r="Y18" s="46">
        <v>20</v>
      </c>
      <c r="Z18" s="46">
        <v>8</v>
      </c>
      <c r="AA18" s="46">
        <v>8</v>
      </c>
      <c r="AB18" s="46">
        <v>7</v>
      </c>
      <c r="AE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J18" s="46">
        <v>1</v>
      </c>
      <c r="BZ18" s="46">
        <v>1</v>
      </c>
      <c r="CC18" s="46">
        <v>1</v>
      </c>
      <c r="CI18" s="46">
        <v>1</v>
      </c>
      <c r="CU18" s="139">
        <v>46481</v>
      </c>
    </row>
    <row r="19" spans="1:99">
      <c r="A19" s="46" t="s">
        <v>1550</v>
      </c>
      <c r="B19" s="46" t="s">
        <v>2511</v>
      </c>
      <c r="C19" s="46">
        <v>30</v>
      </c>
      <c r="D19" s="46" t="s">
        <v>2508</v>
      </c>
      <c r="E19" s="46" t="s">
        <v>2512</v>
      </c>
      <c r="F19" s="46" t="s">
        <v>2484</v>
      </c>
      <c r="H19" s="46">
        <v>1</v>
      </c>
      <c r="M19" s="46">
        <v>1</v>
      </c>
      <c r="Q19" s="46">
        <v>1</v>
      </c>
      <c r="U19" s="46">
        <v>1</v>
      </c>
      <c r="W19" s="46">
        <v>16</v>
      </c>
      <c r="X19" s="46">
        <v>18</v>
      </c>
      <c r="Y19" s="46">
        <v>18</v>
      </c>
      <c r="Z19" s="46">
        <v>6</v>
      </c>
      <c r="AA19" s="46">
        <v>5</v>
      </c>
      <c r="AB19" s="46">
        <v>5</v>
      </c>
      <c r="AH19" s="46">
        <v>1</v>
      </c>
      <c r="AJ19" s="46">
        <v>1</v>
      </c>
      <c r="AK19" s="46">
        <v>1</v>
      </c>
      <c r="AT19" s="46">
        <v>1</v>
      </c>
      <c r="AX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U19" s="139">
        <v>46481</v>
      </c>
    </row>
    <row r="20" spans="1:99">
      <c r="A20" s="46" t="s">
        <v>1553</v>
      </c>
      <c r="B20" s="46" t="s">
        <v>2513</v>
      </c>
      <c r="C20" s="46">
        <v>39</v>
      </c>
      <c r="D20" s="46" t="s">
        <v>2514</v>
      </c>
      <c r="E20" s="46" t="s">
        <v>2515</v>
      </c>
      <c r="F20" s="46" t="s">
        <v>2484</v>
      </c>
      <c r="G20" s="46">
        <v>1</v>
      </c>
      <c r="M20" s="46">
        <v>1</v>
      </c>
      <c r="Q20" s="46">
        <v>1</v>
      </c>
      <c r="T20" s="46">
        <v>1</v>
      </c>
      <c r="W20" s="46">
        <v>14</v>
      </c>
      <c r="X20" s="46">
        <v>16</v>
      </c>
      <c r="Y20" s="46">
        <v>18</v>
      </c>
      <c r="Z20" s="46">
        <v>6</v>
      </c>
      <c r="AA20" s="46">
        <v>6</v>
      </c>
      <c r="AB20" s="46">
        <v>6</v>
      </c>
      <c r="AE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I20" s="46">
        <v>1</v>
      </c>
      <c r="CU20" s="139">
        <v>46481</v>
      </c>
    </row>
    <row r="21" spans="1:99">
      <c r="A21" s="46" t="s">
        <v>1556</v>
      </c>
      <c r="B21" s="46" t="s">
        <v>2516</v>
      </c>
      <c r="C21" s="46">
        <v>60</v>
      </c>
      <c r="D21" s="46" t="s">
        <v>2508</v>
      </c>
      <c r="E21" s="46" t="s">
        <v>191</v>
      </c>
      <c r="F21" s="46" t="s">
        <v>1509</v>
      </c>
      <c r="H21" s="46">
        <v>1</v>
      </c>
      <c r="M21" s="46">
        <v>1</v>
      </c>
      <c r="R21" s="46">
        <v>1</v>
      </c>
      <c r="T21" s="46">
        <v>1</v>
      </c>
      <c r="W21" s="46">
        <v>15</v>
      </c>
      <c r="X21" s="46">
        <v>18</v>
      </c>
      <c r="Y21" s="46" t="s">
        <v>191</v>
      </c>
      <c r="Z21" s="46">
        <v>8</v>
      </c>
      <c r="AA21" s="46">
        <v>8</v>
      </c>
      <c r="AB21" s="46">
        <v>7</v>
      </c>
      <c r="AE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J21" s="46">
        <v>1</v>
      </c>
      <c r="BW21" s="46">
        <v>1</v>
      </c>
      <c r="BZ21" s="46">
        <v>1</v>
      </c>
      <c r="CC21" s="46">
        <v>1</v>
      </c>
      <c r="CI21" s="46">
        <v>1</v>
      </c>
      <c r="CU21" s="139">
        <v>46481</v>
      </c>
    </row>
    <row r="22" spans="1:99">
      <c r="A22" s="46" t="s">
        <v>1558</v>
      </c>
      <c r="B22" s="46" t="s">
        <v>2517</v>
      </c>
      <c r="C22" s="46">
        <v>45</v>
      </c>
      <c r="D22" s="46" t="s">
        <v>2508</v>
      </c>
      <c r="E22" s="46" t="s">
        <v>191</v>
      </c>
      <c r="F22" s="46" t="s">
        <v>2518</v>
      </c>
      <c r="G22" s="46">
        <v>1</v>
      </c>
      <c r="M22" s="46">
        <v>1</v>
      </c>
      <c r="Q22" s="46">
        <v>1</v>
      </c>
      <c r="S22" s="46">
        <v>1</v>
      </c>
      <c r="W22" s="46">
        <v>14</v>
      </c>
      <c r="X22" s="46" t="s">
        <v>191</v>
      </c>
      <c r="Y22" s="46" t="s">
        <v>191</v>
      </c>
      <c r="Z22" s="46">
        <v>9</v>
      </c>
      <c r="AA22" s="46">
        <v>9</v>
      </c>
      <c r="AB22" s="46">
        <v>7</v>
      </c>
      <c r="AH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  <c r="CI22" s="46">
        <v>1</v>
      </c>
      <c r="CU22" s="139">
        <v>46481</v>
      </c>
    </row>
    <row r="23" spans="1:99">
      <c r="A23" s="46" t="s">
        <v>1561</v>
      </c>
      <c r="B23" s="46" t="s">
        <v>2519</v>
      </c>
      <c r="C23" s="46">
        <v>43</v>
      </c>
      <c r="D23" s="46" t="s">
        <v>2508</v>
      </c>
      <c r="E23" s="46" t="s">
        <v>191</v>
      </c>
      <c r="F23" s="46" t="s">
        <v>2520</v>
      </c>
      <c r="H23" s="46">
        <v>1</v>
      </c>
      <c r="M23" s="46">
        <v>1</v>
      </c>
      <c r="Q23" s="46">
        <v>1</v>
      </c>
      <c r="T23" s="46">
        <v>1</v>
      </c>
      <c r="W23" s="46">
        <v>15</v>
      </c>
      <c r="X23" s="46">
        <v>19</v>
      </c>
      <c r="Y23" s="46">
        <v>21</v>
      </c>
      <c r="Z23" s="46">
        <v>8</v>
      </c>
      <c r="AA23" s="46">
        <v>7</v>
      </c>
      <c r="AB23" s="46">
        <v>2</v>
      </c>
      <c r="AH23" s="46">
        <v>1</v>
      </c>
      <c r="AJ23" s="46">
        <v>1</v>
      </c>
      <c r="AM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U23" s="139">
        <v>46481</v>
      </c>
    </row>
    <row r="24" spans="1:99">
      <c r="A24" s="46" t="s">
        <v>1564</v>
      </c>
      <c r="B24" s="46" t="s">
        <v>2521</v>
      </c>
      <c r="C24" s="46">
        <v>50</v>
      </c>
      <c r="D24" s="46" t="s">
        <v>2475</v>
      </c>
      <c r="E24" s="46" t="s">
        <v>2522</v>
      </c>
      <c r="F24" s="46" t="s">
        <v>2523</v>
      </c>
      <c r="H24" s="46">
        <v>1</v>
      </c>
      <c r="M24" s="46">
        <v>1</v>
      </c>
      <c r="Q24" s="46">
        <v>1</v>
      </c>
      <c r="S24" s="46">
        <v>1</v>
      </c>
      <c r="W24" s="46">
        <v>16</v>
      </c>
      <c r="X24" s="46">
        <v>18</v>
      </c>
      <c r="Y24" s="46">
        <v>18</v>
      </c>
      <c r="Z24" s="46">
        <v>2</v>
      </c>
      <c r="AA24" s="46">
        <v>2</v>
      </c>
      <c r="AB24" s="46">
        <v>2</v>
      </c>
      <c r="AG24" s="46">
        <v>1</v>
      </c>
      <c r="AH24" s="46">
        <v>1</v>
      </c>
      <c r="AI24" s="46">
        <v>1</v>
      </c>
      <c r="AM24" s="46">
        <v>1</v>
      </c>
      <c r="AT24" s="46">
        <v>1</v>
      </c>
      <c r="AW24" s="46">
        <v>1</v>
      </c>
      <c r="BA24" s="46">
        <v>1</v>
      </c>
      <c r="BJ24" s="46">
        <v>1</v>
      </c>
      <c r="BW24" s="46">
        <v>1</v>
      </c>
      <c r="BZ24" s="46">
        <v>1</v>
      </c>
      <c r="CC24" s="46">
        <v>1</v>
      </c>
      <c r="CI24" s="46">
        <v>1</v>
      </c>
      <c r="CU24" s="139">
        <v>46481</v>
      </c>
    </row>
    <row r="25" spans="1:99">
      <c r="A25" s="46" t="s">
        <v>1568</v>
      </c>
      <c r="B25" s="46" t="s">
        <v>2524</v>
      </c>
      <c r="C25" s="46">
        <v>20</v>
      </c>
      <c r="D25" s="46" t="s">
        <v>1738</v>
      </c>
      <c r="E25" s="46" t="s">
        <v>2525</v>
      </c>
      <c r="F25" s="46" t="s">
        <v>2484</v>
      </c>
      <c r="G25" s="46">
        <v>1</v>
      </c>
      <c r="O25" s="46">
        <v>1</v>
      </c>
      <c r="R25" s="46">
        <v>1</v>
      </c>
      <c r="U25" s="46">
        <v>1</v>
      </c>
      <c r="W25" s="46">
        <v>17</v>
      </c>
      <c r="X25" s="46">
        <v>18</v>
      </c>
      <c r="Y25" s="46" t="s">
        <v>191</v>
      </c>
      <c r="Z25" s="46">
        <v>1</v>
      </c>
      <c r="AA25" s="46">
        <v>0</v>
      </c>
      <c r="AB25" s="46">
        <v>0</v>
      </c>
      <c r="AD25" s="46">
        <v>1</v>
      </c>
      <c r="AE25" s="46">
        <v>1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U25" s="139">
        <v>46481</v>
      </c>
    </row>
    <row r="26" spans="1:99">
      <c r="A26" s="46" t="s">
        <v>1571</v>
      </c>
      <c r="B26" s="46" t="s">
        <v>2526</v>
      </c>
      <c r="C26" s="46">
        <v>25</v>
      </c>
      <c r="D26" s="46" t="s">
        <v>2475</v>
      </c>
      <c r="E26" s="46" t="s">
        <v>2527</v>
      </c>
      <c r="F26" s="46" t="s">
        <v>2484</v>
      </c>
      <c r="G26" s="46">
        <v>1</v>
      </c>
      <c r="M26" s="46">
        <v>1</v>
      </c>
      <c r="Q26" s="46">
        <v>1</v>
      </c>
      <c r="T26" s="46">
        <v>1</v>
      </c>
      <c r="W26" s="46">
        <v>15</v>
      </c>
      <c r="X26" s="46">
        <v>15</v>
      </c>
      <c r="Y26" s="46">
        <v>16</v>
      </c>
      <c r="Z26" s="46">
        <v>3</v>
      </c>
      <c r="AA26" s="46">
        <v>3</v>
      </c>
      <c r="AB26" s="46">
        <v>3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U26" s="139">
        <v>46481</v>
      </c>
    </row>
    <row r="27" spans="1:99">
      <c r="A27" s="46" t="s">
        <v>1573</v>
      </c>
      <c r="B27" s="46" t="s">
        <v>2528</v>
      </c>
      <c r="C27" s="46">
        <v>60</v>
      </c>
      <c r="D27" s="46" t="s">
        <v>2508</v>
      </c>
      <c r="E27" s="46" t="s">
        <v>191</v>
      </c>
      <c r="F27" s="46" t="s">
        <v>2484</v>
      </c>
      <c r="M27" s="46">
        <v>1</v>
      </c>
      <c r="Q27" s="46">
        <v>1</v>
      </c>
      <c r="S27" s="46">
        <v>1</v>
      </c>
      <c r="W27" s="46">
        <v>15</v>
      </c>
      <c r="X27" s="46">
        <v>17</v>
      </c>
      <c r="Y27" s="46">
        <v>19</v>
      </c>
      <c r="Z27" s="46">
        <v>10</v>
      </c>
      <c r="AA27" s="46">
        <v>10</v>
      </c>
      <c r="AB27" s="46">
        <v>8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U27" s="139">
        <v>46481</v>
      </c>
    </row>
    <row r="28" spans="1:99">
      <c r="A28" s="46" t="s">
        <v>1577</v>
      </c>
      <c r="B28" s="46" t="s">
        <v>2529</v>
      </c>
      <c r="C28" s="46">
        <v>56</v>
      </c>
      <c r="D28" s="46" t="s">
        <v>2508</v>
      </c>
      <c r="E28" s="46" t="s">
        <v>2530</v>
      </c>
      <c r="F28" s="46" t="s">
        <v>2484</v>
      </c>
      <c r="H28" s="46">
        <v>1</v>
      </c>
      <c r="M28" s="46">
        <v>1</v>
      </c>
      <c r="R28" s="46">
        <v>1</v>
      </c>
      <c r="T28" s="46">
        <v>1</v>
      </c>
      <c r="W28" s="46">
        <v>15</v>
      </c>
      <c r="X28" s="46">
        <v>18</v>
      </c>
      <c r="Y28" s="46">
        <v>20</v>
      </c>
      <c r="Z28" s="46">
        <v>9</v>
      </c>
      <c r="AA28" s="46">
        <v>8</v>
      </c>
      <c r="AB28" s="46">
        <v>7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J28" s="46">
        <v>1</v>
      </c>
      <c r="BW28" s="46">
        <v>1</v>
      </c>
      <c r="BZ28" s="46">
        <v>1</v>
      </c>
      <c r="CC28" s="46">
        <v>1</v>
      </c>
      <c r="CI28" s="46">
        <v>1</v>
      </c>
      <c r="CU28" s="139">
        <v>46481</v>
      </c>
    </row>
    <row r="29" spans="1:99">
      <c r="A29" s="46" t="s">
        <v>1579</v>
      </c>
      <c r="B29" s="46" t="s">
        <v>2531</v>
      </c>
      <c r="C29" s="46">
        <v>50</v>
      </c>
      <c r="D29" s="46" t="s">
        <v>143</v>
      </c>
      <c r="E29" s="46" t="s">
        <v>2532</v>
      </c>
      <c r="F29" s="46" t="s">
        <v>2484</v>
      </c>
      <c r="I29" s="46">
        <v>1</v>
      </c>
      <c r="M29" s="46">
        <v>1</v>
      </c>
      <c r="Q29" s="46">
        <v>1</v>
      </c>
      <c r="T29" s="46">
        <v>1</v>
      </c>
      <c r="W29" s="46">
        <v>13</v>
      </c>
      <c r="X29" s="46">
        <v>16</v>
      </c>
      <c r="Y29" s="46">
        <v>17</v>
      </c>
      <c r="Z29" s="46">
        <v>11</v>
      </c>
      <c r="AA29" s="46">
        <v>10</v>
      </c>
      <c r="AB29" s="46">
        <v>10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Z29" s="46">
        <v>1</v>
      </c>
      <c r="CC29" s="46">
        <v>1</v>
      </c>
      <c r="CI29" s="46">
        <v>1</v>
      </c>
      <c r="CU29" s="139">
        <v>46481</v>
      </c>
    </row>
    <row r="30" spans="1:99">
      <c r="A30" s="46" t="s">
        <v>1583</v>
      </c>
      <c r="B30" s="46" t="s">
        <v>2533</v>
      </c>
      <c r="C30" s="46">
        <v>40</v>
      </c>
      <c r="D30" s="46" t="s">
        <v>2534</v>
      </c>
      <c r="E30" s="46" t="s">
        <v>2535</v>
      </c>
      <c r="F30" s="46" t="s">
        <v>2484</v>
      </c>
      <c r="I30" s="46">
        <v>1</v>
      </c>
      <c r="M30" s="46">
        <v>1</v>
      </c>
      <c r="R30" s="46">
        <v>1</v>
      </c>
      <c r="S30" s="46">
        <v>1</v>
      </c>
      <c r="W30" s="46" t="s">
        <v>191</v>
      </c>
      <c r="X30" s="46" t="s">
        <v>191</v>
      </c>
      <c r="Y30" s="46">
        <v>15</v>
      </c>
      <c r="Z30" s="46">
        <v>8</v>
      </c>
      <c r="AA30" s="46">
        <v>7</v>
      </c>
      <c r="AB30" s="46">
        <v>6</v>
      </c>
      <c r="AG30" s="46">
        <v>1</v>
      </c>
      <c r="AH30" s="46">
        <v>1</v>
      </c>
      <c r="AI30" s="46">
        <v>1</v>
      </c>
      <c r="AM30" s="46">
        <v>1</v>
      </c>
      <c r="AT30" s="46">
        <v>1</v>
      </c>
      <c r="AW30" s="46">
        <v>1</v>
      </c>
      <c r="BA30" s="46">
        <v>1</v>
      </c>
      <c r="BI30" s="46">
        <v>1</v>
      </c>
      <c r="BW30" s="46">
        <v>1</v>
      </c>
      <c r="BZ30" s="46">
        <v>1</v>
      </c>
      <c r="CC30" s="46">
        <v>1</v>
      </c>
      <c r="CI30" s="46">
        <v>1</v>
      </c>
      <c r="CU30" s="139">
        <v>46481</v>
      </c>
    </row>
    <row r="31" spans="1:99">
      <c r="A31" s="46" t="s">
        <v>1586</v>
      </c>
      <c r="B31" s="46" t="s">
        <v>2536</v>
      </c>
      <c r="C31" s="46">
        <v>40</v>
      </c>
      <c r="D31" s="46" t="s">
        <v>2537</v>
      </c>
      <c r="E31" s="46" t="s">
        <v>2538</v>
      </c>
      <c r="F31" s="46" t="s">
        <v>2484</v>
      </c>
      <c r="H31" s="46">
        <v>1</v>
      </c>
      <c r="M31" s="46">
        <v>1</v>
      </c>
      <c r="Q31" s="46">
        <v>1</v>
      </c>
      <c r="T31" s="46">
        <v>1</v>
      </c>
      <c r="W31" s="46">
        <v>13</v>
      </c>
      <c r="X31" s="46">
        <v>13</v>
      </c>
      <c r="Y31" s="46">
        <v>15</v>
      </c>
      <c r="Z31" s="46">
        <v>11</v>
      </c>
      <c r="AA31" s="46">
        <v>11</v>
      </c>
      <c r="AB31" s="46">
        <v>11</v>
      </c>
      <c r="AC31" s="46">
        <v>1</v>
      </c>
      <c r="AJ31" s="46">
        <v>1</v>
      </c>
      <c r="AM31" s="46">
        <v>1</v>
      </c>
      <c r="AT31" s="46">
        <v>1</v>
      </c>
      <c r="AW31" s="46">
        <v>1</v>
      </c>
      <c r="BA31" s="46">
        <v>1</v>
      </c>
      <c r="BI31" s="46">
        <v>1</v>
      </c>
      <c r="BZ31" s="46">
        <v>1</v>
      </c>
      <c r="CC31" s="46">
        <v>1</v>
      </c>
      <c r="CI31" s="46">
        <v>1</v>
      </c>
      <c r="CU31" s="139">
        <v>46481</v>
      </c>
    </row>
    <row r="32" spans="1:99">
      <c r="A32" s="46" t="s">
        <v>1588</v>
      </c>
      <c r="B32" s="46" t="s">
        <v>2539</v>
      </c>
      <c r="C32" s="46">
        <v>40</v>
      </c>
      <c r="D32" s="46" t="s">
        <v>2503</v>
      </c>
      <c r="E32" s="46" t="s">
        <v>191</v>
      </c>
      <c r="F32" s="46" t="s">
        <v>2506</v>
      </c>
      <c r="I32" s="46">
        <v>1</v>
      </c>
      <c r="M32" s="46">
        <v>1</v>
      </c>
      <c r="Q32" s="46">
        <v>1</v>
      </c>
      <c r="T32" s="46">
        <v>1</v>
      </c>
      <c r="W32" s="46">
        <v>10</v>
      </c>
      <c r="X32" s="46">
        <v>12</v>
      </c>
      <c r="Y32" s="46">
        <v>18</v>
      </c>
      <c r="Z32" s="46">
        <v>8</v>
      </c>
      <c r="AA32" s="46">
        <v>7</v>
      </c>
      <c r="AB32" s="46">
        <v>7</v>
      </c>
      <c r="AG32" s="46">
        <v>1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C32" s="46">
        <v>1</v>
      </c>
      <c r="CI32" s="46">
        <v>1</v>
      </c>
      <c r="CU32" s="139">
        <v>46481</v>
      </c>
    </row>
    <row r="33" spans="1:99">
      <c r="A33" s="46" t="s">
        <v>2540</v>
      </c>
      <c r="B33" s="46" t="s">
        <v>2541</v>
      </c>
      <c r="C33" s="46">
        <v>40</v>
      </c>
      <c r="D33" s="46" t="s">
        <v>2508</v>
      </c>
      <c r="E33" s="46" t="s">
        <v>191</v>
      </c>
      <c r="F33" s="46" t="s">
        <v>662</v>
      </c>
      <c r="H33" s="46">
        <v>1</v>
      </c>
      <c r="M33" s="46">
        <v>1</v>
      </c>
      <c r="Q33" s="46">
        <v>1</v>
      </c>
      <c r="T33" s="46">
        <v>1</v>
      </c>
      <c r="W33" s="46">
        <v>13</v>
      </c>
      <c r="X33" s="46">
        <v>18</v>
      </c>
      <c r="Y33" s="46">
        <v>19</v>
      </c>
      <c r="Z33" s="46">
        <v>9</v>
      </c>
      <c r="AA33" s="46">
        <v>8</v>
      </c>
      <c r="AB33" s="46">
        <v>7</v>
      </c>
      <c r="AE33" s="46">
        <v>1</v>
      </c>
      <c r="AG33" s="46">
        <v>1</v>
      </c>
      <c r="AH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C33" s="46">
        <v>1</v>
      </c>
      <c r="CI33" s="46">
        <v>1</v>
      </c>
      <c r="CU33" s="139">
        <v>46481</v>
      </c>
    </row>
    <row r="34" spans="1:99">
      <c r="A34" s="46" t="s">
        <v>1594</v>
      </c>
      <c r="B34" s="46" t="s">
        <v>1612</v>
      </c>
      <c r="C34" s="46">
        <v>80</v>
      </c>
      <c r="D34" s="46" t="s">
        <v>2475</v>
      </c>
      <c r="E34" s="46" t="s">
        <v>191</v>
      </c>
      <c r="F34" s="46" t="s">
        <v>662</v>
      </c>
      <c r="H34" s="46">
        <v>1</v>
      </c>
      <c r="M34" s="46">
        <v>1</v>
      </c>
      <c r="Q34" s="46">
        <v>1</v>
      </c>
      <c r="S34" s="46">
        <v>1</v>
      </c>
      <c r="W34" s="46">
        <v>10</v>
      </c>
      <c r="X34" s="46">
        <v>25</v>
      </c>
      <c r="Y34" s="46">
        <v>30</v>
      </c>
      <c r="Z34" s="46">
        <v>7</v>
      </c>
      <c r="AA34" s="46">
        <v>7</v>
      </c>
      <c r="AB34" s="46">
        <v>7</v>
      </c>
      <c r="AG34" s="46">
        <v>1</v>
      </c>
      <c r="AH34" s="46">
        <v>1</v>
      </c>
      <c r="AI34" s="46">
        <v>1</v>
      </c>
      <c r="AM34" s="46">
        <v>1</v>
      </c>
      <c r="AT34" s="46">
        <v>1</v>
      </c>
      <c r="AW34" s="46">
        <v>1</v>
      </c>
      <c r="BA34" s="46">
        <v>1</v>
      </c>
      <c r="BJ34" s="46">
        <v>1</v>
      </c>
      <c r="BZ34" s="46">
        <v>1</v>
      </c>
      <c r="CC34" s="46">
        <v>1</v>
      </c>
      <c r="CI34" s="46">
        <v>1</v>
      </c>
      <c r="CU34" s="139">
        <v>46481</v>
      </c>
    </row>
    <row r="35" spans="1:99">
      <c r="A35" s="46" t="s">
        <v>1597</v>
      </c>
      <c r="B35" s="46" t="s">
        <v>2542</v>
      </c>
      <c r="C35" s="46">
        <v>29</v>
      </c>
      <c r="D35" s="46" t="s">
        <v>1738</v>
      </c>
      <c r="E35" s="46" t="s">
        <v>2543</v>
      </c>
      <c r="F35" s="46" t="s">
        <v>2506</v>
      </c>
      <c r="H35" s="46">
        <v>1</v>
      </c>
      <c r="M35" s="46">
        <v>1</v>
      </c>
      <c r="R35" s="46">
        <v>1</v>
      </c>
      <c r="T35" s="46">
        <v>1</v>
      </c>
      <c r="W35" s="46">
        <v>13</v>
      </c>
      <c r="X35" s="46">
        <v>15</v>
      </c>
      <c r="Y35" s="46">
        <v>18</v>
      </c>
      <c r="Z35" s="46">
        <v>5</v>
      </c>
      <c r="AA35" s="46">
        <v>5</v>
      </c>
      <c r="AB35" s="46">
        <v>5</v>
      </c>
      <c r="AE35" s="46">
        <v>1</v>
      </c>
      <c r="AJ35" s="46">
        <v>1</v>
      </c>
      <c r="AM35" s="46">
        <v>1</v>
      </c>
      <c r="AT35" s="46">
        <v>1</v>
      </c>
      <c r="AW35" s="46">
        <v>1</v>
      </c>
      <c r="BA35" s="46">
        <v>1</v>
      </c>
      <c r="BI35" s="46">
        <v>1</v>
      </c>
      <c r="BW35" s="46">
        <v>1</v>
      </c>
      <c r="BZ35" s="46">
        <v>1</v>
      </c>
      <c r="CC35" s="46">
        <v>1</v>
      </c>
      <c r="CI35" s="46">
        <v>1</v>
      </c>
      <c r="CU35" s="139">
        <v>46481</v>
      </c>
    </row>
    <row r="36" spans="1:99">
      <c r="A36" s="46" t="s">
        <v>1601</v>
      </c>
      <c r="B36" s="46" t="s">
        <v>2544</v>
      </c>
      <c r="C36" s="46">
        <v>33</v>
      </c>
      <c r="D36" s="46" t="s">
        <v>2508</v>
      </c>
      <c r="E36" s="46" t="s">
        <v>191</v>
      </c>
      <c r="F36" s="46" t="s">
        <v>2484</v>
      </c>
      <c r="M36" s="46">
        <v>1</v>
      </c>
      <c r="R36" s="46">
        <v>1</v>
      </c>
      <c r="T36" s="46">
        <v>1</v>
      </c>
      <c r="W36" s="46">
        <v>16</v>
      </c>
      <c r="X36" s="46">
        <v>17</v>
      </c>
      <c r="Y36" s="46">
        <v>20</v>
      </c>
      <c r="Z36" s="46">
        <v>4</v>
      </c>
      <c r="AA36" s="46">
        <v>4</v>
      </c>
      <c r="AB36" s="46">
        <v>4</v>
      </c>
      <c r="AG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Z36" s="46">
        <v>1</v>
      </c>
      <c r="CC36" s="46">
        <v>1</v>
      </c>
      <c r="CI36" s="46">
        <v>1</v>
      </c>
      <c r="CU36" s="139">
        <v>46481</v>
      </c>
    </row>
    <row r="37" spans="1:99">
      <c r="A37" s="46" t="s">
        <v>1604</v>
      </c>
      <c r="B37" s="46" t="s">
        <v>2545</v>
      </c>
      <c r="C37" s="46">
        <v>46</v>
      </c>
      <c r="D37" s="46" t="s">
        <v>2508</v>
      </c>
      <c r="E37" s="46" t="s">
        <v>2546</v>
      </c>
      <c r="F37" s="46" t="s">
        <v>2484</v>
      </c>
      <c r="G37" s="46">
        <v>1</v>
      </c>
      <c r="M37" s="46">
        <v>1</v>
      </c>
      <c r="Q37" s="46">
        <v>1</v>
      </c>
      <c r="T37" s="46">
        <v>1</v>
      </c>
      <c r="W37" s="46">
        <v>15</v>
      </c>
      <c r="X37" s="46">
        <v>20</v>
      </c>
      <c r="Y37" s="46">
        <v>24</v>
      </c>
      <c r="Z37" s="46">
        <v>8</v>
      </c>
      <c r="AA37" s="46">
        <v>7</v>
      </c>
      <c r="AB37" s="46">
        <v>7</v>
      </c>
      <c r="AE37" s="46">
        <v>1</v>
      </c>
      <c r="AJ37" s="46">
        <v>1</v>
      </c>
      <c r="AM37" s="46">
        <v>1</v>
      </c>
      <c r="AT37" s="46">
        <v>1</v>
      </c>
      <c r="AW37" s="46">
        <v>1</v>
      </c>
      <c r="BA37" s="46">
        <v>1</v>
      </c>
      <c r="BI37" s="46">
        <v>1</v>
      </c>
      <c r="BW37" s="46">
        <v>1</v>
      </c>
      <c r="BZ37" s="46">
        <v>1</v>
      </c>
      <c r="CC37" s="46">
        <v>1</v>
      </c>
      <c r="CI37" s="46">
        <v>1</v>
      </c>
      <c r="CU37" s="139">
        <v>46481</v>
      </c>
    </row>
    <row r="38" spans="1:99">
      <c r="A38" s="46" t="s">
        <v>1577</v>
      </c>
      <c r="B38" s="46" t="s">
        <v>2547</v>
      </c>
      <c r="C38" s="46">
        <v>35</v>
      </c>
      <c r="D38" s="46" t="s">
        <v>1192</v>
      </c>
      <c r="E38" s="46" t="s">
        <v>2548</v>
      </c>
      <c r="F38" s="46" t="s">
        <v>2484</v>
      </c>
      <c r="G38" s="46">
        <v>1</v>
      </c>
      <c r="O38" s="46">
        <v>1</v>
      </c>
      <c r="Q38" s="46">
        <v>1</v>
      </c>
      <c r="T38" s="46">
        <v>1</v>
      </c>
      <c r="W38" s="46">
        <v>18</v>
      </c>
      <c r="X38" s="46">
        <v>19</v>
      </c>
      <c r="Y38" s="46">
        <v>20</v>
      </c>
      <c r="Z38" s="46">
        <v>9</v>
      </c>
      <c r="AA38" s="46">
        <v>6</v>
      </c>
      <c r="AB38" s="46">
        <v>6</v>
      </c>
      <c r="AH38" s="46">
        <v>1</v>
      </c>
      <c r="AI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W38" s="46">
        <v>1</v>
      </c>
      <c r="BZ38" s="46">
        <v>1</v>
      </c>
      <c r="CC38" s="46">
        <v>1</v>
      </c>
      <c r="CI38" s="46">
        <v>1</v>
      </c>
      <c r="CU38" s="139">
        <v>46481</v>
      </c>
    </row>
    <row r="39" spans="1:99">
      <c r="A39" s="46" t="s">
        <v>1579</v>
      </c>
      <c r="B39" s="46" t="s">
        <v>2549</v>
      </c>
      <c r="C39" s="46">
        <v>24</v>
      </c>
      <c r="D39" s="46" t="s">
        <v>2514</v>
      </c>
      <c r="E39" s="46" t="s">
        <v>2550</v>
      </c>
      <c r="F39" s="46" t="s">
        <v>2484</v>
      </c>
      <c r="G39" s="46">
        <v>1</v>
      </c>
      <c r="M39" s="46">
        <v>1</v>
      </c>
      <c r="Q39" s="46">
        <v>1</v>
      </c>
      <c r="T39" s="46">
        <v>1</v>
      </c>
      <c r="W39" s="46">
        <v>12</v>
      </c>
      <c r="X39" s="46">
        <v>15</v>
      </c>
      <c r="Y39" s="46">
        <v>17</v>
      </c>
      <c r="Z39" s="46">
        <v>4</v>
      </c>
      <c r="AA39" s="46">
        <v>2</v>
      </c>
      <c r="AB39" s="46">
        <v>2</v>
      </c>
      <c r="AE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Z39" s="46">
        <v>1</v>
      </c>
      <c r="CC39" s="46">
        <v>1</v>
      </c>
      <c r="CI39" s="46">
        <v>1</v>
      </c>
      <c r="CU39" s="139">
        <v>46481</v>
      </c>
    </row>
    <row r="40" spans="1:99">
      <c r="A40" s="46" t="s">
        <v>1583</v>
      </c>
      <c r="B40" s="46" t="s">
        <v>2551</v>
      </c>
      <c r="C40" s="46">
        <v>48</v>
      </c>
      <c r="D40" s="46" t="s">
        <v>2508</v>
      </c>
      <c r="E40" s="46" t="s">
        <v>2552</v>
      </c>
      <c r="F40" s="46" t="s">
        <v>2484</v>
      </c>
      <c r="H40" s="46">
        <v>1</v>
      </c>
      <c r="M40" s="46">
        <v>1</v>
      </c>
      <c r="Q40" s="46">
        <v>1</v>
      </c>
      <c r="T40" s="46">
        <v>1</v>
      </c>
      <c r="W40" s="46">
        <v>15</v>
      </c>
      <c r="X40" s="46">
        <v>17</v>
      </c>
      <c r="Y40" s="46">
        <v>18</v>
      </c>
      <c r="Z40" s="46">
        <v>16</v>
      </c>
      <c r="AA40" s="46">
        <v>14</v>
      </c>
      <c r="AB40" s="46">
        <v>14</v>
      </c>
      <c r="AH40" s="46">
        <v>1</v>
      </c>
      <c r="AI40" s="46">
        <v>1</v>
      </c>
      <c r="AM40" s="46">
        <v>1</v>
      </c>
      <c r="AT40" s="46">
        <v>1</v>
      </c>
      <c r="AW40" s="46">
        <v>1</v>
      </c>
      <c r="BA40" s="46">
        <v>1</v>
      </c>
      <c r="BI40" s="46">
        <v>1</v>
      </c>
      <c r="BZ40" s="46">
        <v>1</v>
      </c>
      <c r="CC40" s="46">
        <v>1</v>
      </c>
      <c r="CI40" s="46">
        <v>1</v>
      </c>
      <c r="CU40" s="139">
        <v>46481</v>
      </c>
    </row>
    <row r="41" spans="1:99">
      <c r="A41" s="46" t="s">
        <v>1586</v>
      </c>
      <c r="B41" s="46" t="s">
        <v>2553</v>
      </c>
      <c r="C41" s="46">
        <v>50</v>
      </c>
      <c r="D41" s="46" t="s">
        <v>2508</v>
      </c>
      <c r="E41" s="46" t="s">
        <v>191</v>
      </c>
      <c r="F41" s="46" t="s">
        <v>2484</v>
      </c>
      <c r="H41" s="46">
        <v>1</v>
      </c>
      <c r="M41" s="46">
        <v>1</v>
      </c>
      <c r="Q41" s="46">
        <v>1</v>
      </c>
      <c r="T41" s="46">
        <v>1</v>
      </c>
      <c r="W41" s="46">
        <v>15</v>
      </c>
      <c r="X41" s="46">
        <v>20</v>
      </c>
      <c r="Y41" s="46">
        <v>30</v>
      </c>
      <c r="Z41" s="46">
        <v>11</v>
      </c>
      <c r="AA41" s="46">
        <v>7</v>
      </c>
      <c r="AB41" s="46">
        <v>7</v>
      </c>
      <c r="AE41" s="46">
        <v>1</v>
      </c>
      <c r="AG41" s="46">
        <v>1</v>
      </c>
      <c r="AH41" s="46">
        <v>1</v>
      </c>
      <c r="AI41" s="46">
        <v>1</v>
      </c>
      <c r="AM41" s="46">
        <v>1</v>
      </c>
      <c r="AT41" s="46">
        <v>1</v>
      </c>
      <c r="AW41" s="46">
        <v>1</v>
      </c>
      <c r="BA41" s="46">
        <v>1</v>
      </c>
      <c r="BJ41" s="46">
        <v>1</v>
      </c>
      <c r="BZ41" s="46">
        <v>1</v>
      </c>
      <c r="CC41" s="46">
        <v>1</v>
      </c>
      <c r="CI41" s="46">
        <v>1</v>
      </c>
      <c r="CU41" s="139">
        <v>46481</v>
      </c>
    </row>
    <row r="42" spans="1:99">
      <c r="A42" s="46" t="s">
        <v>1588</v>
      </c>
      <c r="B42" s="46" t="s">
        <v>2554</v>
      </c>
      <c r="C42" s="46">
        <v>34</v>
      </c>
      <c r="D42" s="46" t="s">
        <v>1192</v>
      </c>
      <c r="E42" s="46" t="s">
        <v>2555</v>
      </c>
      <c r="F42" s="46" t="s">
        <v>2506</v>
      </c>
      <c r="H42" s="46">
        <v>1</v>
      </c>
      <c r="M42" s="46">
        <v>1</v>
      </c>
      <c r="Q42" s="46">
        <v>1</v>
      </c>
      <c r="T42" s="46">
        <v>1</v>
      </c>
      <c r="W42" s="46">
        <v>15</v>
      </c>
      <c r="X42" s="46">
        <v>18</v>
      </c>
      <c r="Y42" s="46">
        <v>19</v>
      </c>
      <c r="Z42" s="46">
        <v>8</v>
      </c>
      <c r="AA42" s="46">
        <v>8</v>
      </c>
      <c r="AB42" s="46">
        <v>7</v>
      </c>
      <c r="AH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U42" s="139">
        <v>46481</v>
      </c>
    </row>
    <row r="43" spans="1:99">
      <c r="A43" s="46" t="s">
        <v>2540</v>
      </c>
      <c r="B43" s="46" t="s">
        <v>1059</v>
      </c>
      <c r="C43" s="46">
        <v>26</v>
      </c>
      <c r="D43" s="46" t="s">
        <v>2556</v>
      </c>
      <c r="E43" s="46" t="s">
        <v>191</v>
      </c>
      <c r="F43" s="46" t="s">
        <v>145</v>
      </c>
      <c r="H43" s="46">
        <v>1</v>
      </c>
      <c r="M43" s="46">
        <v>1</v>
      </c>
      <c r="Q43" s="46">
        <v>1</v>
      </c>
      <c r="T43" s="46">
        <v>1</v>
      </c>
      <c r="W43" s="46">
        <v>18</v>
      </c>
      <c r="X43" s="46">
        <v>20</v>
      </c>
      <c r="Y43" s="46">
        <v>21</v>
      </c>
      <c r="Z43" s="46">
        <v>3</v>
      </c>
      <c r="AA43" s="46">
        <v>3</v>
      </c>
      <c r="AB43" s="46">
        <v>3</v>
      </c>
      <c r="AE43" s="46">
        <v>1</v>
      </c>
      <c r="AG43" s="46">
        <v>1</v>
      </c>
      <c r="AH43" s="46">
        <v>1</v>
      </c>
      <c r="AI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Z43" s="46">
        <v>1</v>
      </c>
      <c r="CC43" s="46">
        <v>1</v>
      </c>
      <c r="CI43" s="46">
        <v>1</v>
      </c>
      <c r="CU43" s="139">
        <v>46481</v>
      </c>
    </row>
    <row r="44" spans="1:99">
      <c r="A44" s="46" t="s">
        <v>1594</v>
      </c>
      <c r="B44" s="46" t="s">
        <v>1589</v>
      </c>
      <c r="C44" s="46">
        <v>40</v>
      </c>
      <c r="D44" s="46" t="s">
        <v>2557</v>
      </c>
      <c r="E44" s="46" t="s">
        <v>2558</v>
      </c>
      <c r="F44" s="46" t="s">
        <v>2484</v>
      </c>
      <c r="H44" s="46">
        <v>1</v>
      </c>
      <c r="M44" s="46">
        <v>1</v>
      </c>
      <c r="R44" s="46">
        <v>1</v>
      </c>
      <c r="T44" s="46">
        <v>1</v>
      </c>
      <c r="W44" s="46">
        <v>17</v>
      </c>
      <c r="X44" s="46">
        <v>18</v>
      </c>
      <c r="Y44" s="46">
        <v>20</v>
      </c>
      <c r="Z44" s="46">
        <v>8</v>
      </c>
      <c r="AA44" s="46">
        <v>8</v>
      </c>
      <c r="AB44" s="46">
        <v>7</v>
      </c>
      <c r="AG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Z44" s="46">
        <v>1</v>
      </c>
      <c r="CC44" s="46">
        <v>1</v>
      </c>
      <c r="CI44" s="46">
        <v>1</v>
      </c>
      <c r="CU44" s="139">
        <v>46481</v>
      </c>
    </row>
    <row r="45" spans="1:99">
      <c r="A45" s="46" t="s">
        <v>1597</v>
      </c>
      <c r="B45" s="46" t="s">
        <v>2559</v>
      </c>
      <c r="C45" s="46">
        <v>52</v>
      </c>
      <c r="D45" s="46" t="s">
        <v>2475</v>
      </c>
      <c r="E45" s="46" t="s">
        <v>191</v>
      </c>
      <c r="F45" s="46" t="s">
        <v>2506</v>
      </c>
      <c r="G45" s="46">
        <v>1</v>
      </c>
      <c r="M45" s="46">
        <v>1</v>
      </c>
      <c r="R45" s="46">
        <v>1</v>
      </c>
      <c r="T45" s="46">
        <v>1</v>
      </c>
      <c r="W45" s="46">
        <v>14</v>
      </c>
      <c r="X45" s="46">
        <v>11</v>
      </c>
      <c r="Y45" s="46">
        <v>17</v>
      </c>
      <c r="Z45" s="46">
        <v>12</v>
      </c>
      <c r="AA45" s="46">
        <v>11</v>
      </c>
      <c r="AB45" s="46">
        <v>11</v>
      </c>
      <c r="AH45" s="46">
        <v>1</v>
      </c>
      <c r="AI45" s="46">
        <v>1</v>
      </c>
      <c r="AK45" s="46">
        <v>1</v>
      </c>
      <c r="AT45" s="46">
        <v>1</v>
      </c>
      <c r="AX45" s="46">
        <v>1</v>
      </c>
      <c r="BA45" s="46">
        <v>1</v>
      </c>
      <c r="BI45" s="46">
        <v>1</v>
      </c>
      <c r="BW45" s="46">
        <v>1</v>
      </c>
      <c r="BZ45" s="46">
        <v>1</v>
      </c>
      <c r="CC45" s="46">
        <v>1</v>
      </c>
      <c r="CI45" s="46">
        <v>1</v>
      </c>
      <c r="CU45" s="139">
        <v>46481</v>
      </c>
    </row>
    <row r="46" spans="1:99">
      <c r="A46" s="46" t="s">
        <v>1601</v>
      </c>
      <c r="B46" s="46" t="s">
        <v>2560</v>
      </c>
      <c r="C46" s="46" t="s">
        <v>191</v>
      </c>
      <c r="D46" s="46" t="s">
        <v>2514</v>
      </c>
      <c r="E46" s="46" t="s">
        <v>191</v>
      </c>
      <c r="F46" s="46" t="s">
        <v>2561</v>
      </c>
      <c r="M46" s="46">
        <v>1</v>
      </c>
      <c r="R46" s="46">
        <v>1</v>
      </c>
      <c r="S46" s="46">
        <v>1</v>
      </c>
      <c r="W46" s="46" t="s">
        <v>191</v>
      </c>
      <c r="X46" s="46">
        <v>12</v>
      </c>
      <c r="Y46" s="46">
        <v>15</v>
      </c>
      <c r="Z46" s="46">
        <v>10</v>
      </c>
      <c r="AA46" s="46">
        <v>10</v>
      </c>
      <c r="AB46" s="46">
        <v>5</v>
      </c>
      <c r="AG46" s="46">
        <v>1</v>
      </c>
      <c r="AH46" s="46">
        <v>1</v>
      </c>
      <c r="AI46" s="46">
        <v>1</v>
      </c>
      <c r="AK46" s="46">
        <v>1</v>
      </c>
      <c r="AT46" s="46">
        <v>1</v>
      </c>
      <c r="AW46" s="46">
        <v>1</v>
      </c>
      <c r="BA46" s="46">
        <v>1</v>
      </c>
      <c r="BJ46" s="46">
        <v>1</v>
      </c>
      <c r="BW46" s="46">
        <v>1</v>
      </c>
      <c r="BZ46" s="46">
        <v>1</v>
      </c>
      <c r="CC46" s="46">
        <v>1</v>
      </c>
      <c r="CI46" s="46">
        <v>1</v>
      </c>
      <c r="CU46" s="139">
        <v>46481</v>
      </c>
    </row>
    <row r="47" spans="1:99">
      <c r="A47" s="46" t="s">
        <v>1604</v>
      </c>
      <c r="B47" s="46" t="s">
        <v>2562</v>
      </c>
      <c r="C47" s="46">
        <v>33</v>
      </c>
      <c r="D47" s="46" t="s">
        <v>2497</v>
      </c>
      <c r="E47" s="46" t="s">
        <v>2563</v>
      </c>
      <c r="F47" s="46" t="s">
        <v>107</v>
      </c>
      <c r="I47" s="46">
        <v>1</v>
      </c>
      <c r="M47" s="46">
        <v>1</v>
      </c>
      <c r="Q47" s="46">
        <v>1</v>
      </c>
      <c r="S47" s="46">
        <v>1</v>
      </c>
      <c r="W47" s="46">
        <v>16</v>
      </c>
      <c r="X47" s="46">
        <v>17</v>
      </c>
      <c r="Y47" s="46">
        <v>26</v>
      </c>
      <c r="Z47" s="46">
        <v>1</v>
      </c>
      <c r="AA47" s="46">
        <v>1</v>
      </c>
      <c r="AB47" s="46">
        <v>1</v>
      </c>
      <c r="AH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I47" s="46">
        <v>1</v>
      </c>
      <c r="BZ47" s="46">
        <v>1</v>
      </c>
      <c r="CC47" s="46">
        <v>1</v>
      </c>
      <c r="CI47" s="46">
        <v>1</v>
      </c>
      <c r="CU47" s="139">
        <v>46481</v>
      </c>
    </row>
    <row r="48" spans="1:99">
      <c r="A48" s="46" t="s">
        <v>1607</v>
      </c>
      <c r="B48" s="46" t="s">
        <v>2564</v>
      </c>
      <c r="C48" s="46">
        <v>43</v>
      </c>
      <c r="D48" s="46" t="s">
        <v>2565</v>
      </c>
      <c r="E48" s="46" t="s">
        <v>2566</v>
      </c>
      <c r="F48" s="46" t="s">
        <v>2506</v>
      </c>
      <c r="H48" s="46">
        <v>1</v>
      </c>
      <c r="M48" s="46">
        <v>1</v>
      </c>
      <c r="Q48" s="46">
        <v>1</v>
      </c>
      <c r="T48" s="46">
        <v>1</v>
      </c>
      <c r="W48" s="46">
        <v>15</v>
      </c>
      <c r="X48" s="46">
        <v>15</v>
      </c>
      <c r="Y48" s="46">
        <v>17</v>
      </c>
      <c r="Z48" s="46">
        <v>8</v>
      </c>
      <c r="AA48" s="46">
        <v>8</v>
      </c>
      <c r="AB48" s="46">
        <v>8</v>
      </c>
      <c r="AE48" s="46">
        <v>1</v>
      </c>
      <c r="AG48" s="46">
        <v>1</v>
      </c>
      <c r="AH48" s="46">
        <v>1</v>
      </c>
      <c r="AI48" s="46">
        <v>1</v>
      </c>
      <c r="AK48" s="46">
        <v>1</v>
      </c>
      <c r="AT48" s="46">
        <v>1</v>
      </c>
      <c r="AX48" s="46">
        <v>1</v>
      </c>
      <c r="BA48" s="46">
        <v>1</v>
      </c>
      <c r="BI48" s="46">
        <v>1</v>
      </c>
      <c r="BZ48" s="46">
        <v>1</v>
      </c>
      <c r="CD48" s="46">
        <v>1</v>
      </c>
      <c r="CE48" s="46" t="s">
        <v>2567</v>
      </c>
      <c r="CG48" s="46">
        <v>1</v>
      </c>
      <c r="CI48" s="46">
        <v>1</v>
      </c>
      <c r="CU48" s="139">
        <v>46481</v>
      </c>
    </row>
    <row r="49" spans="1:99">
      <c r="A49" s="46" t="s">
        <v>1611</v>
      </c>
      <c r="B49" s="46" t="s">
        <v>2568</v>
      </c>
      <c r="C49" s="46">
        <v>47</v>
      </c>
      <c r="D49" s="46" t="s">
        <v>2569</v>
      </c>
      <c r="E49" s="46" t="s">
        <v>191</v>
      </c>
      <c r="F49" s="46" t="s">
        <v>2484</v>
      </c>
      <c r="H49" s="46">
        <v>1</v>
      </c>
      <c r="M49" s="46">
        <v>1</v>
      </c>
      <c r="Q49" s="46">
        <v>1</v>
      </c>
      <c r="T49" s="46">
        <v>1</v>
      </c>
      <c r="W49" s="46">
        <v>14</v>
      </c>
      <c r="X49" s="46">
        <v>18</v>
      </c>
      <c r="Y49" s="46">
        <v>19</v>
      </c>
      <c r="Z49" s="46">
        <v>12</v>
      </c>
      <c r="AA49" s="46">
        <v>10</v>
      </c>
      <c r="AB49" s="46">
        <v>10</v>
      </c>
      <c r="AH49" s="46">
        <v>1</v>
      </c>
      <c r="AI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Z49" s="46">
        <v>1</v>
      </c>
      <c r="CC49" s="46">
        <v>1</v>
      </c>
      <c r="CI49" s="46">
        <v>1</v>
      </c>
      <c r="CU49" s="139">
        <v>46481</v>
      </c>
    </row>
    <row r="50" spans="1:99">
      <c r="A50" s="46" t="s">
        <v>1613</v>
      </c>
      <c r="B50" s="46" t="s">
        <v>1088</v>
      </c>
      <c r="C50" s="46">
        <v>22</v>
      </c>
      <c r="D50" s="46" t="s">
        <v>1738</v>
      </c>
      <c r="E50" s="46" t="s">
        <v>2570</v>
      </c>
      <c r="F50" s="46" t="s">
        <v>2484</v>
      </c>
      <c r="I50" s="46">
        <v>1</v>
      </c>
      <c r="M50" s="46">
        <v>1</v>
      </c>
      <c r="R50" s="46">
        <v>1</v>
      </c>
      <c r="U50" s="46">
        <v>1</v>
      </c>
      <c r="W50" s="46">
        <v>16</v>
      </c>
      <c r="X50" s="46">
        <v>17</v>
      </c>
      <c r="Y50" s="46">
        <v>20</v>
      </c>
      <c r="Z50" s="46">
        <v>1</v>
      </c>
      <c r="AA50" s="46">
        <v>1</v>
      </c>
      <c r="AB50" s="46">
        <v>1</v>
      </c>
      <c r="AH50" s="46">
        <v>1</v>
      </c>
      <c r="AJ50" s="46">
        <v>1</v>
      </c>
      <c r="AK50" s="46">
        <v>1</v>
      </c>
      <c r="AT50" s="46">
        <v>1</v>
      </c>
      <c r="AW50" s="46">
        <v>1</v>
      </c>
      <c r="BA50" s="46">
        <v>1</v>
      </c>
      <c r="BI50" s="46">
        <v>1</v>
      </c>
      <c r="BZ50" s="46">
        <v>1</v>
      </c>
      <c r="CC50" s="46">
        <v>1</v>
      </c>
      <c r="CI50" s="46">
        <v>1</v>
      </c>
      <c r="CU50" s="139">
        <v>46481</v>
      </c>
    </row>
    <row r="51" spans="1:99">
      <c r="A51" s="46" t="s">
        <v>2571</v>
      </c>
      <c r="B51" s="46" t="s">
        <v>2572</v>
      </c>
      <c r="C51" s="46">
        <v>38</v>
      </c>
      <c r="D51" s="46" t="s">
        <v>2497</v>
      </c>
      <c r="E51" s="46" t="s">
        <v>2573</v>
      </c>
      <c r="F51" s="46" t="s">
        <v>2574</v>
      </c>
      <c r="H51" s="46">
        <v>1</v>
      </c>
      <c r="M51" s="46">
        <v>1</v>
      </c>
      <c r="Q51" s="46">
        <v>1</v>
      </c>
      <c r="T51" s="46">
        <v>1</v>
      </c>
      <c r="W51" s="46">
        <v>13</v>
      </c>
      <c r="X51" s="46">
        <v>15</v>
      </c>
      <c r="Y51" s="46">
        <v>18</v>
      </c>
      <c r="Z51" s="46">
        <v>9</v>
      </c>
      <c r="AA51" s="46">
        <v>8</v>
      </c>
      <c r="AB51" s="46">
        <v>8</v>
      </c>
      <c r="AH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Z51" s="46">
        <v>1</v>
      </c>
      <c r="CC51" s="46">
        <v>1</v>
      </c>
      <c r="CI51" s="46">
        <v>1</v>
      </c>
      <c r="CU51" s="139">
        <v>46481</v>
      </c>
    </row>
    <row r="52" spans="1:99">
      <c r="A52" s="46" t="s">
        <v>1618</v>
      </c>
      <c r="B52" s="46" t="s">
        <v>2575</v>
      </c>
      <c r="C52" s="46">
        <v>51</v>
      </c>
      <c r="D52" s="46" t="s">
        <v>2576</v>
      </c>
      <c r="E52" s="46" t="s">
        <v>191</v>
      </c>
      <c r="F52" s="46" t="s">
        <v>2484</v>
      </c>
      <c r="H52" s="46">
        <v>1</v>
      </c>
      <c r="M52" s="46">
        <v>1</v>
      </c>
      <c r="Q52" s="46">
        <v>1</v>
      </c>
      <c r="T52" s="46">
        <v>1</v>
      </c>
      <c r="W52" s="46">
        <v>15</v>
      </c>
      <c r="X52" s="46">
        <v>18</v>
      </c>
      <c r="Y52" s="46">
        <v>20</v>
      </c>
      <c r="Z52" s="46">
        <v>14</v>
      </c>
      <c r="AA52" s="46">
        <v>14</v>
      </c>
      <c r="AB52" s="46">
        <v>9</v>
      </c>
      <c r="AE52" s="46">
        <v>1</v>
      </c>
      <c r="AG52" s="46">
        <v>1</v>
      </c>
      <c r="AH52" s="46">
        <v>1</v>
      </c>
      <c r="AJ52" s="46">
        <v>1</v>
      </c>
      <c r="AM52" s="46">
        <v>1</v>
      </c>
      <c r="AT52" s="46">
        <v>1</v>
      </c>
      <c r="AW52" s="46">
        <v>1</v>
      </c>
      <c r="BA52" s="46">
        <v>1</v>
      </c>
      <c r="BJ52" s="46">
        <v>1</v>
      </c>
      <c r="BW52" s="46">
        <v>1</v>
      </c>
      <c r="BZ52" s="46">
        <v>1</v>
      </c>
      <c r="CC52" s="46">
        <v>1</v>
      </c>
      <c r="CI52" s="46">
        <v>1</v>
      </c>
      <c r="CU52" s="139">
        <v>46481</v>
      </c>
    </row>
    <row r="53" spans="1:99">
      <c r="A53" s="46" t="s">
        <v>1620</v>
      </c>
      <c r="B53" s="46" t="s">
        <v>2577</v>
      </c>
      <c r="C53" s="46">
        <v>47</v>
      </c>
      <c r="D53" s="46" t="s">
        <v>1192</v>
      </c>
      <c r="E53" s="46" t="s">
        <v>2578</v>
      </c>
      <c r="F53" s="46" t="s">
        <v>2484</v>
      </c>
      <c r="H53" s="46">
        <v>1</v>
      </c>
      <c r="M53" s="46">
        <v>1</v>
      </c>
      <c r="R53" s="46">
        <v>1</v>
      </c>
      <c r="T53" s="46">
        <v>1</v>
      </c>
      <c r="W53" s="46">
        <v>14</v>
      </c>
      <c r="X53" s="46">
        <v>16</v>
      </c>
      <c r="Y53" s="46">
        <v>17</v>
      </c>
      <c r="Z53" s="46">
        <v>8</v>
      </c>
      <c r="AA53" s="46">
        <v>8</v>
      </c>
      <c r="AB53" s="46">
        <v>7</v>
      </c>
      <c r="AE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Z53" s="46">
        <v>1</v>
      </c>
      <c r="CC53" s="46">
        <v>1</v>
      </c>
      <c r="CI53" s="46">
        <v>1</v>
      </c>
      <c r="CU53" s="139">
        <v>46481</v>
      </c>
    </row>
    <row r="54" spans="1:99">
      <c r="A54" s="46" t="s">
        <v>1623</v>
      </c>
      <c r="B54" s="46" t="s">
        <v>2579</v>
      </c>
      <c r="C54" s="46">
        <v>46</v>
      </c>
      <c r="D54" s="46" t="s">
        <v>2508</v>
      </c>
      <c r="E54" s="46" t="s">
        <v>2580</v>
      </c>
      <c r="F54" s="46" t="s">
        <v>2472</v>
      </c>
      <c r="G54" s="46">
        <v>1</v>
      </c>
      <c r="O54" s="46">
        <v>1</v>
      </c>
      <c r="R54" s="46">
        <v>1</v>
      </c>
      <c r="U54" s="46">
        <v>1</v>
      </c>
      <c r="W54" s="46">
        <v>15</v>
      </c>
      <c r="X54" s="46">
        <v>16</v>
      </c>
      <c r="Y54" s="46">
        <v>16</v>
      </c>
      <c r="Z54" s="46">
        <v>5</v>
      </c>
      <c r="AA54" s="46">
        <v>5</v>
      </c>
      <c r="AB54" s="46">
        <v>5</v>
      </c>
      <c r="AH54" s="46">
        <v>1</v>
      </c>
      <c r="AJ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Z54" s="46">
        <v>1</v>
      </c>
      <c r="CC54" s="46">
        <v>1</v>
      </c>
      <c r="CI54" s="46">
        <v>1</v>
      </c>
      <c r="CU54" s="139">
        <v>46481</v>
      </c>
    </row>
    <row r="55" spans="1:99">
      <c r="A55" s="46" t="s">
        <v>1627</v>
      </c>
      <c r="B55" s="46" t="s">
        <v>2581</v>
      </c>
      <c r="C55" s="46">
        <v>40</v>
      </c>
      <c r="D55" s="46" t="s">
        <v>2497</v>
      </c>
      <c r="E55" s="46" t="s">
        <v>191</v>
      </c>
      <c r="F55" s="46" t="s">
        <v>2472</v>
      </c>
      <c r="I55" s="46">
        <v>1</v>
      </c>
      <c r="M55" s="46">
        <v>1</v>
      </c>
      <c r="Q55" s="46">
        <v>1</v>
      </c>
      <c r="S55" s="46">
        <v>1</v>
      </c>
      <c r="W55" s="46">
        <v>20</v>
      </c>
      <c r="X55" s="46">
        <v>20</v>
      </c>
      <c r="Y55" s="46">
        <v>20</v>
      </c>
      <c r="Z55" s="46">
        <v>11</v>
      </c>
      <c r="AA55" s="46">
        <v>11</v>
      </c>
      <c r="AB55" s="46">
        <v>9</v>
      </c>
      <c r="AC55" s="46">
        <v>1</v>
      </c>
      <c r="AM55" s="46">
        <v>1</v>
      </c>
      <c r="AT55" s="46">
        <v>1</v>
      </c>
      <c r="AW55" s="46">
        <v>1</v>
      </c>
      <c r="BA55" s="46">
        <v>1</v>
      </c>
      <c r="BI55" s="46">
        <v>1</v>
      </c>
      <c r="BZ55" s="46">
        <v>1</v>
      </c>
      <c r="CC55" s="46">
        <v>1</v>
      </c>
      <c r="CI55" s="46">
        <v>1</v>
      </c>
      <c r="CU55" s="139">
        <v>46481</v>
      </c>
    </row>
    <row r="56" spans="1:99">
      <c r="A56" s="46" t="s">
        <v>1630</v>
      </c>
      <c r="B56" s="46" t="s">
        <v>2582</v>
      </c>
      <c r="C56" s="46">
        <v>64</v>
      </c>
      <c r="D56" s="46" t="s">
        <v>2475</v>
      </c>
      <c r="E56" s="46" t="s">
        <v>191</v>
      </c>
      <c r="F56" s="46" t="s">
        <v>2472</v>
      </c>
      <c r="H56" s="46">
        <v>1</v>
      </c>
      <c r="M56" s="46">
        <v>1</v>
      </c>
      <c r="Q56" s="46">
        <v>1</v>
      </c>
      <c r="W56" s="46">
        <v>17</v>
      </c>
      <c r="X56" s="46">
        <v>14</v>
      </c>
      <c r="Y56" s="46">
        <v>18</v>
      </c>
      <c r="Z56" s="46">
        <v>12</v>
      </c>
      <c r="AA56" s="46">
        <v>10</v>
      </c>
      <c r="AB56" s="46">
        <v>9</v>
      </c>
      <c r="AC56" s="46">
        <v>1</v>
      </c>
      <c r="AI56" s="46">
        <v>1</v>
      </c>
      <c r="AK56" s="46">
        <v>1</v>
      </c>
      <c r="AT56" s="46">
        <v>1</v>
      </c>
      <c r="AW56" s="46">
        <v>1</v>
      </c>
      <c r="BB56" s="46">
        <v>1</v>
      </c>
      <c r="BF56" s="46">
        <v>1</v>
      </c>
      <c r="BI56" s="46">
        <v>1</v>
      </c>
      <c r="BZ56" s="46">
        <v>1</v>
      </c>
      <c r="CC56" s="46">
        <v>1</v>
      </c>
      <c r="CI56" s="46">
        <v>1</v>
      </c>
      <c r="CU56" s="139">
        <v>46481</v>
      </c>
    </row>
    <row r="57" spans="1:99">
      <c r="A57" s="46" t="s">
        <v>1640</v>
      </c>
      <c r="B57" s="46" t="s">
        <v>2583</v>
      </c>
      <c r="C57" s="46">
        <v>40</v>
      </c>
      <c r="D57" s="46" t="s">
        <v>2497</v>
      </c>
      <c r="E57" s="46" t="s">
        <v>191</v>
      </c>
      <c r="F57" s="46" t="s">
        <v>2472</v>
      </c>
      <c r="H57" s="46">
        <v>1</v>
      </c>
      <c r="M57" s="46">
        <v>1</v>
      </c>
      <c r="R57" s="46">
        <v>1</v>
      </c>
      <c r="T57" s="46">
        <v>1</v>
      </c>
      <c r="W57" s="46">
        <v>14</v>
      </c>
      <c r="X57" s="46">
        <v>16</v>
      </c>
      <c r="Y57" s="46">
        <v>16</v>
      </c>
      <c r="Z57" s="46">
        <v>11</v>
      </c>
      <c r="AA57" s="46">
        <v>9</v>
      </c>
      <c r="AB57" s="46">
        <v>8</v>
      </c>
      <c r="AH57" s="46">
        <v>1</v>
      </c>
      <c r="AJ57" s="46">
        <v>1</v>
      </c>
      <c r="AM57" s="46">
        <v>1</v>
      </c>
      <c r="AT57" s="46">
        <v>1</v>
      </c>
      <c r="AW57" s="46">
        <v>1</v>
      </c>
      <c r="BA57" s="46">
        <v>1</v>
      </c>
      <c r="BI57" s="46">
        <v>1</v>
      </c>
      <c r="BZ57" s="46">
        <v>1</v>
      </c>
      <c r="CC57" s="46">
        <v>1</v>
      </c>
      <c r="CI57" s="46">
        <v>1</v>
      </c>
      <c r="CU57" s="139">
        <v>46481</v>
      </c>
    </row>
    <row r="58" spans="1:99">
      <c r="A58" s="46" t="s">
        <v>1644</v>
      </c>
      <c r="B58" s="46" t="s">
        <v>2584</v>
      </c>
      <c r="C58" s="46">
        <v>23</v>
      </c>
      <c r="D58" s="46" t="s">
        <v>2479</v>
      </c>
      <c r="E58" s="46" t="s">
        <v>2585</v>
      </c>
      <c r="F58" s="46" t="s">
        <v>2472</v>
      </c>
      <c r="H58" s="46">
        <v>1</v>
      </c>
      <c r="M58" s="46">
        <v>1</v>
      </c>
      <c r="R58" s="46">
        <v>1</v>
      </c>
      <c r="U58" s="46">
        <v>1</v>
      </c>
      <c r="W58" s="46">
        <v>17</v>
      </c>
      <c r="X58" s="46">
        <v>21</v>
      </c>
      <c r="Y58" s="46">
        <v>22</v>
      </c>
      <c r="Z58" s="46">
        <v>1</v>
      </c>
      <c r="AA58" s="46">
        <v>1</v>
      </c>
      <c r="AB58" s="46">
        <v>1</v>
      </c>
      <c r="AH58" s="46">
        <v>1</v>
      </c>
      <c r="AJ58" s="46">
        <v>1</v>
      </c>
      <c r="AK58" s="46">
        <v>1</v>
      </c>
      <c r="AT58" s="46">
        <v>1</v>
      </c>
      <c r="AW58" s="46">
        <v>1</v>
      </c>
      <c r="BA58" s="46">
        <v>1</v>
      </c>
      <c r="BI58" s="46">
        <v>1</v>
      </c>
      <c r="BZ58" s="46">
        <v>1</v>
      </c>
      <c r="CC58" s="46">
        <v>1</v>
      </c>
      <c r="CI58" s="46">
        <v>1</v>
      </c>
      <c r="CU58" s="139">
        <v>46481</v>
      </c>
    </row>
    <row r="59" spans="1:99">
      <c r="A59" s="46" t="s">
        <v>1648</v>
      </c>
      <c r="B59" s="46" t="s">
        <v>2586</v>
      </c>
      <c r="C59" s="46">
        <v>23</v>
      </c>
      <c r="D59" s="46" t="s">
        <v>2482</v>
      </c>
      <c r="E59" s="46" t="s">
        <v>2587</v>
      </c>
      <c r="F59" s="46" t="s">
        <v>2506</v>
      </c>
      <c r="H59" s="46">
        <v>1</v>
      </c>
      <c r="M59" s="46">
        <v>1</v>
      </c>
      <c r="Q59" s="46">
        <v>1</v>
      </c>
      <c r="T59" s="46">
        <v>1</v>
      </c>
      <c r="W59" s="46">
        <v>16</v>
      </c>
      <c r="X59" s="46">
        <v>20</v>
      </c>
      <c r="Y59" s="46">
        <v>22</v>
      </c>
      <c r="Z59" s="46">
        <v>1</v>
      </c>
      <c r="AA59" s="46">
        <v>1</v>
      </c>
      <c r="AB59" s="46">
        <v>1</v>
      </c>
      <c r="AH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I59" s="46">
        <v>1</v>
      </c>
      <c r="BZ59" s="46">
        <v>1</v>
      </c>
      <c r="CC59" s="46">
        <v>1</v>
      </c>
      <c r="CI59" s="46">
        <v>1</v>
      </c>
      <c r="CU59" s="139">
        <v>46481</v>
      </c>
    </row>
    <row r="60" spans="1:99">
      <c r="A60" s="46" t="s">
        <v>1652</v>
      </c>
      <c r="B60" s="46" t="s">
        <v>2588</v>
      </c>
      <c r="C60" s="46">
        <v>78</v>
      </c>
      <c r="D60" s="46" t="s">
        <v>1192</v>
      </c>
      <c r="E60" s="46" t="s">
        <v>2589</v>
      </c>
      <c r="F60" s="46" t="s">
        <v>2472</v>
      </c>
      <c r="G60" s="46">
        <v>1</v>
      </c>
      <c r="O60" s="46">
        <v>1</v>
      </c>
      <c r="R60" s="46">
        <v>1</v>
      </c>
      <c r="S60" s="46">
        <v>1</v>
      </c>
      <c r="W60" s="46">
        <v>20</v>
      </c>
      <c r="X60" s="46">
        <v>21</v>
      </c>
      <c r="Y60" s="46">
        <v>22</v>
      </c>
      <c r="Z60" s="46">
        <v>9</v>
      </c>
      <c r="AA60" s="46">
        <v>9</v>
      </c>
      <c r="AB60" s="46">
        <v>5</v>
      </c>
      <c r="AE60" s="46">
        <v>1</v>
      </c>
      <c r="AH60" s="46">
        <v>1</v>
      </c>
      <c r="AI60" s="46">
        <v>1</v>
      </c>
      <c r="AK60" s="46">
        <v>1</v>
      </c>
      <c r="AT60" s="46">
        <v>1</v>
      </c>
      <c r="AW60" s="46">
        <v>1</v>
      </c>
      <c r="BA60" s="46">
        <v>1</v>
      </c>
      <c r="BJ60" s="46">
        <v>1</v>
      </c>
      <c r="BZ60" s="46">
        <v>1</v>
      </c>
      <c r="CC60" s="46">
        <v>1</v>
      </c>
      <c r="CI60" s="46">
        <v>1</v>
      </c>
      <c r="CU60" s="139">
        <v>46481</v>
      </c>
    </row>
    <row r="61" spans="1:99">
      <c r="A61" s="46" t="s">
        <v>1655</v>
      </c>
      <c r="B61" s="46" t="s">
        <v>2590</v>
      </c>
      <c r="C61" s="46">
        <v>42</v>
      </c>
      <c r="D61" s="46" t="s">
        <v>2486</v>
      </c>
      <c r="E61" s="46" t="s">
        <v>2591</v>
      </c>
      <c r="F61" s="46" t="s">
        <v>2472</v>
      </c>
      <c r="H61" s="46">
        <v>1</v>
      </c>
      <c r="M61" s="46">
        <v>1</v>
      </c>
      <c r="Q61" s="46">
        <v>1</v>
      </c>
      <c r="T61" s="46">
        <v>1</v>
      </c>
      <c r="W61" s="46">
        <v>16</v>
      </c>
      <c r="X61" s="46">
        <v>18</v>
      </c>
      <c r="Y61" s="46">
        <v>19</v>
      </c>
      <c r="Z61" s="46">
        <v>8</v>
      </c>
      <c r="AA61" s="46">
        <v>7</v>
      </c>
      <c r="AB61" s="46">
        <v>6</v>
      </c>
      <c r="AH61" s="46">
        <v>1</v>
      </c>
      <c r="AJ61" s="46">
        <v>1</v>
      </c>
      <c r="AK61" s="46">
        <v>1</v>
      </c>
      <c r="AT61" s="46">
        <v>1</v>
      </c>
      <c r="AW61" s="46">
        <v>1</v>
      </c>
      <c r="BA61" s="46">
        <v>1</v>
      </c>
      <c r="BJ61" s="46">
        <v>1</v>
      </c>
      <c r="BZ61" s="46">
        <v>1</v>
      </c>
      <c r="CC61" s="46">
        <v>1</v>
      </c>
      <c r="CI61" s="46">
        <v>1</v>
      </c>
      <c r="CU61" s="139">
        <v>46481</v>
      </c>
    </row>
    <row r="62" spans="1:99">
      <c r="A62" s="46" t="s">
        <v>1658</v>
      </c>
      <c r="B62" s="46" t="s">
        <v>2592</v>
      </c>
      <c r="C62" s="46">
        <v>45</v>
      </c>
      <c r="D62" s="46" t="s">
        <v>2494</v>
      </c>
      <c r="E62" s="46" t="s">
        <v>191</v>
      </c>
      <c r="F62" s="46" t="s">
        <v>2561</v>
      </c>
      <c r="J62" s="46">
        <v>1</v>
      </c>
      <c r="M62" s="46">
        <v>1</v>
      </c>
      <c r="Q62" s="46">
        <v>1</v>
      </c>
      <c r="T62" s="46">
        <v>1</v>
      </c>
      <c r="W62" s="46">
        <v>15</v>
      </c>
      <c r="X62" s="46">
        <v>17</v>
      </c>
      <c r="Y62" s="46">
        <v>18</v>
      </c>
      <c r="Z62" s="46">
        <v>16</v>
      </c>
      <c r="AA62" s="46">
        <v>12</v>
      </c>
      <c r="AB62" s="46">
        <v>9</v>
      </c>
      <c r="AE62" s="46">
        <v>1</v>
      </c>
      <c r="AI62" s="46">
        <v>1</v>
      </c>
      <c r="AM62" s="46">
        <v>1</v>
      </c>
      <c r="AT62" s="46">
        <v>1</v>
      </c>
      <c r="AW62" s="46">
        <v>1</v>
      </c>
      <c r="BA62" s="46">
        <v>1</v>
      </c>
      <c r="BJ62" s="46">
        <v>1</v>
      </c>
      <c r="BW62" s="46">
        <v>1</v>
      </c>
      <c r="BZ62" s="46">
        <v>1</v>
      </c>
      <c r="CC62" s="46">
        <v>1</v>
      </c>
      <c r="CI62" s="46">
        <v>1</v>
      </c>
      <c r="CU62" s="139">
        <v>46481</v>
      </c>
    </row>
    <row r="63" spans="1:99">
      <c r="A63" s="46" t="s">
        <v>1661</v>
      </c>
      <c r="B63" s="46" t="s">
        <v>2593</v>
      </c>
      <c r="C63" s="46">
        <v>60</v>
      </c>
      <c r="D63" s="46" t="s">
        <v>923</v>
      </c>
      <c r="E63" s="46" t="s">
        <v>2594</v>
      </c>
      <c r="F63" s="46" t="s">
        <v>2484</v>
      </c>
      <c r="H63" s="46">
        <v>1</v>
      </c>
      <c r="M63" s="46">
        <v>1</v>
      </c>
      <c r="R63" s="46">
        <v>1</v>
      </c>
      <c r="T63" s="46">
        <v>1</v>
      </c>
      <c r="W63" s="46">
        <v>16</v>
      </c>
      <c r="X63" s="46">
        <v>18</v>
      </c>
      <c r="Y63" s="46">
        <v>20</v>
      </c>
      <c r="Z63" s="46">
        <v>10</v>
      </c>
      <c r="AA63" s="46">
        <v>10</v>
      </c>
      <c r="AB63" s="46">
        <v>6</v>
      </c>
      <c r="AE63" s="46">
        <v>1</v>
      </c>
      <c r="AG63" s="46">
        <v>1</v>
      </c>
      <c r="AH63" s="46">
        <v>1</v>
      </c>
      <c r="AJ63" s="46">
        <v>1</v>
      </c>
      <c r="AK63" s="46">
        <v>1</v>
      </c>
      <c r="AT63" s="46">
        <v>1</v>
      </c>
      <c r="AW63" s="46">
        <v>1</v>
      </c>
      <c r="BA63" s="46">
        <v>1</v>
      </c>
      <c r="BJ63" s="46">
        <v>1</v>
      </c>
      <c r="BX63" s="46" t="s">
        <v>2595</v>
      </c>
      <c r="BZ63" s="46">
        <v>1</v>
      </c>
      <c r="CC63" s="46">
        <v>1</v>
      </c>
      <c r="CI63" s="46">
        <v>1</v>
      </c>
      <c r="CU63" s="139">
        <v>46481</v>
      </c>
    </row>
    <row r="64" spans="1:99">
      <c r="A64" s="46" t="s">
        <v>1664</v>
      </c>
      <c r="B64" s="46" t="s">
        <v>2596</v>
      </c>
      <c r="C64" s="46">
        <v>28</v>
      </c>
      <c r="D64" s="46" t="s">
        <v>2514</v>
      </c>
      <c r="E64" s="46" t="s">
        <v>2597</v>
      </c>
      <c r="F64" s="46" t="s">
        <v>2484</v>
      </c>
      <c r="G64" s="46">
        <v>1</v>
      </c>
      <c r="M64" s="46">
        <v>1</v>
      </c>
      <c r="Q64" s="46">
        <v>1</v>
      </c>
      <c r="T64" s="46">
        <v>1</v>
      </c>
      <c r="W64" s="46">
        <v>14</v>
      </c>
      <c r="X64" s="46">
        <v>15</v>
      </c>
      <c r="Y64" s="46">
        <v>18</v>
      </c>
      <c r="Z64" s="46">
        <v>6</v>
      </c>
      <c r="AA64" s="46">
        <v>6</v>
      </c>
      <c r="AB64" s="46">
        <v>6</v>
      </c>
      <c r="AC64" s="46">
        <v>1</v>
      </c>
      <c r="AK64" s="46">
        <v>1</v>
      </c>
      <c r="AT64" s="46">
        <v>1</v>
      </c>
      <c r="AW64" s="46">
        <v>1</v>
      </c>
      <c r="BA64" s="46">
        <v>1</v>
      </c>
      <c r="BI64" s="46">
        <v>1</v>
      </c>
      <c r="BW64" s="46">
        <v>1</v>
      </c>
      <c r="BZ64" s="46">
        <v>1</v>
      </c>
      <c r="CC64" s="46">
        <v>1</v>
      </c>
      <c r="CI64" s="46">
        <v>1</v>
      </c>
      <c r="CU64" s="139">
        <v>46481</v>
      </c>
    </row>
    <row r="65" spans="36:37">
      <c r="AJ65" s="46">
        <v>1</v>
      </c>
      <c r="AK65" s="46">
        <v>1</v>
      </c>
    </row>
  </sheetData>
  <autoFilter ref="A3:CU65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8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504" t="s">
        <v>356</v>
      </c>
      <c r="AE1" s="480"/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368</v>
      </c>
      <c r="AA2" s="66" t="s">
        <v>98</v>
      </c>
      <c r="AB2" s="67" t="s">
        <v>362</v>
      </c>
      <c r="AC2" s="66" t="s">
        <v>369</v>
      </c>
      <c r="AD2" s="64" t="s">
        <v>365</v>
      </c>
      <c r="AE2" s="141" t="s">
        <v>2598</v>
      </c>
    </row>
    <row r="3" spans="1:31">
      <c r="A3" s="74" t="s">
        <v>2599</v>
      </c>
      <c r="B3" s="69">
        <v>12</v>
      </c>
      <c r="C3" s="69">
        <v>0</v>
      </c>
      <c r="D3" s="69">
        <v>3</v>
      </c>
      <c r="E3" s="69">
        <f>SUM(B3:D3)</f>
        <v>15</v>
      </c>
      <c r="F3" s="70">
        <v>1</v>
      </c>
      <c r="G3" s="70">
        <v>13</v>
      </c>
      <c r="H3" s="70">
        <v>0</v>
      </c>
      <c r="I3" s="71">
        <f t="shared" ref="I3:I8" si="0">SUM(F3:H3)</f>
        <v>14</v>
      </c>
      <c r="J3" s="70">
        <v>0</v>
      </c>
      <c r="K3" s="70">
        <v>0</v>
      </c>
      <c r="L3" s="70">
        <v>0</v>
      </c>
      <c r="M3" s="70">
        <v>1</v>
      </c>
      <c r="N3" s="71">
        <f t="shared" ref="N3:N8" si="1">SUM(J3:M3)</f>
        <v>1</v>
      </c>
      <c r="O3" s="70">
        <v>1</v>
      </c>
      <c r="P3" s="70">
        <v>0</v>
      </c>
      <c r="Q3" s="70">
        <v>5</v>
      </c>
      <c r="R3" s="71">
        <f>SUM(O3:Q3)</f>
        <v>6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3">
        <v>14</v>
      </c>
      <c r="Z3" s="73">
        <v>1</v>
      </c>
      <c r="AA3" s="73">
        <v>0</v>
      </c>
      <c r="AB3" s="73">
        <v>0</v>
      </c>
      <c r="AC3" s="73">
        <f>SUM(Y3:AB3)</f>
        <v>15</v>
      </c>
      <c r="AD3" s="73">
        <v>0</v>
      </c>
      <c r="AE3" s="73">
        <v>1</v>
      </c>
    </row>
    <row r="4" spans="1:31">
      <c r="A4" s="77" t="s">
        <v>2600</v>
      </c>
      <c r="B4" s="69">
        <v>12</v>
      </c>
      <c r="C4" s="69"/>
      <c r="D4" s="69">
        <v>4</v>
      </c>
      <c r="E4" s="69">
        <f>SUM(B4:D4)</f>
        <v>16</v>
      </c>
      <c r="F4" s="70">
        <v>1</v>
      </c>
      <c r="G4" s="70">
        <v>14</v>
      </c>
      <c r="H4" s="70"/>
      <c r="I4" s="71">
        <f t="shared" si="0"/>
        <v>15</v>
      </c>
      <c r="J4" s="70">
        <v>0</v>
      </c>
      <c r="K4" s="70">
        <v>1</v>
      </c>
      <c r="L4" s="70">
        <v>0</v>
      </c>
      <c r="M4" s="70">
        <v>0</v>
      </c>
      <c r="N4" s="71">
        <f t="shared" si="1"/>
        <v>1</v>
      </c>
      <c r="O4" s="70">
        <v>1</v>
      </c>
      <c r="P4" s="70">
        <v>0</v>
      </c>
      <c r="Q4" s="70">
        <v>4</v>
      </c>
      <c r="R4" s="71">
        <f>SUM(O4:Q4)</f>
        <v>5</v>
      </c>
      <c r="S4" s="75">
        <v>0</v>
      </c>
      <c r="T4" s="75">
        <v>0</v>
      </c>
      <c r="U4" s="75">
        <v>1</v>
      </c>
      <c r="V4" s="75">
        <v>0</v>
      </c>
      <c r="W4" s="75">
        <v>0</v>
      </c>
      <c r="X4" s="75">
        <v>0</v>
      </c>
      <c r="Y4" s="73">
        <v>16</v>
      </c>
      <c r="Z4" s="73">
        <v>0</v>
      </c>
      <c r="AA4" s="73">
        <v>0</v>
      </c>
      <c r="AB4" s="73">
        <v>0</v>
      </c>
      <c r="AC4" s="73">
        <f>SUM(Y4:AB4)</f>
        <v>16</v>
      </c>
      <c r="AD4" s="73">
        <v>0</v>
      </c>
      <c r="AE4" s="73">
        <v>0</v>
      </c>
    </row>
    <row r="5" spans="1:31">
      <c r="A5" s="77" t="s">
        <v>2601</v>
      </c>
      <c r="B5" s="69">
        <v>11</v>
      </c>
      <c r="C5" s="69">
        <v>0</v>
      </c>
      <c r="D5" s="69">
        <v>6</v>
      </c>
      <c r="E5" s="69">
        <f>SUM(B5:D5)</f>
        <v>17</v>
      </c>
      <c r="F5" s="70">
        <v>1</v>
      </c>
      <c r="G5" s="70">
        <v>10</v>
      </c>
      <c r="H5" s="70">
        <v>0</v>
      </c>
      <c r="I5" s="71">
        <f t="shared" si="0"/>
        <v>11</v>
      </c>
      <c r="J5" s="70">
        <v>7</v>
      </c>
      <c r="K5" s="70">
        <v>0</v>
      </c>
      <c r="L5" s="70">
        <v>0</v>
      </c>
      <c r="M5" s="70">
        <v>0</v>
      </c>
      <c r="N5" s="71">
        <f t="shared" si="1"/>
        <v>7</v>
      </c>
      <c r="O5" s="70">
        <v>1</v>
      </c>
      <c r="P5" s="70">
        <v>0</v>
      </c>
      <c r="Q5" s="70">
        <v>6</v>
      </c>
      <c r="R5" s="71">
        <f>SUM(O5:Q5)</f>
        <v>7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16</v>
      </c>
      <c r="Z5" s="73">
        <v>0</v>
      </c>
      <c r="AA5" s="73">
        <v>0</v>
      </c>
      <c r="AB5" s="73">
        <v>0</v>
      </c>
      <c r="AC5" s="73">
        <f>SUM(Y5:AB5)</f>
        <v>16</v>
      </c>
      <c r="AD5" s="73">
        <v>0</v>
      </c>
      <c r="AE5" s="73">
        <v>0</v>
      </c>
    </row>
    <row r="6" spans="1:31">
      <c r="A6" s="77" t="s">
        <v>2602</v>
      </c>
      <c r="B6" s="69">
        <v>6</v>
      </c>
      <c r="C6" s="69">
        <v>0</v>
      </c>
      <c r="D6" s="69">
        <v>1</v>
      </c>
      <c r="E6" s="69">
        <f>SUM(B6:D6)</f>
        <v>7</v>
      </c>
      <c r="F6" s="70">
        <v>0</v>
      </c>
      <c r="G6" s="70">
        <v>2</v>
      </c>
      <c r="H6" s="70">
        <v>0</v>
      </c>
      <c r="I6" s="71">
        <f t="shared" si="0"/>
        <v>2</v>
      </c>
      <c r="J6" s="70">
        <v>5</v>
      </c>
      <c r="K6" s="70">
        <v>0</v>
      </c>
      <c r="L6" s="70">
        <v>0</v>
      </c>
      <c r="M6" s="70">
        <v>0</v>
      </c>
      <c r="N6" s="71">
        <f t="shared" si="1"/>
        <v>5</v>
      </c>
      <c r="O6" s="70">
        <v>0</v>
      </c>
      <c r="P6" s="70">
        <v>0</v>
      </c>
      <c r="Q6" s="70">
        <v>4</v>
      </c>
      <c r="R6" s="71">
        <f>SUM(O6:Q6)</f>
        <v>4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7</v>
      </c>
      <c r="Z6" s="73">
        <v>0</v>
      </c>
      <c r="AA6" s="73">
        <v>0</v>
      </c>
      <c r="AB6" s="73">
        <v>0</v>
      </c>
      <c r="AC6" s="73">
        <f>SUM(Y6:AB6)</f>
        <v>7</v>
      </c>
      <c r="AD6" s="73">
        <v>0</v>
      </c>
      <c r="AE6" s="73">
        <v>0</v>
      </c>
    </row>
    <row r="7" spans="1:31">
      <c r="A7" s="78" t="s">
        <v>2603</v>
      </c>
      <c r="B7" s="79">
        <v>5</v>
      </c>
      <c r="C7" s="79">
        <v>0</v>
      </c>
      <c r="D7" s="79">
        <v>1</v>
      </c>
      <c r="E7" s="69">
        <f>SUM(B7:D7)</f>
        <v>6</v>
      </c>
      <c r="F7" s="80">
        <v>0</v>
      </c>
      <c r="G7" s="80">
        <v>1</v>
      </c>
      <c r="H7" s="80">
        <v>0</v>
      </c>
      <c r="I7" s="71">
        <f t="shared" si="0"/>
        <v>1</v>
      </c>
      <c r="J7" s="80">
        <v>4</v>
      </c>
      <c r="K7" s="80">
        <v>0</v>
      </c>
      <c r="L7" s="80">
        <v>0</v>
      </c>
      <c r="M7" s="80">
        <v>1</v>
      </c>
      <c r="N7" s="71">
        <f t="shared" si="1"/>
        <v>5</v>
      </c>
      <c r="O7" s="80">
        <v>0</v>
      </c>
      <c r="P7" s="80">
        <v>0</v>
      </c>
      <c r="Q7" s="80">
        <v>3</v>
      </c>
      <c r="R7" s="71">
        <f>SUM(O7:Q7)</f>
        <v>3</v>
      </c>
      <c r="S7" s="80">
        <v>0</v>
      </c>
      <c r="T7" s="80">
        <v>0</v>
      </c>
      <c r="U7" s="80">
        <v>0</v>
      </c>
      <c r="V7" s="80">
        <v>0</v>
      </c>
      <c r="W7" s="80"/>
      <c r="X7" s="81"/>
      <c r="Y7" s="82"/>
      <c r="Z7" s="82"/>
      <c r="AA7" s="82"/>
      <c r="AB7" s="82"/>
      <c r="AC7" s="73">
        <f>SUM(Y7:AB7)</f>
        <v>0</v>
      </c>
      <c r="AD7" s="82">
        <v>0</v>
      </c>
      <c r="AE7" s="82">
        <v>0</v>
      </c>
    </row>
    <row r="8" spans="1:31">
      <c r="A8" s="69" t="s">
        <v>376</v>
      </c>
      <c r="B8" s="69">
        <f t="shared" ref="B8:H8" si="2">SUM(B3:B7)</f>
        <v>46</v>
      </c>
      <c r="C8" s="69">
        <f t="shared" si="2"/>
        <v>0</v>
      </c>
      <c r="D8" s="69">
        <f t="shared" si="2"/>
        <v>15</v>
      </c>
      <c r="E8" s="69">
        <f t="shared" si="2"/>
        <v>61</v>
      </c>
      <c r="F8" s="69">
        <f t="shared" si="2"/>
        <v>3</v>
      </c>
      <c r="G8" s="69">
        <f t="shared" si="2"/>
        <v>40</v>
      </c>
      <c r="H8" s="69">
        <f t="shared" si="2"/>
        <v>0</v>
      </c>
      <c r="I8" s="71">
        <f t="shared" si="0"/>
        <v>43</v>
      </c>
      <c r="J8" s="114">
        <f>SUM(J3:J7)</f>
        <v>16</v>
      </c>
      <c r="K8" s="114">
        <f>SUM(K3:K7)</f>
        <v>1</v>
      </c>
      <c r="L8" s="114">
        <f>SUM(L3:L7)</f>
        <v>0</v>
      </c>
      <c r="M8" s="114">
        <f>SUM(M3:M7)</f>
        <v>2</v>
      </c>
      <c r="N8" s="71">
        <f t="shared" si="1"/>
        <v>19</v>
      </c>
      <c r="O8" s="114">
        <f t="shared" ref="O8:AC8" si="3">SUM(O3:O7)</f>
        <v>3</v>
      </c>
      <c r="P8" s="114">
        <f t="shared" si="3"/>
        <v>0</v>
      </c>
      <c r="Q8" s="114">
        <f t="shared" si="3"/>
        <v>22</v>
      </c>
      <c r="R8" s="71">
        <f t="shared" si="3"/>
        <v>25</v>
      </c>
      <c r="S8" s="114">
        <f t="shared" si="3"/>
        <v>0</v>
      </c>
      <c r="T8" s="114">
        <f t="shared" si="3"/>
        <v>0</v>
      </c>
      <c r="U8" s="114">
        <f t="shared" si="3"/>
        <v>1</v>
      </c>
      <c r="V8" s="114">
        <f t="shared" si="3"/>
        <v>0</v>
      </c>
      <c r="W8" s="114">
        <f t="shared" si="3"/>
        <v>0</v>
      </c>
      <c r="X8" s="114">
        <f t="shared" si="3"/>
        <v>0</v>
      </c>
      <c r="Y8" s="73">
        <f t="shared" si="3"/>
        <v>53</v>
      </c>
      <c r="Z8" s="73">
        <f t="shared" si="3"/>
        <v>1</v>
      </c>
      <c r="AA8" s="73">
        <f t="shared" si="3"/>
        <v>0</v>
      </c>
      <c r="AB8" s="73">
        <f t="shared" si="3"/>
        <v>0</v>
      </c>
      <c r="AC8" s="73">
        <f t="shared" si="3"/>
        <v>54</v>
      </c>
      <c r="AD8" s="73">
        <v>0</v>
      </c>
      <c r="AE8" s="73">
        <v>0</v>
      </c>
    </row>
  </sheetData>
  <mergeCells count="7">
    <mergeCell ref="Y1:AC1"/>
    <mergeCell ref="AD1:AE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4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14.42578125" defaultRowHeight="15" customHeight="1"/>
  <cols>
    <col min="1" max="1" width="10.28515625" customWidth="1"/>
    <col min="2" max="2" width="23" customWidth="1"/>
    <col min="3" max="3" width="10.140625" customWidth="1"/>
    <col min="5" max="5" width="17.28515625" customWidth="1"/>
  </cols>
  <sheetData>
    <row r="1" spans="1:99">
      <c r="A1" s="479" t="s">
        <v>2604</v>
      </c>
      <c r="B1" s="480"/>
      <c r="C1" s="479" t="s">
        <v>2605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30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 hidden="1">
      <c r="A4" s="46" t="s">
        <v>1667</v>
      </c>
      <c r="B4" s="46" t="s">
        <v>2606</v>
      </c>
      <c r="C4" s="46">
        <v>54</v>
      </c>
      <c r="D4" s="46" t="s">
        <v>2607</v>
      </c>
      <c r="E4" s="46" t="s">
        <v>2608</v>
      </c>
      <c r="F4" s="46" t="s">
        <v>2472</v>
      </c>
      <c r="H4" s="46">
        <v>1</v>
      </c>
      <c r="O4" s="46">
        <v>1</v>
      </c>
      <c r="R4" s="46">
        <v>1</v>
      </c>
      <c r="T4" s="46">
        <v>1</v>
      </c>
      <c r="W4" s="46">
        <v>13</v>
      </c>
      <c r="X4" s="46">
        <v>15</v>
      </c>
      <c r="Y4" s="46">
        <v>24</v>
      </c>
      <c r="Z4" s="46">
        <v>7</v>
      </c>
      <c r="AA4" s="46">
        <v>7</v>
      </c>
      <c r="AB4" s="46">
        <v>3</v>
      </c>
      <c r="AC4" s="46">
        <v>1</v>
      </c>
      <c r="AI4" s="46">
        <v>1</v>
      </c>
      <c r="AK4" s="46">
        <v>1</v>
      </c>
      <c r="AT4" s="46">
        <v>1</v>
      </c>
      <c r="AX4" s="46">
        <v>1</v>
      </c>
      <c r="BA4" s="46">
        <v>1</v>
      </c>
      <c r="BJ4" s="46">
        <v>1</v>
      </c>
      <c r="BZ4" s="46">
        <v>1</v>
      </c>
      <c r="CU4" s="139">
        <v>46511</v>
      </c>
    </row>
    <row r="5" spans="1:99" hidden="1">
      <c r="A5" s="46" t="s">
        <v>1670</v>
      </c>
      <c r="B5" s="46" t="s">
        <v>2609</v>
      </c>
      <c r="C5" s="46">
        <v>34</v>
      </c>
      <c r="D5" s="46" t="s">
        <v>2607</v>
      </c>
      <c r="E5" s="46" t="s">
        <v>2610</v>
      </c>
      <c r="F5" s="46" t="s">
        <v>2472</v>
      </c>
      <c r="J5" s="46">
        <v>1</v>
      </c>
      <c r="M5" s="46">
        <v>1</v>
      </c>
      <c r="Q5" s="46">
        <v>1</v>
      </c>
      <c r="T5" s="46">
        <v>1</v>
      </c>
      <c r="W5" s="46">
        <v>16</v>
      </c>
      <c r="X5" s="46">
        <v>18</v>
      </c>
      <c r="Y5" s="46">
        <v>19</v>
      </c>
      <c r="Z5" s="46">
        <v>3</v>
      </c>
      <c r="AA5" s="46">
        <v>3</v>
      </c>
      <c r="AB5" s="46">
        <v>3</v>
      </c>
      <c r="AE5" s="46">
        <v>1</v>
      </c>
      <c r="AG5" s="46">
        <v>1</v>
      </c>
      <c r="AI5" s="46">
        <v>1</v>
      </c>
      <c r="AK5" s="46">
        <v>1</v>
      </c>
      <c r="AT5" s="46">
        <v>1</v>
      </c>
      <c r="AX5" s="46">
        <v>1</v>
      </c>
      <c r="BA5" s="46">
        <v>1</v>
      </c>
      <c r="BI5" s="46">
        <v>1</v>
      </c>
      <c r="BZ5" s="46">
        <v>1</v>
      </c>
      <c r="CI5" s="46">
        <v>1</v>
      </c>
      <c r="CP5" s="46">
        <v>1</v>
      </c>
      <c r="CU5" s="139">
        <v>46511</v>
      </c>
    </row>
    <row r="6" spans="1:99" hidden="1">
      <c r="A6" s="46" t="s">
        <v>1673</v>
      </c>
      <c r="B6" s="46" t="s">
        <v>2611</v>
      </c>
      <c r="C6" s="46">
        <v>58</v>
      </c>
      <c r="D6" s="46" t="s">
        <v>2607</v>
      </c>
      <c r="E6" s="46" t="s">
        <v>2612</v>
      </c>
      <c r="F6" s="46" t="s">
        <v>2472</v>
      </c>
      <c r="J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16</v>
      </c>
      <c r="Y6" s="46">
        <v>16</v>
      </c>
      <c r="Z6" s="46">
        <v>10</v>
      </c>
      <c r="AA6" s="46">
        <v>9</v>
      </c>
      <c r="AB6" s="46">
        <v>7</v>
      </c>
      <c r="AH6" s="46">
        <v>1</v>
      </c>
      <c r="AJ6" s="46">
        <v>1</v>
      </c>
      <c r="AK6" s="46">
        <v>1</v>
      </c>
      <c r="AT6" s="46">
        <v>1</v>
      </c>
      <c r="AX6" s="46">
        <v>1</v>
      </c>
      <c r="BA6" s="46">
        <v>1</v>
      </c>
      <c r="BZ6" s="46">
        <v>1</v>
      </c>
      <c r="CI6" s="46">
        <v>1</v>
      </c>
      <c r="CP6" s="46">
        <v>1</v>
      </c>
      <c r="CU6" s="139">
        <v>46511</v>
      </c>
    </row>
    <row r="7" spans="1:99" hidden="1">
      <c r="A7" s="46" t="s">
        <v>1676</v>
      </c>
      <c r="B7" s="46" t="s">
        <v>758</v>
      </c>
      <c r="C7" s="46">
        <v>52</v>
      </c>
      <c r="D7" s="46" t="s">
        <v>2613</v>
      </c>
      <c r="E7" s="46" t="s">
        <v>2614</v>
      </c>
      <c r="F7" s="46" t="s">
        <v>2472</v>
      </c>
      <c r="I7" s="46">
        <v>1</v>
      </c>
      <c r="M7" s="46">
        <v>1</v>
      </c>
      <c r="R7" s="46">
        <v>1</v>
      </c>
      <c r="T7" s="46">
        <v>1</v>
      </c>
      <c r="W7" s="46">
        <v>18</v>
      </c>
      <c r="X7" s="46">
        <v>19</v>
      </c>
      <c r="Y7" s="46">
        <v>23</v>
      </c>
      <c r="Z7" s="46">
        <v>6</v>
      </c>
      <c r="AA7" s="46">
        <v>6</v>
      </c>
      <c r="AB7" s="46">
        <v>6</v>
      </c>
      <c r="AE7" s="46">
        <v>1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X7" s="46">
        <v>1</v>
      </c>
      <c r="BB7" s="46">
        <v>1</v>
      </c>
      <c r="BF7" s="46">
        <v>1</v>
      </c>
      <c r="BJ7" s="46">
        <v>1</v>
      </c>
      <c r="BZ7" s="46">
        <v>1</v>
      </c>
      <c r="CI7" s="46">
        <v>1</v>
      </c>
      <c r="CP7" s="46">
        <v>1</v>
      </c>
      <c r="CU7" s="139">
        <v>46511</v>
      </c>
    </row>
    <row r="8" spans="1:99" hidden="1">
      <c r="A8" s="46" t="s">
        <v>1680</v>
      </c>
      <c r="B8" s="46" t="s">
        <v>2615</v>
      </c>
      <c r="C8" s="46">
        <v>33</v>
      </c>
      <c r="D8" s="46" t="s">
        <v>2607</v>
      </c>
      <c r="E8" s="46" t="s">
        <v>2616</v>
      </c>
      <c r="F8" s="46" t="s">
        <v>2472</v>
      </c>
      <c r="J8" s="46">
        <v>1</v>
      </c>
      <c r="M8" s="46">
        <v>1</v>
      </c>
      <c r="R8" s="46">
        <v>1</v>
      </c>
      <c r="V8" s="46">
        <v>1</v>
      </c>
      <c r="W8" s="46">
        <v>15</v>
      </c>
      <c r="X8" s="46">
        <v>15</v>
      </c>
      <c r="Y8" s="46">
        <v>23</v>
      </c>
      <c r="Z8" s="46">
        <v>4</v>
      </c>
      <c r="AA8" s="46">
        <v>3</v>
      </c>
      <c r="AB8" s="46">
        <v>3</v>
      </c>
      <c r="AE8" s="46">
        <v>1</v>
      </c>
      <c r="AG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W8" s="46">
        <v>1</v>
      </c>
      <c r="BZ8" s="46">
        <v>1</v>
      </c>
      <c r="CI8" s="46">
        <v>1</v>
      </c>
      <c r="CP8" s="46">
        <v>1</v>
      </c>
      <c r="CU8" s="139">
        <v>46511</v>
      </c>
    </row>
    <row r="9" spans="1:99" hidden="1">
      <c r="A9" s="46" t="s">
        <v>1682</v>
      </c>
      <c r="B9" s="46" t="s">
        <v>2617</v>
      </c>
      <c r="C9" s="46">
        <v>23</v>
      </c>
      <c r="D9" s="46" t="s">
        <v>2607</v>
      </c>
      <c r="E9" s="46" t="s">
        <v>191</v>
      </c>
      <c r="F9" s="46" t="s">
        <v>2472</v>
      </c>
      <c r="G9" s="46">
        <v>1</v>
      </c>
      <c r="L9" s="46">
        <v>1</v>
      </c>
      <c r="Q9" s="46">
        <v>1</v>
      </c>
      <c r="T9" s="46">
        <v>1</v>
      </c>
      <c r="W9" s="46">
        <v>9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H9" s="46">
        <v>1</v>
      </c>
      <c r="AI9" s="46">
        <v>1</v>
      </c>
      <c r="AK9" s="46">
        <v>1</v>
      </c>
      <c r="AT9" s="46">
        <v>1</v>
      </c>
      <c r="AV9" s="46">
        <v>1</v>
      </c>
      <c r="BA9" s="46">
        <v>1</v>
      </c>
      <c r="BI9" s="46">
        <v>1</v>
      </c>
      <c r="BZ9" s="46">
        <v>1</v>
      </c>
      <c r="CI9" s="46">
        <v>1</v>
      </c>
      <c r="CP9" s="46">
        <v>1</v>
      </c>
      <c r="CU9" s="139">
        <v>46511</v>
      </c>
    </row>
    <row r="10" spans="1:99" hidden="1">
      <c r="A10" s="46" t="s">
        <v>1685</v>
      </c>
      <c r="B10" s="46" t="s">
        <v>2618</v>
      </c>
      <c r="C10" s="46">
        <v>21</v>
      </c>
      <c r="D10" s="46" t="s">
        <v>2607</v>
      </c>
      <c r="E10" s="46" t="s">
        <v>191</v>
      </c>
      <c r="F10" s="46" t="s">
        <v>2472</v>
      </c>
      <c r="J10" s="46">
        <v>1</v>
      </c>
      <c r="L10" s="46">
        <v>1</v>
      </c>
      <c r="Q10" s="46">
        <v>1</v>
      </c>
      <c r="V10" s="46">
        <v>1</v>
      </c>
      <c r="W10" s="46">
        <v>15</v>
      </c>
      <c r="X10" s="46">
        <v>18</v>
      </c>
      <c r="Y10" s="46">
        <v>0</v>
      </c>
      <c r="Z10" s="46">
        <v>0</v>
      </c>
      <c r="AA10" s="46">
        <v>0</v>
      </c>
      <c r="AB10" s="46">
        <v>0</v>
      </c>
      <c r="AC10" s="46">
        <v>1</v>
      </c>
      <c r="AI10" s="46">
        <v>1</v>
      </c>
      <c r="AM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I10" s="46">
        <v>1</v>
      </c>
      <c r="CP10" s="46">
        <v>1</v>
      </c>
      <c r="CU10" s="46" t="s">
        <v>2619</v>
      </c>
    </row>
    <row r="11" spans="1:99" hidden="1">
      <c r="A11" s="46" t="s">
        <v>1688</v>
      </c>
      <c r="B11" s="46" t="s">
        <v>2620</v>
      </c>
      <c r="C11" s="46">
        <v>40</v>
      </c>
      <c r="D11" s="46" t="s">
        <v>2607</v>
      </c>
      <c r="E11" s="46" t="s">
        <v>2621</v>
      </c>
      <c r="F11" s="46" t="s">
        <v>2472</v>
      </c>
      <c r="G11" s="46">
        <v>1</v>
      </c>
      <c r="M11" s="46">
        <v>1</v>
      </c>
      <c r="R11" s="46">
        <v>1</v>
      </c>
      <c r="T11" s="46">
        <v>1</v>
      </c>
      <c r="W11" s="46">
        <v>13</v>
      </c>
      <c r="X11" s="46">
        <v>13</v>
      </c>
      <c r="Y11" s="46">
        <v>17</v>
      </c>
      <c r="Z11" s="46">
        <v>12</v>
      </c>
      <c r="AA11" s="46">
        <v>9</v>
      </c>
      <c r="AB11" s="46">
        <v>9</v>
      </c>
      <c r="AC11" s="46">
        <v>1</v>
      </c>
      <c r="AJ11" s="46">
        <v>1</v>
      </c>
      <c r="AK11" s="46">
        <v>1</v>
      </c>
      <c r="AT11" s="46">
        <v>1</v>
      </c>
      <c r="AX11" s="46">
        <v>1</v>
      </c>
      <c r="BA11" s="46">
        <v>1</v>
      </c>
      <c r="BI11" s="46">
        <v>1</v>
      </c>
      <c r="BZ11" s="46">
        <v>1</v>
      </c>
      <c r="CP11" s="46">
        <v>1</v>
      </c>
      <c r="CU11" s="139">
        <v>46511</v>
      </c>
    </row>
    <row r="12" spans="1:99" hidden="1">
      <c r="A12" s="46" t="s">
        <v>1692</v>
      </c>
      <c r="B12" s="46" t="s">
        <v>2622</v>
      </c>
      <c r="C12" s="46">
        <v>50</v>
      </c>
      <c r="D12" s="46" t="s">
        <v>2607</v>
      </c>
      <c r="E12" s="46" t="s">
        <v>191</v>
      </c>
      <c r="F12" s="46" t="s">
        <v>2472</v>
      </c>
      <c r="G12" s="46">
        <v>1</v>
      </c>
      <c r="M12" s="46">
        <v>1</v>
      </c>
      <c r="Q12" s="46">
        <v>1</v>
      </c>
      <c r="T12" s="46">
        <v>1</v>
      </c>
      <c r="W12" s="46">
        <v>14</v>
      </c>
      <c r="X12" s="46">
        <v>14</v>
      </c>
      <c r="Y12" s="46">
        <v>14</v>
      </c>
      <c r="Z12" s="46">
        <v>9</v>
      </c>
      <c r="AA12" s="46">
        <v>9</v>
      </c>
      <c r="AB12" s="46">
        <v>9</v>
      </c>
      <c r="AE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M12" s="46">
        <v>1</v>
      </c>
      <c r="BO12" s="46" t="s">
        <v>2623</v>
      </c>
      <c r="BZ12" s="46">
        <v>1</v>
      </c>
      <c r="CP12" s="46">
        <v>1</v>
      </c>
      <c r="CU12" s="140">
        <v>45383</v>
      </c>
    </row>
    <row r="13" spans="1:99" hidden="1">
      <c r="A13" s="46" t="s">
        <v>1695</v>
      </c>
      <c r="B13" s="46" t="s">
        <v>2624</v>
      </c>
      <c r="C13" s="46">
        <v>23</v>
      </c>
      <c r="D13" s="46" t="s">
        <v>2625</v>
      </c>
      <c r="E13" s="46" t="s">
        <v>2626</v>
      </c>
      <c r="F13" s="46" t="s">
        <v>2574</v>
      </c>
      <c r="G13" s="46">
        <v>1</v>
      </c>
      <c r="M13" s="46">
        <v>1</v>
      </c>
      <c r="Q13" s="46">
        <v>1</v>
      </c>
      <c r="V13" s="46">
        <v>1</v>
      </c>
      <c r="W13" s="46">
        <v>14</v>
      </c>
      <c r="X13" s="46">
        <v>19</v>
      </c>
      <c r="Y13" s="46">
        <v>0</v>
      </c>
      <c r="Z13" s="46">
        <v>0</v>
      </c>
      <c r="AA13" s="46">
        <v>0</v>
      </c>
      <c r="AB13" s="46">
        <v>0</v>
      </c>
      <c r="AC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J13" s="46">
        <v>1</v>
      </c>
      <c r="BZ13" s="46">
        <v>1</v>
      </c>
      <c r="CP13" s="46">
        <v>1</v>
      </c>
      <c r="CU13" s="46" t="s">
        <v>2619</v>
      </c>
    </row>
    <row r="14" spans="1:99" hidden="1">
      <c r="A14" s="46" t="s">
        <v>1698</v>
      </c>
      <c r="B14" s="46" t="s">
        <v>2627</v>
      </c>
      <c r="C14" s="46">
        <v>20</v>
      </c>
      <c r="D14" s="46" t="s">
        <v>2628</v>
      </c>
      <c r="E14" s="46" t="s">
        <v>2629</v>
      </c>
      <c r="F14" s="46" t="s">
        <v>2472</v>
      </c>
      <c r="H14" s="46">
        <v>1</v>
      </c>
      <c r="L14" s="46">
        <v>1</v>
      </c>
      <c r="Q14" s="46">
        <v>1</v>
      </c>
      <c r="V14" s="46">
        <v>1</v>
      </c>
      <c r="W14" s="46">
        <v>16</v>
      </c>
      <c r="X14" s="46">
        <v>18</v>
      </c>
      <c r="Y14" s="46">
        <v>0</v>
      </c>
      <c r="Z14" s="46">
        <v>0</v>
      </c>
      <c r="AA14" s="46">
        <v>0</v>
      </c>
      <c r="AB14" s="46">
        <v>0</v>
      </c>
      <c r="AC14" s="46">
        <v>1</v>
      </c>
      <c r="AI14" s="46">
        <v>1</v>
      </c>
      <c r="AM14" s="46">
        <v>1</v>
      </c>
      <c r="AT14" s="46">
        <v>1</v>
      </c>
      <c r="AW14" s="46">
        <v>1</v>
      </c>
      <c r="BA14" s="46">
        <v>1</v>
      </c>
      <c r="BI14" s="46">
        <v>1</v>
      </c>
      <c r="CA14" s="46">
        <v>1</v>
      </c>
      <c r="CC14" s="46">
        <v>1</v>
      </c>
      <c r="CJ14" s="46">
        <v>1</v>
      </c>
      <c r="CN14" s="46">
        <v>1</v>
      </c>
      <c r="CP14" s="46">
        <v>1</v>
      </c>
      <c r="CU14" s="46" t="s">
        <v>2619</v>
      </c>
    </row>
    <row r="15" spans="1:99" hidden="1">
      <c r="A15" s="46" t="s">
        <v>1701</v>
      </c>
      <c r="B15" s="46" t="s">
        <v>2630</v>
      </c>
      <c r="C15" s="46">
        <v>25</v>
      </c>
      <c r="D15" s="46" t="s">
        <v>2607</v>
      </c>
      <c r="E15" s="46" t="s">
        <v>2631</v>
      </c>
      <c r="F15" s="46" t="s">
        <v>2484</v>
      </c>
      <c r="J15" s="46">
        <v>1</v>
      </c>
      <c r="M15" s="46">
        <v>1</v>
      </c>
      <c r="R15" s="46">
        <v>1</v>
      </c>
      <c r="U15" s="46">
        <v>1</v>
      </c>
      <c r="W15" s="46">
        <v>13</v>
      </c>
      <c r="X15" s="46">
        <v>15</v>
      </c>
      <c r="Y15" s="46">
        <v>15</v>
      </c>
      <c r="Z15" s="46">
        <v>2</v>
      </c>
      <c r="AA15" s="46">
        <v>2</v>
      </c>
      <c r="AB15" s="46">
        <v>2</v>
      </c>
      <c r="AC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I15" s="46">
        <v>1</v>
      </c>
      <c r="BZ15" s="46">
        <v>1</v>
      </c>
      <c r="CP15" s="46">
        <v>1</v>
      </c>
      <c r="CU15" s="139">
        <v>46511</v>
      </c>
    </row>
    <row r="16" spans="1:99">
      <c r="A16" s="46" t="s">
        <v>1703</v>
      </c>
      <c r="B16" s="46" t="s">
        <v>2632</v>
      </c>
      <c r="C16" s="46">
        <v>62</v>
      </c>
      <c r="D16" s="46" t="s">
        <v>2607</v>
      </c>
      <c r="E16" s="46" t="s">
        <v>2633</v>
      </c>
      <c r="F16" s="46" t="s">
        <v>2484</v>
      </c>
      <c r="G16" s="46">
        <v>1</v>
      </c>
      <c r="O16" s="46">
        <v>1</v>
      </c>
      <c r="R16" s="46">
        <v>1</v>
      </c>
      <c r="V16" s="46">
        <v>1</v>
      </c>
      <c r="W16" s="46">
        <v>16</v>
      </c>
      <c r="X16" s="46">
        <v>20</v>
      </c>
      <c r="Y16" s="46">
        <v>20</v>
      </c>
      <c r="Z16" s="46">
        <v>3</v>
      </c>
      <c r="AA16" s="46">
        <v>3</v>
      </c>
      <c r="AB16" s="46">
        <v>3</v>
      </c>
      <c r="AC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J16" s="46">
        <v>1</v>
      </c>
      <c r="BZ16" s="46">
        <v>1</v>
      </c>
      <c r="CI16" s="46">
        <v>1</v>
      </c>
      <c r="CP16" s="46">
        <v>1</v>
      </c>
      <c r="CU16" s="46" t="s">
        <v>2619</v>
      </c>
    </row>
    <row r="17" spans="1:99" hidden="1">
      <c r="A17" s="46" t="s">
        <v>1707</v>
      </c>
      <c r="B17" s="46" t="s">
        <v>2634</v>
      </c>
      <c r="C17" s="46">
        <v>52</v>
      </c>
      <c r="D17" s="46" t="s">
        <v>2607</v>
      </c>
      <c r="E17" s="46" t="s">
        <v>2635</v>
      </c>
      <c r="F17" s="46" t="s">
        <v>2484</v>
      </c>
      <c r="J17" s="46">
        <v>1</v>
      </c>
      <c r="O17" s="46">
        <v>1</v>
      </c>
      <c r="Q17" s="46">
        <v>1</v>
      </c>
      <c r="U17" s="46">
        <v>1</v>
      </c>
      <c r="W17" s="46">
        <v>16</v>
      </c>
      <c r="X17" s="46">
        <v>25</v>
      </c>
      <c r="Y17" s="46">
        <v>28</v>
      </c>
      <c r="Z17" s="46">
        <v>2</v>
      </c>
      <c r="AA17" s="46">
        <v>2</v>
      </c>
      <c r="AB17" s="46">
        <v>2</v>
      </c>
      <c r="AG17" s="46">
        <v>1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Z17" s="46">
        <v>1</v>
      </c>
      <c r="CI17" s="46">
        <v>1</v>
      </c>
      <c r="CP17" s="46">
        <v>1</v>
      </c>
      <c r="CU17" s="139">
        <v>46511</v>
      </c>
    </row>
    <row r="18" spans="1:99" hidden="1">
      <c r="A18" s="46" t="s">
        <v>1710</v>
      </c>
      <c r="B18" s="46" t="s">
        <v>2636</v>
      </c>
      <c r="C18" s="46">
        <v>51</v>
      </c>
      <c r="D18" s="46" t="s">
        <v>2607</v>
      </c>
      <c r="E18" s="46" t="s">
        <v>2637</v>
      </c>
      <c r="F18" s="46" t="s">
        <v>2484</v>
      </c>
      <c r="J18" s="46">
        <v>1</v>
      </c>
      <c r="P18" s="46">
        <v>1</v>
      </c>
      <c r="Q18" s="46">
        <v>1</v>
      </c>
      <c r="T18" s="46">
        <v>1</v>
      </c>
      <c r="W18" s="46">
        <v>0</v>
      </c>
      <c r="X18" s="46">
        <v>15</v>
      </c>
      <c r="Y18" s="46">
        <v>18</v>
      </c>
      <c r="Z18" s="46">
        <v>10</v>
      </c>
      <c r="AA18" s="46">
        <v>9</v>
      </c>
      <c r="AB18" s="46">
        <v>6</v>
      </c>
      <c r="AC18" s="46">
        <v>1</v>
      </c>
      <c r="AJ18" s="46">
        <v>1</v>
      </c>
      <c r="AM18" s="46">
        <v>1</v>
      </c>
      <c r="AT18" s="46">
        <v>1</v>
      </c>
      <c r="AW18" s="46">
        <v>1</v>
      </c>
      <c r="BA18" s="46">
        <v>1</v>
      </c>
      <c r="BM18" s="46">
        <v>1</v>
      </c>
      <c r="BO18" s="46" t="s">
        <v>2638</v>
      </c>
      <c r="BZ18" s="46">
        <v>1</v>
      </c>
      <c r="CI18" s="46">
        <v>1</v>
      </c>
      <c r="CP18" s="46">
        <v>1</v>
      </c>
      <c r="CU18" s="140">
        <v>45383</v>
      </c>
    </row>
    <row r="19" spans="1:99" hidden="1">
      <c r="A19" s="46" t="s">
        <v>1713</v>
      </c>
      <c r="B19" s="46" t="s">
        <v>2639</v>
      </c>
      <c r="C19" s="46">
        <v>54</v>
      </c>
      <c r="D19" s="46" t="s">
        <v>2607</v>
      </c>
      <c r="E19" s="46" t="s">
        <v>2640</v>
      </c>
      <c r="F19" s="46" t="s">
        <v>2484</v>
      </c>
      <c r="J19" s="46">
        <v>1</v>
      </c>
      <c r="P19" s="46">
        <v>1</v>
      </c>
      <c r="Q19" s="46">
        <v>1</v>
      </c>
      <c r="U19" s="46">
        <v>1</v>
      </c>
      <c r="W19" s="46">
        <v>12</v>
      </c>
      <c r="X19" s="46">
        <v>13</v>
      </c>
      <c r="Y19" s="46">
        <v>13</v>
      </c>
      <c r="Z19" s="46">
        <v>6</v>
      </c>
      <c r="AA19" s="46">
        <v>6</v>
      </c>
      <c r="AB19" s="46">
        <v>6</v>
      </c>
      <c r="AG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P19" s="46">
        <v>1</v>
      </c>
      <c r="CU19" s="139">
        <v>46511</v>
      </c>
    </row>
    <row r="20" spans="1:99" hidden="1">
      <c r="A20" s="46" t="s">
        <v>1717</v>
      </c>
      <c r="B20" s="46" t="s">
        <v>2641</v>
      </c>
      <c r="C20" s="46">
        <v>20</v>
      </c>
      <c r="D20" s="46" t="s">
        <v>2642</v>
      </c>
      <c r="E20" s="46" t="s">
        <v>2643</v>
      </c>
      <c r="F20" s="46" t="s">
        <v>2484</v>
      </c>
      <c r="H20" s="46">
        <v>1</v>
      </c>
      <c r="L20" s="46">
        <v>1</v>
      </c>
      <c r="Q20" s="46">
        <v>1</v>
      </c>
      <c r="V20" s="46">
        <v>1</v>
      </c>
      <c r="W20" s="46">
        <v>14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H20" s="46">
        <v>1</v>
      </c>
      <c r="AI20" s="46">
        <v>1</v>
      </c>
      <c r="AM20" s="46">
        <v>1</v>
      </c>
      <c r="AT20" s="46">
        <v>1</v>
      </c>
      <c r="AV20" s="46">
        <v>1</v>
      </c>
      <c r="BA20" s="46">
        <v>1</v>
      </c>
      <c r="BJ20" s="46">
        <v>1</v>
      </c>
      <c r="BZ20" s="46">
        <v>1</v>
      </c>
      <c r="CI20" s="46">
        <v>1</v>
      </c>
      <c r="CP20" s="46">
        <v>1</v>
      </c>
      <c r="CU20" s="46" t="s">
        <v>2619</v>
      </c>
    </row>
    <row r="21" spans="1:99" hidden="1">
      <c r="A21" s="46" t="s">
        <v>1720</v>
      </c>
      <c r="B21" s="46" t="s">
        <v>2644</v>
      </c>
      <c r="C21" s="46">
        <v>20</v>
      </c>
      <c r="D21" s="46" t="s">
        <v>2607</v>
      </c>
      <c r="E21" s="46" t="s">
        <v>2645</v>
      </c>
      <c r="F21" s="46" t="s">
        <v>127</v>
      </c>
      <c r="I21" s="46">
        <v>1</v>
      </c>
      <c r="L21" s="46">
        <v>1</v>
      </c>
      <c r="Q21" s="46">
        <v>1</v>
      </c>
      <c r="V21" s="46">
        <v>1</v>
      </c>
      <c r="W21" s="46">
        <v>15</v>
      </c>
      <c r="X21" s="46">
        <v>15</v>
      </c>
      <c r="Y21" s="46">
        <v>0</v>
      </c>
      <c r="Z21" s="46">
        <v>0</v>
      </c>
      <c r="AA21" s="46">
        <v>0</v>
      </c>
      <c r="AB21" s="46">
        <v>0</v>
      </c>
      <c r="AE21" s="46">
        <v>1</v>
      </c>
      <c r="AG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W21" s="46">
        <v>1</v>
      </c>
      <c r="BZ21" s="46">
        <v>1</v>
      </c>
      <c r="CI21" s="46">
        <v>1</v>
      </c>
      <c r="CP21" s="46">
        <v>1</v>
      </c>
      <c r="CU21" s="139">
        <v>46511</v>
      </c>
    </row>
    <row r="22" spans="1:99" hidden="1">
      <c r="A22" s="46" t="s">
        <v>1723</v>
      </c>
      <c r="B22" s="46" t="s">
        <v>2646</v>
      </c>
      <c r="C22" s="46">
        <v>55</v>
      </c>
      <c r="D22" s="46" t="s">
        <v>2607</v>
      </c>
      <c r="E22" s="46" t="s">
        <v>191</v>
      </c>
      <c r="F22" s="46" t="s">
        <v>2647</v>
      </c>
      <c r="I22" s="46">
        <v>1</v>
      </c>
      <c r="M22" s="46">
        <v>1</v>
      </c>
      <c r="Q22" s="46">
        <v>1</v>
      </c>
      <c r="S22" s="46">
        <v>1</v>
      </c>
      <c r="W22" s="46">
        <v>14</v>
      </c>
      <c r="X22" s="46">
        <v>15</v>
      </c>
      <c r="Y22" s="46">
        <v>16</v>
      </c>
      <c r="Z22" s="46">
        <v>10</v>
      </c>
      <c r="AA22" s="46">
        <v>8</v>
      </c>
      <c r="AB22" s="46">
        <v>8</v>
      </c>
      <c r="AC22" s="46">
        <v>1</v>
      </c>
      <c r="AI22" s="46">
        <v>1</v>
      </c>
      <c r="AK22" s="46">
        <v>1</v>
      </c>
      <c r="AT22" s="46">
        <v>1</v>
      </c>
      <c r="AX22" s="46">
        <v>1</v>
      </c>
      <c r="BA22" s="46">
        <v>1</v>
      </c>
      <c r="BZ22" s="46">
        <v>1</v>
      </c>
      <c r="CI22" s="46">
        <v>1</v>
      </c>
      <c r="CP22" s="46">
        <v>1</v>
      </c>
      <c r="CU22" s="139">
        <v>46511</v>
      </c>
    </row>
    <row r="23" spans="1:99">
      <c r="A23" s="46" t="s">
        <v>1726</v>
      </c>
      <c r="B23" s="46" t="s">
        <v>2648</v>
      </c>
      <c r="C23" s="46">
        <v>64</v>
      </c>
      <c r="D23" s="46" t="s">
        <v>2607</v>
      </c>
      <c r="E23" s="46" t="s">
        <v>191</v>
      </c>
      <c r="F23" s="46" t="s">
        <v>2484</v>
      </c>
      <c r="H23" s="46">
        <v>1</v>
      </c>
      <c r="P23" s="46">
        <v>1</v>
      </c>
      <c r="T23" s="46">
        <v>1</v>
      </c>
      <c r="W23" s="46">
        <v>14</v>
      </c>
      <c r="X23" s="46">
        <v>20</v>
      </c>
      <c r="Y23" s="46">
        <v>20</v>
      </c>
      <c r="Z23" s="46">
        <v>13</v>
      </c>
      <c r="AA23" s="46">
        <v>13</v>
      </c>
      <c r="AB23" s="46">
        <v>8</v>
      </c>
      <c r="AC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Z23" s="46">
        <v>1</v>
      </c>
      <c r="CI23" s="46">
        <v>1</v>
      </c>
      <c r="CP23" s="46">
        <v>1</v>
      </c>
      <c r="CU23" s="139">
        <v>46511</v>
      </c>
    </row>
    <row r="24" spans="1:99" hidden="1">
      <c r="A24" s="46" t="s">
        <v>1728</v>
      </c>
      <c r="B24" s="46" t="s">
        <v>2649</v>
      </c>
      <c r="C24" s="46">
        <v>20</v>
      </c>
      <c r="D24" s="46" t="s">
        <v>2650</v>
      </c>
      <c r="E24" s="46" t="s">
        <v>2651</v>
      </c>
      <c r="F24" s="46" t="s">
        <v>2484</v>
      </c>
      <c r="G24" s="46">
        <v>1</v>
      </c>
      <c r="N24" s="46">
        <v>1</v>
      </c>
      <c r="R24" s="46">
        <v>1</v>
      </c>
      <c r="V24" s="46">
        <v>1</v>
      </c>
      <c r="W24" s="46">
        <v>15</v>
      </c>
      <c r="X24" s="46">
        <v>19</v>
      </c>
      <c r="Y24" s="46">
        <v>0</v>
      </c>
      <c r="Z24" s="46">
        <v>0</v>
      </c>
      <c r="AA24" s="46">
        <v>0</v>
      </c>
      <c r="AB24" s="46">
        <v>0</v>
      </c>
      <c r="AE24" s="46">
        <v>1</v>
      </c>
      <c r="AH24" s="46">
        <v>1</v>
      </c>
      <c r="AI24" s="46">
        <v>1</v>
      </c>
      <c r="AM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I24" s="46">
        <v>1</v>
      </c>
      <c r="CP24" s="46">
        <v>1</v>
      </c>
      <c r="CU24" s="139">
        <v>46511</v>
      </c>
    </row>
    <row r="25" spans="1:99" hidden="1">
      <c r="A25" s="46" t="s">
        <v>1731</v>
      </c>
      <c r="B25" s="46" t="s">
        <v>2652</v>
      </c>
      <c r="C25" s="46">
        <v>21</v>
      </c>
      <c r="D25" s="46" t="s">
        <v>2653</v>
      </c>
      <c r="E25" s="46" t="s">
        <v>2654</v>
      </c>
      <c r="F25" s="46" t="s">
        <v>2655</v>
      </c>
      <c r="G25" s="46">
        <v>1</v>
      </c>
      <c r="N25" s="46">
        <v>1</v>
      </c>
      <c r="Q25" s="46">
        <v>1</v>
      </c>
      <c r="V25" s="46">
        <v>1</v>
      </c>
      <c r="W25" s="46">
        <v>13</v>
      </c>
      <c r="X25" s="46">
        <v>19</v>
      </c>
      <c r="Y25" s="46">
        <v>0</v>
      </c>
      <c r="Z25" s="46">
        <v>0</v>
      </c>
      <c r="AA25" s="46">
        <v>0</v>
      </c>
      <c r="AB25" s="46">
        <v>0</v>
      </c>
      <c r="AC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I25" s="46">
        <v>1</v>
      </c>
      <c r="CP25" s="46">
        <v>1</v>
      </c>
      <c r="CU25" s="139">
        <v>46511</v>
      </c>
    </row>
    <row r="26" spans="1:99" hidden="1">
      <c r="A26" s="46" t="s">
        <v>1734</v>
      </c>
      <c r="B26" s="46" t="s">
        <v>2656</v>
      </c>
      <c r="C26" s="46">
        <v>20</v>
      </c>
      <c r="D26" s="46" t="s">
        <v>2657</v>
      </c>
      <c r="E26" s="46" t="s">
        <v>2658</v>
      </c>
      <c r="F26" s="46" t="s">
        <v>2472</v>
      </c>
      <c r="I26" s="46">
        <v>1</v>
      </c>
      <c r="L26" s="46">
        <v>1</v>
      </c>
      <c r="Q26" s="46">
        <v>1</v>
      </c>
      <c r="V26" s="46">
        <v>1</v>
      </c>
      <c r="W26" s="46">
        <v>15</v>
      </c>
      <c r="X26" s="46">
        <v>18</v>
      </c>
      <c r="Y26" s="46">
        <v>0</v>
      </c>
      <c r="Z26" s="46">
        <v>0</v>
      </c>
      <c r="AA26" s="46">
        <v>0</v>
      </c>
      <c r="AB26" s="46">
        <v>0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I26" s="46">
        <v>1</v>
      </c>
      <c r="CP26" s="46">
        <v>1</v>
      </c>
      <c r="CU26" s="139">
        <v>46511</v>
      </c>
    </row>
    <row r="27" spans="1:99" hidden="1">
      <c r="A27" s="46" t="s">
        <v>1736</v>
      </c>
      <c r="B27" s="46" t="s">
        <v>2659</v>
      </c>
      <c r="C27" s="46">
        <v>22</v>
      </c>
      <c r="D27" s="46" t="s">
        <v>2607</v>
      </c>
      <c r="E27" s="46" t="s">
        <v>2660</v>
      </c>
      <c r="F27" s="46" t="s">
        <v>2506</v>
      </c>
      <c r="G27" s="46">
        <v>1</v>
      </c>
      <c r="L27" s="46">
        <v>1</v>
      </c>
      <c r="Q27" s="46">
        <v>1</v>
      </c>
      <c r="V27" s="46">
        <v>1</v>
      </c>
      <c r="W27" s="46">
        <v>15</v>
      </c>
      <c r="X27" s="46">
        <v>19</v>
      </c>
      <c r="Y27" s="46">
        <v>0</v>
      </c>
      <c r="Z27" s="46">
        <v>0</v>
      </c>
      <c r="AA27" s="46">
        <v>0</v>
      </c>
      <c r="AB27" s="46">
        <v>0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I27" s="46">
        <v>1</v>
      </c>
      <c r="CP27" s="46">
        <v>1</v>
      </c>
      <c r="CU27" s="139">
        <v>46511</v>
      </c>
    </row>
    <row r="28" spans="1:99">
      <c r="A28" s="46" t="s">
        <v>1740</v>
      </c>
      <c r="B28" s="46" t="s">
        <v>2661</v>
      </c>
      <c r="C28" s="46">
        <v>79</v>
      </c>
      <c r="D28" s="46" t="s">
        <v>2607</v>
      </c>
      <c r="E28" s="46" t="s">
        <v>191</v>
      </c>
      <c r="F28" s="46" t="s">
        <v>2662</v>
      </c>
      <c r="H28" s="46">
        <v>1</v>
      </c>
      <c r="L28" s="46">
        <v>1</v>
      </c>
      <c r="Q28" s="46">
        <v>1</v>
      </c>
      <c r="V28" s="46">
        <v>1</v>
      </c>
      <c r="W28" s="46">
        <v>12</v>
      </c>
      <c r="X28" s="46">
        <v>13</v>
      </c>
      <c r="Y28" s="46">
        <v>25</v>
      </c>
      <c r="Z28" s="46">
        <v>7</v>
      </c>
      <c r="AA28" s="46">
        <v>7</v>
      </c>
      <c r="AB28" s="46">
        <v>7</v>
      </c>
      <c r="AH28" s="46">
        <v>1</v>
      </c>
      <c r="AI28" s="46">
        <v>1</v>
      </c>
      <c r="AM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I28" s="46">
        <v>1</v>
      </c>
      <c r="CP28" s="46">
        <v>1</v>
      </c>
      <c r="CU28" s="139">
        <v>46511</v>
      </c>
    </row>
    <row r="29" spans="1:99" hidden="1">
      <c r="A29" s="46" t="s">
        <v>1743</v>
      </c>
      <c r="B29" s="46" t="s">
        <v>2663</v>
      </c>
      <c r="C29" s="46">
        <v>22</v>
      </c>
      <c r="D29" s="46" t="s">
        <v>2607</v>
      </c>
      <c r="E29" s="46" t="s">
        <v>2664</v>
      </c>
      <c r="F29" s="46" t="s">
        <v>2523</v>
      </c>
      <c r="J29" s="46">
        <v>1</v>
      </c>
      <c r="L29" s="46">
        <v>1</v>
      </c>
      <c r="Q29" s="46">
        <v>1</v>
      </c>
      <c r="V29" s="46">
        <v>1</v>
      </c>
      <c r="W29" s="46">
        <v>13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1</v>
      </c>
      <c r="AI29" s="46">
        <v>1</v>
      </c>
      <c r="AM29" s="46">
        <v>1</v>
      </c>
      <c r="AT29" s="46">
        <v>1</v>
      </c>
      <c r="AV29" s="46">
        <v>1</v>
      </c>
      <c r="BA29" s="46">
        <v>1</v>
      </c>
      <c r="BJ29" s="46">
        <v>1</v>
      </c>
      <c r="BZ29" s="46">
        <v>1</v>
      </c>
      <c r="CI29" s="46">
        <v>1</v>
      </c>
      <c r="CP29" s="46">
        <v>1</v>
      </c>
      <c r="CU29" s="46" t="s">
        <v>2619</v>
      </c>
    </row>
    <row r="30" spans="1:99" hidden="1">
      <c r="A30" s="46" t="s">
        <v>1746</v>
      </c>
      <c r="B30" s="46" t="s">
        <v>2528</v>
      </c>
      <c r="C30" s="46">
        <v>25</v>
      </c>
      <c r="D30" s="46" t="s">
        <v>2607</v>
      </c>
      <c r="E30" s="46" t="s">
        <v>2665</v>
      </c>
      <c r="F30" s="46" t="s">
        <v>2484</v>
      </c>
      <c r="J30" s="46">
        <v>1</v>
      </c>
      <c r="M30" s="46">
        <v>1</v>
      </c>
      <c r="R30" s="46">
        <v>1</v>
      </c>
      <c r="U30" s="46">
        <v>1</v>
      </c>
      <c r="W30" s="46">
        <v>12</v>
      </c>
      <c r="X30" s="46">
        <v>13</v>
      </c>
      <c r="Y30" s="46">
        <v>15</v>
      </c>
      <c r="Z30" s="46">
        <v>6</v>
      </c>
      <c r="AA30" s="46">
        <v>2</v>
      </c>
      <c r="AB30" s="46">
        <v>2</v>
      </c>
      <c r="AE30" s="46">
        <v>1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Z30" s="46">
        <v>1</v>
      </c>
      <c r="BA30" s="46">
        <v>1</v>
      </c>
      <c r="BI30" s="46">
        <v>1</v>
      </c>
      <c r="BZ30" s="46">
        <v>1</v>
      </c>
      <c r="CI30" s="46">
        <v>1</v>
      </c>
      <c r="CP30" s="46">
        <v>1</v>
      </c>
      <c r="CU30" s="139">
        <v>46511</v>
      </c>
    </row>
    <row r="31" spans="1:99" hidden="1">
      <c r="A31" s="46" t="s">
        <v>1749</v>
      </c>
      <c r="B31" s="46" t="s">
        <v>2666</v>
      </c>
      <c r="C31" s="46">
        <v>35</v>
      </c>
      <c r="D31" s="46" t="s">
        <v>2607</v>
      </c>
      <c r="E31" s="46" t="s">
        <v>2667</v>
      </c>
      <c r="F31" s="46" t="s">
        <v>2484</v>
      </c>
      <c r="H31" s="46">
        <v>1</v>
      </c>
      <c r="M31" s="46">
        <v>1</v>
      </c>
      <c r="Q31" s="46">
        <v>1</v>
      </c>
      <c r="U31" s="46">
        <v>1</v>
      </c>
      <c r="W31" s="46">
        <v>14</v>
      </c>
      <c r="X31" s="46">
        <v>16</v>
      </c>
      <c r="Y31" s="46">
        <v>20</v>
      </c>
      <c r="Z31" s="46">
        <v>8</v>
      </c>
      <c r="AA31" s="46">
        <v>7</v>
      </c>
      <c r="AB31" s="46">
        <v>5</v>
      </c>
      <c r="AE31" s="46">
        <v>1</v>
      </c>
      <c r="AG31" s="46">
        <v>1</v>
      </c>
      <c r="AH31" s="46">
        <v>1</v>
      </c>
      <c r="AJ31" s="46">
        <v>1</v>
      </c>
      <c r="AK31" s="46">
        <v>1</v>
      </c>
      <c r="AT31" s="46">
        <v>1</v>
      </c>
      <c r="AX31" s="46">
        <v>1</v>
      </c>
      <c r="BA31" s="46">
        <v>1</v>
      </c>
      <c r="BI31" s="46">
        <v>1</v>
      </c>
      <c r="BZ31" s="46">
        <v>1</v>
      </c>
      <c r="CI31" s="46">
        <v>1</v>
      </c>
      <c r="CP31" s="46">
        <v>1</v>
      </c>
      <c r="CU31" s="139">
        <v>46511</v>
      </c>
    </row>
    <row r="32" spans="1:99" hidden="1">
      <c r="A32" s="46" t="s">
        <v>1752</v>
      </c>
      <c r="B32" s="46" t="s">
        <v>2668</v>
      </c>
      <c r="C32" s="46">
        <v>35</v>
      </c>
      <c r="D32" s="46" t="s">
        <v>2607</v>
      </c>
      <c r="E32" s="46" t="s">
        <v>2669</v>
      </c>
      <c r="F32" s="46" t="s">
        <v>2484</v>
      </c>
      <c r="J32" s="46">
        <v>1</v>
      </c>
      <c r="M32" s="46">
        <v>1</v>
      </c>
      <c r="Q32" s="46">
        <v>1</v>
      </c>
      <c r="U32" s="46">
        <v>1</v>
      </c>
      <c r="W32" s="46">
        <v>15</v>
      </c>
      <c r="X32" s="46">
        <v>14</v>
      </c>
      <c r="Y32" s="46">
        <v>15</v>
      </c>
      <c r="Z32" s="46">
        <v>9</v>
      </c>
      <c r="AA32" s="46">
        <v>9</v>
      </c>
      <c r="AB32" s="46">
        <v>8</v>
      </c>
      <c r="AG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W32" s="46">
        <v>1</v>
      </c>
      <c r="BZ32" s="46">
        <v>1</v>
      </c>
      <c r="CI32" s="46">
        <v>1</v>
      </c>
      <c r="CP32" s="46">
        <v>1</v>
      </c>
      <c r="CU32" s="139">
        <v>46511</v>
      </c>
    </row>
    <row r="33" spans="1:99" hidden="1">
      <c r="A33" s="46" t="s">
        <v>1755</v>
      </c>
      <c r="B33" s="46" t="s">
        <v>2670</v>
      </c>
      <c r="C33" s="46">
        <v>20</v>
      </c>
      <c r="D33" s="46" t="s">
        <v>2607</v>
      </c>
      <c r="E33" s="46" t="s">
        <v>2671</v>
      </c>
      <c r="F33" s="46" t="s">
        <v>2484</v>
      </c>
      <c r="I33" s="46">
        <v>1</v>
      </c>
      <c r="L33" s="46">
        <v>1</v>
      </c>
      <c r="Q33" s="46">
        <v>1</v>
      </c>
      <c r="V33" s="46">
        <v>1</v>
      </c>
      <c r="W33" s="46">
        <v>16</v>
      </c>
      <c r="X33" s="46">
        <v>18</v>
      </c>
      <c r="Y33" s="46">
        <v>0</v>
      </c>
      <c r="Z33" s="46">
        <v>0</v>
      </c>
      <c r="AA33" s="46">
        <v>0</v>
      </c>
      <c r="AB33" s="46">
        <v>0</v>
      </c>
      <c r="AC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I33" s="46">
        <v>1</v>
      </c>
      <c r="CP33" s="46">
        <v>1</v>
      </c>
      <c r="CU33" s="139">
        <v>46511</v>
      </c>
    </row>
    <row r="34" spans="1:99" hidden="1">
      <c r="A34" s="46" t="s">
        <v>1758</v>
      </c>
      <c r="B34" s="46" t="s">
        <v>2672</v>
      </c>
      <c r="C34" s="46">
        <v>23</v>
      </c>
      <c r="D34" s="46" t="s">
        <v>2673</v>
      </c>
      <c r="E34" s="46" t="s">
        <v>2674</v>
      </c>
      <c r="F34" s="46" t="s">
        <v>2675</v>
      </c>
      <c r="G34" s="46">
        <v>1</v>
      </c>
      <c r="L34" s="46">
        <v>1</v>
      </c>
      <c r="Q34" s="46">
        <v>1</v>
      </c>
      <c r="V34" s="46">
        <v>1</v>
      </c>
      <c r="W34" s="46">
        <v>14</v>
      </c>
      <c r="X34" s="46">
        <v>20</v>
      </c>
      <c r="Y34" s="46">
        <v>21</v>
      </c>
      <c r="Z34" s="46">
        <v>1</v>
      </c>
      <c r="AA34" s="46">
        <v>1</v>
      </c>
      <c r="AB34" s="46">
        <v>1</v>
      </c>
      <c r="AE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I34" s="46">
        <v>1</v>
      </c>
      <c r="CP34" s="46">
        <v>1</v>
      </c>
      <c r="CU34" s="139">
        <v>46511</v>
      </c>
    </row>
    <row r="35" spans="1:99" hidden="1">
      <c r="A35" s="46" t="s">
        <v>1760</v>
      </c>
      <c r="B35" s="46" t="s">
        <v>2676</v>
      </c>
      <c r="C35" s="46">
        <v>20</v>
      </c>
      <c r="D35" s="46" t="s">
        <v>2607</v>
      </c>
      <c r="E35" s="46" t="s">
        <v>2677</v>
      </c>
      <c r="F35" s="46" t="s">
        <v>2484</v>
      </c>
      <c r="I35" s="46">
        <v>1</v>
      </c>
      <c r="L35" s="46">
        <v>1</v>
      </c>
      <c r="Q35" s="46">
        <v>1</v>
      </c>
      <c r="V35" s="46">
        <v>1</v>
      </c>
      <c r="W35" s="46">
        <v>11</v>
      </c>
      <c r="X35" s="46">
        <v>16</v>
      </c>
      <c r="Y35" s="46">
        <v>0</v>
      </c>
      <c r="Z35" s="46">
        <v>0</v>
      </c>
      <c r="AA35" s="46">
        <v>0</v>
      </c>
      <c r="AB35" s="46">
        <v>0</v>
      </c>
      <c r="AC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Z35" s="46">
        <v>1</v>
      </c>
      <c r="CI35" s="46">
        <v>1</v>
      </c>
      <c r="CP35" s="46">
        <v>1</v>
      </c>
      <c r="CU35" s="139">
        <v>46511</v>
      </c>
    </row>
    <row r="36" spans="1:99" hidden="1">
      <c r="A36" s="46" t="s">
        <v>1764</v>
      </c>
      <c r="B36" s="46" t="s">
        <v>2678</v>
      </c>
      <c r="C36" s="46">
        <v>20</v>
      </c>
      <c r="D36" s="46" t="s">
        <v>2679</v>
      </c>
      <c r="E36" s="46" t="s">
        <v>2680</v>
      </c>
      <c r="F36" s="46" t="s">
        <v>2506</v>
      </c>
      <c r="I36" s="46">
        <v>1</v>
      </c>
      <c r="L36" s="46">
        <v>1</v>
      </c>
      <c r="Q36" s="46">
        <v>1</v>
      </c>
      <c r="V36" s="46">
        <v>1</v>
      </c>
      <c r="W36" s="46">
        <v>15</v>
      </c>
      <c r="X36" s="46">
        <v>15</v>
      </c>
      <c r="Y36" s="46">
        <v>0</v>
      </c>
      <c r="Z36" s="46">
        <v>0</v>
      </c>
      <c r="AA36" s="46">
        <v>0</v>
      </c>
      <c r="AB36" s="46">
        <v>0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Z36" s="46">
        <v>1</v>
      </c>
      <c r="CI36" s="46">
        <v>1</v>
      </c>
      <c r="CP36" s="46">
        <v>1</v>
      </c>
      <c r="CU36" s="139">
        <v>46511</v>
      </c>
    </row>
    <row r="37" spans="1:99" hidden="1">
      <c r="A37" s="46" t="s">
        <v>1767</v>
      </c>
      <c r="B37" s="46" t="s">
        <v>2681</v>
      </c>
      <c r="C37" s="46">
        <v>20</v>
      </c>
      <c r="D37" s="46" t="s">
        <v>2682</v>
      </c>
      <c r="E37" s="46" t="s">
        <v>2683</v>
      </c>
      <c r="F37" s="46" t="s">
        <v>2523</v>
      </c>
      <c r="G37" s="46"/>
      <c r="H37" s="46">
        <v>1</v>
      </c>
      <c r="L37" s="46">
        <v>1</v>
      </c>
      <c r="Q37" s="46">
        <v>1</v>
      </c>
      <c r="V37" s="46">
        <v>1</v>
      </c>
      <c r="W37" s="46">
        <v>16</v>
      </c>
      <c r="X37" s="46">
        <v>19</v>
      </c>
      <c r="Y37" s="46">
        <v>0</v>
      </c>
      <c r="Z37" s="46">
        <v>0</v>
      </c>
      <c r="AA37" s="46">
        <v>0</v>
      </c>
      <c r="AB37" s="46">
        <v>0</v>
      </c>
      <c r="AC37" s="46">
        <v>1</v>
      </c>
      <c r="AI37" s="46">
        <v>1</v>
      </c>
      <c r="AJ37" s="46"/>
      <c r="AK37" s="46"/>
      <c r="AM37" s="46">
        <v>1</v>
      </c>
      <c r="AT37" s="46">
        <v>1</v>
      </c>
      <c r="AW37" s="46">
        <v>1</v>
      </c>
      <c r="BA37" s="46">
        <v>1</v>
      </c>
      <c r="BI37" s="46"/>
      <c r="BJ37" s="46">
        <v>1</v>
      </c>
      <c r="BW37" s="46"/>
      <c r="BZ37" s="46">
        <v>1</v>
      </c>
      <c r="CI37" s="46">
        <v>1</v>
      </c>
      <c r="CP37" s="46">
        <v>1</v>
      </c>
      <c r="CU37" s="46" t="s">
        <v>2619</v>
      </c>
    </row>
    <row r="38" spans="1:99" hidden="1">
      <c r="A38" s="46" t="s">
        <v>1769</v>
      </c>
      <c r="B38" s="46" t="s">
        <v>2684</v>
      </c>
      <c r="C38" s="46">
        <v>20</v>
      </c>
      <c r="D38" s="46" t="s">
        <v>2685</v>
      </c>
      <c r="E38" s="46" t="s">
        <v>2686</v>
      </c>
      <c r="F38" s="46" t="s">
        <v>2484</v>
      </c>
      <c r="G38" s="46">
        <v>1</v>
      </c>
      <c r="L38" s="46">
        <v>1</v>
      </c>
      <c r="Q38" s="46">
        <v>1</v>
      </c>
      <c r="V38" s="46">
        <v>1</v>
      </c>
      <c r="W38" s="46">
        <v>15</v>
      </c>
      <c r="X38" s="46">
        <v>17</v>
      </c>
      <c r="Y38" s="46">
        <v>0</v>
      </c>
      <c r="Z38" s="46">
        <v>0</v>
      </c>
      <c r="AA38" s="46">
        <v>0</v>
      </c>
      <c r="AB38" s="46">
        <v>0</v>
      </c>
      <c r="AC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W38" s="46">
        <v>1</v>
      </c>
      <c r="BZ38" s="46">
        <v>1</v>
      </c>
      <c r="CI38" s="46">
        <v>1</v>
      </c>
      <c r="CP38" s="46">
        <v>1</v>
      </c>
      <c r="CU38" s="139">
        <v>46511</v>
      </c>
    </row>
    <row r="39" spans="1:99" hidden="1">
      <c r="A39" s="46" t="s">
        <v>1772</v>
      </c>
      <c r="B39" s="46" t="s">
        <v>2687</v>
      </c>
      <c r="C39" s="46">
        <v>20</v>
      </c>
      <c r="D39" s="46" t="s">
        <v>2607</v>
      </c>
      <c r="E39" s="46" t="s">
        <v>2688</v>
      </c>
      <c r="F39" s="46" t="s">
        <v>2523</v>
      </c>
      <c r="G39" s="46">
        <v>1</v>
      </c>
      <c r="L39" s="46">
        <v>1</v>
      </c>
      <c r="Q39" s="46">
        <v>1</v>
      </c>
      <c r="V39" s="46">
        <v>1</v>
      </c>
      <c r="W39" s="46">
        <v>12</v>
      </c>
      <c r="X39" s="46">
        <v>20</v>
      </c>
      <c r="Y39" s="46">
        <v>0</v>
      </c>
      <c r="Z39" s="46">
        <v>0</v>
      </c>
      <c r="AA39" s="46">
        <v>0</v>
      </c>
      <c r="AB39" s="46">
        <v>0</v>
      </c>
      <c r="AC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J39" s="46">
        <v>1</v>
      </c>
      <c r="BZ39" s="46">
        <v>1</v>
      </c>
      <c r="CI39" s="46">
        <v>1</v>
      </c>
      <c r="CP39" s="46">
        <v>1</v>
      </c>
      <c r="CU39" s="46" t="s">
        <v>2619</v>
      </c>
    </row>
    <row r="40" spans="1:99" hidden="1">
      <c r="A40" s="46" t="s">
        <v>1775</v>
      </c>
      <c r="B40" s="46" t="s">
        <v>2689</v>
      </c>
      <c r="C40" s="46">
        <v>21</v>
      </c>
      <c r="D40" s="46" t="s">
        <v>2682</v>
      </c>
      <c r="E40" s="46" t="s">
        <v>2690</v>
      </c>
      <c r="F40" s="46" t="s">
        <v>2484</v>
      </c>
      <c r="I40" s="46">
        <v>1</v>
      </c>
      <c r="L40" s="46">
        <v>1</v>
      </c>
      <c r="Q40" s="46">
        <v>1</v>
      </c>
      <c r="V40" s="46">
        <v>1</v>
      </c>
      <c r="W40" s="46">
        <v>13</v>
      </c>
      <c r="X40" s="46">
        <v>12</v>
      </c>
      <c r="Y40" s="46">
        <v>0</v>
      </c>
      <c r="Z40" s="46">
        <v>0</v>
      </c>
      <c r="AA40" s="46">
        <v>0</v>
      </c>
      <c r="AB40" s="46">
        <v>0</v>
      </c>
      <c r="AC40" s="46">
        <v>1</v>
      </c>
      <c r="AM40" s="46">
        <v>1</v>
      </c>
      <c r="AT40" s="46">
        <v>1</v>
      </c>
      <c r="BA40" s="46">
        <v>1</v>
      </c>
      <c r="BJ40" s="46">
        <v>1</v>
      </c>
      <c r="BZ40" s="46">
        <v>1</v>
      </c>
      <c r="CI40" s="46">
        <v>1</v>
      </c>
      <c r="CP40" s="46">
        <v>1</v>
      </c>
      <c r="CU40" s="46" t="s">
        <v>2619</v>
      </c>
    </row>
    <row r="41" spans="1:99" hidden="1">
      <c r="A41" s="46" t="s">
        <v>1778</v>
      </c>
      <c r="B41" s="46" t="s">
        <v>2691</v>
      </c>
      <c r="C41" s="46">
        <v>20</v>
      </c>
      <c r="D41" s="46" t="s">
        <v>2607</v>
      </c>
      <c r="E41" s="46" t="s">
        <v>2692</v>
      </c>
      <c r="F41" s="46" t="s">
        <v>2506</v>
      </c>
      <c r="I41" s="46">
        <v>1</v>
      </c>
      <c r="L41" s="46">
        <v>1</v>
      </c>
      <c r="Q41" s="46">
        <v>1</v>
      </c>
      <c r="V41" s="46">
        <v>1</v>
      </c>
      <c r="W41" s="46">
        <v>15</v>
      </c>
      <c r="X41" s="46">
        <v>18</v>
      </c>
      <c r="Y41" s="46">
        <v>0</v>
      </c>
      <c r="Z41" s="46">
        <v>0</v>
      </c>
      <c r="AA41" s="46">
        <v>0</v>
      </c>
      <c r="AB41" s="46">
        <v>0</v>
      </c>
      <c r="AC41" s="46">
        <v>1</v>
      </c>
      <c r="AI41" s="46">
        <v>1</v>
      </c>
      <c r="AK41" s="46">
        <v>1</v>
      </c>
      <c r="AT41" s="46">
        <v>1</v>
      </c>
      <c r="AW41" s="46">
        <v>1</v>
      </c>
      <c r="BA41" s="46">
        <v>1</v>
      </c>
      <c r="BJ41" s="46">
        <v>1</v>
      </c>
      <c r="BZ41" s="46">
        <v>1</v>
      </c>
      <c r="CI41" s="46">
        <v>1</v>
      </c>
      <c r="CP41" s="46">
        <v>1</v>
      </c>
      <c r="CU41" s="46" t="s">
        <v>2619</v>
      </c>
    </row>
    <row r="42" spans="1:99" hidden="1">
      <c r="A42" s="46" t="s">
        <v>1782</v>
      </c>
      <c r="B42" s="46" t="s">
        <v>2693</v>
      </c>
      <c r="C42" s="46">
        <v>21</v>
      </c>
      <c r="D42" s="46" t="s">
        <v>2607</v>
      </c>
      <c r="E42" s="46" t="s">
        <v>2694</v>
      </c>
      <c r="F42" s="46" t="s">
        <v>2484</v>
      </c>
      <c r="J42" s="46">
        <v>1</v>
      </c>
      <c r="N42" s="46">
        <v>1</v>
      </c>
      <c r="Q42" s="46">
        <v>1</v>
      </c>
      <c r="U42" s="46">
        <v>1</v>
      </c>
      <c r="W42" s="46">
        <v>13</v>
      </c>
      <c r="X42" s="46">
        <v>16</v>
      </c>
      <c r="Y42" s="46">
        <v>20</v>
      </c>
      <c r="Z42" s="46">
        <v>1</v>
      </c>
      <c r="AA42" s="46">
        <v>1</v>
      </c>
      <c r="AB42" s="46">
        <v>1</v>
      </c>
      <c r="AG42" s="46">
        <v>1</v>
      </c>
      <c r="AH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J42" s="46" t="s">
        <v>2695</v>
      </c>
      <c r="BZ42" s="46">
        <v>1</v>
      </c>
      <c r="CI42" s="46">
        <v>1</v>
      </c>
      <c r="CP42" s="46">
        <v>1</v>
      </c>
      <c r="CU42" s="46" t="s">
        <v>2619</v>
      </c>
    </row>
    <row r="43" spans="1:99" hidden="1">
      <c r="A43" s="46" t="s">
        <v>1787</v>
      </c>
      <c r="B43" s="46" t="s">
        <v>2696</v>
      </c>
      <c r="C43" s="46">
        <v>20</v>
      </c>
      <c r="D43" s="46" t="s">
        <v>2697</v>
      </c>
      <c r="E43" s="46" t="s">
        <v>2698</v>
      </c>
      <c r="F43" s="46" t="s">
        <v>514</v>
      </c>
      <c r="J43" s="46">
        <v>1</v>
      </c>
      <c r="M43" s="46">
        <v>1</v>
      </c>
      <c r="Q43" s="46">
        <v>1</v>
      </c>
      <c r="U43" s="46">
        <v>1</v>
      </c>
      <c r="W43" s="46">
        <v>14</v>
      </c>
      <c r="X43" s="46">
        <v>16</v>
      </c>
      <c r="Y43" s="46">
        <v>18</v>
      </c>
      <c r="Z43" s="46">
        <v>2</v>
      </c>
      <c r="AA43" s="46">
        <v>2</v>
      </c>
      <c r="AB43" s="46">
        <v>2</v>
      </c>
      <c r="AE43" s="46">
        <v>1</v>
      </c>
      <c r="AI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Z43" s="46">
        <v>1</v>
      </c>
      <c r="CI43" s="46">
        <v>1</v>
      </c>
      <c r="CP43" s="46">
        <v>1</v>
      </c>
      <c r="CU43" s="139">
        <v>46511</v>
      </c>
    </row>
    <row r="44" spans="1:99" hidden="1">
      <c r="A44" s="46" t="s">
        <v>1790</v>
      </c>
      <c r="B44" s="46" t="s">
        <v>2699</v>
      </c>
      <c r="C44" s="46">
        <v>45</v>
      </c>
      <c r="D44" s="46" t="s">
        <v>2607</v>
      </c>
      <c r="E44" s="46" t="s">
        <v>2700</v>
      </c>
      <c r="F44" s="46" t="s">
        <v>2484</v>
      </c>
      <c r="J44" s="46">
        <v>1</v>
      </c>
      <c r="M44" s="46">
        <v>1</v>
      </c>
      <c r="Q44" s="46">
        <v>1</v>
      </c>
      <c r="T44" s="46">
        <v>1</v>
      </c>
      <c r="W44" s="46">
        <v>15</v>
      </c>
      <c r="X44" s="46">
        <v>18</v>
      </c>
      <c r="Y44" s="46">
        <v>18</v>
      </c>
      <c r="Z44" s="46">
        <v>6</v>
      </c>
      <c r="AA44" s="46">
        <v>6</v>
      </c>
      <c r="AB44" s="46">
        <v>6</v>
      </c>
      <c r="AC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Z44" s="46">
        <v>1</v>
      </c>
      <c r="CI44" s="46">
        <v>1</v>
      </c>
      <c r="CP44" s="46">
        <v>1</v>
      </c>
      <c r="CU44" s="139">
        <v>46511</v>
      </c>
    </row>
    <row r="45" spans="1:99" hidden="1">
      <c r="A45" s="46" t="s">
        <v>1793</v>
      </c>
      <c r="B45" s="46" t="s">
        <v>2701</v>
      </c>
      <c r="C45" s="46">
        <v>23</v>
      </c>
      <c r="D45" s="46" t="s">
        <v>2607</v>
      </c>
      <c r="E45" s="46" t="s">
        <v>2702</v>
      </c>
      <c r="F45" s="46" t="s">
        <v>2484</v>
      </c>
      <c r="G45" s="46">
        <v>1</v>
      </c>
      <c r="L45" s="46">
        <v>1</v>
      </c>
      <c r="Q45" s="46">
        <v>1</v>
      </c>
      <c r="V45" s="46">
        <v>1</v>
      </c>
      <c r="W45" s="46">
        <v>12</v>
      </c>
      <c r="X45" s="46">
        <v>18</v>
      </c>
      <c r="Y45" s="46">
        <v>0</v>
      </c>
      <c r="Z45" s="46">
        <v>0</v>
      </c>
      <c r="AA45" s="46">
        <v>0</v>
      </c>
      <c r="AB45" s="46">
        <v>0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 t="s">
        <v>2703</v>
      </c>
      <c r="CU45" s="46" t="s">
        <v>2704</v>
      </c>
    </row>
  </sheetData>
  <autoFilter ref="A3:CU45">
    <filterColumn colId="2">
      <filters>
        <filter val="62"/>
        <filter val="64"/>
        <filter val="79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8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137" t="s">
        <v>360</v>
      </c>
      <c r="AC2" s="66" t="s">
        <v>369</v>
      </c>
      <c r="AD2" s="64" t="s">
        <v>365</v>
      </c>
    </row>
    <row r="3" spans="1:30">
      <c r="A3" s="74" t="s">
        <v>773</v>
      </c>
      <c r="B3" s="69">
        <v>18</v>
      </c>
      <c r="C3" s="69">
        <v>0</v>
      </c>
      <c r="D3" s="69">
        <v>7</v>
      </c>
      <c r="E3" s="69">
        <f>SUM(B3:D3)</f>
        <v>25</v>
      </c>
      <c r="F3" s="70">
        <v>0</v>
      </c>
      <c r="G3" s="70">
        <v>16</v>
      </c>
      <c r="H3" s="70">
        <v>2</v>
      </c>
      <c r="I3" s="71">
        <f t="shared" ref="I3:I8" si="0">SUM(F3:H3)</f>
        <v>18</v>
      </c>
      <c r="J3" s="70">
        <v>7</v>
      </c>
      <c r="K3" s="70">
        <v>0</v>
      </c>
      <c r="L3" s="70">
        <v>0</v>
      </c>
      <c r="M3" s="70">
        <v>0</v>
      </c>
      <c r="N3" s="71">
        <f t="shared" ref="N3:N8" si="1">SUM(J3:M3)</f>
        <v>7</v>
      </c>
      <c r="O3" s="70">
        <v>0</v>
      </c>
      <c r="P3" s="70">
        <v>0</v>
      </c>
      <c r="Q3" s="70">
        <v>2</v>
      </c>
      <c r="R3" s="71">
        <f>SUM(O3:Q3)</f>
        <v>2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3">
        <v>21</v>
      </c>
      <c r="Z3" s="73">
        <v>1</v>
      </c>
      <c r="AA3" s="73">
        <v>0</v>
      </c>
      <c r="AB3" s="73">
        <v>3</v>
      </c>
      <c r="AC3" s="73">
        <f>SUM(Y3:AB3)</f>
        <v>25</v>
      </c>
      <c r="AD3" s="73">
        <v>0</v>
      </c>
    </row>
    <row r="4" spans="1:30">
      <c r="A4" s="77" t="s">
        <v>2705</v>
      </c>
      <c r="B4" s="69">
        <v>5</v>
      </c>
      <c r="C4" s="69">
        <v>0</v>
      </c>
      <c r="D4" s="69">
        <v>0</v>
      </c>
      <c r="E4" s="69">
        <f>SUM(B4:D4)</f>
        <v>5</v>
      </c>
      <c r="F4" s="70">
        <v>0</v>
      </c>
      <c r="G4" s="70">
        <v>5</v>
      </c>
      <c r="H4" s="70">
        <v>0</v>
      </c>
      <c r="I4" s="71">
        <f t="shared" si="0"/>
        <v>5</v>
      </c>
      <c r="J4" s="70">
        <v>0</v>
      </c>
      <c r="K4" s="70">
        <v>0</v>
      </c>
      <c r="L4" s="70">
        <v>0</v>
      </c>
      <c r="M4" s="70">
        <v>0</v>
      </c>
      <c r="N4" s="71">
        <f t="shared" si="1"/>
        <v>0</v>
      </c>
      <c r="O4" s="70">
        <v>0</v>
      </c>
      <c r="P4" s="70">
        <v>0</v>
      </c>
      <c r="Q4" s="70">
        <v>2</v>
      </c>
      <c r="R4" s="71">
        <f>SUM(O4:Q4)</f>
        <v>2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3">
        <v>4</v>
      </c>
      <c r="Z4" s="73">
        <v>0</v>
      </c>
      <c r="AA4" s="73">
        <v>0</v>
      </c>
      <c r="AB4" s="73">
        <v>0</v>
      </c>
      <c r="AC4" s="73">
        <f>SUM(Y4:AB4)</f>
        <v>4</v>
      </c>
      <c r="AD4" s="73">
        <v>0</v>
      </c>
    </row>
    <row r="5" spans="1:30">
      <c r="A5" s="77" t="s">
        <v>1444</v>
      </c>
      <c r="B5" s="69">
        <v>2</v>
      </c>
      <c r="C5" s="69">
        <v>0</v>
      </c>
      <c r="D5" s="69">
        <v>0</v>
      </c>
      <c r="E5" s="69">
        <f>SUM(B5:D5)</f>
        <v>2</v>
      </c>
      <c r="F5" s="70">
        <v>0</v>
      </c>
      <c r="G5" s="70">
        <v>1</v>
      </c>
      <c r="H5" s="70">
        <v>0</v>
      </c>
      <c r="I5" s="71">
        <f t="shared" si="0"/>
        <v>1</v>
      </c>
      <c r="J5" s="70">
        <v>0</v>
      </c>
      <c r="K5" s="70">
        <v>0</v>
      </c>
      <c r="L5" s="70">
        <v>0</v>
      </c>
      <c r="M5" s="70">
        <v>1</v>
      </c>
      <c r="N5" s="71">
        <f t="shared" si="1"/>
        <v>1</v>
      </c>
      <c r="O5" s="70">
        <v>0</v>
      </c>
      <c r="P5" s="70">
        <v>0</v>
      </c>
      <c r="Q5" s="70">
        <v>0</v>
      </c>
      <c r="R5" s="71">
        <f>SUM(O5:Q5)</f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1</v>
      </c>
      <c r="Z5" s="73">
        <v>0</v>
      </c>
      <c r="AA5" s="73">
        <v>0</v>
      </c>
      <c r="AB5" s="73">
        <v>1</v>
      </c>
      <c r="AC5" s="73">
        <f>SUM(Y5:AB5)</f>
        <v>2</v>
      </c>
      <c r="AD5" s="73">
        <v>0</v>
      </c>
    </row>
    <row r="6" spans="1:30">
      <c r="A6" s="77" t="s">
        <v>2602</v>
      </c>
      <c r="B6" s="69">
        <v>6</v>
      </c>
      <c r="C6" s="69">
        <v>0</v>
      </c>
      <c r="D6" s="69">
        <v>1</v>
      </c>
      <c r="E6" s="69">
        <f>SUM(B6:D6)</f>
        <v>7</v>
      </c>
      <c r="F6" s="70">
        <v>0</v>
      </c>
      <c r="G6" s="70">
        <v>1</v>
      </c>
      <c r="H6" s="70">
        <v>0</v>
      </c>
      <c r="I6" s="71">
        <f t="shared" si="0"/>
        <v>1</v>
      </c>
      <c r="J6" s="70">
        <v>3</v>
      </c>
      <c r="K6" s="70">
        <v>0</v>
      </c>
      <c r="L6" s="70">
        <v>0</v>
      </c>
      <c r="M6" s="70">
        <v>1</v>
      </c>
      <c r="N6" s="71">
        <f t="shared" si="1"/>
        <v>4</v>
      </c>
      <c r="O6" s="70">
        <v>0</v>
      </c>
      <c r="P6" s="70">
        <v>0</v>
      </c>
      <c r="Q6" s="70">
        <v>0</v>
      </c>
      <c r="R6" s="71">
        <f>SUM(O6:Q6)</f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5</v>
      </c>
      <c r="Z6" s="73">
        <v>0</v>
      </c>
      <c r="AA6" s="73">
        <v>0</v>
      </c>
      <c r="AB6" s="73">
        <v>0</v>
      </c>
      <c r="AC6" s="73">
        <f>SUM(Y6:AB6)</f>
        <v>5</v>
      </c>
      <c r="AD6" s="73">
        <v>0</v>
      </c>
    </row>
    <row r="7" spans="1:30">
      <c r="A7" s="78" t="s">
        <v>2706</v>
      </c>
      <c r="B7" s="79">
        <v>2</v>
      </c>
      <c r="C7" s="79">
        <v>0</v>
      </c>
      <c r="D7" s="79">
        <v>1</v>
      </c>
      <c r="E7" s="69">
        <f>SUM(B7:D7)</f>
        <v>3</v>
      </c>
      <c r="F7" s="80">
        <v>0</v>
      </c>
      <c r="G7" s="80">
        <v>1</v>
      </c>
      <c r="H7" s="80">
        <v>0</v>
      </c>
      <c r="I7" s="71">
        <f t="shared" si="0"/>
        <v>1</v>
      </c>
      <c r="J7" s="80">
        <v>1</v>
      </c>
      <c r="K7" s="80">
        <v>0</v>
      </c>
      <c r="L7" s="80">
        <v>0</v>
      </c>
      <c r="M7" s="80">
        <v>0</v>
      </c>
      <c r="N7" s="71">
        <f t="shared" si="1"/>
        <v>1</v>
      </c>
      <c r="O7" s="80">
        <v>0</v>
      </c>
      <c r="P7" s="80">
        <v>0</v>
      </c>
      <c r="Q7" s="80">
        <v>0</v>
      </c>
      <c r="R7" s="71">
        <f>SUM(O7:Q7)</f>
        <v>0</v>
      </c>
      <c r="S7" s="80">
        <v>0</v>
      </c>
      <c r="T7" s="80">
        <v>0</v>
      </c>
      <c r="U7" s="80"/>
      <c r="V7" s="80">
        <v>0</v>
      </c>
      <c r="W7" s="80">
        <v>0</v>
      </c>
      <c r="X7" s="80">
        <v>0</v>
      </c>
      <c r="Y7" s="82">
        <v>3</v>
      </c>
      <c r="Z7" s="82">
        <v>0</v>
      </c>
      <c r="AA7" s="82">
        <v>0</v>
      </c>
      <c r="AB7" s="82">
        <v>0</v>
      </c>
      <c r="AC7" s="73">
        <f>SUM(Y7:AB7)</f>
        <v>3</v>
      </c>
      <c r="AD7" s="82">
        <v>0</v>
      </c>
    </row>
    <row r="8" spans="1:30">
      <c r="A8" s="69" t="s">
        <v>376</v>
      </c>
      <c r="B8" s="69">
        <f t="shared" ref="B8:H8" si="2">SUM(B3:B7)</f>
        <v>33</v>
      </c>
      <c r="C8" s="69">
        <f t="shared" si="2"/>
        <v>0</v>
      </c>
      <c r="D8" s="69">
        <f t="shared" si="2"/>
        <v>9</v>
      </c>
      <c r="E8" s="69">
        <f t="shared" si="2"/>
        <v>42</v>
      </c>
      <c r="F8" s="69">
        <f t="shared" si="2"/>
        <v>0</v>
      </c>
      <c r="G8" s="69">
        <f t="shared" si="2"/>
        <v>24</v>
      </c>
      <c r="H8" s="69">
        <f t="shared" si="2"/>
        <v>2</v>
      </c>
      <c r="I8" s="71">
        <f t="shared" si="0"/>
        <v>26</v>
      </c>
      <c r="J8" s="114">
        <f>SUM(J3:J7)</f>
        <v>11</v>
      </c>
      <c r="K8" s="114">
        <f>SUM(K3:K7)</f>
        <v>0</v>
      </c>
      <c r="L8" s="114">
        <f>SUM(L3:L7)</f>
        <v>0</v>
      </c>
      <c r="M8" s="114">
        <f>SUM(M3:M7)</f>
        <v>2</v>
      </c>
      <c r="N8" s="71">
        <f t="shared" si="1"/>
        <v>13</v>
      </c>
      <c r="O8" s="114">
        <f t="shared" ref="O8:AD8" si="3">SUM(O3:O7)</f>
        <v>0</v>
      </c>
      <c r="P8" s="114">
        <f t="shared" si="3"/>
        <v>0</v>
      </c>
      <c r="Q8" s="114">
        <f t="shared" si="3"/>
        <v>4</v>
      </c>
      <c r="R8" s="71">
        <f t="shared" si="3"/>
        <v>4</v>
      </c>
      <c r="S8" s="114">
        <f t="shared" si="3"/>
        <v>0</v>
      </c>
      <c r="T8" s="114">
        <f t="shared" si="3"/>
        <v>0</v>
      </c>
      <c r="U8" s="114">
        <f t="shared" si="3"/>
        <v>0</v>
      </c>
      <c r="V8" s="114">
        <f t="shared" si="3"/>
        <v>0</v>
      </c>
      <c r="W8" s="114">
        <f t="shared" si="3"/>
        <v>0</v>
      </c>
      <c r="X8" s="114">
        <f t="shared" si="3"/>
        <v>0</v>
      </c>
      <c r="Y8" s="73">
        <f t="shared" si="3"/>
        <v>34</v>
      </c>
      <c r="Z8" s="73">
        <f t="shared" si="3"/>
        <v>1</v>
      </c>
      <c r="AA8" s="73">
        <f t="shared" si="3"/>
        <v>0</v>
      </c>
      <c r="AB8" s="73">
        <f t="shared" si="3"/>
        <v>4</v>
      </c>
      <c r="AC8" s="73">
        <f t="shared" si="3"/>
        <v>39</v>
      </c>
      <c r="AD8" s="73">
        <f t="shared" si="3"/>
        <v>0</v>
      </c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6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2578125" defaultRowHeight="15" customHeight="1"/>
  <cols>
    <col min="1" max="1" width="10.5703125" customWidth="1"/>
    <col min="2" max="2" width="21.140625" customWidth="1"/>
    <col min="3" max="3" width="10" customWidth="1"/>
    <col min="5" max="5" width="18.140625" customWidth="1"/>
    <col min="67" max="67" width="18.28515625" customWidth="1"/>
  </cols>
  <sheetData>
    <row r="1" spans="1:99">
      <c r="A1" s="479" t="s">
        <v>2707</v>
      </c>
      <c r="B1" s="480"/>
      <c r="C1" s="479" t="s">
        <v>2708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90" t="s">
        <v>16</v>
      </c>
      <c r="BI1" s="491"/>
      <c r="BJ1" s="491"/>
      <c r="BK1" s="491"/>
      <c r="BL1" s="491"/>
      <c r="BM1" s="492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30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44" t="s">
        <v>101</v>
      </c>
      <c r="CU3" s="45" t="s">
        <v>102</v>
      </c>
    </row>
    <row r="4" spans="1:99" hidden="1">
      <c r="A4" s="46" t="s">
        <v>1795</v>
      </c>
      <c r="B4" s="46" t="s">
        <v>2709</v>
      </c>
      <c r="C4" s="46">
        <v>32</v>
      </c>
      <c r="D4" s="46" t="s">
        <v>2710</v>
      </c>
      <c r="E4" s="46" t="s">
        <v>2711</v>
      </c>
      <c r="F4" s="46" t="s">
        <v>2472</v>
      </c>
      <c r="I4" s="46">
        <v>1</v>
      </c>
      <c r="M4" s="46">
        <v>1</v>
      </c>
      <c r="R4" s="46">
        <v>1</v>
      </c>
      <c r="T4" s="46">
        <v>1</v>
      </c>
      <c r="W4" s="46">
        <v>14</v>
      </c>
      <c r="X4" s="46">
        <v>17</v>
      </c>
      <c r="Y4" s="46">
        <v>18</v>
      </c>
      <c r="Z4" s="46">
        <v>5</v>
      </c>
      <c r="AA4" s="46">
        <v>5</v>
      </c>
      <c r="AB4" s="46">
        <v>5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Z4" s="46">
        <v>1</v>
      </c>
      <c r="CI4" s="46">
        <v>1</v>
      </c>
      <c r="CP4" s="46">
        <v>1</v>
      </c>
      <c r="CU4" s="139">
        <v>46695</v>
      </c>
    </row>
    <row r="5" spans="1:99" hidden="1">
      <c r="A5" s="46" t="s">
        <v>1799</v>
      </c>
      <c r="B5" s="46" t="s">
        <v>2712</v>
      </c>
      <c r="C5" s="46">
        <v>46</v>
      </c>
      <c r="D5" s="46" t="s">
        <v>2350</v>
      </c>
      <c r="E5" s="46" t="s">
        <v>2713</v>
      </c>
      <c r="F5" s="46" t="s">
        <v>2472</v>
      </c>
      <c r="I5" s="46">
        <v>1</v>
      </c>
      <c r="O5" s="46">
        <v>1</v>
      </c>
      <c r="R5" s="46">
        <v>1</v>
      </c>
      <c r="T5" s="46">
        <v>1</v>
      </c>
      <c r="W5" s="46">
        <v>9</v>
      </c>
      <c r="X5" s="46">
        <v>19</v>
      </c>
      <c r="Y5" s="46">
        <v>20</v>
      </c>
      <c r="Z5" s="46">
        <v>4</v>
      </c>
      <c r="AA5" s="46">
        <v>1</v>
      </c>
      <c r="AB5" s="46">
        <v>1</v>
      </c>
      <c r="AC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I5" s="46">
        <v>1</v>
      </c>
      <c r="CP5" s="46">
        <v>1</v>
      </c>
      <c r="CU5" s="139">
        <v>46695</v>
      </c>
    </row>
    <row r="6" spans="1:99" hidden="1">
      <c r="A6" s="46" t="s">
        <v>1801</v>
      </c>
      <c r="B6" s="46" t="s">
        <v>2714</v>
      </c>
      <c r="C6" s="46">
        <v>40</v>
      </c>
      <c r="D6" s="46" t="s">
        <v>2350</v>
      </c>
      <c r="E6" s="46" t="s">
        <v>191</v>
      </c>
      <c r="F6" s="46" t="s">
        <v>2472</v>
      </c>
      <c r="I6" s="46">
        <v>1</v>
      </c>
      <c r="N6" s="46">
        <v>1</v>
      </c>
      <c r="Q6" s="46"/>
      <c r="R6" s="46">
        <v>1</v>
      </c>
      <c r="T6" s="46">
        <v>1</v>
      </c>
      <c r="W6" s="46">
        <v>18</v>
      </c>
      <c r="X6" s="46">
        <v>18</v>
      </c>
      <c r="Y6" s="46">
        <v>23</v>
      </c>
      <c r="Z6" s="46">
        <v>5</v>
      </c>
      <c r="AA6" s="46">
        <v>3</v>
      </c>
      <c r="AB6" s="46">
        <v>3</v>
      </c>
      <c r="AC6" s="46">
        <v>1</v>
      </c>
      <c r="AJ6" s="46">
        <v>1</v>
      </c>
      <c r="AM6" s="46">
        <v>1</v>
      </c>
      <c r="AT6" s="46">
        <v>1</v>
      </c>
      <c r="AW6" s="46">
        <v>1</v>
      </c>
      <c r="BB6" s="46">
        <v>1</v>
      </c>
      <c r="BF6" s="46">
        <v>1</v>
      </c>
      <c r="BI6" s="46">
        <v>1</v>
      </c>
      <c r="BZ6" s="46">
        <v>1</v>
      </c>
      <c r="CI6" s="46">
        <v>1</v>
      </c>
      <c r="CP6" s="46">
        <v>1</v>
      </c>
      <c r="CU6" s="139">
        <v>46695</v>
      </c>
    </row>
    <row r="7" spans="1:99" hidden="1">
      <c r="A7" s="46" t="s">
        <v>1805</v>
      </c>
      <c r="B7" s="46" t="s">
        <v>2715</v>
      </c>
      <c r="C7" s="46">
        <v>37</v>
      </c>
      <c r="D7" s="46" t="s">
        <v>1120</v>
      </c>
      <c r="E7" s="46" t="s">
        <v>2716</v>
      </c>
      <c r="F7" s="46" t="s">
        <v>2472</v>
      </c>
      <c r="G7" s="46">
        <v>1</v>
      </c>
      <c r="M7" s="46">
        <v>1</v>
      </c>
      <c r="Q7" s="46">
        <v>1</v>
      </c>
      <c r="T7" s="46">
        <v>1</v>
      </c>
      <c r="W7" s="46">
        <v>14</v>
      </c>
      <c r="X7" s="46">
        <v>15</v>
      </c>
      <c r="Y7" s="46">
        <v>18</v>
      </c>
      <c r="Z7" s="46">
        <v>9</v>
      </c>
      <c r="AA7" s="46">
        <v>7</v>
      </c>
      <c r="AB7" s="46">
        <v>7</v>
      </c>
      <c r="AE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I7" s="46">
        <v>1</v>
      </c>
      <c r="CP7" s="46">
        <v>1</v>
      </c>
      <c r="CU7" s="139">
        <v>46695</v>
      </c>
    </row>
    <row r="8" spans="1:99" hidden="1">
      <c r="A8" s="46" t="s">
        <v>1808</v>
      </c>
      <c r="B8" s="46" t="s">
        <v>2717</v>
      </c>
      <c r="C8" s="46">
        <v>29</v>
      </c>
      <c r="D8" s="46" t="s">
        <v>1120</v>
      </c>
      <c r="E8" s="46" t="s">
        <v>2718</v>
      </c>
      <c r="F8" s="46" t="s">
        <v>2472</v>
      </c>
      <c r="I8" s="46">
        <v>1</v>
      </c>
      <c r="O8" s="46">
        <v>1</v>
      </c>
      <c r="R8" s="46">
        <v>1</v>
      </c>
      <c r="U8" s="46">
        <v>1</v>
      </c>
      <c r="W8" s="46">
        <v>17</v>
      </c>
      <c r="X8" s="46">
        <v>18</v>
      </c>
      <c r="Y8" s="46">
        <v>18</v>
      </c>
      <c r="Z8" s="46">
        <v>2</v>
      </c>
      <c r="AA8" s="46">
        <v>2</v>
      </c>
      <c r="AB8" s="46">
        <v>2</v>
      </c>
      <c r="AE8" s="46" t="s">
        <v>2492</v>
      </c>
      <c r="AJ8" s="46">
        <v>1</v>
      </c>
      <c r="AK8" s="46">
        <v>1</v>
      </c>
      <c r="AT8" s="46">
        <v>1</v>
      </c>
      <c r="AX8" s="46">
        <v>1</v>
      </c>
      <c r="BA8" s="46">
        <v>1</v>
      </c>
      <c r="BI8" s="46">
        <v>1</v>
      </c>
      <c r="BZ8" s="46">
        <v>1</v>
      </c>
      <c r="CI8" s="46">
        <v>1</v>
      </c>
      <c r="CP8" s="46">
        <v>1</v>
      </c>
      <c r="CU8" s="139">
        <v>46695</v>
      </c>
    </row>
    <row r="9" spans="1:99" hidden="1">
      <c r="A9" s="46" t="s">
        <v>1810</v>
      </c>
      <c r="B9" s="46" t="s">
        <v>2719</v>
      </c>
      <c r="C9" s="46">
        <v>24</v>
      </c>
      <c r="D9" s="46" t="s">
        <v>2350</v>
      </c>
      <c r="E9" s="46" t="s">
        <v>2720</v>
      </c>
      <c r="F9" s="46" t="s">
        <v>127</v>
      </c>
      <c r="G9" s="46">
        <v>1</v>
      </c>
      <c r="M9" s="46">
        <v>1</v>
      </c>
      <c r="Q9" s="46">
        <v>1</v>
      </c>
      <c r="T9" s="46">
        <v>1</v>
      </c>
      <c r="W9" s="46">
        <v>16</v>
      </c>
      <c r="X9" s="46">
        <v>19</v>
      </c>
      <c r="Y9" s="46">
        <v>22</v>
      </c>
      <c r="Z9" s="46">
        <v>1</v>
      </c>
      <c r="AA9" s="46">
        <v>1</v>
      </c>
      <c r="AB9" s="46">
        <v>1</v>
      </c>
      <c r="AE9" s="46">
        <v>1</v>
      </c>
      <c r="AG9" s="46">
        <v>1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I9" s="46">
        <v>1</v>
      </c>
      <c r="CP9" s="46">
        <v>1</v>
      </c>
      <c r="CU9" s="139">
        <v>46695</v>
      </c>
    </row>
    <row r="10" spans="1:99" hidden="1">
      <c r="A10" s="46" t="s">
        <v>1812</v>
      </c>
      <c r="B10" s="46" t="s">
        <v>2721</v>
      </c>
      <c r="C10" s="46">
        <v>27</v>
      </c>
      <c r="D10" s="46" t="s">
        <v>2722</v>
      </c>
      <c r="E10" s="46" t="s">
        <v>2723</v>
      </c>
      <c r="F10" s="46" t="s">
        <v>2523</v>
      </c>
      <c r="H10" s="46">
        <v>1</v>
      </c>
      <c r="L10" s="46">
        <v>1</v>
      </c>
      <c r="R10" s="46">
        <v>1</v>
      </c>
      <c r="U10" s="46">
        <v>1</v>
      </c>
      <c r="W10" s="46">
        <v>14</v>
      </c>
      <c r="X10" s="46">
        <v>15</v>
      </c>
      <c r="Y10" s="46">
        <v>17</v>
      </c>
      <c r="Z10" s="46">
        <v>1</v>
      </c>
      <c r="AA10" s="46">
        <v>1</v>
      </c>
      <c r="AB10" s="46">
        <v>1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W10" s="46">
        <v>1</v>
      </c>
      <c r="BZ10" s="46">
        <v>1</v>
      </c>
      <c r="CI10" s="46">
        <v>1</v>
      </c>
      <c r="CP10" s="46">
        <v>1</v>
      </c>
      <c r="CU10" s="139">
        <v>46695</v>
      </c>
    </row>
    <row r="11" spans="1:99" hidden="1">
      <c r="A11" s="46" t="s">
        <v>1815</v>
      </c>
      <c r="B11" s="46" t="s">
        <v>2724</v>
      </c>
      <c r="C11" s="46">
        <v>27</v>
      </c>
      <c r="D11" s="46" t="s">
        <v>2350</v>
      </c>
      <c r="E11" s="46" t="s">
        <v>2725</v>
      </c>
      <c r="F11" s="46" t="s">
        <v>145</v>
      </c>
      <c r="G11" s="46">
        <v>1</v>
      </c>
      <c r="M11" s="46">
        <v>1</v>
      </c>
      <c r="R11" s="46">
        <v>1</v>
      </c>
      <c r="U11" s="46">
        <v>1</v>
      </c>
      <c r="W11" s="46">
        <v>15</v>
      </c>
      <c r="X11" s="46">
        <v>16</v>
      </c>
      <c r="Y11" s="46">
        <v>20</v>
      </c>
      <c r="Z11" s="46">
        <v>3</v>
      </c>
      <c r="AA11" s="46">
        <v>2</v>
      </c>
      <c r="AB11" s="46">
        <v>2</v>
      </c>
      <c r="AH11" s="46">
        <v>1</v>
      </c>
      <c r="AJ11" s="46">
        <v>1</v>
      </c>
      <c r="AK11" s="46">
        <v>1</v>
      </c>
      <c r="AT11" s="46">
        <v>1</v>
      </c>
      <c r="AZ11" s="46">
        <v>1</v>
      </c>
      <c r="BA11" s="46">
        <v>1</v>
      </c>
      <c r="BI11" s="46">
        <v>1</v>
      </c>
      <c r="BZ11" s="46">
        <v>1</v>
      </c>
      <c r="CI11" s="46">
        <v>1</v>
      </c>
      <c r="CP11" s="46">
        <v>1</v>
      </c>
      <c r="CU11" s="139">
        <v>46695</v>
      </c>
    </row>
    <row r="12" spans="1:99" hidden="1">
      <c r="A12" s="46" t="s">
        <v>1819</v>
      </c>
      <c r="B12" s="46" t="s">
        <v>2726</v>
      </c>
      <c r="C12" s="46">
        <v>25</v>
      </c>
      <c r="D12" s="46" t="s">
        <v>1120</v>
      </c>
      <c r="E12" s="46" t="s">
        <v>2727</v>
      </c>
      <c r="F12" s="46" t="s">
        <v>2472</v>
      </c>
      <c r="G12" s="46">
        <v>1</v>
      </c>
      <c r="M12" s="46">
        <v>1</v>
      </c>
      <c r="Q12" s="46">
        <v>1</v>
      </c>
      <c r="T12" s="46">
        <v>1</v>
      </c>
      <c r="W12" s="46">
        <v>16</v>
      </c>
      <c r="X12" s="46">
        <v>19</v>
      </c>
      <c r="Y12" s="46">
        <v>20</v>
      </c>
      <c r="Z12" s="46">
        <v>1</v>
      </c>
      <c r="AA12" s="46">
        <v>1</v>
      </c>
      <c r="AB12" s="46">
        <v>1</v>
      </c>
      <c r="AE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I12" s="46">
        <v>1</v>
      </c>
      <c r="CP12" s="46">
        <v>1</v>
      </c>
      <c r="CU12" s="139">
        <v>46695</v>
      </c>
    </row>
    <row r="13" spans="1:99" hidden="1">
      <c r="A13" s="46" t="s">
        <v>1828</v>
      </c>
      <c r="B13" s="46" t="s">
        <v>2728</v>
      </c>
      <c r="C13" s="46">
        <v>48</v>
      </c>
      <c r="D13" s="46" t="s">
        <v>2350</v>
      </c>
      <c r="E13" s="46" t="s">
        <v>2729</v>
      </c>
      <c r="F13" s="46" t="s">
        <v>2484</v>
      </c>
      <c r="I13" s="46">
        <v>1</v>
      </c>
      <c r="M13" s="46">
        <v>1</v>
      </c>
      <c r="R13" s="46">
        <v>1</v>
      </c>
      <c r="T13" s="46">
        <v>1</v>
      </c>
      <c r="W13" s="46">
        <v>14</v>
      </c>
      <c r="X13" s="46">
        <v>15</v>
      </c>
      <c r="Y13" s="46">
        <v>15</v>
      </c>
      <c r="Z13" s="46">
        <v>10</v>
      </c>
      <c r="AA13" s="46">
        <v>7</v>
      </c>
      <c r="AB13" s="46">
        <v>7</v>
      </c>
      <c r="AE13" s="46">
        <v>1</v>
      </c>
      <c r="AH13" s="46">
        <v>1</v>
      </c>
      <c r="AJ13" s="46">
        <v>1</v>
      </c>
      <c r="AK13" s="46">
        <v>1</v>
      </c>
      <c r="AT13" s="46">
        <v>1</v>
      </c>
      <c r="AX13" s="46">
        <v>1</v>
      </c>
      <c r="BA13" s="46">
        <v>1</v>
      </c>
      <c r="BK13" s="46">
        <v>1</v>
      </c>
      <c r="BS13" s="46" t="s">
        <v>2730</v>
      </c>
      <c r="BZ13" s="46">
        <v>1</v>
      </c>
      <c r="CP13" s="46">
        <v>1</v>
      </c>
      <c r="CU13" s="46" t="s">
        <v>2731</v>
      </c>
    </row>
    <row r="14" spans="1:99" hidden="1">
      <c r="A14" s="46" t="s">
        <v>1833</v>
      </c>
      <c r="B14" s="46" t="s">
        <v>2732</v>
      </c>
      <c r="C14" s="46">
        <v>53</v>
      </c>
      <c r="D14" s="46" t="s">
        <v>1120</v>
      </c>
      <c r="E14" s="46" t="s">
        <v>2733</v>
      </c>
      <c r="F14" s="46" t="s">
        <v>2484</v>
      </c>
      <c r="H14" s="46">
        <v>1</v>
      </c>
      <c r="O14" s="46">
        <v>1</v>
      </c>
      <c r="Q14" s="46">
        <v>1</v>
      </c>
      <c r="U14" s="46">
        <v>1</v>
      </c>
      <c r="W14" s="46">
        <v>13</v>
      </c>
      <c r="X14" s="46">
        <v>19</v>
      </c>
      <c r="Y14" s="46">
        <v>21</v>
      </c>
      <c r="Z14" s="46">
        <v>7</v>
      </c>
      <c r="AA14" s="46">
        <v>7</v>
      </c>
      <c r="AB14" s="46">
        <v>6</v>
      </c>
      <c r="AC14" s="46">
        <v>1</v>
      </c>
      <c r="AJ14" s="46">
        <v>1</v>
      </c>
      <c r="AK14" s="46">
        <v>1</v>
      </c>
      <c r="AT14" s="46">
        <v>1</v>
      </c>
      <c r="AX14" s="46">
        <v>1</v>
      </c>
      <c r="BA14" s="46">
        <v>1</v>
      </c>
      <c r="BI14" s="46">
        <v>1</v>
      </c>
      <c r="BS14" s="46" t="s">
        <v>2730</v>
      </c>
      <c r="BZ14" s="46">
        <v>1</v>
      </c>
      <c r="CI14" s="46">
        <v>1</v>
      </c>
      <c r="CP14" s="46">
        <v>1</v>
      </c>
      <c r="CU14" s="46" t="s">
        <v>2731</v>
      </c>
    </row>
    <row r="15" spans="1:99">
      <c r="A15" s="46" t="s">
        <v>1836</v>
      </c>
      <c r="B15" s="46" t="s">
        <v>2734</v>
      </c>
      <c r="C15" s="46">
        <v>64</v>
      </c>
      <c r="D15" s="46" t="s">
        <v>2350</v>
      </c>
      <c r="E15" s="46" t="s">
        <v>2735</v>
      </c>
      <c r="F15" s="46" t="s">
        <v>2484</v>
      </c>
      <c r="H15" s="46">
        <v>1</v>
      </c>
      <c r="P15" s="46">
        <v>1</v>
      </c>
      <c r="R15" s="46">
        <v>1</v>
      </c>
      <c r="U15" s="46">
        <v>1</v>
      </c>
      <c r="W15" s="46">
        <v>14</v>
      </c>
      <c r="X15" s="46">
        <v>18</v>
      </c>
      <c r="Y15" s="46">
        <v>25</v>
      </c>
      <c r="Z15" s="46">
        <v>4</v>
      </c>
      <c r="AA15" s="46">
        <v>4</v>
      </c>
      <c r="AB15" s="46">
        <v>4</v>
      </c>
      <c r="AG15" s="46">
        <v>1</v>
      </c>
      <c r="AJ15" s="46">
        <v>1</v>
      </c>
      <c r="AL15" s="46">
        <v>1</v>
      </c>
      <c r="AS15" s="46">
        <v>1</v>
      </c>
      <c r="AT15" s="46">
        <v>1</v>
      </c>
      <c r="AX15" s="46">
        <v>1</v>
      </c>
      <c r="BA15" s="46">
        <v>1</v>
      </c>
      <c r="BI15" s="46">
        <v>1</v>
      </c>
      <c r="BT15" s="46" t="s">
        <v>2736</v>
      </c>
      <c r="BZ15" s="46">
        <v>1</v>
      </c>
      <c r="CI15" s="46">
        <v>1</v>
      </c>
      <c r="CP15" s="46">
        <v>1</v>
      </c>
      <c r="CU15" s="46" t="s">
        <v>2731</v>
      </c>
    </row>
    <row r="16" spans="1:99" hidden="1">
      <c r="A16" s="46" t="s">
        <v>1839</v>
      </c>
      <c r="B16" s="46" t="s">
        <v>2737</v>
      </c>
      <c r="C16" s="46">
        <v>27</v>
      </c>
      <c r="D16" s="46" t="s">
        <v>2738</v>
      </c>
      <c r="E16" s="46" t="s">
        <v>2739</v>
      </c>
      <c r="F16" s="46" t="s">
        <v>2484</v>
      </c>
      <c r="H16" s="46">
        <v>1</v>
      </c>
      <c r="M16" s="46">
        <v>1</v>
      </c>
      <c r="R16" s="46">
        <v>1</v>
      </c>
      <c r="T16" s="46">
        <v>1</v>
      </c>
      <c r="W16" s="46">
        <v>13</v>
      </c>
      <c r="X16" s="46">
        <v>17</v>
      </c>
      <c r="Y16" s="46">
        <v>18</v>
      </c>
      <c r="Z16" s="46">
        <v>2</v>
      </c>
      <c r="AA16" s="46">
        <v>2</v>
      </c>
      <c r="AB16" s="46">
        <v>2</v>
      </c>
      <c r="AE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W16" s="46">
        <v>1</v>
      </c>
      <c r="BZ16" s="46">
        <v>1</v>
      </c>
      <c r="CI16" s="46">
        <v>1</v>
      </c>
      <c r="CP16" s="46">
        <v>1</v>
      </c>
      <c r="CU16" s="139">
        <v>46695</v>
      </c>
    </row>
    <row r="17" spans="1:99" hidden="1">
      <c r="A17" s="46" t="s">
        <v>1842</v>
      </c>
      <c r="B17" s="46" t="s">
        <v>2740</v>
      </c>
      <c r="C17" s="46">
        <v>54</v>
      </c>
      <c r="D17" s="46" t="s">
        <v>1120</v>
      </c>
      <c r="E17" s="46" t="s">
        <v>2741</v>
      </c>
      <c r="F17" s="46" t="s">
        <v>2484</v>
      </c>
      <c r="H17" s="46">
        <v>1</v>
      </c>
      <c r="O17" s="46">
        <v>1</v>
      </c>
      <c r="R17" s="46">
        <v>1</v>
      </c>
      <c r="U17" s="46">
        <v>1</v>
      </c>
      <c r="W17" s="46">
        <v>14</v>
      </c>
      <c r="X17" s="46">
        <v>16</v>
      </c>
      <c r="Y17" s="46">
        <v>22</v>
      </c>
      <c r="Z17" s="46">
        <v>8</v>
      </c>
      <c r="AA17" s="46">
        <v>5</v>
      </c>
      <c r="AB17" s="46">
        <v>5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W17" s="46">
        <v>1</v>
      </c>
      <c r="BZ17" s="46">
        <v>1</v>
      </c>
      <c r="CI17" s="46">
        <v>1</v>
      </c>
      <c r="CP17" s="46">
        <v>1</v>
      </c>
      <c r="CU17" s="139">
        <v>46695</v>
      </c>
    </row>
    <row r="18" spans="1:99" hidden="1">
      <c r="A18" s="46" t="s">
        <v>1845</v>
      </c>
      <c r="B18" s="46" t="s">
        <v>2742</v>
      </c>
      <c r="C18" s="46">
        <v>34</v>
      </c>
      <c r="D18" s="46" t="s">
        <v>1120</v>
      </c>
      <c r="E18" s="46" t="s">
        <v>2743</v>
      </c>
      <c r="F18" s="46" t="s">
        <v>2484</v>
      </c>
      <c r="G18" s="46">
        <v>1</v>
      </c>
      <c r="M18" s="46">
        <v>1</v>
      </c>
      <c r="Q18" s="46">
        <v>1</v>
      </c>
      <c r="T18" s="46">
        <v>1</v>
      </c>
      <c r="W18" s="46">
        <v>12</v>
      </c>
      <c r="X18" s="46">
        <v>16</v>
      </c>
      <c r="Y18" s="46">
        <v>18</v>
      </c>
      <c r="Z18" s="46">
        <v>6</v>
      </c>
      <c r="AA18" s="46">
        <v>5</v>
      </c>
      <c r="AB18" s="46">
        <v>5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I18" s="46">
        <v>1</v>
      </c>
      <c r="CP18" s="46">
        <v>1</v>
      </c>
      <c r="CU18" s="139">
        <v>46695</v>
      </c>
    </row>
    <row r="19" spans="1:99" hidden="1">
      <c r="A19" s="46" t="s">
        <v>1849</v>
      </c>
      <c r="B19" s="46" t="s">
        <v>2744</v>
      </c>
      <c r="C19" s="46">
        <v>28</v>
      </c>
      <c r="D19" s="46" t="s">
        <v>2350</v>
      </c>
      <c r="E19" s="46" t="s">
        <v>2745</v>
      </c>
      <c r="F19" s="46" t="s">
        <v>2484</v>
      </c>
      <c r="H19" s="46">
        <v>1</v>
      </c>
      <c r="M19" s="46">
        <v>1</v>
      </c>
      <c r="R19" s="46">
        <v>1</v>
      </c>
      <c r="T19" s="46">
        <v>1</v>
      </c>
      <c r="W19" s="46">
        <v>15</v>
      </c>
      <c r="X19" s="46">
        <v>17</v>
      </c>
      <c r="Y19" s="46">
        <v>20</v>
      </c>
      <c r="Z19" s="46">
        <v>2</v>
      </c>
      <c r="AA19" s="46">
        <v>2</v>
      </c>
      <c r="AB19" s="46">
        <v>2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I19" s="46">
        <v>1</v>
      </c>
      <c r="CP19" s="46">
        <v>1</v>
      </c>
      <c r="CU19" s="139">
        <v>46695</v>
      </c>
    </row>
    <row r="20" spans="1:99" hidden="1">
      <c r="A20" s="46" t="s">
        <v>1852</v>
      </c>
      <c r="B20" s="46" t="s">
        <v>2746</v>
      </c>
      <c r="C20" s="46">
        <v>27</v>
      </c>
      <c r="D20" s="46" t="s">
        <v>1120</v>
      </c>
      <c r="E20" s="46" t="s">
        <v>2747</v>
      </c>
      <c r="F20" s="46" t="s">
        <v>2484</v>
      </c>
      <c r="J20" s="46">
        <v>1</v>
      </c>
      <c r="M20" s="46">
        <v>1</v>
      </c>
      <c r="Q20" s="46">
        <v>1</v>
      </c>
      <c r="U20" s="46">
        <v>1</v>
      </c>
      <c r="W20" s="46">
        <v>14</v>
      </c>
      <c r="X20" s="46">
        <v>20</v>
      </c>
      <c r="Y20" s="46">
        <v>25</v>
      </c>
      <c r="Z20" s="46">
        <v>3</v>
      </c>
      <c r="AA20" s="46">
        <v>3</v>
      </c>
      <c r="AB20" s="46">
        <v>3</v>
      </c>
      <c r="AC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Z20" s="46">
        <v>1</v>
      </c>
      <c r="CI20" s="46">
        <v>1</v>
      </c>
      <c r="CP20" s="46">
        <v>1</v>
      </c>
      <c r="CU20" s="139">
        <v>46695</v>
      </c>
    </row>
    <row r="21" spans="1:99" hidden="1">
      <c r="A21" s="46" t="s">
        <v>1855</v>
      </c>
      <c r="B21" s="46" t="s">
        <v>2748</v>
      </c>
      <c r="C21" s="46">
        <v>24</v>
      </c>
      <c r="D21" s="46" t="s">
        <v>1120</v>
      </c>
      <c r="E21" s="46" t="s">
        <v>2749</v>
      </c>
      <c r="F21" s="46" t="s">
        <v>2484</v>
      </c>
      <c r="I21" s="46">
        <v>1</v>
      </c>
      <c r="M21" s="46">
        <v>1</v>
      </c>
      <c r="Q21" s="46">
        <v>1</v>
      </c>
      <c r="U21" s="46">
        <v>1</v>
      </c>
      <c r="W21" s="46">
        <v>15</v>
      </c>
      <c r="X21" s="46">
        <v>18</v>
      </c>
      <c r="Y21" s="46">
        <v>19</v>
      </c>
      <c r="Z21" s="46">
        <v>2</v>
      </c>
      <c r="AA21" s="46">
        <v>2</v>
      </c>
      <c r="AB21" s="46">
        <v>2</v>
      </c>
      <c r="AC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I21" s="46">
        <v>1</v>
      </c>
      <c r="CP21" s="46">
        <v>1</v>
      </c>
      <c r="CU21" s="139">
        <v>46695</v>
      </c>
    </row>
    <row r="22" spans="1:99" hidden="1">
      <c r="A22" s="46" t="s">
        <v>1859</v>
      </c>
      <c r="B22" s="46" t="s">
        <v>2750</v>
      </c>
      <c r="C22" s="46">
        <v>23</v>
      </c>
      <c r="D22" s="46" t="s">
        <v>1120</v>
      </c>
      <c r="E22" s="46" t="s">
        <v>2751</v>
      </c>
      <c r="F22" s="46" t="s">
        <v>2484</v>
      </c>
      <c r="I22" s="46">
        <v>1</v>
      </c>
      <c r="L22" s="46">
        <v>1</v>
      </c>
      <c r="Q22" s="46">
        <v>1</v>
      </c>
      <c r="U22" s="46">
        <v>1</v>
      </c>
      <c r="W22" s="46">
        <v>12</v>
      </c>
      <c r="X22" s="46">
        <v>18</v>
      </c>
      <c r="Y22" s="46">
        <v>0</v>
      </c>
      <c r="Z22" s="46">
        <v>0</v>
      </c>
      <c r="AA22" s="46">
        <v>0</v>
      </c>
      <c r="AB22" s="46">
        <v>0</v>
      </c>
      <c r="AC22" s="46">
        <v>1</v>
      </c>
      <c r="AJ22" s="46">
        <v>1</v>
      </c>
      <c r="AM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J22" s="46">
        <v>1</v>
      </c>
      <c r="CP22" s="46">
        <v>1</v>
      </c>
      <c r="CU22" s="139">
        <v>46695</v>
      </c>
    </row>
    <row r="23" spans="1:99" hidden="1">
      <c r="A23" s="46" t="s">
        <v>1862</v>
      </c>
      <c r="B23" s="46" t="s">
        <v>2752</v>
      </c>
      <c r="C23" s="46">
        <v>42</v>
      </c>
      <c r="D23" s="46" t="s">
        <v>1120</v>
      </c>
      <c r="E23" s="46" t="s">
        <v>2753</v>
      </c>
      <c r="F23" s="46" t="s">
        <v>2506</v>
      </c>
      <c r="I23" s="46">
        <v>1</v>
      </c>
      <c r="M23" s="46">
        <v>1</v>
      </c>
      <c r="Q23" s="46">
        <v>1</v>
      </c>
      <c r="U23" s="46">
        <v>1</v>
      </c>
      <c r="W23" s="46">
        <v>16</v>
      </c>
      <c r="X23" s="46">
        <v>17</v>
      </c>
      <c r="Y23" s="46">
        <v>19</v>
      </c>
      <c r="Z23" s="46">
        <v>8</v>
      </c>
      <c r="AA23" s="46">
        <v>6</v>
      </c>
      <c r="AB23" s="46">
        <v>5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I23" s="46">
        <v>1</v>
      </c>
      <c r="CP23" s="46">
        <v>1</v>
      </c>
      <c r="CU23" s="139">
        <v>46695</v>
      </c>
    </row>
    <row r="24" spans="1:99" hidden="1">
      <c r="A24" s="46" t="s">
        <v>1865</v>
      </c>
      <c r="B24" s="46" t="s">
        <v>2754</v>
      </c>
      <c r="C24" s="46">
        <v>19</v>
      </c>
      <c r="D24" s="46" t="s">
        <v>2350</v>
      </c>
      <c r="E24" s="46" t="s">
        <v>2755</v>
      </c>
      <c r="F24" s="46" t="s">
        <v>2484</v>
      </c>
      <c r="I24" s="46">
        <v>1</v>
      </c>
      <c r="L24" s="46">
        <v>1</v>
      </c>
      <c r="Q24" s="46">
        <v>1</v>
      </c>
      <c r="U24" s="46">
        <v>1</v>
      </c>
      <c r="W24" s="46">
        <v>14</v>
      </c>
      <c r="X24" s="46">
        <v>17</v>
      </c>
      <c r="Y24" s="46">
        <v>0</v>
      </c>
      <c r="Z24" s="46">
        <v>0</v>
      </c>
      <c r="AA24" s="46">
        <v>0</v>
      </c>
      <c r="AB24" s="46">
        <v>0</v>
      </c>
      <c r="AH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W24" s="46">
        <v>1</v>
      </c>
      <c r="BZ24" s="46">
        <v>1</v>
      </c>
      <c r="CI24" s="46">
        <v>1</v>
      </c>
      <c r="CP24" s="46">
        <v>1</v>
      </c>
      <c r="CU24" s="139">
        <v>46695</v>
      </c>
    </row>
    <row r="25" spans="1:99" hidden="1">
      <c r="A25" s="46" t="s">
        <v>1868</v>
      </c>
      <c r="B25" s="46" t="s">
        <v>2756</v>
      </c>
      <c r="C25" s="46">
        <v>22</v>
      </c>
      <c r="D25" s="46" t="s">
        <v>2350</v>
      </c>
      <c r="E25" s="46" t="s">
        <v>2757</v>
      </c>
      <c r="F25" s="46" t="s">
        <v>2484</v>
      </c>
      <c r="I25" s="46">
        <v>1</v>
      </c>
      <c r="L25" s="46">
        <v>1</v>
      </c>
      <c r="R25" s="46">
        <v>1</v>
      </c>
      <c r="T25" s="46">
        <v>1</v>
      </c>
      <c r="W25" s="46">
        <v>18</v>
      </c>
      <c r="X25" s="46">
        <v>20</v>
      </c>
      <c r="Y25" s="46">
        <v>0</v>
      </c>
      <c r="Z25" s="46">
        <v>0</v>
      </c>
      <c r="AA25" s="46">
        <v>0</v>
      </c>
      <c r="AB25" s="46">
        <v>0</v>
      </c>
      <c r="AC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W25" s="46">
        <v>1</v>
      </c>
      <c r="BZ25" s="46">
        <v>1</v>
      </c>
      <c r="CI25" s="46">
        <v>1</v>
      </c>
      <c r="CP25" s="46">
        <v>1</v>
      </c>
      <c r="CU25" s="139">
        <v>46695</v>
      </c>
    </row>
    <row r="26" spans="1:99">
      <c r="A26" s="46" t="s">
        <v>1871</v>
      </c>
      <c r="B26" s="46" t="s">
        <v>2758</v>
      </c>
      <c r="C26" s="46">
        <v>63</v>
      </c>
      <c r="D26" s="46" t="s">
        <v>2350</v>
      </c>
      <c r="E26" s="46" t="s">
        <v>2759</v>
      </c>
      <c r="F26" s="46" t="s">
        <v>2484</v>
      </c>
      <c r="H26" s="46">
        <v>1</v>
      </c>
      <c r="P26" s="46">
        <v>1</v>
      </c>
      <c r="Q26" s="46">
        <v>1</v>
      </c>
      <c r="V26" s="46">
        <v>1</v>
      </c>
      <c r="W26" s="46">
        <v>14</v>
      </c>
      <c r="X26" s="46">
        <v>28</v>
      </c>
      <c r="Y26" s="46">
        <v>30</v>
      </c>
      <c r="Z26" s="46">
        <v>4</v>
      </c>
      <c r="AA26" s="46">
        <v>4</v>
      </c>
      <c r="AB26" s="46">
        <v>4</v>
      </c>
      <c r="AG26" s="46">
        <v>1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B26" s="46">
        <v>1</v>
      </c>
      <c r="BF26" s="46">
        <v>1</v>
      </c>
      <c r="BJ26" s="46">
        <v>1</v>
      </c>
      <c r="BW26" s="46">
        <v>1</v>
      </c>
      <c r="BZ26" s="46">
        <v>1</v>
      </c>
      <c r="CI26" s="46">
        <v>1</v>
      </c>
      <c r="CP26" s="46">
        <v>1</v>
      </c>
      <c r="CU26" s="139">
        <v>45600</v>
      </c>
    </row>
    <row r="27" spans="1:99" hidden="1">
      <c r="A27" s="46" t="s">
        <v>2760</v>
      </c>
      <c r="B27" s="46" t="s">
        <v>2761</v>
      </c>
      <c r="C27" s="46">
        <v>24</v>
      </c>
      <c r="D27" s="46" t="s">
        <v>1120</v>
      </c>
      <c r="E27" s="46" t="s">
        <v>2762</v>
      </c>
      <c r="F27" s="46" t="s">
        <v>2484</v>
      </c>
      <c r="I27" s="46">
        <v>1</v>
      </c>
      <c r="M27" s="46">
        <v>1</v>
      </c>
      <c r="Q27" s="46">
        <v>1</v>
      </c>
      <c r="U27" s="46">
        <v>1</v>
      </c>
      <c r="W27" s="46">
        <v>18</v>
      </c>
      <c r="X27" s="46">
        <v>19</v>
      </c>
      <c r="Y27" s="46">
        <v>24</v>
      </c>
      <c r="Z27" s="46">
        <v>1</v>
      </c>
      <c r="AA27" s="46">
        <v>1</v>
      </c>
      <c r="AB27" s="46">
        <v>1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W27" s="46">
        <v>1</v>
      </c>
      <c r="BZ27" s="46">
        <v>1</v>
      </c>
      <c r="CI27" s="46">
        <v>1</v>
      </c>
      <c r="CP27" s="46">
        <v>1</v>
      </c>
      <c r="CU27" s="139">
        <v>46695</v>
      </c>
    </row>
    <row r="28" spans="1:99" hidden="1">
      <c r="A28" s="46" t="s">
        <v>1877</v>
      </c>
      <c r="B28" s="46" t="s">
        <v>2763</v>
      </c>
      <c r="C28" s="46">
        <v>36</v>
      </c>
      <c r="D28" s="46" t="s">
        <v>1120</v>
      </c>
      <c r="E28" s="46" t="s">
        <v>2764</v>
      </c>
      <c r="F28" s="46" t="s">
        <v>2484</v>
      </c>
      <c r="H28" s="46">
        <v>1</v>
      </c>
      <c r="L28" s="46">
        <v>1</v>
      </c>
      <c r="Q28" s="46">
        <v>1</v>
      </c>
      <c r="T28" s="46">
        <v>1</v>
      </c>
      <c r="W28" s="46">
        <v>12</v>
      </c>
      <c r="X28" s="46">
        <v>13</v>
      </c>
      <c r="Y28" s="46">
        <v>14</v>
      </c>
      <c r="Z28" s="46" t="s">
        <v>191</v>
      </c>
      <c r="AA28" s="46">
        <v>5</v>
      </c>
      <c r="AB28" s="46">
        <v>5</v>
      </c>
      <c r="AG28" s="46">
        <v>1</v>
      </c>
      <c r="AH28" s="46">
        <v>1</v>
      </c>
      <c r="AJ28" s="46">
        <v>1</v>
      </c>
      <c r="AL28" s="46">
        <v>1</v>
      </c>
      <c r="AO28" s="46">
        <v>1</v>
      </c>
      <c r="AS28" s="46">
        <v>1</v>
      </c>
      <c r="AT28" s="46">
        <v>1</v>
      </c>
      <c r="AW28" s="46">
        <v>1</v>
      </c>
      <c r="BA28" s="46">
        <v>1</v>
      </c>
      <c r="BI28" s="46">
        <v>1</v>
      </c>
      <c r="BW28" s="46">
        <v>1</v>
      </c>
      <c r="BZ28" s="46">
        <v>1</v>
      </c>
      <c r="CI28" s="46">
        <v>1</v>
      </c>
      <c r="CP28" s="46">
        <v>1</v>
      </c>
      <c r="CU28" s="139">
        <v>46695</v>
      </c>
    </row>
    <row r="29" spans="1:99" hidden="1">
      <c r="A29" s="46" t="s">
        <v>1880</v>
      </c>
      <c r="B29" s="46" t="s">
        <v>2765</v>
      </c>
      <c r="C29" s="46">
        <v>24</v>
      </c>
      <c r="D29" s="46" t="s">
        <v>2766</v>
      </c>
      <c r="E29" s="46" t="s">
        <v>2767</v>
      </c>
      <c r="F29" s="46" t="s">
        <v>2484</v>
      </c>
      <c r="J29" s="46">
        <v>1</v>
      </c>
      <c r="M29" s="46">
        <v>1</v>
      </c>
      <c r="Q29" s="46">
        <v>1</v>
      </c>
      <c r="U29" s="46">
        <v>1</v>
      </c>
      <c r="W29" s="46">
        <v>15</v>
      </c>
      <c r="X29" s="46">
        <v>18</v>
      </c>
      <c r="Y29" s="46">
        <v>21</v>
      </c>
      <c r="Z29" s="46">
        <v>1</v>
      </c>
      <c r="AA29" s="46">
        <v>1</v>
      </c>
      <c r="AB29" s="46">
        <v>1</v>
      </c>
      <c r="AD29" s="46">
        <v>1</v>
      </c>
      <c r="AH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H29" s="46">
        <v>1</v>
      </c>
      <c r="BW29" s="46">
        <v>1</v>
      </c>
      <c r="BZ29" s="46">
        <v>1</v>
      </c>
      <c r="CI29" s="46">
        <v>1</v>
      </c>
      <c r="CP29" s="46">
        <v>1</v>
      </c>
      <c r="CU29" s="139">
        <v>46695</v>
      </c>
    </row>
    <row r="30" spans="1:99" hidden="1">
      <c r="A30" s="46" t="s">
        <v>1883</v>
      </c>
      <c r="B30" s="46" t="s">
        <v>2768</v>
      </c>
      <c r="C30" s="46">
        <v>46</v>
      </c>
      <c r="D30" s="46" t="s">
        <v>1120</v>
      </c>
      <c r="E30" s="46" t="s">
        <v>2769</v>
      </c>
      <c r="F30" s="46" t="s">
        <v>2484</v>
      </c>
      <c r="H30" s="46">
        <v>1</v>
      </c>
      <c r="O30" s="46">
        <v>1</v>
      </c>
      <c r="R30" s="46">
        <v>1</v>
      </c>
      <c r="T30" s="46">
        <v>1</v>
      </c>
      <c r="W30" s="46">
        <v>18</v>
      </c>
      <c r="X30" s="46">
        <v>18</v>
      </c>
      <c r="Y30" s="46">
        <v>20</v>
      </c>
      <c r="Z30" s="46">
        <v>4</v>
      </c>
      <c r="AA30" s="46">
        <v>4</v>
      </c>
      <c r="AB30" s="46">
        <v>4</v>
      </c>
      <c r="AC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J30" s="46">
        <v>1</v>
      </c>
      <c r="BW30" s="46">
        <v>1</v>
      </c>
      <c r="BZ30" s="46">
        <v>1</v>
      </c>
      <c r="CI30" s="46">
        <v>1</v>
      </c>
      <c r="CP30" s="46">
        <v>1</v>
      </c>
      <c r="CU30" s="139">
        <v>46695</v>
      </c>
    </row>
    <row r="31" spans="1:99" hidden="1">
      <c r="A31" s="46" t="s">
        <v>1886</v>
      </c>
      <c r="B31" s="46" t="s">
        <v>2770</v>
      </c>
      <c r="C31" s="46">
        <v>47</v>
      </c>
      <c r="D31" s="46" t="s">
        <v>2722</v>
      </c>
      <c r="E31" s="46" t="s">
        <v>2771</v>
      </c>
      <c r="F31" s="46" t="s">
        <v>2484</v>
      </c>
      <c r="H31" s="46">
        <v>1</v>
      </c>
      <c r="L31" s="46">
        <v>1</v>
      </c>
      <c r="Q31" s="46">
        <v>1</v>
      </c>
      <c r="U31" s="46">
        <v>1</v>
      </c>
      <c r="W31" s="46">
        <v>13</v>
      </c>
      <c r="X31" s="46">
        <v>17</v>
      </c>
      <c r="Y31" s="46">
        <v>18</v>
      </c>
      <c r="Z31" s="46">
        <v>9</v>
      </c>
      <c r="AA31" s="46">
        <v>9</v>
      </c>
      <c r="AB31" s="46">
        <v>9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B31" s="46">
        <v>1</v>
      </c>
      <c r="BF31" s="46">
        <v>1</v>
      </c>
      <c r="BJ31" s="46">
        <v>1</v>
      </c>
      <c r="BW31" s="46">
        <v>1</v>
      </c>
      <c r="BZ31" s="46">
        <v>1</v>
      </c>
      <c r="CI31" s="46">
        <v>1</v>
      </c>
      <c r="CP31" s="46">
        <v>1</v>
      </c>
      <c r="CU31" s="139">
        <v>46695</v>
      </c>
    </row>
    <row r="32" spans="1:99" hidden="1">
      <c r="A32" s="46" t="s">
        <v>1889</v>
      </c>
      <c r="B32" s="46" t="s">
        <v>2772</v>
      </c>
      <c r="C32" s="46">
        <v>36</v>
      </c>
      <c r="D32" s="46" t="s">
        <v>2773</v>
      </c>
      <c r="E32" s="46" t="s">
        <v>2774</v>
      </c>
      <c r="F32" s="46" t="s">
        <v>2484</v>
      </c>
      <c r="J32" s="46">
        <v>1</v>
      </c>
      <c r="O32" s="46">
        <v>1</v>
      </c>
      <c r="Q32" s="46">
        <v>1</v>
      </c>
      <c r="T32" s="46">
        <v>1</v>
      </c>
      <c r="W32" s="46">
        <v>9</v>
      </c>
      <c r="X32" s="46">
        <v>15</v>
      </c>
      <c r="Y32" s="46">
        <v>16</v>
      </c>
      <c r="Z32" s="46">
        <v>12</v>
      </c>
      <c r="AA32" s="46">
        <v>8</v>
      </c>
      <c r="AB32" s="46">
        <v>8</v>
      </c>
      <c r="AE32" s="46">
        <v>1</v>
      </c>
      <c r="AJ32" s="46">
        <v>1</v>
      </c>
      <c r="AM32" s="46">
        <v>1</v>
      </c>
      <c r="AT32" s="46">
        <v>1</v>
      </c>
      <c r="AW32" s="46">
        <v>1</v>
      </c>
      <c r="BA32" s="46">
        <v>1</v>
      </c>
      <c r="BM32" s="46" t="s">
        <v>2775</v>
      </c>
      <c r="BW32" s="46">
        <v>1</v>
      </c>
      <c r="BZ32" s="46">
        <v>1</v>
      </c>
      <c r="CI32" s="46">
        <v>1</v>
      </c>
      <c r="CP32" s="46">
        <v>1</v>
      </c>
      <c r="CU32" s="139">
        <v>45601</v>
      </c>
    </row>
    <row r="33" spans="1:99" hidden="1">
      <c r="A33" s="46" t="s">
        <v>1892</v>
      </c>
      <c r="B33" s="46" t="s">
        <v>2776</v>
      </c>
      <c r="C33" s="46">
        <v>39</v>
      </c>
      <c r="D33" s="46" t="s">
        <v>1459</v>
      </c>
      <c r="E33" s="46" t="s">
        <v>2777</v>
      </c>
      <c r="F33" s="46" t="s">
        <v>2484</v>
      </c>
      <c r="H33" s="46">
        <v>1</v>
      </c>
      <c r="M33" s="46">
        <v>1</v>
      </c>
      <c r="Q33" s="46">
        <v>1</v>
      </c>
      <c r="V33" s="46">
        <v>1</v>
      </c>
      <c r="W33" s="46">
        <v>14</v>
      </c>
      <c r="X33" s="46">
        <v>22</v>
      </c>
      <c r="Y33" s="46">
        <v>24</v>
      </c>
      <c r="Z33" s="46" t="s">
        <v>191</v>
      </c>
      <c r="AA33" s="46">
        <v>3</v>
      </c>
      <c r="AB33" s="46">
        <v>3</v>
      </c>
      <c r="AE33" s="46">
        <v>1</v>
      </c>
      <c r="AG33" s="46">
        <v>1</v>
      </c>
      <c r="AH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H33" s="46">
        <v>1</v>
      </c>
      <c r="BV33" s="46">
        <v>1</v>
      </c>
      <c r="BW33" s="46">
        <v>1</v>
      </c>
      <c r="CA33" s="46">
        <v>1</v>
      </c>
      <c r="CB33" s="140">
        <v>45352</v>
      </c>
      <c r="CC33" s="46">
        <v>1</v>
      </c>
      <c r="CJ33" s="46">
        <v>1</v>
      </c>
      <c r="CQ33" s="46" t="s">
        <v>2778</v>
      </c>
      <c r="CU33" s="139">
        <v>45966</v>
      </c>
    </row>
    <row r="34" spans="1:99" hidden="1">
      <c r="A34" s="46" t="s">
        <v>1895</v>
      </c>
      <c r="B34" s="46" t="s">
        <v>2779</v>
      </c>
      <c r="C34" s="46">
        <v>49</v>
      </c>
      <c r="D34" s="46" t="s">
        <v>1120</v>
      </c>
      <c r="E34" s="46" t="s">
        <v>2780</v>
      </c>
      <c r="F34" s="46" t="s">
        <v>2484</v>
      </c>
      <c r="H34" s="46">
        <v>1</v>
      </c>
      <c r="M34" s="46">
        <v>1</v>
      </c>
      <c r="Q34" s="46">
        <v>1</v>
      </c>
      <c r="V34" s="46">
        <v>1</v>
      </c>
      <c r="W34" s="46">
        <v>14</v>
      </c>
      <c r="X34" s="46">
        <v>15</v>
      </c>
      <c r="Y34" s="46">
        <v>23</v>
      </c>
      <c r="Z34" s="46">
        <v>5</v>
      </c>
      <c r="AA34" s="46">
        <v>5</v>
      </c>
      <c r="AB34" s="46">
        <v>5</v>
      </c>
      <c r="AC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I34" s="46">
        <v>1</v>
      </c>
      <c r="CP34" s="46">
        <v>1</v>
      </c>
      <c r="CU34" s="139">
        <v>46695</v>
      </c>
    </row>
    <row r="35" spans="1:99">
      <c r="A35" s="46" t="s">
        <v>1897</v>
      </c>
      <c r="B35" s="46" t="s">
        <v>2781</v>
      </c>
      <c r="C35" s="46">
        <v>65</v>
      </c>
      <c r="D35" s="46" t="s">
        <v>2782</v>
      </c>
      <c r="E35" s="46" t="s">
        <v>2783</v>
      </c>
      <c r="F35" s="46" t="s">
        <v>2484</v>
      </c>
      <c r="G35" s="46">
        <v>1</v>
      </c>
      <c r="P35" s="46">
        <v>1</v>
      </c>
      <c r="R35" s="46">
        <v>1</v>
      </c>
      <c r="T35" s="46">
        <v>1</v>
      </c>
      <c r="W35" s="46">
        <v>14</v>
      </c>
      <c r="X35" s="46">
        <v>18</v>
      </c>
      <c r="Y35" s="46">
        <v>25</v>
      </c>
      <c r="Z35" s="46">
        <v>7</v>
      </c>
      <c r="AA35" s="46">
        <v>7</v>
      </c>
      <c r="AB35" s="46">
        <v>7</v>
      </c>
      <c r="AH35" s="46">
        <v>1</v>
      </c>
      <c r="AJ35" s="46">
        <v>1</v>
      </c>
      <c r="AK35" s="46">
        <v>1</v>
      </c>
      <c r="AT35" s="46">
        <v>1</v>
      </c>
      <c r="AX35" s="46">
        <v>1</v>
      </c>
      <c r="BA35" s="46">
        <v>1</v>
      </c>
      <c r="BM35" s="46" t="s">
        <v>2784</v>
      </c>
      <c r="BO35" s="46" t="s">
        <v>2785</v>
      </c>
      <c r="BZ35" s="46">
        <v>1</v>
      </c>
      <c r="CI35" s="46">
        <v>1</v>
      </c>
      <c r="CP35" s="46">
        <v>1</v>
      </c>
      <c r="CU35" s="46" t="s">
        <v>191</v>
      </c>
    </row>
    <row r="36" spans="1:99" hidden="1">
      <c r="A36" s="46" t="s">
        <v>1900</v>
      </c>
      <c r="B36" s="46" t="s">
        <v>1747</v>
      </c>
      <c r="C36" s="46">
        <v>19</v>
      </c>
      <c r="D36" s="46" t="s">
        <v>2786</v>
      </c>
      <c r="E36" s="46" t="s">
        <v>2787</v>
      </c>
      <c r="F36" s="46" t="s">
        <v>2484</v>
      </c>
      <c r="I36" s="46">
        <v>1</v>
      </c>
      <c r="L36" s="46">
        <v>1</v>
      </c>
      <c r="Q36" s="46">
        <v>1</v>
      </c>
      <c r="U36" s="46">
        <v>1</v>
      </c>
      <c r="W36" s="46">
        <v>14</v>
      </c>
      <c r="X36" s="46">
        <v>18</v>
      </c>
      <c r="Y36" s="46">
        <v>0</v>
      </c>
      <c r="Z36" s="46">
        <v>0</v>
      </c>
      <c r="AA36" s="46">
        <v>0</v>
      </c>
      <c r="AB36" s="46">
        <v>0</v>
      </c>
      <c r="AE36" s="46">
        <v>1</v>
      </c>
      <c r="AI36" s="46">
        <v>1</v>
      </c>
      <c r="AK36" s="46">
        <v>1</v>
      </c>
      <c r="AT36" s="46">
        <v>1</v>
      </c>
      <c r="AX36" s="46">
        <v>1</v>
      </c>
      <c r="BA36" s="46">
        <v>1</v>
      </c>
      <c r="BI36" s="46">
        <v>1</v>
      </c>
      <c r="BW36" s="46">
        <v>1</v>
      </c>
      <c r="BZ36" s="46">
        <v>1</v>
      </c>
      <c r="CI36" s="46">
        <v>1</v>
      </c>
      <c r="CP36" s="46">
        <v>1</v>
      </c>
      <c r="CU36" s="139">
        <v>46695</v>
      </c>
    </row>
    <row r="37" spans="1:99" hidden="1">
      <c r="A37" s="46" t="s">
        <v>1903</v>
      </c>
      <c r="B37" s="46" t="s">
        <v>2788</v>
      </c>
      <c r="C37" s="46">
        <v>33</v>
      </c>
      <c r="D37" s="46" t="s">
        <v>1120</v>
      </c>
      <c r="E37" s="46" t="s">
        <v>2789</v>
      </c>
      <c r="F37" s="46" t="s">
        <v>2484</v>
      </c>
      <c r="J37" s="46">
        <v>1</v>
      </c>
      <c r="L37" s="46">
        <v>1</v>
      </c>
      <c r="Q37" s="46">
        <v>1</v>
      </c>
      <c r="T37" s="46">
        <v>1</v>
      </c>
      <c r="W37" s="46">
        <v>16</v>
      </c>
      <c r="X37" s="46">
        <v>17</v>
      </c>
      <c r="Y37" s="46">
        <v>22</v>
      </c>
      <c r="Z37" s="46">
        <v>3</v>
      </c>
      <c r="AA37" s="46">
        <v>3</v>
      </c>
      <c r="AB37" s="46">
        <v>2</v>
      </c>
      <c r="AG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W37" s="46"/>
      <c r="BZ37" s="46">
        <v>1</v>
      </c>
      <c r="CI37" s="46">
        <v>1</v>
      </c>
      <c r="CP37" s="46">
        <v>1</v>
      </c>
      <c r="CU37" s="139">
        <v>46695</v>
      </c>
    </row>
    <row r="38" spans="1:99" hidden="1">
      <c r="A38" s="46" t="s">
        <v>1907</v>
      </c>
      <c r="B38" s="46" t="s">
        <v>2790</v>
      </c>
      <c r="C38" s="46">
        <v>46</v>
      </c>
      <c r="D38" s="46" t="s">
        <v>2791</v>
      </c>
      <c r="E38" s="46" t="s">
        <v>2792</v>
      </c>
      <c r="F38" s="46" t="s">
        <v>2484</v>
      </c>
      <c r="G38" s="46">
        <v>1</v>
      </c>
      <c r="P38" s="46">
        <v>1</v>
      </c>
      <c r="R38" s="46">
        <v>1</v>
      </c>
      <c r="T38" s="46">
        <v>1</v>
      </c>
      <c r="W38" s="46">
        <v>17</v>
      </c>
      <c r="X38" s="46">
        <v>15</v>
      </c>
      <c r="Y38" s="46">
        <v>20</v>
      </c>
      <c r="Z38" s="46">
        <v>8</v>
      </c>
      <c r="AA38" s="46">
        <v>7</v>
      </c>
      <c r="AB38" s="46">
        <v>6</v>
      </c>
      <c r="AD38" s="46">
        <v>1</v>
      </c>
      <c r="AE38" s="46">
        <v>1</v>
      </c>
      <c r="AG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B38" s="46">
        <v>1</v>
      </c>
      <c r="BF38" s="46">
        <v>1</v>
      </c>
      <c r="BI38" s="46">
        <v>1</v>
      </c>
      <c r="BW38" s="46">
        <v>1</v>
      </c>
      <c r="BZ38" s="46">
        <v>1</v>
      </c>
      <c r="CI38" s="46">
        <v>1</v>
      </c>
      <c r="CP38" s="46">
        <v>1</v>
      </c>
      <c r="CU38" s="139">
        <v>46695</v>
      </c>
    </row>
    <row r="39" spans="1:99" hidden="1">
      <c r="A39" s="46" t="s">
        <v>1911</v>
      </c>
      <c r="B39" s="46" t="s">
        <v>2793</v>
      </c>
      <c r="C39" s="46">
        <v>48</v>
      </c>
      <c r="D39" s="46" t="s">
        <v>2794</v>
      </c>
      <c r="E39" s="46" t="s">
        <v>191</v>
      </c>
      <c r="F39" s="46" t="s">
        <v>2662</v>
      </c>
      <c r="I39" s="46">
        <v>1</v>
      </c>
      <c r="M39" s="46">
        <v>1</v>
      </c>
      <c r="Q39" s="46">
        <v>1</v>
      </c>
      <c r="T39" s="46">
        <v>1</v>
      </c>
      <c r="W39" s="46">
        <v>16</v>
      </c>
      <c r="X39" s="46">
        <v>18</v>
      </c>
      <c r="Y39" s="46">
        <v>18</v>
      </c>
      <c r="Z39" s="46">
        <v>8</v>
      </c>
      <c r="AA39" s="46">
        <v>8</v>
      </c>
      <c r="AB39" s="46">
        <v>8</v>
      </c>
      <c r="AE39" s="46">
        <v>1</v>
      </c>
      <c r="AH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M39" s="46">
        <v>1</v>
      </c>
      <c r="BN39" s="46">
        <v>1</v>
      </c>
      <c r="BO39" s="46" t="s">
        <v>1133</v>
      </c>
      <c r="BZ39" s="46">
        <v>1</v>
      </c>
      <c r="CP39" s="46">
        <v>1</v>
      </c>
      <c r="CU39" s="46" t="s">
        <v>2731</v>
      </c>
    </row>
    <row r="40" spans="1:99" hidden="1">
      <c r="A40" s="46" t="s">
        <v>1914</v>
      </c>
      <c r="B40" s="46" t="s">
        <v>2795</v>
      </c>
      <c r="C40" s="46">
        <v>28</v>
      </c>
      <c r="D40" s="46" t="s">
        <v>1149</v>
      </c>
      <c r="E40" s="46" t="s">
        <v>2796</v>
      </c>
      <c r="F40" s="46" t="s">
        <v>2484</v>
      </c>
      <c r="I40" s="46">
        <v>1</v>
      </c>
      <c r="M40" s="46">
        <v>1</v>
      </c>
      <c r="Q40" s="46">
        <v>1</v>
      </c>
      <c r="U40" s="46">
        <v>1</v>
      </c>
      <c r="W40" s="46">
        <v>16</v>
      </c>
      <c r="X40" s="46">
        <v>17</v>
      </c>
      <c r="Y40" s="46">
        <v>20</v>
      </c>
      <c r="Z40" s="46">
        <v>4</v>
      </c>
      <c r="AA40" s="46">
        <v>4</v>
      </c>
      <c r="AB40" s="46">
        <v>4</v>
      </c>
      <c r="AE40" s="46">
        <v>1</v>
      </c>
      <c r="AG40" s="46">
        <v>1</v>
      </c>
      <c r="AH40" s="46">
        <v>1</v>
      </c>
      <c r="AJ40" s="46">
        <v>1</v>
      </c>
      <c r="AK40" s="46">
        <v>1</v>
      </c>
      <c r="AT40" s="46">
        <v>1</v>
      </c>
      <c r="AX40" s="46">
        <v>1</v>
      </c>
      <c r="BA40" s="46">
        <v>1</v>
      </c>
      <c r="BM40" s="46" t="s">
        <v>2775</v>
      </c>
      <c r="BW40" s="46">
        <v>1</v>
      </c>
      <c r="BZ40" s="46">
        <v>1</v>
      </c>
      <c r="CI40" s="46">
        <v>1</v>
      </c>
      <c r="CP40" s="46">
        <v>1</v>
      </c>
      <c r="CU40" s="139">
        <v>45601</v>
      </c>
    </row>
    <row r="41" spans="1:99" hidden="1">
      <c r="A41" s="46" t="s">
        <v>1917</v>
      </c>
      <c r="B41" s="46" t="s">
        <v>2797</v>
      </c>
      <c r="C41" s="46">
        <v>46</v>
      </c>
      <c r="D41" s="46" t="s">
        <v>1459</v>
      </c>
      <c r="E41" s="46" t="s">
        <v>2798</v>
      </c>
      <c r="F41" s="46" t="s">
        <v>2484</v>
      </c>
      <c r="H41" s="46">
        <v>1</v>
      </c>
      <c r="O41" s="46">
        <v>1</v>
      </c>
      <c r="Q41" s="46">
        <v>1</v>
      </c>
      <c r="U41" s="46">
        <v>1</v>
      </c>
      <c r="W41" s="46">
        <v>13</v>
      </c>
      <c r="X41" s="46">
        <v>19</v>
      </c>
      <c r="Y41" s="46">
        <v>21</v>
      </c>
      <c r="Z41" s="46">
        <v>3</v>
      </c>
      <c r="AA41" s="46">
        <v>3</v>
      </c>
      <c r="AB41" s="46">
        <v>3</v>
      </c>
      <c r="AC41" s="46">
        <v>1</v>
      </c>
      <c r="AJ41" s="46">
        <v>1</v>
      </c>
      <c r="AK41" s="46">
        <v>1</v>
      </c>
      <c r="AT41" s="46">
        <v>1</v>
      </c>
      <c r="AW41" s="46">
        <v>1</v>
      </c>
      <c r="BB41" s="46">
        <v>1</v>
      </c>
      <c r="BF41" s="46">
        <v>1</v>
      </c>
      <c r="BJ41" s="46">
        <v>1</v>
      </c>
      <c r="BZ41" s="46">
        <v>1</v>
      </c>
      <c r="CP41" s="46">
        <v>1</v>
      </c>
      <c r="CU41" s="139">
        <v>46695</v>
      </c>
    </row>
    <row r="42" spans="1:99" hidden="1">
      <c r="A42" s="46" t="s">
        <v>1921</v>
      </c>
      <c r="B42" s="46" t="s">
        <v>2799</v>
      </c>
      <c r="C42" s="46">
        <v>40</v>
      </c>
      <c r="D42" s="46" t="s">
        <v>2800</v>
      </c>
      <c r="E42" s="46" t="s">
        <v>2801</v>
      </c>
      <c r="F42" s="46" t="s">
        <v>2484</v>
      </c>
      <c r="H42" s="46">
        <v>1</v>
      </c>
      <c r="O42" s="46">
        <v>1</v>
      </c>
      <c r="R42" s="46">
        <v>1</v>
      </c>
      <c r="T42" s="46">
        <v>1</v>
      </c>
      <c r="W42" s="46">
        <v>10</v>
      </c>
      <c r="X42" s="46">
        <v>13</v>
      </c>
      <c r="Y42" s="46">
        <v>14</v>
      </c>
      <c r="Z42" s="46">
        <v>8</v>
      </c>
      <c r="AA42" s="46">
        <v>7</v>
      </c>
      <c r="AB42" s="46">
        <v>7</v>
      </c>
      <c r="AE42" s="46">
        <v>1</v>
      </c>
      <c r="AJ42" s="46">
        <v>1</v>
      </c>
      <c r="AK42" s="46">
        <v>1</v>
      </c>
      <c r="AT42" s="46">
        <v>1</v>
      </c>
      <c r="AX42" s="46">
        <v>1</v>
      </c>
      <c r="BA42" s="46">
        <v>1</v>
      </c>
      <c r="BI42" s="46">
        <v>1</v>
      </c>
      <c r="BZ42" s="46">
        <v>1</v>
      </c>
      <c r="CI42" s="46">
        <v>1</v>
      </c>
      <c r="CP42" s="46">
        <v>1</v>
      </c>
      <c r="CU42" s="139">
        <v>46695</v>
      </c>
    </row>
    <row r="43" spans="1:99" hidden="1">
      <c r="A43" s="46" t="s">
        <v>1924</v>
      </c>
      <c r="B43" s="46" t="s">
        <v>2802</v>
      </c>
      <c r="C43" s="46">
        <v>33</v>
      </c>
      <c r="D43" s="46" t="s">
        <v>1149</v>
      </c>
      <c r="E43" s="46" t="s">
        <v>2803</v>
      </c>
      <c r="F43" s="46" t="s">
        <v>145</v>
      </c>
      <c r="G43" s="46">
        <v>1</v>
      </c>
      <c r="M43" s="46">
        <v>1</v>
      </c>
      <c r="Q43" s="46">
        <v>1</v>
      </c>
      <c r="T43" s="46">
        <v>1</v>
      </c>
      <c r="W43" s="46">
        <v>14</v>
      </c>
      <c r="X43" s="46">
        <v>15</v>
      </c>
      <c r="Y43" s="46">
        <v>17</v>
      </c>
      <c r="Z43" s="46">
        <v>5</v>
      </c>
      <c r="AA43" s="46">
        <v>5</v>
      </c>
      <c r="AB43" s="46">
        <v>4</v>
      </c>
      <c r="AH43" s="46">
        <v>1</v>
      </c>
      <c r="AJ43" s="46">
        <v>1</v>
      </c>
      <c r="AK43" s="46">
        <v>1</v>
      </c>
      <c r="AT43" s="46">
        <v>1</v>
      </c>
      <c r="AZ43" s="46">
        <v>1</v>
      </c>
      <c r="BA43" s="46">
        <v>1</v>
      </c>
      <c r="BI43" s="46">
        <v>1</v>
      </c>
      <c r="BW43" s="46">
        <v>1</v>
      </c>
      <c r="BZ43" s="46">
        <v>1</v>
      </c>
      <c r="CI43" s="46">
        <v>1</v>
      </c>
      <c r="CP43" s="46">
        <v>1</v>
      </c>
      <c r="CU43" s="139">
        <v>46695</v>
      </c>
    </row>
    <row r="44" spans="1:99" hidden="1">
      <c r="A44" s="46" t="s">
        <v>1927</v>
      </c>
      <c r="B44" s="46" t="s">
        <v>2804</v>
      </c>
      <c r="C44" s="46">
        <v>56</v>
      </c>
      <c r="D44" s="46" t="s">
        <v>1149</v>
      </c>
      <c r="E44" s="46" t="s">
        <v>2805</v>
      </c>
      <c r="F44" s="46" t="s">
        <v>2484</v>
      </c>
      <c r="I44" s="46">
        <v>1</v>
      </c>
      <c r="O44" s="46">
        <v>1</v>
      </c>
      <c r="P44" s="46">
        <v>1</v>
      </c>
      <c r="T44" s="46">
        <v>1</v>
      </c>
      <c r="W44" s="46">
        <v>16</v>
      </c>
      <c r="X44" s="46">
        <v>18</v>
      </c>
      <c r="Y44" s="46">
        <v>18</v>
      </c>
      <c r="Z44" s="46">
        <v>5</v>
      </c>
      <c r="AA44" s="46">
        <v>5</v>
      </c>
      <c r="AB44" s="46">
        <v>5</v>
      </c>
      <c r="AJ44" s="46">
        <v>1</v>
      </c>
      <c r="AK44" s="46">
        <v>1</v>
      </c>
      <c r="AT44" s="46">
        <v>1</v>
      </c>
      <c r="AX44" s="46">
        <v>1</v>
      </c>
      <c r="BA44" s="46">
        <v>1</v>
      </c>
      <c r="BJ44" s="46">
        <v>1</v>
      </c>
      <c r="BZ44" s="46">
        <v>1</v>
      </c>
      <c r="CI44" s="46">
        <v>1</v>
      </c>
      <c r="CP44" s="46">
        <v>1</v>
      </c>
      <c r="CU44" s="139">
        <v>46695</v>
      </c>
    </row>
    <row r="45" spans="1:99" hidden="1">
      <c r="A45" s="46" t="s">
        <v>1930</v>
      </c>
      <c r="B45" s="46" t="s">
        <v>2806</v>
      </c>
      <c r="C45" s="46">
        <v>59</v>
      </c>
      <c r="D45" s="46" t="s">
        <v>2807</v>
      </c>
      <c r="E45" s="46" t="s">
        <v>2808</v>
      </c>
      <c r="F45" s="46" t="s">
        <v>2484</v>
      </c>
      <c r="G45" s="46">
        <v>1</v>
      </c>
      <c r="M45" s="46">
        <v>1</v>
      </c>
      <c r="Q45" s="46">
        <v>1</v>
      </c>
      <c r="T45" s="46">
        <v>1</v>
      </c>
      <c r="W45" s="46">
        <v>14</v>
      </c>
      <c r="X45" s="46">
        <v>15</v>
      </c>
      <c r="Y45" s="46">
        <v>17</v>
      </c>
      <c r="Z45" s="46">
        <v>10</v>
      </c>
      <c r="AA45" s="46">
        <v>7</v>
      </c>
      <c r="AB45" s="46">
        <v>7</v>
      </c>
      <c r="AH45" s="46">
        <v>1</v>
      </c>
      <c r="AJ45" s="46">
        <v>1</v>
      </c>
      <c r="AK45" s="46">
        <v>1</v>
      </c>
      <c r="AT45" s="46">
        <v>1</v>
      </c>
      <c r="AX45" s="46">
        <v>1</v>
      </c>
      <c r="BA45" s="46">
        <v>1</v>
      </c>
      <c r="BJ45" s="46">
        <v>1</v>
      </c>
      <c r="BW45" s="46">
        <v>1</v>
      </c>
      <c r="BZ45" s="46">
        <v>1</v>
      </c>
      <c r="CI45" s="46">
        <v>1</v>
      </c>
      <c r="CP45" s="46">
        <v>1</v>
      </c>
      <c r="CU45" s="139">
        <v>46695</v>
      </c>
    </row>
    <row r="46" spans="1:99" hidden="1">
      <c r="A46" s="46" t="s">
        <v>1934</v>
      </c>
      <c r="B46" s="46" t="s">
        <v>2809</v>
      </c>
      <c r="C46" s="46">
        <v>21</v>
      </c>
      <c r="D46" s="46" t="s">
        <v>1120</v>
      </c>
      <c r="E46" s="46" t="s">
        <v>2810</v>
      </c>
      <c r="F46" s="46" t="s">
        <v>2484</v>
      </c>
      <c r="J46" s="46">
        <v>1</v>
      </c>
      <c r="M46" s="46">
        <v>1</v>
      </c>
      <c r="Q46" s="46">
        <v>1</v>
      </c>
      <c r="U46" s="46">
        <v>1</v>
      </c>
      <c r="W46" s="46">
        <v>16</v>
      </c>
      <c r="X46" s="46">
        <v>18</v>
      </c>
      <c r="Y46" s="46">
        <v>19</v>
      </c>
      <c r="Z46" s="46">
        <v>2</v>
      </c>
      <c r="AA46" s="46">
        <v>2</v>
      </c>
      <c r="AB46" s="46">
        <v>1</v>
      </c>
      <c r="AH46" s="46">
        <v>1</v>
      </c>
      <c r="AJ46" s="46">
        <v>1</v>
      </c>
      <c r="AK46" s="46">
        <v>1</v>
      </c>
      <c r="AT46" s="46">
        <v>1</v>
      </c>
      <c r="AX46" s="46">
        <v>1</v>
      </c>
      <c r="BA46" s="46">
        <v>1</v>
      </c>
      <c r="BI46" s="46">
        <v>1</v>
      </c>
      <c r="BW46" s="46">
        <v>1</v>
      </c>
      <c r="BZ46" s="46">
        <v>1</v>
      </c>
      <c r="CI46" s="46">
        <v>1</v>
      </c>
      <c r="CP46" s="46">
        <v>1</v>
      </c>
      <c r="CU46" s="139">
        <v>46695</v>
      </c>
    </row>
    <row r="47" spans="1:99" hidden="1">
      <c r="A47" s="46" t="s">
        <v>1938</v>
      </c>
      <c r="B47" s="46" t="s">
        <v>2811</v>
      </c>
      <c r="C47" s="46">
        <v>41</v>
      </c>
      <c r="D47" s="46" t="s">
        <v>1162</v>
      </c>
      <c r="E47" s="46" t="s">
        <v>2812</v>
      </c>
      <c r="F47" s="46" t="s">
        <v>2484</v>
      </c>
      <c r="G47" s="46">
        <v>1</v>
      </c>
      <c r="L47" s="46">
        <v>1</v>
      </c>
      <c r="Q47" s="46">
        <v>1</v>
      </c>
      <c r="T47" s="46">
        <v>1</v>
      </c>
      <c r="W47" s="46">
        <v>16</v>
      </c>
      <c r="X47" s="46">
        <v>18</v>
      </c>
      <c r="Y47" s="46">
        <v>19</v>
      </c>
      <c r="Z47" s="46">
        <v>4</v>
      </c>
      <c r="AA47" s="46">
        <v>4</v>
      </c>
      <c r="AB47" s="46">
        <v>4</v>
      </c>
      <c r="AE47" s="46">
        <v>1</v>
      </c>
      <c r="AH47" s="46">
        <v>1</v>
      </c>
      <c r="AJ47" s="46">
        <v>1</v>
      </c>
      <c r="AK47" s="46">
        <v>1</v>
      </c>
      <c r="AT47" s="46">
        <v>1</v>
      </c>
      <c r="AZ47" s="46">
        <v>1</v>
      </c>
      <c r="BA47" s="46">
        <v>1</v>
      </c>
      <c r="BI47" s="46">
        <v>1</v>
      </c>
      <c r="BZ47" s="46">
        <v>1</v>
      </c>
      <c r="CI47" s="46">
        <v>1</v>
      </c>
      <c r="CP47" s="46">
        <v>1</v>
      </c>
      <c r="CU47" s="139">
        <v>46695</v>
      </c>
    </row>
    <row r="48" spans="1:99" hidden="1">
      <c r="A48" s="46" t="s">
        <v>2813</v>
      </c>
      <c r="B48" s="46" t="s">
        <v>2814</v>
      </c>
      <c r="C48" s="46">
        <v>27</v>
      </c>
      <c r="D48" s="46" t="s">
        <v>1120</v>
      </c>
      <c r="E48" s="46" t="s">
        <v>2815</v>
      </c>
      <c r="F48" s="46" t="s">
        <v>2484</v>
      </c>
      <c r="H48" s="46">
        <v>1</v>
      </c>
      <c r="M48" s="46">
        <v>1</v>
      </c>
      <c r="Q48" s="46">
        <v>1</v>
      </c>
      <c r="T48" s="46">
        <v>1</v>
      </c>
      <c r="W48" s="46">
        <v>15</v>
      </c>
      <c r="X48" s="46">
        <v>17</v>
      </c>
      <c r="Y48" s="46">
        <v>21</v>
      </c>
      <c r="Z48" s="46">
        <v>2</v>
      </c>
      <c r="AA48" s="46">
        <v>2</v>
      </c>
      <c r="AB48" s="46">
        <v>2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M48" s="46" t="s">
        <v>2816</v>
      </c>
      <c r="BZ48" s="46">
        <v>1</v>
      </c>
      <c r="CI48" s="46">
        <v>1</v>
      </c>
      <c r="CP48" s="46">
        <v>1</v>
      </c>
      <c r="CU48" s="46" t="s">
        <v>2704</v>
      </c>
    </row>
    <row r="49" spans="1:99" hidden="1">
      <c r="A49" s="46" t="s">
        <v>1944</v>
      </c>
      <c r="B49" s="46" t="s">
        <v>2817</v>
      </c>
      <c r="C49" s="46">
        <v>24</v>
      </c>
      <c r="D49" s="46" t="s">
        <v>2722</v>
      </c>
      <c r="E49" s="46" t="s">
        <v>2818</v>
      </c>
      <c r="F49" s="46" t="s">
        <v>2484</v>
      </c>
      <c r="I49" s="46">
        <v>1</v>
      </c>
      <c r="M49" s="46">
        <v>1</v>
      </c>
      <c r="Q49" s="46">
        <v>1</v>
      </c>
      <c r="T49" s="46">
        <v>1</v>
      </c>
      <c r="W49" s="46">
        <v>14</v>
      </c>
      <c r="X49" s="46">
        <v>20</v>
      </c>
      <c r="Y49" s="46">
        <v>24</v>
      </c>
      <c r="Z49" s="46">
        <v>1</v>
      </c>
      <c r="AA49" s="46">
        <v>1</v>
      </c>
      <c r="AB49" s="46">
        <v>1</v>
      </c>
      <c r="AE49" s="46">
        <v>1</v>
      </c>
      <c r="AF49" s="46">
        <v>1</v>
      </c>
      <c r="AI49" s="46">
        <v>1</v>
      </c>
      <c r="AK49" s="46">
        <v>1</v>
      </c>
      <c r="AT49" s="46">
        <v>1</v>
      </c>
      <c r="AX49" s="46">
        <v>1</v>
      </c>
      <c r="BA49" s="46">
        <v>1</v>
      </c>
      <c r="BI49" s="46">
        <v>1</v>
      </c>
      <c r="BW49" s="46">
        <v>1</v>
      </c>
      <c r="BZ49" s="46">
        <v>1</v>
      </c>
      <c r="CI49" s="46">
        <v>1</v>
      </c>
      <c r="CP49" s="46">
        <v>1</v>
      </c>
      <c r="CU49" s="139">
        <v>46695</v>
      </c>
    </row>
    <row r="50" spans="1:99">
      <c r="A50" s="46" t="s">
        <v>1947</v>
      </c>
      <c r="B50" s="46" t="s">
        <v>2819</v>
      </c>
      <c r="C50" s="46">
        <v>65</v>
      </c>
      <c r="D50" s="46" t="s">
        <v>1120</v>
      </c>
      <c r="E50" s="46" t="s">
        <v>2820</v>
      </c>
      <c r="F50" s="46" t="s">
        <v>2484</v>
      </c>
      <c r="H50" s="46">
        <v>1</v>
      </c>
      <c r="P50" s="46">
        <v>1</v>
      </c>
      <c r="Q50" s="46">
        <v>1</v>
      </c>
      <c r="T50" s="46">
        <v>1</v>
      </c>
      <c r="W50" s="46">
        <v>15</v>
      </c>
      <c r="X50" s="46">
        <v>17</v>
      </c>
      <c r="Y50" s="46">
        <v>18</v>
      </c>
      <c r="Z50" s="46">
        <v>10</v>
      </c>
      <c r="AA50" s="46">
        <v>10</v>
      </c>
      <c r="AB50" s="46">
        <v>8</v>
      </c>
      <c r="AC50" s="46">
        <v>1</v>
      </c>
      <c r="AI50" s="46">
        <v>1</v>
      </c>
      <c r="AK50" s="46">
        <v>1</v>
      </c>
      <c r="AT50" s="46">
        <v>1</v>
      </c>
      <c r="AW50" s="46">
        <v>1</v>
      </c>
      <c r="BA50" s="46">
        <v>1</v>
      </c>
      <c r="BZ50" s="46">
        <v>1</v>
      </c>
      <c r="CI50" s="46">
        <v>1</v>
      </c>
      <c r="CP50" s="46">
        <v>1</v>
      </c>
      <c r="CU50" s="46" t="s">
        <v>2619</v>
      </c>
    </row>
    <row r="51" spans="1:99" hidden="1">
      <c r="A51" s="46" t="s">
        <v>1950</v>
      </c>
      <c r="B51" s="46" t="s">
        <v>2821</v>
      </c>
      <c r="C51" s="46">
        <v>36</v>
      </c>
      <c r="D51" s="46" t="s">
        <v>2350</v>
      </c>
      <c r="E51" s="46" t="s">
        <v>2822</v>
      </c>
      <c r="F51" s="46" t="s">
        <v>2484</v>
      </c>
      <c r="J51" s="46">
        <v>1</v>
      </c>
      <c r="O51" s="46">
        <v>1</v>
      </c>
      <c r="R51" s="46">
        <v>1</v>
      </c>
      <c r="T51" s="46">
        <v>1</v>
      </c>
      <c r="W51" s="46">
        <v>15</v>
      </c>
      <c r="X51" s="46">
        <v>18</v>
      </c>
      <c r="Y51" s="46">
        <v>18</v>
      </c>
      <c r="Z51" s="46">
        <v>4</v>
      </c>
      <c r="AA51" s="46">
        <v>4</v>
      </c>
      <c r="AB51" s="46">
        <v>4</v>
      </c>
      <c r="AE51" s="46">
        <v>1</v>
      </c>
      <c r="AJ51" s="46">
        <v>1</v>
      </c>
      <c r="AK51" s="46">
        <v>1</v>
      </c>
      <c r="AT51" s="46">
        <v>1</v>
      </c>
      <c r="AX51" s="46">
        <v>1</v>
      </c>
      <c r="BB51" s="46">
        <v>1</v>
      </c>
      <c r="BF51" s="46">
        <v>1</v>
      </c>
      <c r="BI51" s="46">
        <v>1</v>
      </c>
      <c r="BW51" s="46">
        <v>1</v>
      </c>
      <c r="BZ51" s="46">
        <v>1</v>
      </c>
      <c r="CI51" s="46">
        <v>1</v>
      </c>
      <c r="CP51" s="46">
        <v>1</v>
      </c>
      <c r="CU51" s="139">
        <v>46695</v>
      </c>
    </row>
    <row r="52" spans="1:99" hidden="1">
      <c r="A52" s="46" t="s">
        <v>1953</v>
      </c>
      <c r="B52" s="46" t="s">
        <v>2823</v>
      </c>
      <c r="C52" s="46">
        <v>57</v>
      </c>
      <c r="D52" s="46" t="s">
        <v>1120</v>
      </c>
      <c r="E52" s="46" t="s">
        <v>2824</v>
      </c>
      <c r="F52" s="46" t="s">
        <v>2484</v>
      </c>
      <c r="G52" s="46">
        <v>1</v>
      </c>
      <c r="L52" s="46">
        <v>1</v>
      </c>
      <c r="R52" s="46">
        <v>1</v>
      </c>
      <c r="V52" s="46">
        <v>1</v>
      </c>
      <c r="W52" s="46">
        <v>15</v>
      </c>
      <c r="X52" s="46">
        <v>24</v>
      </c>
      <c r="Y52" s="46">
        <v>36</v>
      </c>
      <c r="Z52" s="46">
        <v>5</v>
      </c>
      <c r="AA52" s="46">
        <v>5</v>
      </c>
      <c r="AB52" s="46">
        <v>5</v>
      </c>
      <c r="AC52" s="46">
        <v>1</v>
      </c>
      <c r="AI52" s="46">
        <v>1</v>
      </c>
      <c r="AK52" s="46">
        <v>1</v>
      </c>
      <c r="AT52" s="46">
        <v>1</v>
      </c>
      <c r="AW52" s="46">
        <v>1</v>
      </c>
      <c r="BA52" s="46">
        <v>1</v>
      </c>
      <c r="BM52" s="46" t="s">
        <v>2825</v>
      </c>
      <c r="BZ52" s="46">
        <v>1</v>
      </c>
      <c r="CI52" s="46">
        <v>1</v>
      </c>
      <c r="CP52" s="46">
        <v>1</v>
      </c>
      <c r="CU52" s="46" t="s">
        <v>2619</v>
      </c>
    </row>
    <row r="53" spans="1:99" hidden="1">
      <c r="A53" s="46" t="s">
        <v>1957</v>
      </c>
      <c r="B53" s="46" t="s">
        <v>2826</v>
      </c>
      <c r="C53" s="46">
        <v>33</v>
      </c>
      <c r="D53" s="46" t="s">
        <v>2350</v>
      </c>
      <c r="E53" s="46" t="s">
        <v>2827</v>
      </c>
      <c r="F53" s="46" t="s">
        <v>2484</v>
      </c>
      <c r="H53" s="46">
        <v>1</v>
      </c>
      <c r="M53" s="46">
        <v>1</v>
      </c>
      <c r="Q53" s="46">
        <v>1</v>
      </c>
      <c r="T53" s="46">
        <v>1</v>
      </c>
      <c r="W53" s="46">
        <v>16</v>
      </c>
      <c r="X53" s="46">
        <v>19</v>
      </c>
      <c r="Y53" s="46">
        <v>20</v>
      </c>
      <c r="Z53" s="46">
        <v>6</v>
      </c>
      <c r="AA53" s="46">
        <v>5</v>
      </c>
      <c r="AB53" s="46">
        <v>4</v>
      </c>
      <c r="AE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J53" s="46">
        <v>1</v>
      </c>
      <c r="BW53" s="46">
        <v>1</v>
      </c>
      <c r="BZ53" s="46">
        <v>1</v>
      </c>
      <c r="CI53" s="46">
        <v>1</v>
      </c>
      <c r="CP53" s="46">
        <v>1</v>
      </c>
      <c r="CU53" s="139">
        <v>46695</v>
      </c>
    </row>
    <row r="54" spans="1:99" hidden="1">
      <c r="A54" s="46" t="s">
        <v>1961</v>
      </c>
      <c r="B54" s="46" t="s">
        <v>2828</v>
      </c>
      <c r="C54" s="46">
        <v>46</v>
      </c>
      <c r="D54" s="46" t="s">
        <v>2786</v>
      </c>
      <c r="E54" s="46" t="s">
        <v>2829</v>
      </c>
      <c r="F54" s="46" t="s">
        <v>2484</v>
      </c>
      <c r="J54" s="46">
        <v>1</v>
      </c>
      <c r="M54" s="46">
        <v>1</v>
      </c>
      <c r="R54" s="46">
        <v>1</v>
      </c>
      <c r="U54" s="46">
        <v>1</v>
      </c>
      <c r="W54" s="46">
        <v>16</v>
      </c>
      <c r="X54" s="46">
        <v>26</v>
      </c>
      <c r="Y54" s="46">
        <v>27</v>
      </c>
      <c r="Z54" s="46">
        <v>5</v>
      </c>
      <c r="AA54" s="46">
        <v>5</v>
      </c>
      <c r="AB54" s="46">
        <v>5</v>
      </c>
      <c r="AE54" s="46">
        <v>1</v>
      </c>
      <c r="AH54" s="46">
        <v>1</v>
      </c>
      <c r="AJ54" s="46">
        <v>1</v>
      </c>
      <c r="AK54" s="46">
        <v>1</v>
      </c>
      <c r="AT54" s="46">
        <v>1</v>
      </c>
      <c r="AX54" s="46">
        <v>1</v>
      </c>
      <c r="BA54" s="46">
        <v>1</v>
      </c>
      <c r="BI54" s="46">
        <v>1</v>
      </c>
      <c r="BZ54" s="46">
        <v>1</v>
      </c>
      <c r="CI54" s="46">
        <v>1</v>
      </c>
      <c r="CP54" s="46">
        <v>1</v>
      </c>
      <c r="CU54" s="139">
        <v>46695</v>
      </c>
    </row>
    <row r="55" spans="1:99" hidden="1">
      <c r="A55" s="46" t="s">
        <v>1964</v>
      </c>
      <c r="B55" s="46" t="s">
        <v>2830</v>
      </c>
      <c r="C55" s="46">
        <v>25</v>
      </c>
      <c r="D55" s="46" t="s">
        <v>2350</v>
      </c>
      <c r="E55" s="46" t="s">
        <v>2831</v>
      </c>
      <c r="F55" s="46" t="s">
        <v>2484</v>
      </c>
      <c r="H55" s="46">
        <v>1</v>
      </c>
      <c r="M55" s="46">
        <v>1</v>
      </c>
      <c r="Q55" s="46">
        <v>1</v>
      </c>
      <c r="T55" s="46">
        <v>1</v>
      </c>
      <c r="W55" s="46">
        <v>17</v>
      </c>
      <c r="X55" s="46">
        <v>17</v>
      </c>
      <c r="Y55" s="46">
        <v>20</v>
      </c>
      <c r="Z55" s="46">
        <v>1</v>
      </c>
      <c r="AA55" s="46">
        <v>1</v>
      </c>
      <c r="AB55" s="46">
        <v>1</v>
      </c>
      <c r="AH55" s="46">
        <v>1</v>
      </c>
      <c r="AJ55" s="46">
        <v>1</v>
      </c>
      <c r="AK55" s="46">
        <v>1</v>
      </c>
      <c r="AT55" s="46">
        <v>1</v>
      </c>
      <c r="AX55" s="46">
        <v>1</v>
      </c>
      <c r="BA55" s="46">
        <v>1</v>
      </c>
      <c r="BI55" s="46">
        <v>1</v>
      </c>
      <c r="BZ55" s="46">
        <v>1</v>
      </c>
      <c r="CI55" s="46">
        <v>1</v>
      </c>
      <c r="CP55" s="46">
        <v>1</v>
      </c>
      <c r="CU55" s="139">
        <v>46695</v>
      </c>
    </row>
    <row r="56" spans="1:99">
      <c r="A56" s="46" t="s">
        <v>1967</v>
      </c>
      <c r="B56" s="46" t="s">
        <v>2832</v>
      </c>
      <c r="C56" s="46">
        <v>64</v>
      </c>
      <c r="D56" s="46" t="s">
        <v>2350</v>
      </c>
      <c r="E56" s="46" t="s">
        <v>191</v>
      </c>
      <c r="F56" s="46" t="s">
        <v>2523</v>
      </c>
      <c r="I56" s="46">
        <v>1</v>
      </c>
      <c r="P56" s="46">
        <v>1</v>
      </c>
      <c r="R56" s="46">
        <v>1</v>
      </c>
      <c r="U56" s="46">
        <v>1</v>
      </c>
      <c r="W56" s="46">
        <v>12</v>
      </c>
      <c r="X56" s="46">
        <v>18</v>
      </c>
      <c r="Y56" s="46">
        <v>20</v>
      </c>
      <c r="Z56" s="46">
        <v>6</v>
      </c>
      <c r="AA56" s="46">
        <v>6</v>
      </c>
      <c r="AB56" s="46">
        <v>5</v>
      </c>
      <c r="AC56" s="46">
        <v>1</v>
      </c>
      <c r="AJ56" s="46">
        <v>1</v>
      </c>
      <c r="AK56" s="46">
        <v>1</v>
      </c>
      <c r="AT56" s="46">
        <v>1</v>
      </c>
      <c r="AX56" s="46">
        <v>1</v>
      </c>
      <c r="BA56" s="46">
        <v>1</v>
      </c>
      <c r="BJ56" s="46">
        <v>1</v>
      </c>
      <c r="BZ56" s="46">
        <v>1</v>
      </c>
      <c r="CI56" s="46">
        <v>1</v>
      </c>
      <c r="CP56" s="46">
        <v>1</v>
      </c>
      <c r="CU56" s="139">
        <v>46695</v>
      </c>
    </row>
    <row r="57" spans="1:99">
      <c r="A57" s="46" t="s">
        <v>1970</v>
      </c>
      <c r="B57" s="46" t="s">
        <v>2833</v>
      </c>
      <c r="C57" s="46">
        <v>78</v>
      </c>
      <c r="D57" s="46" t="s">
        <v>2722</v>
      </c>
      <c r="E57" s="46" t="s">
        <v>191</v>
      </c>
      <c r="F57" s="46" t="s">
        <v>2484</v>
      </c>
      <c r="I57" s="46">
        <v>1</v>
      </c>
      <c r="P57" s="46">
        <v>1</v>
      </c>
      <c r="Q57" s="46">
        <v>1</v>
      </c>
      <c r="S57" s="46">
        <v>1</v>
      </c>
      <c r="W57" s="46">
        <v>15</v>
      </c>
      <c r="X57" s="46">
        <v>17</v>
      </c>
      <c r="Y57" s="46">
        <v>18</v>
      </c>
      <c r="Z57" s="46">
        <v>13</v>
      </c>
      <c r="AA57" s="46">
        <v>13</v>
      </c>
      <c r="AB57" s="46">
        <v>8</v>
      </c>
      <c r="AH57" s="46">
        <v>1</v>
      </c>
      <c r="AI57" s="46">
        <v>1</v>
      </c>
      <c r="AK57" s="46">
        <v>1</v>
      </c>
      <c r="AT57" s="46">
        <v>1</v>
      </c>
      <c r="AZ57" s="46">
        <v>1</v>
      </c>
      <c r="BA57" s="46">
        <v>1</v>
      </c>
      <c r="BJ57" s="46">
        <v>1</v>
      </c>
      <c r="BZ57" s="46">
        <v>1</v>
      </c>
      <c r="CI57" s="46">
        <v>1</v>
      </c>
      <c r="CP57" s="46">
        <v>1</v>
      </c>
      <c r="CU57" s="139">
        <v>46695</v>
      </c>
    </row>
    <row r="58" spans="1:99" hidden="1">
      <c r="A58" s="46" t="s">
        <v>1971</v>
      </c>
      <c r="B58" s="46" t="s">
        <v>2834</v>
      </c>
      <c r="C58" s="46">
        <v>23</v>
      </c>
      <c r="D58" s="46" t="s">
        <v>1120</v>
      </c>
      <c r="E58" s="46" t="s">
        <v>2835</v>
      </c>
      <c r="F58" s="46" t="s">
        <v>2484</v>
      </c>
      <c r="H58" s="46">
        <v>1</v>
      </c>
      <c r="M58" s="46">
        <v>1</v>
      </c>
      <c r="Q58" s="46">
        <v>1</v>
      </c>
      <c r="U58" s="46">
        <v>1</v>
      </c>
      <c r="W58" s="46">
        <v>14</v>
      </c>
      <c r="X58" s="46">
        <v>17</v>
      </c>
      <c r="Y58" s="46">
        <v>19</v>
      </c>
      <c r="Z58" s="46">
        <v>2</v>
      </c>
      <c r="AA58" s="46">
        <v>1</v>
      </c>
      <c r="AB58" s="46">
        <v>1</v>
      </c>
      <c r="AE58" s="46">
        <v>1</v>
      </c>
      <c r="AJ58" s="46">
        <v>1</v>
      </c>
      <c r="AK58" s="46">
        <v>1</v>
      </c>
      <c r="AT58" s="46">
        <v>1</v>
      </c>
      <c r="AW58" s="46">
        <v>1</v>
      </c>
      <c r="BA58" s="46">
        <v>1</v>
      </c>
      <c r="BM58" s="46" t="s">
        <v>1739</v>
      </c>
      <c r="BZ58" s="46">
        <v>1</v>
      </c>
      <c r="CI58" s="46">
        <v>1</v>
      </c>
      <c r="CP58" s="46">
        <v>1</v>
      </c>
      <c r="CU58" s="46" t="s">
        <v>2836</v>
      </c>
    </row>
    <row r="59" spans="1:99" hidden="1">
      <c r="A59" s="46" t="s">
        <v>1974</v>
      </c>
      <c r="B59" s="46" t="s">
        <v>2837</v>
      </c>
      <c r="C59" s="46">
        <v>23</v>
      </c>
      <c r="D59" s="46" t="s">
        <v>1120</v>
      </c>
      <c r="E59" s="46" t="s">
        <v>2838</v>
      </c>
      <c r="F59" s="46" t="s">
        <v>2484</v>
      </c>
      <c r="H59" s="46">
        <v>1</v>
      </c>
      <c r="L59" s="46">
        <v>1</v>
      </c>
      <c r="Q59" s="46">
        <v>1</v>
      </c>
      <c r="V59" s="46">
        <v>1</v>
      </c>
      <c r="W59" s="46">
        <v>17</v>
      </c>
      <c r="X59" s="46">
        <v>23</v>
      </c>
      <c r="Y59" s="46">
        <v>0</v>
      </c>
      <c r="Z59" s="46">
        <v>0</v>
      </c>
      <c r="AA59" s="46">
        <v>0</v>
      </c>
      <c r="AB59" s="46">
        <v>0</v>
      </c>
      <c r="AC59" s="46">
        <v>1</v>
      </c>
      <c r="AI59" s="46">
        <v>1</v>
      </c>
      <c r="AK59" s="46">
        <v>1</v>
      </c>
      <c r="AT59" s="46">
        <v>1</v>
      </c>
      <c r="AW59" s="46">
        <v>1</v>
      </c>
      <c r="BA59" s="46">
        <v>1</v>
      </c>
      <c r="BM59" s="46" t="s">
        <v>2825</v>
      </c>
      <c r="BZ59" s="46">
        <v>1</v>
      </c>
      <c r="CI59" s="46">
        <v>1</v>
      </c>
      <c r="CP59" s="46">
        <v>1</v>
      </c>
      <c r="CU59" s="46" t="s">
        <v>2619</v>
      </c>
    </row>
    <row r="60" spans="1:99" hidden="1">
      <c r="A60" s="46" t="s">
        <v>1977</v>
      </c>
      <c r="B60" s="46" t="s">
        <v>2839</v>
      </c>
      <c r="C60" s="46">
        <v>23</v>
      </c>
      <c r="D60" s="46" t="s">
        <v>1120</v>
      </c>
      <c r="E60" s="46" t="s">
        <v>191</v>
      </c>
      <c r="F60" s="46" t="s">
        <v>2574</v>
      </c>
      <c r="G60" s="46">
        <v>1</v>
      </c>
      <c r="M60" s="46">
        <v>1</v>
      </c>
      <c r="Q60" s="46">
        <v>1</v>
      </c>
      <c r="U60" s="46">
        <v>1</v>
      </c>
      <c r="W60" s="46">
        <v>12</v>
      </c>
      <c r="X60" s="46">
        <v>13</v>
      </c>
      <c r="Y60" s="46">
        <v>19</v>
      </c>
      <c r="Z60" s="46">
        <v>2</v>
      </c>
      <c r="AA60" s="46">
        <v>2</v>
      </c>
      <c r="AB60" s="46">
        <v>2</v>
      </c>
      <c r="AC60" s="46">
        <v>1</v>
      </c>
      <c r="AJ60" s="46">
        <v>1</v>
      </c>
      <c r="AK60" s="46">
        <v>1</v>
      </c>
      <c r="AT60" s="46">
        <v>1</v>
      </c>
      <c r="AX60" s="46">
        <v>1</v>
      </c>
      <c r="BA60" s="46">
        <v>1</v>
      </c>
      <c r="BI60" s="46">
        <v>1</v>
      </c>
      <c r="BZ60" s="46">
        <v>1</v>
      </c>
      <c r="CI60" s="46">
        <v>1</v>
      </c>
      <c r="CP60" s="46">
        <v>1</v>
      </c>
      <c r="CU60" s="139">
        <v>46695</v>
      </c>
    </row>
    <row r="61" spans="1:99" hidden="1">
      <c r="A61" s="46" t="s">
        <v>1980</v>
      </c>
      <c r="B61" s="46" t="s">
        <v>2840</v>
      </c>
      <c r="C61" s="46">
        <v>25</v>
      </c>
      <c r="D61" s="46" t="s">
        <v>1120</v>
      </c>
      <c r="E61" s="46" t="s">
        <v>2841</v>
      </c>
      <c r="F61" s="46" t="s">
        <v>2484</v>
      </c>
      <c r="G61" s="46">
        <v>1</v>
      </c>
      <c r="M61" s="46">
        <v>1</v>
      </c>
      <c r="Q61" s="46">
        <v>1</v>
      </c>
      <c r="U61" s="46">
        <v>1</v>
      </c>
      <c r="W61" s="46">
        <v>14</v>
      </c>
      <c r="X61" s="46">
        <v>17</v>
      </c>
      <c r="Y61" s="46">
        <v>20</v>
      </c>
      <c r="Z61" s="46">
        <v>2</v>
      </c>
      <c r="AA61" s="46">
        <v>2</v>
      </c>
      <c r="AB61" s="46">
        <v>2</v>
      </c>
      <c r="AE61" s="46">
        <v>1</v>
      </c>
      <c r="AG61" s="46">
        <v>1</v>
      </c>
      <c r="AH61" s="46">
        <v>1</v>
      </c>
      <c r="AJ61" s="46">
        <v>1</v>
      </c>
      <c r="AK61" s="46">
        <v>1</v>
      </c>
      <c r="AT61" s="46">
        <v>1</v>
      </c>
      <c r="AX61" s="46">
        <v>1</v>
      </c>
      <c r="BA61" s="46">
        <v>1</v>
      </c>
      <c r="BI61" s="46">
        <v>1</v>
      </c>
      <c r="BW61" s="46">
        <v>1</v>
      </c>
      <c r="BZ61" s="46">
        <v>1</v>
      </c>
      <c r="CI61" s="46">
        <v>1</v>
      </c>
      <c r="CP61" s="46">
        <v>1</v>
      </c>
      <c r="CU61" s="139">
        <v>46695</v>
      </c>
    </row>
    <row r="64" spans="1:99">
      <c r="B64" s="46" t="s">
        <v>2842</v>
      </c>
    </row>
  </sheetData>
  <autoFilter ref="A3:CU61">
    <filterColumn colId="2">
      <filters>
        <filter val="63"/>
        <filter val="64"/>
        <filter val="65"/>
        <filter val="78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"/>
  <sheetViews>
    <sheetView workbookViewId="0"/>
  </sheetViews>
  <sheetFormatPr defaultColWidth="14.42578125" defaultRowHeight="15" customHeight="1"/>
  <sheetData>
    <row r="1" spans="1:31">
      <c r="A1" s="507" t="s">
        <v>351</v>
      </c>
      <c r="B1" s="508" t="s">
        <v>352</v>
      </c>
      <c r="C1" s="481"/>
      <c r="D1" s="481"/>
      <c r="E1" s="480"/>
      <c r="F1" s="142" t="s">
        <v>353</v>
      </c>
      <c r="G1" s="143"/>
      <c r="H1" s="143"/>
      <c r="I1" s="143"/>
      <c r="J1" s="505" t="s">
        <v>354</v>
      </c>
      <c r="K1" s="481"/>
      <c r="L1" s="481"/>
      <c r="M1" s="481"/>
      <c r="N1" s="480"/>
      <c r="O1" s="505" t="s">
        <v>355</v>
      </c>
      <c r="P1" s="481"/>
      <c r="Q1" s="481"/>
      <c r="R1" s="480"/>
      <c r="S1" s="505" t="s">
        <v>356</v>
      </c>
      <c r="T1" s="481"/>
      <c r="U1" s="481"/>
      <c r="V1" s="481"/>
      <c r="W1" s="481"/>
      <c r="X1" s="480"/>
      <c r="Y1" s="505" t="s">
        <v>357</v>
      </c>
      <c r="Z1" s="481"/>
      <c r="AA1" s="481"/>
      <c r="AB1" s="481"/>
      <c r="AC1" s="480"/>
      <c r="AD1" s="506" t="s">
        <v>356</v>
      </c>
      <c r="AE1" s="480"/>
    </row>
    <row r="2" spans="1:31">
      <c r="A2" s="487"/>
      <c r="B2" s="144" t="s">
        <v>358</v>
      </c>
      <c r="C2" s="144" t="s">
        <v>359</v>
      </c>
      <c r="D2" s="144" t="s">
        <v>360</v>
      </c>
      <c r="E2" s="144" t="s">
        <v>361</v>
      </c>
      <c r="F2" s="145" t="s">
        <v>359</v>
      </c>
      <c r="G2" s="145" t="s">
        <v>358</v>
      </c>
      <c r="H2" s="145" t="s">
        <v>362</v>
      </c>
      <c r="I2" s="146" t="s">
        <v>361</v>
      </c>
      <c r="J2" s="145" t="s">
        <v>96</v>
      </c>
      <c r="K2" s="145" t="s">
        <v>84</v>
      </c>
      <c r="L2" s="145" t="s">
        <v>98</v>
      </c>
      <c r="M2" s="145" t="s">
        <v>38</v>
      </c>
      <c r="N2" s="146" t="s">
        <v>361</v>
      </c>
      <c r="O2" s="145" t="s">
        <v>91</v>
      </c>
      <c r="P2" s="145" t="s">
        <v>362</v>
      </c>
      <c r="Q2" s="145" t="s">
        <v>363</v>
      </c>
      <c r="R2" s="146" t="s">
        <v>361</v>
      </c>
      <c r="S2" s="145" t="s">
        <v>364</v>
      </c>
      <c r="T2" s="145" t="s">
        <v>91</v>
      </c>
      <c r="U2" s="145" t="s">
        <v>365</v>
      </c>
      <c r="V2" s="145" t="s">
        <v>366</v>
      </c>
      <c r="W2" s="145" t="s">
        <v>367</v>
      </c>
      <c r="X2" s="147"/>
      <c r="Y2" s="144" t="s">
        <v>96</v>
      </c>
      <c r="Z2" s="144" t="s">
        <v>97</v>
      </c>
      <c r="AA2" s="144" t="s">
        <v>98</v>
      </c>
      <c r="AB2" s="148" t="s">
        <v>360</v>
      </c>
      <c r="AC2" s="144" t="s">
        <v>369</v>
      </c>
      <c r="AD2" s="145" t="s">
        <v>365</v>
      </c>
      <c r="AE2" s="73" t="s">
        <v>2778</v>
      </c>
    </row>
    <row r="3" spans="1:31">
      <c r="A3" s="149" t="s">
        <v>551</v>
      </c>
      <c r="B3" s="150">
        <v>2</v>
      </c>
      <c r="C3" s="150">
        <v>0</v>
      </c>
      <c r="D3" s="150">
        <v>0</v>
      </c>
      <c r="E3" s="151">
        <f t="shared" ref="E3:E8" si="0">SUM(B3:D3)</f>
        <v>2</v>
      </c>
      <c r="F3" s="150">
        <v>0</v>
      </c>
      <c r="G3" s="150">
        <v>2</v>
      </c>
      <c r="H3" s="150">
        <v>0</v>
      </c>
      <c r="I3" s="152">
        <f t="shared" ref="I3:I9" si="1">SUM(F3:H3)</f>
        <v>2</v>
      </c>
      <c r="J3" s="150">
        <v>0</v>
      </c>
      <c r="K3" s="150">
        <v>0</v>
      </c>
      <c r="L3" s="150">
        <v>0</v>
      </c>
      <c r="M3" s="150">
        <v>0</v>
      </c>
      <c r="N3" s="152">
        <f t="shared" ref="N3:N9" si="2">SUM(J3:M3)</f>
        <v>0</v>
      </c>
      <c r="O3" s="150">
        <v>0</v>
      </c>
      <c r="P3" s="150">
        <v>0</v>
      </c>
      <c r="Q3" s="150">
        <v>2</v>
      </c>
      <c r="R3" s="152">
        <f t="shared" ref="R3:R8" si="3">SUM(O3:Q3)</f>
        <v>2</v>
      </c>
      <c r="S3" s="150">
        <v>0</v>
      </c>
      <c r="T3" s="150">
        <v>0</v>
      </c>
      <c r="U3" s="150">
        <v>0</v>
      </c>
      <c r="V3" s="150">
        <v>0</v>
      </c>
      <c r="W3" s="150">
        <v>0</v>
      </c>
      <c r="X3" s="150">
        <v>0</v>
      </c>
      <c r="Y3" s="150">
        <v>2</v>
      </c>
      <c r="Z3" s="150">
        <v>0</v>
      </c>
      <c r="AA3" s="150">
        <v>0</v>
      </c>
      <c r="AB3" s="150">
        <v>0</v>
      </c>
      <c r="AC3" s="153">
        <f t="shared" ref="AC3:AC8" si="4">SUM(Y3:AB3)</f>
        <v>2</v>
      </c>
      <c r="AD3" s="150">
        <v>0</v>
      </c>
      <c r="AE3" s="154">
        <v>0</v>
      </c>
    </row>
    <row r="4" spans="1:31">
      <c r="A4" s="149" t="s">
        <v>2843</v>
      </c>
      <c r="B4" s="155">
        <v>21</v>
      </c>
      <c r="C4" s="155">
        <v>0</v>
      </c>
      <c r="D4" s="155">
        <v>1</v>
      </c>
      <c r="E4" s="151">
        <f t="shared" si="0"/>
        <v>22</v>
      </c>
      <c r="F4" s="150">
        <v>1</v>
      </c>
      <c r="G4" s="156">
        <v>17</v>
      </c>
      <c r="H4" s="156">
        <v>0</v>
      </c>
      <c r="I4" s="152">
        <f t="shared" si="1"/>
        <v>18</v>
      </c>
      <c r="J4" s="150">
        <v>0</v>
      </c>
      <c r="K4" s="150">
        <v>0</v>
      </c>
      <c r="L4" s="150">
        <v>0</v>
      </c>
      <c r="M4" s="150">
        <v>4</v>
      </c>
      <c r="N4" s="152">
        <f t="shared" si="2"/>
        <v>4</v>
      </c>
      <c r="O4" s="150">
        <v>0</v>
      </c>
      <c r="P4" s="150">
        <v>0</v>
      </c>
      <c r="Q4" s="156">
        <v>10</v>
      </c>
      <c r="R4" s="152">
        <f t="shared" si="3"/>
        <v>10</v>
      </c>
      <c r="S4" s="150">
        <v>0</v>
      </c>
      <c r="T4" s="150">
        <v>0</v>
      </c>
      <c r="U4" s="150">
        <v>0</v>
      </c>
      <c r="V4" s="150">
        <v>0</v>
      </c>
      <c r="W4" s="150">
        <v>0</v>
      </c>
      <c r="X4" s="150">
        <v>0</v>
      </c>
      <c r="Y4" s="157">
        <v>21</v>
      </c>
      <c r="Z4" s="150">
        <v>1</v>
      </c>
      <c r="AA4" s="150">
        <v>0</v>
      </c>
      <c r="AB4" s="157">
        <v>0</v>
      </c>
      <c r="AC4" s="153">
        <f t="shared" si="4"/>
        <v>22</v>
      </c>
      <c r="AD4" s="150">
        <v>0</v>
      </c>
      <c r="AE4" s="154">
        <v>0</v>
      </c>
    </row>
    <row r="5" spans="1:31">
      <c r="A5" s="149" t="s">
        <v>2600</v>
      </c>
      <c r="B5" s="155">
        <v>12</v>
      </c>
      <c r="C5" s="150">
        <v>1</v>
      </c>
      <c r="D5" s="150">
        <v>3</v>
      </c>
      <c r="E5" s="151">
        <f t="shared" si="0"/>
        <v>16</v>
      </c>
      <c r="F5" s="156">
        <v>1</v>
      </c>
      <c r="G5" s="156">
        <v>11</v>
      </c>
      <c r="H5" s="147"/>
      <c r="I5" s="152">
        <f t="shared" si="1"/>
        <v>12</v>
      </c>
      <c r="J5" s="150">
        <v>1</v>
      </c>
      <c r="K5" s="156">
        <v>0</v>
      </c>
      <c r="L5" s="150">
        <v>0</v>
      </c>
      <c r="M5" s="156">
        <v>3</v>
      </c>
      <c r="N5" s="152">
        <f t="shared" si="2"/>
        <v>4</v>
      </c>
      <c r="O5" s="150">
        <v>1</v>
      </c>
      <c r="P5" s="150">
        <v>0</v>
      </c>
      <c r="Q5" s="156">
        <v>6</v>
      </c>
      <c r="R5" s="152">
        <f t="shared" si="3"/>
        <v>7</v>
      </c>
      <c r="S5" s="150">
        <v>0</v>
      </c>
      <c r="T5" s="150">
        <v>0</v>
      </c>
      <c r="U5" s="150">
        <v>0</v>
      </c>
      <c r="V5" s="156">
        <v>0</v>
      </c>
      <c r="W5" s="150">
        <v>0</v>
      </c>
      <c r="X5" s="150">
        <v>0</v>
      </c>
      <c r="Y5" s="157">
        <v>14</v>
      </c>
      <c r="Z5" s="157">
        <v>2</v>
      </c>
      <c r="AA5" s="150">
        <v>0</v>
      </c>
      <c r="AB5" s="157">
        <v>0</v>
      </c>
      <c r="AC5" s="153">
        <f t="shared" si="4"/>
        <v>16</v>
      </c>
      <c r="AD5" s="150">
        <v>0</v>
      </c>
      <c r="AE5" s="154">
        <v>1</v>
      </c>
    </row>
    <row r="6" spans="1:31">
      <c r="A6" s="149" t="s">
        <v>1824</v>
      </c>
      <c r="B6" s="155">
        <v>11</v>
      </c>
      <c r="C6" s="150">
        <v>0</v>
      </c>
      <c r="D6" s="150">
        <v>0</v>
      </c>
      <c r="E6" s="151">
        <f t="shared" si="0"/>
        <v>11</v>
      </c>
      <c r="F6" s="150">
        <v>0</v>
      </c>
      <c r="G6" s="156">
        <v>6</v>
      </c>
      <c r="H6" s="147"/>
      <c r="I6" s="152">
        <f t="shared" si="1"/>
        <v>6</v>
      </c>
      <c r="J6" s="150">
        <v>3</v>
      </c>
      <c r="K6" s="156">
        <v>1</v>
      </c>
      <c r="L6" s="150">
        <v>0</v>
      </c>
      <c r="M6" s="150">
        <v>1</v>
      </c>
      <c r="N6" s="152">
        <f t="shared" si="2"/>
        <v>5</v>
      </c>
      <c r="O6" s="150">
        <v>0</v>
      </c>
      <c r="P6" s="150">
        <v>0</v>
      </c>
      <c r="Q6" s="156">
        <v>3</v>
      </c>
      <c r="R6" s="152">
        <f t="shared" si="3"/>
        <v>3</v>
      </c>
      <c r="S6" s="150">
        <v>0</v>
      </c>
      <c r="T6" s="150">
        <v>0</v>
      </c>
      <c r="U6" s="150">
        <v>1</v>
      </c>
      <c r="V6" s="156">
        <v>1</v>
      </c>
      <c r="W6" s="150">
        <v>0</v>
      </c>
      <c r="X6" s="150">
        <v>0</v>
      </c>
      <c r="Y6" s="157">
        <v>8</v>
      </c>
      <c r="Z6" s="157">
        <v>0</v>
      </c>
      <c r="AA6" s="150">
        <v>0</v>
      </c>
      <c r="AB6" s="157">
        <v>0</v>
      </c>
      <c r="AC6" s="153">
        <f t="shared" si="4"/>
        <v>8</v>
      </c>
      <c r="AD6" s="150">
        <v>0</v>
      </c>
      <c r="AE6" s="154">
        <v>0</v>
      </c>
    </row>
    <row r="7" spans="1:31">
      <c r="A7" s="149" t="s">
        <v>555</v>
      </c>
      <c r="B7" s="155">
        <v>5</v>
      </c>
      <c r="C7" s="150">
        <v>0</v>
      </c>
      <c r="D7" s="155">
        <v>0</v>
      </c>
      <c r="E7" s="151">
        <f t="shared" si="0"/>
        <v>5</v>
      </c>
      <c r="F7" s="150">
        <v>0</v>
      </c>
      <c r="G7" s="150">
        <v>1</v>
      </c>
      <c r="H7" s="150">
        <v>0</v>
      </c>
      <c r="I7" s="152">
        <f t="shared" si="1"/>
        <v>1</v>
      </c>
      <c r="J7" s="156">
        <v>3</v>
      </c>
      <c r="K7" s="156">
        <v>0</v>
      </c>
      <c r="L7" s="150">
        <v>0</v>
      </c>
      <c r="M7" s="150">
        <v>1</v>
      </c>
      <c r="N7" s="152">
        <f t="shared" si="2"/>
        <v>4</v>
      </c>
      <c r="O7" s="150">
        <v>0</v>
      </c>
      <c r="P7" s="150">
        <v>0</v>
      </c>
      <c r="Q7" s="150">
        <v>2</v>
      </c>
      <c r="R7" s="152">
        <f t="shared" si="3"/>
        <v>2</v>
      </c>
      <c r="S7" s="150">
        <v>0</v>
      </c>
      <c r="T7" s="150">
        <v>0</v>
      </c>
      <c r="U7" s="150">
        <v>0</v>
      </c>
      <c r="V7" s="156">
        <v>0</v>
      </c>
      <c r="W7" s="150">
        <v>0</v>
      </c>
      <c r="X7" s="150">
        <v>0</v>
      </c>
      <c r="Y7" s="157">
        <v>5</v>
      </c>
      <c r="Z7" s="150">
        <v>0</v>
      </c>
      <c r="AA7" s="150">
        <v>0</v>
      </c>
      <c r="AB7" s="157">
        <v>0</v>
      </c>
      <c r="AC7" s="153">
        <f t="shared" si="4"/>
        <v>5</v>
      </c>
      <c r="AD7" s="150">
        <v>0</v>
      </c>
      <c r="AE7" s="154">
        <v>0</v>
      </c>
    </row>
    <row r="8" spans="1:31">
      <c r="A8" s="158" t="s">
        <v>2603</v>
      </c>
      <c r="B8" s="159">
        <v>5</v>
      </c>
      <c r="C8" s="160">
        <v>1</v>
      </c>
      <c r="D8" s="160">
        <v>0</v>
      </c>
      <c r="E8" s="151">
        <f t="shared" si="0"/>
        <v>6</v>
      </c>
      <c r="F8" s="161"/>
      <c r="G8" s="160">
        <v>1</v>
      </c>
      <c r="H8" s="160">
        <v>0</v>
      </c>
      <c r="I8" s="152">
        <f t="shared" si="1"/>
        <v>1</v>
      </c>
      <c r="J8" s="162">
        <v>3</v>
      </c>
      <c r="K8" s="160">
        <v>0</v>
      </c>
      <c r="L8" s="160">
        <v>0</v>
      </c>
      <c r="M8" s="160">
        <v>1</v>
      </c>
      <c r="N8" s="152">
        <f t="shared" si="2"/>
        <v>4</v>
      </c>
      <c r="O8" s="160">
        <v>0</v>
      </c>
      <c r="P8" s="160">
        <v>0</v>
      </c>
      <c r="Q8" s="162">
        <v>1</v>
      </c>
      <c r="R8" s="152">
        <f t="shared" si="3"/>
        <v>1</v>
      </c>
      <c r="S8" s="160">
        <v>0</v>
      </c>
      <c r="T8" s="160">
        <v>0</v>
      </c>
      <c r="U8" s="160">
        <v>0</v>
      </c>
      <c r="V8" s="160">
        <v>1</v>
      </c>
      <c r="W8" s="160">
        <v>0</v>
      </c>
      <c r="X8" s="160">
        <v>0</v>
      </c>
      <c r="Y8" s="163">
        <v>6</v>
      </c>
      <c r="Z8" s="160">
        <v>0</v>
      </c>
      <c r="AA8" s="160">
        <v>0</v>
      </c>
      <c r="AB8" s="160">
        <v>0</v>
      </c>
      <c r="AC8" s="153">
        <f t="shared" si="4"/>
        <v>6</v>
      </c>
      <c r="AD8" s="160">
        <v>0</v>
      </c>
      <c r="AE8" s="164">
        <v>0</v>
      </c>
    </row>
    <row r="9" spans="1:31">
      <c r="A9" s="165" t="s">
        <v>376</v>
      </c>
      <c r="B9" s="151">
        <f t="shared" ref="B9:H9" si="5">SUM(B3:B8)</f>
        <v>56</v>
      </c>
      <c r="C9" s="151">
        <f t="shared" si="5"/>
        <v>2</v>
      </c>
      <c r="D9" s="151">
        <f t="shared" si="5"/>
        <v>4</v>
      </c>
      <c r="E9" s="151">
        <f t="shared" si="5"/>
        <v>62</v>
      </c>
      <c r="F9" s="151">
        <f t="shared" si="5"/>
        <v>2</v>
      </c>
      <c r="G9" s="151">
        <f t="shared" si="5"/>
        <v>38</v>
      </c>
      <c r="H9" s="151">
        <f t="shared" si="5"/>
        <v>0</v>
      </c>
      <c r="I9" s="152">
        <f t="shared" si="1"/>
        <v>40</v>
      </c>
      <c r="J9" s="166">
        <f>SUM(J3:J8)</f>
        <v>10</v>
      </c>
      <c r="K9" s="166">
        <f>SUM(K3:K8)</f>
        <v>1</v>
      </c>
      <c r="L9" s="166">
        <f>SUM(L3:L8)</f>
        <v>0</v>
      </c>
      <c r="M9" s="166">
        <f>SUM(M3:M8)</f>
        <v>10</v>
      </c>
      <c r="N9" s="152">
        <f t="shared" si="2"/>
        <v>21</v>
      </c>
      <c r="O9" s="166">
        <f t="shared" ref="O9:AE9" si="6">SUM(O3:O8)</f>
        <v>1</v>
      </c>
      <c r="P9" s="166">
        <f t="shared" si="6"/>
        <v>0</v>
      </c>
      <c r="Q9" s="166">
        <f t="shared" si="6"/>
        <v>24</v>
      </c>
      <c r="R9" s="152">
        <f t="shared" si="6"/>
        <v>25</v>
      </c>
      <c r="S9" s="166">
        <f t="shared" si="6"/>
        <v>0</v>
      </c>
      <c r="T9" s="166">
        <f t="shared" si="6"/>
        <v>0</v>
      </c>
      <c r="U9" s="166">
        <f t="shared" si="6"/>
        <v>1</v>
      </c>
      <c r="V9" s="166">
        <f t="shared" si="6"/>
        <v>2</v>
      </c>
      <c r="W9" s="166">
        <f t="shared" si="6"/>
        <v>0</v>
      </c>
      <c r="X9" s="166">
        <f t="shared" si="6"/>
        <v>0</v>
      </c>
      <c r="Y9" s="153">
        <f t="shared" si="6"/>
        <v>56</v>
      </c>
      <c r="Z9" s="153">
        <f t="shared" si="6"/>
        <v>3</v>
      </c>
      <c r="AA9" s="153">
        <f t="shared" si="6"/>
        <v>0</v>
      </c>
      <c r="AB9" s="153">
        <f t="shared" si="6"/>
        <v>0</v>
      </c>
      <c r="AC9" s="153">
        <f t="shared" si="6"/>
        <v>59</v>
      </c>
      <c r="AD9" s="153">
        <f t="shared" si="6"/>
        <v>0</v>
      </c>
      <c r="AE9" s="153">
        <f t="shared" si="6"/>
        <v>1</v>
      </c>
    </row>
  </sheetData>
  <mergeCells count="7">
    <mergeCell ref="Y1:AC1"/>
    <mergeCell ref="AD1:AE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2:CU5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14.42578125" defaultRowHeight="15" customHeight="1"/>
  <cols>
    <col min="1" max="1" width="10.28515625" customWidth="1"/>
    <col min="2" max="2" width="25.7109375" customWidth="1"/>
    <col min="3" max="3" width="10.42578125" customWidth="1"/>
    <col min="5" max="5" width="16.42578125" customWidth="1"/>
  </cols>
  <sheetData>
    <row r="2" spans="1:99">
      <c r="A2" s="479" t="s">
        <v>2844</v>
      </c>
      <c r="B2" s="480"/>
      <c r="C2" s="479" t="s">
        <v>2845</v>
      </c>
      <c r="D2" s="481"/>
      <c r="E2" s="480"/>
      <c r="F2" s="1"/>
      <c r="G2" s="482" t="s">
        <v>2</v>
      </c>
      <c r="H2" s="468"/>
      <c r="I2" s="468"/>
      <c r="J2" s="468"/>
      <c r="K2" s="469"/>
      <c r="L2" s="462" t="s">
        <v>3</v>
      </c>
      <c r="M2" s="456"/>
      <c r="N2" s="456"/>
      <c r="O2" s="456"/>
      <c r="P2" s="461"/>
      <c r="Q2" s="483" t="s">
        <v>4</v>
      </c>
      <c r="R2" s="461"/>
      <c r="S2" s="462" t="s">
        <v>5</v>
      </c>
      <c r="T2" s="456"/>
      <c r="U2" s="456"/>
      <c r="V2" s="461"/>
      <c r="W2" s="463" t="s">
        <v>6</v>
      </c>
      <c r="X2" s="456"/>
      <c r="Y2" s="456"/>
      <c r="Z2" s="456"/>
      <c r="AA2" s="456"/>
      <c r="AB2" s="464"/>
      <c r="AC2" s="460" t="s">
        <v>7</v>
      </c>
      <c r="AD2" s="456"/>
      <c r="AE2" s="456"/>
      <c r="AF2" s="456"/>
      <c r="AG2" s="456"/>
      <c r="AH2" s="461"/>
      <c r="AI2" s="463" t="s">
        <v>8</v>
      </c>
      <c r="AJ2" s="461"/>
      <c r="AK2" s="462" t="s">
        <v>9</v>
      </c>
      <c r="AL2" s="456"/>
      <c r="AM2" s="461"/>
      <c r="AN2" s="460" t="s">
        <v>10</v>
      </c>
      <c r="AO2" s="456"/>
      <c r="AP2" s="461"/>
      <c r="AQ2" s="462" t="s">
        <v>11</v>
      </c>
      <c r="AR2" s="456"/>
      <c r="AS2" s="456"/>
      <c r="AT2" s="463" t="s">
        <v>12</v>
      </c>
      <c r="AU2" s="464"/>
      <c r="AV2" s="460" t="s">
        <v>13</v>
      </c>
      <c r="AW2" s="456"/>
      <c r="AX2" s="456"/>
      <c r="AY2" s="456"/>
      <c r="AZ2" s="461"/>
      <c r="BA2" s="503" t="s">
        <v>14</v>
      </c>
      <c r="BB2" s="468"/>
      <c r="BC2" s="468"/>
      <c r="BD2" s="468"/>
      <c r="BE2" s="468"/>
      <c r="BF2" s="468"/>
      <c r="BG2" s="469"/>
      <c r="BH2" s="472" t="s">
        <v>16</v>
      </c>
      <c r="BI2" s="473"/>
      <c r="BJ2" s="473"/>
      <c r="BK2" s="473"/>
      <c r="BL2" s="473"/>
      <c r="BM2" s="474"/>
      <c r="BN2" s="455" t="s">
        <v>17</v>
      </c>
      <c r="BO2" s="456"/>
      <c r="BP2" s="461"/>
      <c r="BQ2" s="475" t="s">
        <v>18</v>
      </c>
      <c r="BR2" s="476"/>
      <c r="BS2" s="3"/>
      <c r="BT2" s="3"/>
      <c r="BU2" s="475" t="s">
        <v>19</v>
      </c>
      <c r="BV2" s="473"/>
      <c r="BW2" s="473"/>
      <c r="BX2" s="473"/>
      <c r="BY2" s="473"/>
      <c r="BZ2" s="463" t="s">
        <v>20</v>
      </c>
      <c r="CA2" s="456"/>
      <c r="CB2" s="461"/>
      <c r="CC2" s="465" t="s">
        <v>21</v>
      </c>
      <c r="CD2" s="466"/>
      <c r="CE2" s="4" t="s">
        <v>22</v>
      </c>
      <c r="CF2" s="465" t="s">
        <v>23</v>
      </c>
      <c r="CG2" s="468"/>
      <c r="CH2" s="469"/>
      <c r="CI2" s="463" t="s">
        <v>16</v>
      </c>
      <c r="CJ2" s="456"/>
      <c r="CK2" s="464"/>
      <c r="CL2" s="124"/>
      <c r="CM2" s="455" t="s">
        <v>24</v>
      </c>
      <c r="CN2" s="456"/>
      <c r="CO2" s="457" t="s">
        <v>25</v>
      </c>
      <c r="CP2" s="456"/>
      <c r="CQ2" s="5"/>
      <c r="CR2" s="6" t="s">
        <v>26</v>
      </c>
      <c r="CS2" s="7"/>
      <c r="CT2" s="8"/>
      <c r="CU2" s="9"/>
    </row>
    <row r="3" spans="1:99">
      <c r="A3" s="89"/>
      <c r="B3" s="10"/>
      <c r="C3" s="10"/>
      <c r="D3" s="10"/>
      <c r="E3" s="10"/>
      <c r="F3" s="11"/>
      <c r="G3" s="90"/>
      <c r="H3" s="91"/>
      <c r="I3" s="91"/>
      <c r="J3" s="91"/>
      <c r="K3" s="92"/>
      <c r="L3" s="93"/>
      <c r="M3" s="94"/>
      <c r="N3" s="94"/>
      <c r="O3" s="94"/>
      <c r="P3" s="95"/>
      <c r="Q3" s="96"/>
      <c r="R3" s="97"/>
      <c r="S3" s="93"/>
      <c r="T3" s="94"/>
      <c r="U3" s="94"/>
      <c r="V3" s="94"/>
      <c r="W3" s="98"/>
      <c r="X3" s="99"/>
      <c r="Y3" s="99"/>
      <c r="Z3" s="99"/>
      <c r="AA3" s="99"/>
      <c r="AB3" s="100"/>
      <c r="AC3" s="101"/>
      <c r="AD3" s="102"/>
      <c r="AE3" s="102"/>
      <c r="AF3" s="102"/>
      <c r="AG3" s="102"/>
      <c r="AH3" s="103"/>
      <c r="AI3" s="101"/>
      <c r="AJ3" s="103"/>
      <c r="AK3" s="93"/>
      <c r="AL3" s="94"/>
      <c r="AM3" s="95"/>
      <c r="AN3" s="101"/>
      <c r="AO3" s="102"/>
      <c r="AP3" s="103"/>
      <c r="AQ3" s="93"/>
      <c r="AR3" s="94"/>
      <c r="AS3" s="94"/>
      <c r="AT3" s="98"/>
      <c r="AU3" s="100"/>
      <c r="AV3" s="101"/>
      <c r="AW3" s="102"/>
      <c r="AX3" s="102"/>
      <c r="AY3" s="102"/>
      <c r="AZ3" s="103"/>
      <c r="BA3" s="102"/>
      <c r="BB3" s="102"/>
      <c r="BC3" s="102"/>
      <c r="BD3" s="102"/>
      <c r="BE3" s="103"/>
      <c r="BF3" s="496" t="s">
        <v>15</v>
      </c>
      <c r="BG3" s="495"/>
      <c r="BH3" s="489" t="s">
        <v>78</v>
      </c>
      <c r="BI3" s="480"/>
      <c r="BJ3" s="502" t="s">
        <v>354</v>
      </c>
      <c r="BK3" s="481"/>
      <c r="BL3" s="481"/>
      <c r="BM3" s="480"/>
      <c r="BN3" s="102"/>
      <c r="BO3" s="102"/>
      <c r="BP3" s="102"/>
      <c r="BQ3" s="2"/>
      <c r="BR3" s="3"/>
      <c r="BS3" s="3"/>
      <c r="BT3" s="3"/>
      <c r="BU3" s="2"/>
      <c r="BV3" s="3"/>
      <c r="BW3" s="3"/>
      <c r="BX3" s="3"/>
      <c r="BY3" s="3"/>
      <c r="BZ3" s="102"/>
      <c r="CA3" s="102"/>
      <c r="CB3" s="103"/>
      <c r="CC3" s="102"/>
      <c r="CD3" s="102"/>
      <c r="CE3" s="102"/>
      <c r="CF3" s="102"/>
      <c r="CG3" s="102"/>
      <c r="CH3" s="102"/>
      <c r="CI3" s="101"/>
      <c r="CJ3" s="102"/>
      <c r="CK3" s="102"/>
      <c r="CL3" s="102"/>
      <c r="CM3" s="100"/>
      <c r="CN3" s="102"/>
      <c r="CO3" s="96"/>
      <c r="CP3" s="105"/>
      <c r="CQ3" s="105" t="s">
        <v>893</v>
      </c>
      <c r="CR3" s="106"/>
      <c r="CS3" s="107"/>
      <c r="CT3" s="8"/>
      <c r="CU3" s="8"/>
    </row>
    <row r="4" spans="1:99" ht="30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1" t="s">
        <v>33</v>
      </c>
      <c r="G4" s="12" t="s">
        <v>34</v>
      </c>
      <c r="H4" s="13" t="s">
        <v>35</v>
      </c>
      <c r="I4" s="13" t="s">
        <v>36</v>
      </c>
      <c r="J4" s="14" t="s">
        <v>37</v>
      </c>
      <c r="K4" s="15" t="s">
        <v>38</v>
      </c>
      <c r="L4" s="16" t="s">
        <v>39</v>
      </c>
      <c r="M4" s="10" t="s">
        <v>40</v>
      </c>
      <c r="N4" s="10" t="s">
        <v>41</v>
      </c>
      <c r="O4" s="10" t="s">
        <v>42</v>
      </c>
      <c r="P4" s="17" t="s">
        <v>43</v>
      </c>
      <c r="Q4" s="18" t="s">
        <v>44</v>
      </c>
      <c r="R4" s="19" t="s">
        <v>45</v>
      </c>
      <c r="S4" s="16" t="s">
        <v>46</v>
      </c>
      <c r="T4" s="10" t="s">
        <v>47</v>
      </c>
      <c r="U4" s="10" t="s">
        <v>48</v>
      </c>
      <c r="V4" s="11" t="s">
        <v>49</v>
      </c>
      <c r="W4" s="20" t="s">
        <v>50</v>
      </c>
      <c r="X4" s="21" t="s">
        <v>51</v>
      </c>
      <c r="Y4" s="21" t="s">
        <v>52</v>
      </c>
      <c r="Z4" s="21" t="s">
        <v>53</v>
      </c>
      <c r="AA4" s="21" t="s">
        <v>54</v>
      </c>
      <c r="AB4" s="22" t="s">
        <v>55</v>
      </c>
      <c r="AC4" s="20" t="s">
        <v>56</v>
      </c>
      <c r="AD4" s="21" t="s">
        <v>57</v>
      </c>
      <c r="AE4" s="21" t="s">
        <v>58</v>
      </c>
      <c r="AF4" s="21" t="s">
        <v>59</v>
      </c>
      <c r="AG4" s="21" t="s">
        <v>60</v>
      </c>
      <c r="AH4" s="23" t="s">
        <v>61</v>
      </c>
      <c r="AI4" s="24" t="s">
        <v>62</v>
      </c>
      <c r="AJ4" s="25" t="s">
        <v>63</v>
      </c>
      <c r="AK4" s="16" t="s">
        <v>64</v>
      </c>
      <c r="AL4" s="10" t="s">
        <v>65</v>
      </c>
      <c r="AM4" s="26" t="s">
        <v>66</v>
      </c>
      <c r="AN4" s="20" t="s">
        <v>67</v>
      </c>
      <c r="AO4" s="21" t="s">
        <v>68</v>
      </c>
      <c r="AP4" s="23" t="s">
        <v>69</v>
      </c>
      <c r="AQ4" s="20" t="s">
        <v>70</v>
      </c>
      <c r="AR4" s="21" t="s">
        <v>71</v>
      </c>
      <c r="AS4" s="22" t="s">
        <v>72</v>
      </c>
      <c r="AT4" s="20" t="s">
        <v>56</v>
      </c>
      <c r="AU4" s="22" t="s">
        <v>73</v>
      </c>
      <c r="AV4" s="20" t="s">
        <v>46</v>
      </c>
      <c r="AW4" s="42" t="s">
        <v>895</v>
      </c>
      <c r="AX4" s="27" t="s">
        <v>75</v>
      </c>
      <c r="AY4" s="27" t="s">
        <v>76</v>
      </c>
      <c r="AZ4" s="23" t="s">
        <v>77</v>
      </c>
      <c r="BA4" s="28" t="s">
        <v>56</v>
      </c>
      <c r="BB4" s="29" t="s">
        <v>78</v>
      </c>
      <c r="BC4" s="29" t="s">
        <v>79</v>
      </c>
      <c r="BD4" s="29" t="s">
        <v>80</v>
      </c>
      <c r="BE4" s="30" t="s">
        <v>38</v>
      </c>
      <c r="BF4" s="31" t="s">
        <v>81</v>
      </c>
      <c r="BG4" s="32" t="s">
        <v>82</v>
      </c>
      <c r="BH4" s="33" t="s">
        <v>83</v>
      </c>
      <c r="BI4" s="29" t="s">
        <v>81</v>
      </c>
      <c r="BJ4" s="111" t="s">
        <v>96</v>
      </c>
      <c r="BK4" s="29" t="s">
        <v>84</v>
      </c>
      <c r="BL4" s="29" t="s">
        <v>85</v>
      </c>
      <c r="BM4" s="29" t="s">
        <v>86</v>
      </c>
      <c r="BN4" s="21" t="s">
        <v>73</v>
      </c>
      <c r="BO4" s="34" t="s">
        <v>87</v>
      </c>
      <c r="BP4" s="22" t="s">
        <v>56</v>
      </c>
      <c r="BQ4" s="35" t="s">
        <v>83</v>
      </c>
      <c r="BR4" s="36" t="s">
        <v>88</v>
      </c>
      <c r="BS4" s="37" t="s">
        <v>89</v>
      </c>
      <c r="BT4" s="37"/>
      <c r="BU4" s="35" t="s">
        <v>90</v>
      </c>
      <c r="BV4" s="38" t="s">
        <v>91</v>
      </c>
      <c r="BW4" s="38" t="s">
        <v>92</v>
      </c>
      <c r="BX4" s="38" t="s">
        <v>93</v>
      </c>
      <c r="BY4" s="39" t="s">
        <v>94</v>
      </c>
      <c r="BZ4" s="40" t="s">
        <v>56</v>
      </c>
      <c r="CA4" s="40" t="s">
        <v>73</v>
      </c>
      <c r="CB4" s="41" t="s">
        <v>22</v>
      </c>
      <c r="CC4" s="40" t="s">
        <v>56</v>
      </c>
      <c r="CD4" s="29" t="s">
        <v>73</v>
      </c>
      <c r="CE4" s="111" t="s">
        <v>1275</v>
      </c>
      <c r="CF4" s="29" t="s">
        <v>83</v>
      </c>
      <c r="CG4" s="29" t="s">
        <v>88</v>
      </c>
      <c r="CH4" s="29" t="s">
        <v>896</v>
      </c>
      <c r="CI4" s="126" t="s">
        <v>96</v>
      </c>
      <c r="CJ4" s="127" t="s">
        <v>97</v>
      </c>
      <c r="CK4" s="128" t="s">
        <v>98</v>
      </c>
      <c r="CL4" s="127" t="s">
        <v>1276</v>
      </c>
      <c r="CM4" s="21" t="s">
        <v>73</v>
      </c>
      <c r="CN4" s="22" t="s">
        <v>56</v>
      </c>
      <c r="CO4" s="20" t="s">
        <v>99</v>
      </c>
      <c r="CP4" s="22" t="s">
        <v>56</v>
      </c>
      <c r="CQ4" s="43"/>
      <c r="CR4" s="458" t="s">
        <v>100</v>
      </c>
      <c r="CS4" s="459"/>
      <c r="CT4" s="167" t="s">
        <v>101</v>
      </c>
      <c r="CU4" s="45" t="s">
        <v>102</v>
      </c>
    </row>
    <row r="5" spans="1:99" hidden="1">
      <c r="A5" s="46" t="s">
        <v>2021</v>
      </c>
      <c r="B5" s="46" t="s">
        <v>2846</v>
      </c>
      <c r="C5" s="46">
        <v>59</v>
      </c>
      <c r="D5" s="46" t="s">
        <v>2847</v>
      </c>
      <c r="E5" s="46" t="s">
        <v>2848</v>
      </c>
      <c r="F5" s="46" t="s">
        <v>2472</v>
      </c>
      <c r="J5" s="46">
        <v>1</v>
      </c>
      <c r="M5" s="46">
        <v>1</v>
      </c>
      <c r="R5" s="46">
        <v>1</v>
      </c>
      <c r="T5" s="46">
        <v>1</v>
      </c>
      <c r="W5" s="46">
        <v>14</v>
      </c>
      <c r="X5" s="46">
        <v>19</v>
      </c>
      <c r="Y5" s="46">
        <v>20</v>
      </c>
      <c r="Z5" s="46">
        <v>10</v>
      </c>
      <c r="AA5" s="46">
        <v>10</v>
      </c>
      <c r="AB5" s="46">
        <v>7</v>
      </c>
      <c r="AE5" s="46">
        <v>1</v>
      </c>
      <c r="AG5" s="46">
        <v>1</v>
      </c>
      <c r="AH5" s="46">
        <v>1</v>
      </c>
      <c r="AI5" s="46">
        <v>1</v>
      </c>
      <c r="AK5" s="46">
        <v>1</v>
      </c>
      <c r="AT5" s="46">
        <v>1</v>
      </c>
      <c r="AX5" s="46">
        <v>1</v>
      </c>
      <c r="BA5" s="46">
        <v>1</v>
      </c>
      <c r="BJ5" s="46">
        <v>1</v>
      </c>
      <c r="BZ5" s="46">
        <v>1</v>
      </c>
      <c r="CC5" s="46">
        <v>1</v>
      </c>
      <c r="CP5" s="46">
        <v>1</v>
      </c>
      <c r="CU5" s="139">
        <v>46725</v>
      </c>
    </row>
    <row r="6" spans="1:99" hidden="1">
      <c r="A6" s="46" t="s">
        <v>2024</v>
      </c>
      <c r="B6" s="46" t="s">
        <v>2849</v>
      </c>
      <c r="C6" s="46">
        <v>45</v>
      </c>
      <c r="D6" s="46" t="s">
        <v>2847</v>
      </c>
      <c r="E6" s="46" t="s">
        <v>191</v>
      </c>
      <c r="F6" s="46" t="s">
        <v>2506</v>
      </c>
      <c r="J6" s="46">
        <v>1</v>
      </c>
      <c r="M6" s="46">
        <v>1</v>
      </c>
      <c r="Q6" s="46">
        <v>1</v>
      </c>
      <c r="S6" s="46">
        <v>1</v>
      </c>
      <c r="W6" s="46">
        <v>14</v>
      </c>
      <c r="X6" s="46">
        <v>18</v>
      </c>
      <c r="Y6" s="46">
        <v>19</v>
      </c>
      <c r="Z6" s="46">
        <v>10</v>
      </c>
      <c r="AA6" s="46">
        <v>10</v>
      </c>
      <c r="AB6" s="46">
        <v>10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  <c r="CP6" s="46">
        <v>1</v>
      </c>
      <c r="CU6" s="139">
        <v>46725</v>
      </c>
    </row>
    <row r="7" spans="1:99" hidden="1">
      <c r="A7" s="46" t="s">
        <v>2027</v>
      </c>
      <c r="B7" s="46" t="s">
        <v>2850</v>
      </c>
      <c r="C7" s="46">
        <v>49</v>
      </c>
      <c r="D7" s="46" t="s">
        <v>2847</v>
      </c>
      <c r="E7" s="46" t="s">
        <v>2851</v>
      </c>
      <c r="F7" s="46" t="s">
        <v>2484</v>
      </c>
      <c r="J7" s="46">
        <v>1</v>
      </c>
      <c r="O7" s="46">
        <v>1</v>
      </c>
      <c r="Q7" s="46">
        <v>1</v>
      </c>
      <c r="U7" s="46">
        <v>1</v>
      </c>
      <c r="W7" s="46">
        <v>17</v>
      </c>
      <c r="X7" s="46">
        <v>20</v>
      </c>
      <c r="Y7" s="46">
        <v>26</v>
      </c>
      <c r="Z7" s="46">
        <v>2</v>
      </c>
      <c r="AA7" s="46">
        <v>2</v>
      </c>
      <c r="AB7" s="46">
        <v>2</v>
      </c>
      <c r="AE7" s="46">
        <v>2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P7" s="46">
        <v>1</v>
      </c>
      <c r="CU7" s="139">
        <v>46725</v>
      </c>
    </row>
    <row r="8" spans="1:99" hidden="1">
      <c r="A8" s="46" t="s">
        <v>2031</v>
      </c>
      <c r="B8" s="46" t="s">
        <v>2852</v>
      </c>
      <c r="C8" s="46">
        <v>35</v>
      </c>
      <c r="D8" s="46" t="s">
        <v>2847</v>
      </c>
      <c r="E8" s="46" t="s">
        <v>2853</v>
      </c>
      <c r="F8" s="46" t="s">
        <v>2484</v>
      </c>
      <c r="H8" s="46">
        <v>1</v>
      </c>
      <c r="O8" s="46">
        <v>1</v>
      </c>
      <c r="Q8" s="46">
        <v>1</v>
      </c>
      <c r="T8" s="46">
        <v>1</v>
      </c>
      <c r="W8" s="46">
        <v>17</v>
      </c>
      <c r="X8" s="46">
        <v>20</v>
      </c>
      <c r="Y8" s="46">
        <v>25</v>
      </c>
      <c r="Z8" s="46">
        <v>3</v>
      </c>
      <c r="AA8" s="46">
        <v>3</v>
      </c>
      <c r="AB8" s="46">
        <v>3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46">
        <v>1</v>
      </c>
      <c r="CC8" s="46">
        <v>1</v>
      </c>
      <c r="CP8" s="46">
        <v>1</v>
      </c>
      <c r="CU8" s="139">
        <v>46725</v>
      </c>
    </row>
    <row r="9" spans="1:99" hidden="1">
      <c r="A9" s="46" t="s">
        <v>2036</v>
      </c>
      <c r="B9" s="46" t="s">
        <v>2854</v>
      </c>
      <c r="C9" s="46">
        <v>60</v>
      </c>
      <c r="D9" s="46" t="s">
        <v>2847</v>
      </c>
      <c r="E9" s="46" t="s">
        <v>191</v>
      </c>
      <c r="F9" s="46" t="s">
        <v>2484</v>
      </c>
      <c r="I9" s="46">
        <v>1</v>
      </c>
      <c r="M9" s="46">
        <v>1</v>
      </c>
      <c r="R9" s="46">
        <v>1</v>
      </c>
      <c r="T9" s="46">
        <v>1</v>
      </c>
      <c r="W9" s="46">
        <v>15</v>
      </c>
      <c r="X9" s="46">
        <v>18</v>
      </c>
      <c r="Y9" s="46">
        <v>18</v>
      </c>
      <c r="Z9" s="46">
        <v>10</v>
      </c>
      <c r="AA9" s="46">
        <v>10</v>
      </c>
      <c r="AB9" s="46">
        <v>7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J9" s="46">
        <v>1</v>
      </c>
      <c r="BZ9" s="46">
        <v>1</v>
      </c>
      <c r="CC9" s="46">
        <v>1</v>
      </c>
      <c r="CP9" s="46">
        <v>1</v>
      </c>
      <c r="CU9" s="139">
        <v>46725</v>
      </c>
    </row>
    <row r="10" spans="1:99">
      <c r="A10" s="46" t="s">
        <v>2040</v>
      </c>
      <c r="B10" s="46" t="s">
        <v>2855</v>
      </c>
      <c r="C10" s="46">
        <v>67</v>
      </c>
      <c r="D10" s="46" t="s">
        <v>2847</v>
      </c>
      <c r="E10" s="46" t="s">
        <v>191</v>
      </c>
      <c r="F10" s="46" t="s">
        <v>2484</v>
      </c>
      <c r="H10" s="46">
        <v>1</v>
      </c>
      <c r="P10" s="46">
        <v>1</v>
      </c>
      <c r="Q10" s="46">
        <v>1</v>
      </c>
      <c r="V10" s="46">
        <v>1</v>
      </c>
      <c r="W10" s="46">
        <v>16</v>
      </c>
      <c r="X10" s="46">
        <v>20</v>
      </c>
      <c r="Y10" s="46">
        <v>0</v>
      </c>
      <c r="Z10" s="46">
        <v>11</v>
      </c>
      <c r="AA10" s="46">
        <v>11</v>
      </c>
      <c r="AB10" s="46">
        <v>11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S10" s="46">
        <v>1</v>
      </c>
      <c r="BZ10" s="46">
        <v>1</v>
      </c>
      <c r="CC10" s="46">
        <v>1</v>
      </c>
      <c r="CP10" s="46">
        <v>1</v>
      </c>
      <c r="CU10" s="46" t="s">
        <v>2856</v>
      </c>
    </row>
    <row r="11" spans="1:99">
      <c r="A11" s="46" t="s">
        <v>2043</v>
      </c>
      <c r="B11" s="46" t="s">
        <v>2857</v>
      </c>
      <c r="C11" s="46">
        <v>65</v>
      </c>
      <c r="D11" s="46" t="s">
        <v>2847</v>
      </c>
      <c r="E11" s="46" t="s">
        <v>191</v>
      </c>
      <c r="F11" s="46" t="s">
        <v>2484</v>
      </c>
      <c r="J11" s="46">
        <v>1</v>
      </c>
      <c r="P11" s="46">
        <v>1</v>
      </c>
      <c r="Q11" s="46">
        <v>1</v>
      </c>
      <c r="T11" s="46">
        <v>1</v>
      </c>
      <c r="W11" s="46">
        <v>18</v>
      </c>
      <c r="X11" s="46">
        <v>20</v>
      </c>
      <c r="Y11" s="46">
        <v>22</v>
      </c>
      <c r="Z11" s="46">
        <v>11</v>
      </c>
      <c r="AA11" s="46">
        <v>9</v>
      </c>
      <c r="AB11" s="46">
        <v>9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W11" s="46">
        <v>1</v>
      </c>
      <c r="BZ11" s="46">
        <v>1</v>
      </c>
      <c r="CC11" s="46">
        <v>1</v>
      </c>
      <c r="CP11" s="46">
        <v>1</v>
      </c>
      <c r="CU11" s="46" t="s">
        <v>2858</v>
      </c>
    </row>
    <row r="12" spans="1:99" hidden="1">
      <c r="A12" s="46" t="s">
        <v>2046</v>
      </c>
      <c r="B12" s="46" t="s">
        <v>2859</v>
      </c>
      <c r="C12" s="46">
        <v>49</v>
      </c>
      <c r="D12" s="46" t="s">
        <v>2847</v>
      </c>
      <c r="E12" s="46" t="s">
        <v>2860</v>
      </c>
      <c r="F12" s="46" t="s">
        <v>2484</v>
      </c>
      <c r="H12" s="46">
        <v>1</v>
      </c>
      <c r="P12" s="46">
        <v>1</v>
      </c>
      <c r="Q12" s="46">
        <v>1</v>
      </c>
      <c r="S12" s="46">
        <v>1</v>
      </c>
      <c r="W12" s="46">
        <v>14</v>
      </c>
      <c r="X12" s="46">
        <v>15</v>
      </c>
      <c r="Y12" s="46">
        <v>19</v>
      </c>
      <c r="Z12" s="46">
        <v>10</v>
      </c>
      <c r="AA12" s="46">
        <v>10</v>
      </c>
      <c r="AB12" s="46">
        <v>7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P12" s="46">
        <v>1</v>
      </c>
      <c r="CU12" s="139">
        <v>46725</v>
      </c>
    </row>
    <row r="13" spans="1:99" hidden="1">
      <c r="A13" s="46" t="s">
        <v>2049</v>
      </c>
      <c r="B13" s="46" t="s">
        <v>2861</v>
      </c>
      <c r="C13" s="46">
        <v>39</v>
      </c>
      <c r="D13" s="46" t="s">
        <v>2847</v>
      </c>
      <c r="E13" s="46" t="s">
        <v>2862</v>
      </c>
      <c r="F13" s="46" t="s">
        <v>2484</v>
      </c>
      <c r="I13" s="46">
        <v>1</v>
      </c>
      <c r="M13" s="46">
        <v>1</v>
      </c>
      <c r="Q13" s="46">
        <v>1</v>
      </c>
      <c r="T13" s="46">
        <v>1</v>
      </c>
      <c r="W13" s="46">
        <v>15</v>
      </c>
      <c r="X13" s="46">
        <v>15</v>
      </c>
      <c r="Y13" s="46">
        <v>16</v>
      </c>
      <c r="Z13" s="46">
        <v>7</v>
      </c>
      <c r="AA13" s="46">
        <v>5</v>
      </c>
      <c r="AB13" s="46">
        <v>5</v>
      </c>
      <c r="AH13" s="46">
        <v>1</v>
      </c>
      <c r="AJ13" s="46">
        <v>1</v>
      </c>
      <c r="AM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P13" s="46">
        <v>1</v>
      </c>
      <c r="CU13" s="139">
        <v>46725</v>
      </c>
    </row>
    <row r="14" spans="1:99" hidden="1">
      <c r="A14" s="46" t="s">
        <v>2052</v>
      </c>
      <c r="B14" s="46" t="s">
        <v>2863</v>
      </c>
      <c r="C14" s="46">
        <v>38</v>
      </c>
      <c r="D14" s="46" t="s">
        <v>2847</v>
      </c>
      <c r="E14" s="46" t="s">
        <v>191</v>
      </c>
      <c r="F14" s="46" t="s">
        <v>2484</v>
      </c>
      <c r="H14" s="46">
        <v>1</v>
      </c>
      <c r="M14" s="46">
        <v>1</v>
      </c>
      <c r="T14" s="46">
        <v>1</v>
      </c>
      <c r="W14" s="46">
        <v>12</v>
      </c>
      <c r="X14" s="46">
        <v>17</v>
      </c>
      <c r="Y14" s="46">
        <v>20</v>
      </c>
      <c r="Z14" s="46">
        <v>13</v>
      </c>
      <c r="AA14" s="46">
        <v>10</v>
      </c>
      <c r="AB14" s="46">
        <v>9</v>
      </c>
      <c r="AC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P14" s="46">
        <v>1</v>
      </c>
      <c r="CU14" s="139">
        <v>46725</v>
      </c>
    </row>
    <row r="15" spans="1:99">
      <c r="A15" s="46" t="s">
        <v>2055</v>
      </c>
      <c r="B15" s="46" t="s">
        <v>2864</v>
      </c>
      <c r="C15" s="46">
        <v>74</v>
      </c>
      <c r="D15" s="46" t="s">
        <v>2847</v>
      </c>
      <c r="E15" s="46" t="s">
        <v>2865</v>
      </c>
      <c r="F15" s="46" t="s">
        <v>2484</v>
      </c>
      <c r="G15" s="46">
        <v>1</v>
      </c>
      <c r="O15" s="46">
        <v>1</v>
      </c>
      <c r="R15" s="46">
        <v>1</v>
      </c>
      <c r="T15" s="46">
        <v>1</v>
      </c>
      <c r="W15" s="46">
        <v>14</v>
      </c>
      <c r="X15" s="46">
        <v>15</v>
      </c>
      <c r="Y15" s="46">
        <v>20</v>
      </c>
      <c r="Z15" s="46">
        <v>11</v>
      </c>
      <c r="AA15" s="46">
        <v>10</v>
      </c>
      <c r="AB15" s="46">
        <v>8</v>
      </c>
      <c r="AC15" s="46">
        <v>1</v>
      </c>
      <c r="AI15" s="46">
        <v>1</v>
      </c>
      <c r="AK15" s="46">
        <v>1</v>
      </c>
      <c r="AT15" s="46">
        <v>1</v>
      </c>
      <c r="BA15" s="46">
        <v>1</v>
      </c>
      <c r="BJ15" s="46">
        <v>1</v>
      </c>
      <c r="BW15" s="46">
        <v>1</v>
      </c>
      <c r="BZ15" s="46">
        <v>1</v>
      </c>
      <c r="CC15" s="46">
        <v>1</v>
      </c>
      <c r="CP15" s="46">
        <v>1</v>
      </c>
      <c r="CU15" s="139">
        <v>46725</v>
      </c>
    </row>
    <row r="16" spans="1:99" hidden="1">
      <c r="A16" s="46" t="s">
        <v>2058</v>
      </c>
      <c r="B16" s="46" t="s">
        <v>2866</v>
      </c>
      <c r="C16" s="46">
        <v>33</v>
      </c>
      <c r="D16" s="46" t="s">
        <v>2847</v>
      </c>
      <c r="E16" s="46" t="s">
        <v>2867</v>
      </c>
      <c r="F16" s="46" t="s">
        <v>2484</v>
      </c>
      <c r="G16" s="46">
        <v>1</v>
      </c>
      <c r="M16" s="46">
        <v>1</v>
      </c>
      <c r="Q16" s="46">
        <v>1</v>
      </c>
      <c r="V16" s="46">
        <v>1</v>
      </c>
      <c r="W16" s="46">
        <v>14</v>
      </c>
      <c r="X16" s="46">
        <v>17</v>
      </c>
      <c r="Y16" s="46">
        <v>22</v>
      </c>
      <c r="Z16" s="46">
        <v>6</v>
      </c>
      <c r="AA16" s="46">
        <v>5</v>
      </c>
      <c r="AB16" s="46">
        <v>5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P16" s="46">
        <v>1</v>
      </c>
      <c r="CU16" s="139">
        <v>46725</v>
      </c>
    </row>
    <row r="17" spans="1:99" hidden="1">
      <c r="A17" s="46" t="s">
        <v>2063</v>
      </c>
      <c r="B17" s="46" t="s">
        <v>2868</v>
      </c>
      <c r="C17" s="46">
        <v>40</v>
      </c>
      <c r="D17" s="46" t="s">
        <v>2847</v>
      </c>
      <c r="E17" s="46" t="s">
        <v>2869</v>
      </c>
      <c r="F17" s="46" t="s">
        <v>2484</v>
      </c>
      <c r="J17" s="46">
        <v>1</v>
      </c>
      <c r="M17" s="46">
        <v>1</v>
      </c>
      <c r="Q17" s="46">
        <v>1</v>
      </c>
      <c r="T17" s="46">
        <v>1</v>
      </c>
      <c r="W17" s="46">
        <v>16</v>
      </c>
      <c r="X17" s="46">
        <v>19</v>
      </c>
      <c r="Y17" s="46">
        <v>22</v>
      </c>
      <c r="Z17" s="46">
        <v>6</v>
      </c>
      <c r="AA17" s="46">
        <v>6</v>
      </c>
      <c r="AB17" s="46">
        <v>6</v>
      </c>
      <c r="AE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H17" s="46">
        <v>1</v>
      </c>
      <c r="BV17" s="108" t="s">
        <v>2870</v>
      </c>
      <c r="BZ17" s="46">
        <v>1</v>
      </c>
      <c r="CC17" s="46">
        <v>1</v>
      </c>
      <c r="CI17" s="46">
        <v>1</v>
      </c>
      <c r="CP17" s="46">
        <v>1</v>
      </c>
      <c r="CU17" s="139">
        <v>46725</v>
      </c>
    </row>
    <row r="18" spans="1:99" hidden="1">
      <c r="A18" s="46" t="s">
        <v>2067</v>
      </c>
      <c r="B18" s="46" t="s">
        <v>2871</v>
      </c>
      <c r="C18" s="46">
        <v>27</v>
      </c>
      <c r="D18" s="46" t="s">
        <v>2847</v>
      </c>
      <c r="E18" s="46" t="s">
        <v>191</v>
      </c>
      <c r="F18" s="46" t="s">
        <v>2484</v>
      </c>
      <c r="K18" s="46">
        <v>1</v>
      </c>
      <c r="M18" s="46">
        <v>1</v>
      </c>
      <c r="Q18" s="46">
        <v>1</v>
      </c>
      <c r="T18" s="46">
        <v>1</v>
      </c>
      <c r="W18" s="46">
        <v>16</v>
      </c>
      <c r="X18" s="46">
        <v>19</v>
      </c>
      <c r="Y18" s="46">
        <v>20</v>
      </c>
      <c r="Z18" s="46">
        <v>3</v>
      </c>
      <c r="AA18" s="46">
        <v>3</v>
      </c>
      <c r="AB18" s="46">
        <v>3</v>
      </c>
      <c r="AG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Z18" s="46">
        <v>1</v>
      </c>
      <c r="CC18" s="46">
        <v>1</v>
      </c>
      <c r="CI18" s="46">
        <v>1</v>
      </c>
      <c r="CP18" s="46">
        <v>1</v>
      </c>
      <c r="CU18" s="46" t="s">
        <v>2619</v>
      </c>
    </row>
    <row r="19" spans="1:99" hidden="1">
      <c r="A19" s="46" t="s">
        <v>2071</v>
      </c>
      <c r="B19" s="46" t="s">
        <v>2872</v>
      </c>
      <c r="C19" s="46">
        <v>19</v>
      </c>
      <c r="D19" s="46" t="s">
        <v>2847</v>
      </c>
      <c r="E19" s="46" t="s">
        <v>2873</v>
      </c>
      <c r="F19" s="46" t="s">
        <v>2874</v>
      </c>
      <c r="J19" s="46">
        <v>1</v>
      </c>
      <c r="L19" s="46">
        <v>1</v>
      </c>
      <c r="Q19" s="46">
        <v>1</v>
      </c>
      <c r="U19" s="46">
        <v>1</v>
      </c>
      <c r="W19" s="46">
        <v>14</v>
      </c>
      <c r="X19" s="46">
        <v>17</v>
      </c>
      <c r="Y19" s="46">
        <v>0</v>
      </c>
      <c r="Z19" s="46">
        <v>0</v>
      </c>
      <c r="AA19" s="46">
        <v>0</v>
      </c>
      <c r="AB19" s="46">
        <v>0</v>
      </c>
      <c r="AH19" s="46">
        <v>1</v>
      </c>
      <c r="AI19" s="46">
        <v>1</v>
      </c>
      <c r="AM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C19" s="46">
        <v>1</v>
      </c>
      <c r="CP19" s="46">
        <v>1</v>
      </c>
      <c r="CU19" s="139">
        <v>46725</v>
      </c>
    </row>
    <row r="20" spans="1:99">
      <c r="A20" s="46" t="s">
        <v>2074</v>
      </c>
      <c r="B20" s="46" t="s">
        <v>2875</v>
      </c>
      <c r="C20" s="46">
        <v>86</v>
      </c>
      <c r="D20" s="46" t="s">
        <v>2847</v>
      </c>
      <c r="E20" s="46" t="s">
        <v>191</v>
      </c>
      <c r="F20" s="46" t="s">
        <v>2472</v>
      </c>
      <c r="G20" s="46">
        <v>1</v>
      </c>
      <c r="P20" s="46">
        <v>1</v>
      </c>
      <c r="Q20" s="46">
        <v>1</v>
      </c>
      <c r="S20" s="46">
        <v>1</v>
      </c>
      <c r="W20" s="46">
        <v>15</v>
      </c>
      <c r="X20" s="46">
        <v>12</v>
      </c>
      <c r="Y20" s="46">
        <v>17</v>
      </c>
      <c r="Z20" s="46">
        <v>4</v>
      </c>
      <c r="AA20" s="46">
        <v>4</v>
      </c>
      <c r="AB20" s="46">
        <v>3</v>
      </c>
      <c r="AC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W20" s="46">
        <v>1</v>
      </c>
      <c r="BZ20" s="46">
        <v>1</v>
      </c>
      <c r="CC20" s="46">
        <v>1</v>
      </c>
      <c r="CI20" s="46">
        <v>1</v>
      </c>
      <c r="CP20" s="46">
        <v>1</v>
      </c>
      <c r="CU20" s="46" t="s">
        <v>2619</v>
      </c>
    </row>
    <row r="21" spans="1:99">
      <c r="A21" s="46" t="s">
        <v>2077</v>
      </c>
      <c r="B21" s="46" t="s">
        <v>2876</v>
      </c>
      <c r="C21" s="46">
        <v>80</v>
      </c>
      <c r="D21" s="46" t="s">
        <v>2847</v>
      </c>
      <c r="E21" s="46" t="s">
        <v>191</v>
      </c>
      <c r="F21" s="46" t="s">
        <v>2484</v>
      </c>
      <c r="J21" s="46">
        <v>1</v>
      </c>
      <c r="P21" s="46">
        <v>1</v>
      </c>
      <c r="R21" s="46">
        <v>1</v>
      </c>
      <c r="S21" s="46">
        <v>1</v>
      </c>
      <c r="W21" s="46">
        <v>14</v>
      </c>
      <c r="X21" s="46">
        <v>14</v>
      </c>
      <c r="Y21" s="46">
        <v>15</v>
      </c>
      <c r="Z21" s="46">
        <v>4</v>
      </c>
      <c r="AA21" s="46">
        <v>4</v>
      </c>
      <c r="AB21" s="46">
        <v>2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W21" s="46">
        <v>1</v>
      </c>
      <c r="BZ21" s="46">
        <v>1</v>
      </c>
      <c r="CC21" s="46">
        <v>1</v>
      </c>
      <c r="CI21" s="46">
        <v>1</v>
      </c>
      <c r="CP21" s="46">
        <v>1</v>
      </c>
      <c r="CU21" s="46" t="s">
        <v>2619</v>
      </c>
    </row>
    <row r="22" spans="1:99" hidden="1">
      <c r="A22" s="46" t="s">
        <v>2080</v>
      </c>
      <c r="B22" s="46" t="s">
        <v>2877</v>
      </c>
      <c r="C22" s="46">
        <v>42</v>
      </c>
      <c r="D22" s="46" t="s">
        <v>2847</v>
      </c>
      <c r="E22" s="46" t="s">
        <v>2878</v>
      </c>
      <c r="F22" s="46" t="s">
        <v>2484</v>
      </c>
      <c r="I22" s="46">
        <v>1</v>
      </c>
      <c r="M22" s="46">
        <v>1</v>
      </c>
      <c r="R22" s="46">
        <v>1</v>
      </c>
      <c r="T22" s="46">
        <v>1</v>
      </c>
      <c r="W22" s="46">
        <v>13</v>
      </c>
      <c r="X22" s="46">
        <v>16</v>
      </c>
      <c r="Y22" s="46">
        <v>18</v>
      </c>
      <c r="Z22" s="46">
        <v>8</v>
      </c>
      <c r="AA22" s="46">
        <v>1</v>
      </c>
      <c r="AB22" s="46">
        <v>1</v>
      </c>
      <c r="AH22" s="46">
        <v>1</v>
      </c>
      <c r="AJ22" s="46">
        <v>1</v>
      </c>
      <c r="AM22" s="46">
        <v>1</v>
      </c>
      <c r="AT22" s="46">
        <v>1</v>
      </c>
      <c r="AX22" s="46">
        <v>1</v>
      </c>
      <c r="BA22" s="46">
        <v>1</v>
      </c>
      <c r="BM22" s="46" t="s">
        <v>2879</v>
      </c>
      <c r="BX22" s="46" t="s">
        <v>2880</v>
      </c>
      <c r="BZ22" s="46">
        <v>1</v>
      </c>
      <c r="CC22" s="46">
        <v>1</v>
      </c>
      <c r="CI22" s="46">
        <v>1</v>
      </c>
      <c r="CP22" s="46">
        <v>1</v>
      </c>
      <c r="CU22" s="140">
        <v>45413</v>
      </c>
    </row>
    <row r="23" spans="1:99" hidden="1">
      <c r="A23" s="46" t="s">
        <v>2083</v>
      </c>
      <c r="B23" s="46" t="s">
        <v>2881</v>
      </c>
      <c r="C23" s="46">
        <v>37</v>
      </c>
      <c r="D23" s="46" t="s">
        <v>2847</v>
      </c>
      <c r="E23" s="46" t="s">
        <v>2882</v>
      </c>
      <c r="F23" s="46" t="s">
        <v>1145</v>
      </c>
      <c r="I23" s="46">
        <v>1</v>
      </c>
      <c r="M23" s="46">
        <v>1</v>
      </c>
      <c r="Q23" s="46">
        <v>1</v>
      </c>
      <c r="U23" s="46">
        <v>1</v>
      </c>
      <c r="W23" s="46">
        <v>16</v>
      </c>
      <c r="X23" s="46">
        <v>18</v>
      </c>
      <c r="Y23" s="46">
        <v>21</v>
      </c>
      <c r="Z23" s="46">
        <v>5</v>
      </c>
      <c r="AA23" s="46">
        <v>5</v>
      </c>
      <c r="AB23" s="46">
        <v>5</v>
      </c>
      <c r="AG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U23" s="139">
        <v>46725</v>
      </c>
    </row>
    <row r="24" spans="1:99" hidden="1">
      <c r="A24" s="46" t="s">
        <v>2086</v>
      </c>
      <c r="B24" s="46" t="s">
        <v>2883</v>
      </c>
      <c r="C24" s="46">
        <v>45</v>
      </c>
      <c r="D24" s="46" t="s">
        <v>2847</v>
      </c>
      <c r="E24" s="46" t="s">
        <v>2884</v>
      </c>
      <c r="F24" s="46" t="s">
        <v>274</v>
      </c>
      <c r="K24" s="46">
        <v>1</v>
      </c>
      <c r="P24" s="46">
        <v>1</v>
      </c>
      <c r="R24" s="46">
        <v>1</v>
      </c>
      <c r="T24" s="46">
        <v>1</v>
      </c>
      <c r="W24" s="46">
        <v>15</v>
      </c>
      <c r="X24" s="46">
        <v>18</v>
      </c>
      <c r="Y24" s="46">
        <v>20</v>
      </c>
      <c r="Z24" s="46">
        <v>6</v>
      </c>
      <c r="AA24" s="46">
        <v>6</v>
      </c>
      <c r="AB24" s="46">
        <v>5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P24" s="46">
        <v>1</v>
      </c>
      <c r="CU24" s="139">
        <v>46725</v>
      </c>
    </row>
    <row r="25" spans="1:99" hidden="1">
      <c r="A25" s="46" t="s">
        <v>2090</v>
      </c>
      <c r="B25" s="46" t="s">
        <v>2885</v>
      </c>
      <c r="C25" s="46">
        <v>38</v>
      </c>
      <c r="D25" s="46" t="s">
        <v>2847</v>
      </c>
      <c r="E25" s="46" t="s">
        <v>2886</v>
      </c>
      <c r="F25" s="46" t="s">
        <v>2484</v>
      </c>
      <c r="H25" s="46">
        <v>1</v>
      </c>
      <c r="M25" s="46">
        <v>1</v>
      </c>
      <c r="R25" s="46">
        <v>1</v>
      </c>
      <c r="U25" s="46">
        <v>1</v>
      </c>
      <c r="W25" s="46">
        <v>14</v>
      </c>
      <c r="X25" s="46">
        <v>17</v>
      </c>
      <c r="Y25" s="46">
        <v>24</v>
      </c>
      <c r="Z25" s="46">
        <v>4</v>
      </c>
      <c r="AA25" s="46">
        <v>2</v>
      </c>
      <c r="AB25" s="46">
        <v>2</v>
      </c>
      <c r="AG25" s="46">
        <v>1</v>
      </c>
      <c r="AJ25" s="46">
        <v>1</v>
      </c>
      <c r="AK25" s="46">
        <v>1</v>
      </c>
      <c r="AT25" s="46">
        <v>1</v>
      </c>
      <c r="AX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P25" s="46">
        <v>1</v>
      </c>
      <c r="CU25" s="139">
        <v>46725</v>
      </c>
    </row>
    <row r="26" spans="1:99" hidden="1">
      <c r="A26" s="46" t="s">
        <v>2092</v>
      </c>
      <c r="B26" s="46" t="s">
        <v>2887</v>
      </c>
      <c r="C26" s="46">
        <v>34</v>
      </c>
      <c r="D26" s="46" t="s">
        <v>2847</v>
      </c>
      <c r="E26" s="46" t="s">
        <v>2888</v>
      </c>
      <c r="F26" s="46" t="s">
        <v>2484</v>
      </c>
      <c r="H26" s="46">
        <v>1</v>
      </c>
      <c r="M26" s="46">
        <v>1</v>
      </c>
      <c r="R26" s="46">
        <v>1</v>
      </c>
      <c r="T26" s="46">
        <v>1</v>
      </c>
      <c r="W26" s="46">
        <v>14</v>
      </c>
      <c r="X26" s="46">
        <v>16</v>
      </c>
      <c r="Y26" s="46">
        <v>17</v>
      </c>
      <c r="Z26" s="46">
        <v>6</v>
      </c>
      <c r="AA26" s="46">
        <v>6</v>
      </c>
      <c r="AB26" s="46">
        <v>6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P26" s="46">
        <v>1</v>
      </c>
      <c r="CU26" s="139">
        <v>46725</v>
      </c>
    </row>
    <row r="27" spans="1:99" hidden="1">
      <c r="A27" s="46" t="s">
        <v>2095</v>
      </c>
      <c r="B27" s="46" t="s">
        <v>2889</v>
      </c>
      <c r="C27" s="46">
        <v>45</v>
      </c>
      <c r="D27" s="46" t="s">
        <v>2847</v>
      </c>
      <c r="E27" s="46" t="s">
        <v>191</v>
      </c>
      <c r="F27" s="46" t="s">
        <v>2484</v>
      </c>
      <c r="K27" s="46">
        <v>1</v>
      </c>
      <c r="M27" s="46">
        <v>1</v>
      </c>
      <c r="Q27" s="46">
        <v>1</v>
      </c>
      <c r="S27" s="46">
        <v>1</v>
      </c>
      <c r="W27" s="46">
        <v>18</v>
      </c>
      <c r="X27" s="46">
        <v>20</v>
      </c>
      <c r="Y27" s="46">
        <v>20</v>
      </c>
      <c r="Z27" s="46">
        <v>6</v>
      </c>
      <c r="AA27" s="46">
        <v>6</v>
      </c>
      <c r="AB27" s="46">
        <v>6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U27" s="139">
        <v>46725</v>
      </c>
    </row>
    <row r="28" spans="1:99" hidden="1">
      <c r="A28" s="46" t="s">
        <v>2098</v>
      </c>
      <c r="B28" s="46" t="s">
        <v>2890</v>
      </c>
      <c r="C28" s="46">
        <v>33</v>
      </c>
      <c r="D28" s="46" t="s">
        <v>2847</v>
      </c>
      <c r="E28" s="46" t="s">
        <v>2891</v>
      </c>
      <c r="F28" s="46" t="s">
        <v>2484</v>
      </c>
      <c r="H28" s="46">
        <v>1</v>
      </c>
      <c r="M28" s="46">
        <v>1</v>
      </c>
      <c r="Q28" s="46">
        <v>1</v>
      </c>
      <c r="T28" s="46">
        <v>1</v>
      </c>
      <c r="W28" s="46">
        <v>12</v>
      </c>
      <c r="X28" s="46">
        <v>17</v>
      </c>
      <c r="Y28" s="46">
        <v>18</v>
      </c>
      <c r="Z28" s="46">
        <v>8</v>
      </c>
      <c r="AA28" s="46">
        <v>8</v>
      </c>
      <c r="AB28" s="46">
        <v>7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P28" s="46">
        <v>1</v>
      </c>
      <c r="CU28" s="139">
        <v>46725</v>
      </c>
    </row>
    <row r="29" spans="1:99" hidden="1">
      <c r="A29" s="46" t="s">
        <v>2101</v>
      </c>
      <c r="B29" s="46" t="s">
        <v>1612</v>
      </c>
      <c r="C29" s="46">
        <v>30</v>
      </c>
      <c r="D29" s="46" t="s">
        <v>2847</v>
      </c>
      <c r="E29" s="46" t="s">
        <v>2892</v>
      </c>
      <c r="F29" s="46" t="s">
        <v>2484</v>
      </c>
      <c r="H29" s="46">
        <v>1</v>
      </c>
      <c r="M29" s="46">
        <v>1</v>
      </c>
      <c r="Q29" s="46">
        <v>1</v>
      </c>
      <c r="U29" s="46">
        <v>1</v>
      </c>
      <c r="W29" s="46">
        <v>14</v>
      </c>
      <c r="X29" s="46">
        <v>16</v>
      </c>
      <c r="Y29" s="46">
        <v>16</v>
      </c>
      <c r="Z29" s="46">
        <v>7</v>
      </c>
      <c r="AA29" s="46">
        <v>6</v>
      </c>
      <c r="AB29" s="46">
        <v>5</v>
      </c>
      <c r="AH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I29" s="46">
        <v>1</v>
      </c>
      <c r="BZ29" s="46">
        <v>1</v>
      </c>
      <c r="CC29" s="46">
        <v>1</v>
      </c>
      <c r="CI29" s="46">
        <v>1</v>
      </c>
      <c r="CP29" s="46">
        <v>1</v>
      </c>
      <c r="CU29" s="139">
        <v>46725</v>
      </c>
    </row>
    <row r="30" spans="1:99" hidden="1">
      <c r="A30" s="46" t="s">
        <v>2105</v>
      </c>
      <c r="B30" s="46" t="s">
        <v>2893</v>
      </c>
      <c r="C30" s="46">
        <v>30</v>
      </c>
      <c r="D30" s="46" t="s">
        <v>2847</v>
      </c>
      <c r="E30" s="46" t="s">
        <v>2894</v>
      </c>
      <c r="F30" s="46" t="s">
        <v>2484</v>
      </c>
      <c r="I30" s="46">
        <v>1</v>
      </c>
      <c r="M30" s="46">
        <v>1</v>
      </c>
      <c r="R30" s="46">
        <v>1</v>
      </c>
      <c r="S30" s="46">
        <v>1</v>
      </c>
      <c r="W30" s="46">
        <v>15</v>
      </c>
      <c r="X30" s="46">
        <v>18</v>
      </c>
      <c r="Y30" s="46">
        <v>19</v>
      </c>
      <c r="Z30" s="46">
        <v>8</v>
      </c>
      <c r="AA30" s="46">
        <v>8</v>
      </c>
      <c r="AB30" s="46">
        <v>5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46">
        <v>1</v>
      </c>
      <c r="CC30" s="46">
        <v>1</v>
      </c>
      <c r="CI30" s="46">
        <v>1</v>
      </c>
      <c r="CP30" s="46">
        <v>1</v>
      </c>
      <c r="CU30" s="139">
        <v>46725</v>
      </c>
    </row>
    <row r="31" spans="1:99" hidden="1">
      <c r="A31" s="46" t="s">
        <v>2895</v>
      </c>
      <c r="B31" s="46" t="s">
        <v>2896</v>
      </c>
      <c r="C31" s="46">
        <v>42</v>
      </c>
      <c r="D31" s="46" t="s">
        <v>2847</v>
      </c>
      <c r="E31" s="46" t="s">
        <v>2897</v>
      </c>
      <c r="F31" s="46" t="s">
        <v>2484</v>
      </c>
      <c r="I31" s="46">
        <v>1</v>
      </c>
      <c r="M31" s="46">
        <v>1</v>
      </c>
      <c r="R31" s="46">
        <v>1</v>
      </c>
      <c r="T31" s="46">
        <v>1</v>
      </c>
      <c r="W31" s="46">
        <v>16</v>
      </c>
      <c r="X31" s="46">
        <v>18</v>
      </c>
      <c r="Y31" s="46">
        <v>19</v>
      </c>
      <c r="Z31" s="46">
        <v>12</v>
      </c>
      <c r="AA31" s="46">
        <v>10</v>
      </c>
      <c r="AB31" s="46">
        <v>9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W31" s="46">
        <v>1</v>
      </c>
      <c r="BZ31" s="46">
        <v>1</v>
      </c>
      <c r="CC31" s="46">
        <v>1</v>
      </c>
      <c r="CI31" s="46">
        <v>1</v>
      </c>
      <c r="CP31" s="46">
        <v>1</v>
      </c>
      <c r="CU31" s="139">
        <v>46725</v>
      </c>
    </row>
    <row r="32" spans="1:99" hidden="1">
      <c r="A32" s="46" t="s">
        <v>2112</v>
      </c>
      <c r="B32" s="46" t="s">
        <v>2898</v>
      </c>
      <c r="C32" s="46">
        <v>25</v>
      </c>
      <c r="D32" s="46" t="s">
        <v>2899</v>
      </c>
      <c r="E32" s="46" t="s">
        <v>2900</v>
      </c>
      <c r="F32" s="46" t="s">
        <v>2484</v>
      </c>
      <c r="H32" s="46">
        <v>1</v>
      </c>
      <c r="M32" s="46">
        <v>1</v>
      </c>
      <c r="Q32" s="46">
        <v>1</v>
      </c>
      <c r="U32" s="46">
        <v>1</v>
      </c>
      <c r="W32" s="46">
        <v>13</v>
      </c>
      <c r="X32" s="46">
        <v>17</v>
      </c>
      <c r="Y32" s="46">
        <v>17</v>
      </c>
      <c r="Z32" s="46">
        <v>2</v>
      </c>
      <c r="AA32" s="46">
        <v>2</v>
      </c>
      <c r="AB32" s="46">
        <v>2</v>
      </c>
      <c r="AF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C32" s="46">
        <v>1</v>
      </c>
      <c r="CI32" s="46">
        <v>1</v>
      </c>
      <c r="CP32" s="46">
        <v>1</v>
      </c>
      <c r="CU32" s="139">
        <v>46725</v>
      </c>
    </row>
    <row r="33" spans="1:99" hidden="1">
      <c r="A33" s="46" t="s">
        <v>2114</v>
      </c>
      <c r="B33" s="46" t="s">
        <v>2901</v>
      </c>
      <c r="C33" s="46">
        <v>20</v>
      </c>
      <c r="D33" s="46" t="s">
        <v>2847</v>
      </c>
      <c r="E33" s="46" t="s">
        <v>2902</v>
      </c>
      <c r="F33" s="46" t="s">
        <v>2484</v>
      </c>
      <c r="H33" s="46">
        <v>1</v>
      </c>
      <c r="M33" s="46">
        <v>1</v>
      </c>
      <c r="Q33" s="46">
        <v>1</v>
      </c>
      <c r="T33" s="46">
        <v>1</v>
      </c>
      <c r="W33" s="46">
        <v>9</v>
      </c>
      <c r="X33" s="46">
        <v>15</v>
      </c>
      <c r="Y33" s="46">
        <v>0</v>
      </c>
      <c r="Z33" s="46">
        <v>0</v>
      </c>
      <c r="AA33" s="46">
        <v>0</v>
      </c>
      <c r="AB33" s="46">
        <v>0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C33" s="46">
        <v>1</v>
      </c>
      <c r="CI33" s="46">
        <v>1</v>
      </c>
      <c r="CP33" s="46">
        <v>1</v>
      </c>
      <c r="CU33" s="139">
        <v>46725</v>
      </c>
    </row>
    <row r="34" spans="1:99" hidden="1">
      <c r="A34" s="46" t="s">
        <v>2117</v>
      </c>
      <c r="B34" s="46" t="s">
        <v>2903</v>
      </c>
      <c r="C34" s="46">
        <v>19</v>
      </c>
      <c r="D34" s="46" t="s">
        <v>2847</v>
      </c>
      <c r="E34" s="46" t="s">
        <v>2904</v>
      </c>
      <c r="F34" s="46" t="s">
        <v>2523</v>
      </c>
      <c r="I34" s="46">
        <v>1</v>
      </c>
      <c r="M34" s="46">
        <v>1</v>
      </c>
      <c r="Q34" s="46">
        <v>1</v>
      </c>
      <c r="T34" s="46">
        <v>1</v>
      </c>
      <c r="W34" s="46">
        <v>15</v>
      </c>
      <c r="X34" s="46">
        <v>16</v>
      </c>
      <c r="Y34" s="46">
        <v>17</v>
      </c>
      <c r="Z34" s="46">
        <v>2</v>
      </c>
      <c r="AA34" s="46">
        <v>1</v>
      </c>
      <c r="AB34" s="46">
        <v>1</v>
      </c>
      <c r="AE34" s="46">
        <v>1</v>
      </c>
      <c r="AJ34" s="46">
        <v>1</v>
      </c>
      <c r="AK34" s="46">
        <v>1</v>
      </c>
      <c r="AT34" s="46">
        <v>1</v>
      </c>
      <c r="AW34" s="46">
        <v>1</v>
      </c>
      <c r="BB34" s="46">
        <v>1</v>
      </c>
      <c r="BF34" s="46">
        <v>1</v>
      </c>
      <c r="BI34" s="46">
        <v>1</v>
      </c>
      <c r="BZ34" s="46">
        <v>1</v>
      </c>
      <c r="CC34" s="46">
        <v>1</v>
      </c>
      <c r="CI34" s="46">
        <v>1</v>
      </c>
      <c r="CP34" s="46">
        <v>1</v>
      </c>
      <c r="CU34" s="139">
        <v>46725</v>
      </c>
    </row>
    <row r="35" spans="1:99" hidden="1">
      <c r="A35" s="46" t="s">
        <v>2120</v>
      </c>
      <c r="B35" s="46" t="s">
        <v>2905</v>
      </c>
      <c r="C35" s="46">
        <v>49</v>
      </c>
      <c r="D35" s="46" t="s">
        <v>2906</v>
      </c>
      <c r="E35" s="46" t="s">
        <v>191</v>
      </c>
      <c r="F35" s="46" t="s">
        <v>2484</v>
      </c>
      <c r="J35" s="46">
        <v>1</v>
      </c>
      <c r="M35" s="46">
        <v>1</v>
      </c>
      <c r="R35" s="46">
        <v>1</v>
      </c>
      <c r="S35" s="46">
        <v>1</v>
      </c>
      <c r="W35" s="46">
        <v>15</v>
      </c>
      <c r="X35" s="46">
        <v>17</v>
      </c>
      <c r="Y35" s="46">
        <v>18</v>
      </c>
      <c r="Z35" s="46">
        <v>8</v>
      </c>
      <c r="AA35" s="46">
        <v>7</v>
      </c>
      <c r="AB35" s="46">
        <v>4</v>
      </c>
      <c r="AC35" s="46">
        <v>1</v>
      </c>
      <c r="AI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W35" s="46">
        <v>1</v>
      </c>
      <c r="BZ35" s="46">
        <v>1</v>
      </c>
      <c r="CC35" s="46">
        <v>1</v>
      </c>
      <c r="CI35" s="46">
        <v>1</v>
      </c>
      <c r="CP35" s="46">
        <v>1</v>
      </c>
      <c r="CU35" s="139">
        <v>46725</v>
      </c>
    </row>
    <row r="36" spans="1:99" hidden="1">
      <c r="A36" s="46" t="s">
        <v>2123</v>
      </c>
      <c r="B36" s="46" t="s">
        <v>2907</v>
      </c>
      <c r="C36" s="46">
        <v>38</v>
      </c>
      <c r="D36" s="46" t="s">
        <v>2847</v>
      </c>
      <c r="E36" s="46" t="s">
        <v>2908</v>
      </c>
      <c r="F36" s="46" t="s">
        <v>2484</v>
      </c>
      <c r="I36" s="46">
        <v>1</v>
      </c>
      <c r="M36" s="46">
        <v>1</v>
      </c>
      <c r="Q36" s="46">
        <v>1</v>
      </c>
      <c r="S36" s="46">
        <v>1</v>
      </c>
      <c r="W36" s="46">
        <v>11</v>
      </c>
      <c r="X36" s="46">
        <v>15</v>
      </c>
      <c r="Y36" s="46">
        <v>17</v>
      </c>
      <c r="Z36" s="46">
        <v>7</v>
      </c>
      <c r="AA36" s="46">
        <v>7</v>
      </c>
      <c r="AB36" s="46">
        <v>7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Z36" s="46">
        <v>1</v>
      </c>
      <c r="CC36" s="46">
        <v>1</v>
      </c>
      <c r="CI36" s="46">
        <v>1</v>
      </c>
      <c r="CP36" s="46">
        <v>1</v>
      </c>
      <c r="CU36" s="139">
        <v>46725</v>
      </c>
    </row>
    <row r="37" spans="1:99" hidden="1">
      <c r="A37" s="46" t="s">
        <v>2125</v>
      </c>
      <c r="B37" s="46" t="s">
        <v>2909</v>
      </c>
      <c r="C37" s="46">
        <v>38</v>
      </c>
      <c r="D37" s="46" t="s">
        <v>2847</v>
      </c>
      <c r="E37" s="46" t="s">
        <v>2910</v>
      </c>
      <c r="F37" s="46" t="s">
        <v>2484</v>
      </c>
      <c r="H37" s="46">
        <v>1</v>
      </c>
      <c r="M37" s="46">
        <v>1</v>
      </c>
      <c r="R37" s="46">
        <v>1</v>
      </c>
      <c r="T37" s="46">
        <v>1</v>
      </c>
      <c r="W37" s="46">
        <v>14</v>
      </c>
      <c r="X37" s="46">
        <v>14</v>
      </c>
      <c r="Y37" s="46">
        <v>15</v>
      </c>
      <c r="Z37" s="46">
        <v>12</v>
      </c>
      <c r="AA37" s="46">
        <v>12</v>
      </c>
      <c r="AB37" s="46">
        <v>12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B37" s="46">
        <v>1</v>
      </c>
      <c r="BF37" s="46">
        <v>1</v>
      </c>
      <c r="BI37" s="46">
        <v>1</v>
      </c>
      <c r="BZ37" s="46">
        <v>1</v>
      </c>
      <c r="CC37" s="46">
        <v>1</v>
      </c>
      <c r="CI37" s="46">
        <v>1</v>
      </c>
      <c r="CP37" s="46">
        <v>1</v>
      </c>
      <c r="CU37" s="139">
        <v>46725</v>
      </c>
    </row>
    <row r="38" spans="1:99" hidden="1">
      <c r="A38" s="46" t="s">
        <v>2128</v>
      </c>
      <c r="B38" s="46" t="s">
        <v>2400</v>
      </c>
      <c r="C38" s="46">
        <v>50</v>
      </c>
      <c r="D38" s="46" t="s">
        <v>2847</v>
      </c>
      <c r="E38" s="46" t="s">
        <v>191</v>
      </c>
      <c r="F38" s="46" t="s">
        <v>2472</v>
      </c>
      <c r="G38" s="46">
        <v>1</v>
      </c>
      <c r="O38" s="46">
        <v>1</v>
      </c>
      <c r="Q38" s="46">
        <v>1</v>
      </c>
      <c r="T38" s="46">
        <v>1</v>
      </c>
      <c r="W38" s="46">
        <v>14</v>
      </c>
      <c r="X38" s="46">
        <v>16</v>
      </c>
      <c r="Y38" s="46">
        <v>20</v>
      </c>
      <c r="Z38" s="46">
        <v>6</v>
      </c>
      <c r="AA38" s="46">
        <v>7</v>
      </c>
      <c r="AB38" s="46">
        <v>7</v>
      </c>
      <c r="AF38" s="46">
        <v>1</v>
      </c>
      <c r="AI38" s="46">
        <v>1</v>
      </c>
      <c r="AM38" s="46">
        <v>1</v>
      </c>
      <c r="AT38" s="46">
        <v>1</v>
      </c>
      <c r="AW38" s="46">
        <v>1</v>
      </c>
      <c r="BA38" s="46">
        <v>1</v>
      </c>
      <c r="BJ38" s="46">
        <v>1</v>
      </c>
      <c r="BZ38" s="46">
        <v>1</v>
      </c>
      <c r="CC38" s="46">
        <v>1</v>
      </c>
      <c r="CI38" s="46">
        <v>1</v>
      </c>
      <c r="CP38" s="46">
        <v>1</v>
      </c>
      <c r="CU38" s="139">
        <v>46725</v>
      </c>
    </row>
    <row r="39" spans="1:99" hidden="1">
      <c r="A39" s="46" t="s">
        <v>2131</v>
      </c>
      <c r="B39" s="46" t="s">
        <v>2911</v>
      </c>
      <c r="C39" s="46">
        <v>52</v>
      </c>
      <c r="D39" s="46" t="s">
        <v>2847</v>
      </c>
      <c r="E39" s="46" t="s">
        <v>2912</v>
      </c>
      <c r="F39" s="46" t="s">
        <v>2472</v>
      </c>
      <c r="I39" s="46">
        <v>1</v>
      </c>
      <c r="M39" s="46">
        <v>1</v>
      </c>
      <c r="R39" s="46">
        <v>1</v>
      </c>
      <c r="T39" s="46">
        <v>1</v>
      </c>
      <c r="W39" s="46">
        <v>15</v>
      </c>
      <c r="X39" s="46">
        <v>16</v>
      </c>
      <c r="Y39" s="46">
        <v>16</v>
      </c>
      <c r="Z39" s="46">
        <v>11</v>
      </c>
      <c r="AA39" s="46">
        <v>11</v>
      </c>
      <c r="AB39" s="46">
        <v>9</v>
      </c>
      <c r="AG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Z39" s="46">
        <v>1</v>
      </c>
      <c r="CC39" s="46">
        <v>1</v>
      </c>
      <c r="CI39" s="46">
        <v>1</v>
      </c>
      <c r="CP39" s="46">
        <v>1</v>
      </c>
      <c r="CU39" s="139">
        <v>46725</v>
      </c>
    </row>
    <row r="40" spans="1:99">
      <c r="A40" s="46" t="s">
        <v>2135</v>
      </c>
      <c r="B40" s="46" t="s">
        <v>2913</v>
      </c>
      <c r="C40" s="46">
        <v>65</v>
      </c>
      <c r="D40" s="46" t="s">
        <v>2847</v>
      </c>
      <c r="E40" s="46" t="s">
        <v>191</v>
      </c>
      <c r="F40" s="46" t="s">
        <v>2484</v>
      </c>
      <c r="J40" s="46">
        <v>1</v>
      </c>
      <c r="P40" s="46">
        <v>1</v>
      </c>
      <c r="Q40" s="46">
        <v>1</v>
      </c>
      <c r="S40" s="46">
        <v>1</v>
      </c>
      <c r="W40" s="46">
        <v>15</v>
      </c>
      <c r="X40" s="46">
        <v>17</v>
      </c>
      <c r="Y40" s="46">
        <v>18</v>
      </c>
      <c r="Z40" s="46">
        <v>4</v>
      </c>
      <c r="AA40" s="46">
        <v>4</v>
      </c>
      <c r="AB40" s="46">
        <v>2</v>
      </c>
      <c r="AC40" s="46">
        <v>1</v>
      </c>
      <c r="AI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Z40" s="46">
        <v>1</v>
      </c>
      <c r="CC40" s="46">
        <v>1</v>
      </c>
      <c r="CI40" s="46">
        <v>1</v>
      </c>
      <c r="CP40" s="46">
        <v>1</v>
      </c>
      <c r="CU40" s="139">
        <v>46725</v>
      </c>
    </row>
    <row r="41" spans="1:99" hidden="1">
      <c r="A41" s="46" t="s">
        <v>2138</v>
      </c>
      <c r="B41" s="46" t="s">
        <v>2914</v>
      </c>
      <c r="C41" s="46">
        <v>60</v>
      </c>
      <c r="D41" s="46" t="s">
        <v>2915</v>
      </c>
      <c r="E41" s="46" t="s">
        <v>2916</v>
      </c>
      <c r="F41" s="46" t="s">
        <v>2484</v>
      </c>
      <c r="H41" s="46">
        <v>1</v>
      </c>
      <c r="M41" s="46">
        <v>1</v>
      </c>
      <c r="Q41" s="46">
        <v>1</v>
      </c>
      <c r="U41" s="46">
        <v>1</v>
      </c>
      <c r="W41" s="46">
        <v>16</v>
      </c>
      <c r="X41" s="46">
        <v>18</v>
      </c>
      <c r="Y41" s="46">
        <v>22</v>
      </c>
      <c r="Z41" s="46">
        <v>8</v>
      </c>
      <c r="AA41" s="46">
        <v>6</v>
      </c>
      <c r="AB41" s="46">
        <v>6</v>
      </c>
      <c r="AC41" s="46">
        <v>1</v>
      </c>
      <c r="AI41" s="46">
        <v>1</v>
      </c>
      <c r="AK41" s="46">
        <v>1</v>
      </c>
      <c r="AT41" s="46">
        <v>1</v>
      </c>
      <c r="AW41" s="46">
        <v>1</v>
      </c>
      <c r="BA41" s="46">
        <v>1</v>
      </c>
      <c r="BJ41" s="46">
        <v>1</v>
      </c>
      <c r="BZ41" s="46">
        <v>1</v>
      </c>
      <c r="CC41" s="46">
        <v>1</v>
      </c>
      <c r="CI41" s="46">
        <v>1</v>
      </c>
      <c r="CP41" s="46">
        <v>1</v>
      </c>
      <c r="CU41" s="139">
        <v>46725</v>
      </c>
    </row>
    <row r="42" spans="1:99" hidden="1">
      <c r="A42" s="46" t="s">
        <v>2141</v>
      </c>
      <c r="B42" s="46" t="s">
        <v>2917</v>
      </c>
      <c r="C42" s="46">
        <v>70</v>
      </c>
      <c r="D42" s="46" t="s">
        <v>2847</v>
      </c>
      <c r="E42" s="46" t="s">
        <v>191</v>
      </c>
      <c r="F42" s="46" t="s">
        <v>2484</v>
      </c>
      <c r="H42" s="46">
        <v>1</v>
      </c>
      <c r="P42" s="46">
        <v>1</v>
      </c>
      <c r="R42" s="46">
        <v>1</v>
      </c>
      <c r="S42" s="46">
        <v>1</v>
      </c>
      <c r="W42" s="46">
        <v>15</v>
      </c>
      <c r="X42" s="46">
        <v>16</v>
      </c>
      <c r="Y42" s="46">
        <v>18</v>
      </c>
      <c r="Z42" s="46">
        <v>7</v>
      </c>
      <c r="AA42" s="46">
        <v>7</v>
      </c>
      <c r="AB42" s="46">
        <v>7</v>
      </c>
      <c r="AC42" s="46">
        <v>1</v>
      </c>
      <c r="AI42" s="46">
        <v>1</v>
      </c>
      <c r="AM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P42" s="46">
        <v>1</v>
      </c>
      <c r="CU42" s="139">
        <v>46725</v>
      </c>
    </row>
    <row r="43" spans="1:99">
      <c r="A43" s="46" t="s">
        <v>2144</v>
      </c>
      <c r="B43" s="46" t="s">
        <v>2918</v>
      </c>
      <c r="C43" s="46">
        <v>62</v>
      </c>
      <c r="D43" s="46" t="s">
        <v>2847</v>
      </c>
      <c r="E43" s="46" t="s">
        <v>2919</v>
      </c>
      <c r="F43" s="46" t="s">
        <v>2484</v>
      </c>
      <c r="J43" s="46">
        <v>1</v>
      </c>
      <c r="P43" s="46">
        <v>1</v>
      </c>
      <c r="R43" s="46">
        <v>1</v>
      </c>
      <c r="S43" s="46">
        <v>1</v>
      </c>
      <c r="W43" s="46">
        <v>16</v>
      </c>
      <c r="X43" s="46">
        <v>20</v>
      </c>
      <c r="Y43" s="46">
        <v>25</v>
      </c>
      <c r="Z43" s="46">
        <v>4</v>
      </c>
      <c r="AA43" s="46">
        <v>3</v>
      </c>
      <c r="AB43" s="46">
        <v>3</v>
      </c>
      <c r="AH43" s="46">
        <v>1</v>
      </c>
      <c r="AJ43" s="46">
        <v>1</v>
      </c>
      <c r="AK43" s="46">
        <v>1</v>
      </c>
      <c r="AT43" s="46">
        <v>1</v>
      </c>
      <c r="AZ43" s="46">
        <v>1</v>
      </c>
      <c r="BA43" s="46">
        <v>1</v>
      </c>
      <c r="BJ43" s="46">
        <v>1</v>
      </c>
      <c r="BZ43" s="46">
        <v>1</v>
      </c>
      <c r="CC43" s="46">
        <v>1</v>
      </c>
      <c r="CI43" s="46">
        <v>1</v>
      </c>
      <c r="CP43" s="46">
        <v>1</v>
      </c>
      <c r="CU43" s="139">
        <v>46725</v>
      </c>
    </row>
    <row r="44" spans="1:99">
      <c r="A44" s="46" t="s">
        <v>2147</v>
      </c>
      <c r="B44" s="46" t="s">
        <v>2920</v>
      </c>
      <c r="C44" s="46">
        <v>70</v>
      </c>
      <c r="D44" s="46" t="s">
        <v>2847</v>
      </c>
      <c r="E44" s="46" t="s">
        <v>191</v>
      </c>
      <c r="F44" s="46" t="s">
        <v>2484</v>
      </c>
      <c r="H44" s="46">
        <v>1</v>
      </c>
      <c r="M44" s="46">
        <v>1</v>
      </c>
      <c r="R44" s="46">
        <v>1</v>
      </c>
      <c r="T44" s="46">
        <v>1</v>
      </c>
      <c r="W44" s="46">
        <v>15</v>
      </c>
      <c r="X44" s="46">
        <v>20</v>
      </c>
      <c r="Y44" s="46">
        <v>25</v>
      </c>
      <c r="Z44" s="46">
        <v>9</v>
      </c>
      <c r="AA44" s="46">
        <v>9</v>
      </c>
      <c r="AB44" s="46">
        <v>7</v>
      </c>
      <c r="AE44" s="46">
        <v>1</v>
      </c>
      <c r="AI44" s="46">
        <v>1</v>
      </c>
      <c r="AK44" s="46">
        <v>1</v>
      </c>
      <c r="AT44" s="46">
        <v>1</v>
      </c>
      <c r="AW44" s="46">
        <v>1</v>
      </c>
      <c r="BB44" s="46">
        <v>1</v>
      </c>
      <c r="BE44" s="46" t="s">
        <v>2402</v>
      </c>
      <c r="BJ44" s="46">
        <v>1</v>
      </c>
      <c r="BZ44" s="46">
        <v>1</v>
      </c>
      <c r="CC44" s="46">
        <v>1</v>
      </c>
      <c r="CI44" s="46">
        <v>1</v>
      </c>
      <c r="CP44" s="46">
        <v>1</v>
      </c>
      <c r="CU44" s="139">
        <v>46725</v>
      </c>
    </row>
    <row r="45" spans="1:99" hidden="1">
      <c r="A45" s="46" t="s">
        <v>2150</v>
      </c>
      <c r="B45" s="46" t="s">
        <v>2921</v>
      </c>
      <c r="C45" s="46">
        <v>70</v>
      </c>
      <c r="D45" s="46" t="s">
        <v>2847</v>
      </c>
      <c r="E45" s="46" t="s">
        <v>191</v>
      </c>
      <c r="F45" s="46" t="s">
        <v>2484</v>
      </c>
      <c r="G45" s="46">
        <v>1</v>
      </c>
      <c r="P45" s="46">
        <v>1</v>
      </c>
      <c r="R45" s="46">
        <v>1</v>
      </c>
      <c r="S45" s="46">
        <v>1</v>
      </c>
      <c r="W45" s="46">
        <v>16</v>
      </c>
      <c r="X45" s="46">
        <v>20</v>
      </c>
      <c r="Y45" s="46">
        <v>25</v>
      </c>
      <c r="Z45" s="46">
        <v>13</v>
      </c>
      <c r="AA45" s="46">
        <v>13</v>
      </c>
      <c r="AB45" s="46">
        <v>7</v>
      </c>
      <c r="AH45" s="46">
        <v>1</v>
      </c>
      <c r="AI45" s="46">
        <v>1</v>
      </c>
      <c r="AM45" s="46">
        <v>1</v>
      </c>
      <c r="AT45" s="46">
        <v>1</v>
      </c>
      <c r="AW45" s="46">
        <v>1</v>
      </c>
      <c r="BA45" s="46">
        <v>1</v>
      </c>
      <c r="BJ45" s="46">
        <v>1</v>
      </c>
      <c r="BW45" s="46">
        <v>1</v>
      </c>
      <c r="BZ45" s="46">
        <v>1</v>
      </c>
      <c r="CC45" s="46">
        <v>1</v>
      </c>
      <c r="CI45" s="46">
        <v>1</v>
      </c>
      <c r="CP45" s="46">
        <v>1</v>
      </c>
      <c r="CU45" s="139">
        <v>46725</v>
      </c>
    </row>
    <row r="46" spans="1:99" hidden="1">
      <c r="A46" s="46" t="s">
        <v>2153</v>
      </c>
      <c r="B46" s="46" t="s">
        <v>2922</v>
      </c>
      <c r="C46" s="46">
        <v>53</v>
      </c>
      <c r="D46" s="46" t="s">
        <v>2847</v>
      </c>
      <c r="E46" s="46" t="s">
        <v>191</v>
      </c>
      <c r="F46" s="46" t="s">
        <v>2484</v>
      </c>
      <c r="H46" s="46">
        <v>1</v>
      </c>
      <c r="M46" s="46">
        <v>1</v>
      </c>
      <c r="R46" s="46">
        <v>1</v>
      </c>
      <c r="S46" s="46">
        <v>1</v>
      </c>
      <c r="W46" s="46">
        <v>13</v>
      </c>
      <c r="X46" s="46">
        <v>14</v>
      </c>
      <c r="Y46" s="46">
        <v>18</v>
      </c>
      <c r="Z46" s="46">
        <v>10</v>
      </c>
      <c r="AA46" s="46">
        <v>10</v>
      </c>
      <c r="AB46" s="46">
        <v>10</v>
      </c>
      <c r="AE46" s="46">
        <v>1</v>
      </c>
      <c r="AG46" s="46">
        <v>1</v>
      </c>
      <c r="AH46" s="46">
        <v>1</v>
      </c>
      <c r="AJ46" s="46">
        <v>1</v>
      </c>
      <c r="AM46" s="46">
        <v>1</v>
      </c>
      <c r="AT46" s="46">
        <v>1</v>
      </c>
      <c r="AZ46" s="46">
        <v>1</v>
      </c>
      <c r="BA46" s="46">
        <v>1</v>
      </c>
      <c r="BJ46" s="46">
        <v>1</v>
      </c>
      <c r="BW46" s="46">
        <v>1</v>
      </c>
      <c r="BZ46" s="46">
        <v>1</v>
      </c>
      <c r="CC46" s="46">
        <v>1</v>
      </c>
      <c r="CI46" s="46">
        <v>1</v>
      </c>
      <c r="CP46" s="46">
        <v>1</v>
      </c>
      <c r="CU46" s="139">
        <v>46725</v>
      </c>
    </row>
    <row r="47" spans="1:99" hidden="1">
      <c r="A47" s="46" t="s">
        <v>2156</v>
      </c>
      <c r="B47" s="46" t="s">
        <v>2923</v>
      </c>
      <c r="C47" s="46">
        <v>73</v>
      </c>
      <c r="D47" s="46" t="s">
        <v>2847</v>
      </c>
      <c r="E47" s="46" t="s">
        <v>191</v>
      </c>
      <c r="F47" s="46" t="s">
        <v>2484</v>
      </c>
      <c r="G47" s="46">
        <v>1</v>
      </c>
      <c r="M47" s="46">
        <v>1</v>
      </c>
      <c r="R47" s="46">
        <v>1</v>
      </c>
      <c r="T47" s="46">
        <v>1</v>
      </c>
      <c r="W47" s="46">
        <v>16</v>
      </c>
      <c r="X47" s="46">
        <v>17</v>
      </c>
      <c r="Y47" s="46">
        <v>18</v>
      </c>
      <c r="Z47" s="46">
        <v>9</v>
      </c>
      <c r="AA47" s="46">
        <v>9</v>
      </c>
      <c r="AB47" s="46">
        <v>7</v>
      </c>
      <c r="AE47" s="46">
        <v>1</v>
      </c>
      <c r="AH47" s="46">
        <v>1</v>
      </c>
      <c r="AJ47" s="46">
        <v>1</v>
      </c>
      <c r="AM47" s="46">
        <v>1</v>
      </c>
      <c r="AT47" s="46">
        <v>1</v>
      </c>
      <c r="AW47" s="46">
        <v>1</v>
      </c>
      <c r="BA47" s="46">
        <v>1</v>
      </c>
      <c r="BJ47" s="46">
        <v>1</v>
      </c>
      <c r="BW47" s="46">
        <v>1</v>
      </c>
      <c r="BZ47" s="46">
        <v>1</v>
      </c>
      <c r="CC47" s="46">
        <v>1</v>
      </c>
      <c r="CI47" s="46">
        <v>1</v>
      </c>
      <c r="CP47" s="46">
        <v>1</v>
      </c>
      <c r="CU47" s="139">
        <v>46725</v>
      </c>
    </row>
    <row r="48" spans="1:99" hidden="1">
      <c r="A48" s="46" t="s">
        <v>2159</v>
      </c>
      <c r="B48" s="46" t="s">
        <v>2924</v>
      </c>
      <c r="C48" s="46">
        <v>50</v>
      </c>
      <c r="D48" s="46" t="s">
        <v>2847</v>
      </c>
      <c r="E48" s="46" t="s">
        <v>191</v>
      </c>
      <c r="F48" s="46" t="s">
        <v>2484</v>
      </c>
      <c r="H48" s="46">
        <v>1</v>
      </c>
      <c r="M48" s="46">
        <v>1</v>
      </c>
      <c r="R48" s="46">
        <v>1</v>
      </c>
      <c r="T48" s="46">
        <v>1</v>
      </c>
      <c r="W48" s="46">
        <v>13</v>
      </c>
      <c r="X48" s="46">
        <v>14</v>
      </c>
      <c r="Y48" s="46">
        <v>15</v>
      </c>
      <c r="Z48" s="46">
        <v>9</v>
      </c>
      <c r="AA48" s="46">
        <v>9</v>
      </c>
      <c r="AB48" s="46">
        <v>7</v>
      </c>
      <c r="AE48" s="46">
        <v>1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J48" s="46">
        <v>1</v>
      </c>
      <c r="BZ48" s="46">
        <v>1</v>
      </c>
      <c r="CC48" s="46">
        <v>1</v>
      </c>
      <c r="CI48" s="46">
        <v>1</v>
      </c>
      <c r="CP48" s="46">
        <v>1</v>
      </c>
      <c r="CU48" s="139">
        <v>46725</v>
      </c>
    </row>
    <row r="49" spans="1:99">
      <c r="A49" s="46" t="s">
        <v>2162</v>
      </c>
      <c r="B49" s="46" t="s">
        <v>2925</v>
      </c>
      <c r="C49" s="46">
        <v>65</v>
      </c>
      <c r="D49" s="46" t="s">
        <v>2847</v>
      </c>
      <c r="E49" s="46" t="s">
        <v>191</v>
      </c>
      <c r="F49" s="46" t="s">
        <v>2484</v>
      </c>
      <c r="G49" s="46">
        <v>1</v>
      </c>
      <c r="M49" s="46">
        <v>1</v>
      </c>
      <c r="R49" s="46">
        <v>1</v>
      </c>
      <c r="T49" s="46">
        <v>1</v>
      </c>
      <c r="W49" s="46">
        <v>14</v>
      </c>
      <c r="X49" s="46">
        <v>15</v>
      </c>
      <c r="Y49" s="46">
        <v>16</v>
      </c>
      <c r="Z49" s="46">
        <v>11</v>
      </c>
      <c r="AA49" s="46">
        <v>11</v>
      </c>
      <c r="AB49" s="46">
        <v>6</v>
      </c>
      <c r="AC49" s="46">
        <v>1</v>
      </c>
      <c r="AJ49" s="46">
        <v>1</v>
      </c>
      <c r="AK49" s="46">
        <v>1</v>
      </c>
      <c r="AT49" s="46">
        <v>1</v>
      </c>
      <c r="AX49" s="46">
        <v>1</v>
      </c>
      <c r="BA49" s="46">
        <v>1</v>
      </c>
      <c r="BJ49" s="46">
        <v>1</v>
      </c>
      <c r="BW49" s="46">
        <v>1</v>
      </c>
      <c r="BZ49" s="46">
        <v>1</v>
      </c>
      <c r="CC49" s="46">
        <v>1</v>
      </c>
      <c r="CI49" s="46">
        <v>1</v>
      </c>
      <c r="CP49" s="46">
        <v>1</v>
      </c>
      <c r="CU49" s="139">
        <v>46725</v>
      </c>
    </row>
    <row r="50" spans="1:99" hidden="1">
      <c r="A50" s="46" t="s">
        <v>2165</v>
      </c>
      <c r="B50" s="46" t="s">
        <v>2926</v>
      </c>
      <c r="C50" s="46">
        <v>60</v>
      </c>
      <c r="D50" s="46" t="s">
        <v>2847</v>
      </c>
      <c r="E50" s="46" t="s">
        <v>2927</v>
      </c>
      <c r="F50" s="46" t="s">
        <v>2484</v>
      </c>
      <c r="J50" s="46">
        <v>1</v>
      </c>
      <c r="P50" s="46">
        <v>1</v>
      </c>
      <c r="R50" s="46">
        <v>1</v>
      </c>
      <c r="T50" s="46">
        <v>1</v>
      </c>
      <c r="W50" s="46">
        <v>15</v>
      </c>
      <c r="X50" s="46">
        <v>18</v>
      </c>
      <c r="Y50" s="46">
        <v>18</v>
      </c>
      <c r="Z50" s="46">
        <v>5</v>
      </c>
      <c r="AA50" s="46">
        <v>5</v>
      </c>
      <c r="AB50" s="46">
        <v>5</v>
      </c>
      <c r="AC50" s="46">
        <v>1</v>
      </c>
      <c r="AI50" s="46">
        <v>1</v>
      </c>
      <c r="AK50" s="46">
        <v>1</v>
      </c>
      <c r="AT50" s="46">
        <v>1</v>
      </c>
      <c r="AW50" s="46">
        <v>1</v>
      </c>
      <c r="BA50" s="46">
        <v>1</v>
      </c>
      <c r="BJ50" s="46">
        <v>1</v>
      </c>
      <c r="BW50" s="46">
        <v>1</v>
      </c>
      <c r="BZ50" s="46">
        <v>1</v>
      </c>
      <c r="CC50" s="46">
        <v>1</v>
      </c>
      <c r="CI50" s="46">
        <v>1</v>
      </c>
      <c r="CP50" s="46">
        <v>1</v>
      </c>
      <c r="CU50" s="139">
        <v>46725</v>
      </c>
    </row>
    <row r="51" spans="1:99" hidden="1">
      <c r="A51" s="46" t="s">
        <v>2168</v>
      </c>
      <c r="B51" s="46" t="s">
        <v>2928</v>
      </c>
      <c r="C51" s="46">
        <v>55</v>
      </c>
      <c r="D51" s="46" t="s">
        <v>2929</v>
      </c>
      <c r="E51" s="46" t="s">
        <v>2930</v>
      </c>
      <c r="F51" s="46" t="s">
        <v>2484</v>
      </c>
      <c r="I51" s="46">
        <v>1</v>
      </c>
      <c r="M51" s="46">
        <v>1</v>
      </c>
      <c r="R51" s="46">
        <v>1</v>
      </c>
      <c r="T51" s="46">
        <v>1</v>
      </c>
      <c r="W51" s="46">
        <v>14</v>
      </c>
      <c r="X51" s="46">
        <v>20</v>
      </c>
      <c r="Y51" s="46">
        <v>21</v>
      </c>
      <c r="Z51" s="46">
        <v>7</v>
      </c>
      <c r="AA51" s="46">
        <v>7</v>
      </c>
      <c r="AB51" s="46">
        <v>7</v>
      </c>
      <c r="AC51" s="46">
        <v>1</v>
      </c>
      <c r="AJ51" s="46">
        <v>1</v>
      </c>
      <c r="AK51" s="46">
        <v>1</v>
      </c>
      <c r="AT51" s="46">
        <v>1</v>
      </c>
      <c r="AX51" s="46">
        <v>1</v>
      </c>
      <c r="BA51" s="46">
        <v>1</v>
      </c>
      <c r="BJ51" s="46">
        <v>1</v>
      </c>
      <c r="BZ51" s="46">
        <v>1</v>
      </c>
      <c r="CC51" s="46">
        <v>1</v>
      </c>
      <c r="CI51" s="46">
        <v>1</v>
      </c>
      <c r="CP51" s="46">
        <v>1</v>
      </c>
      <c r="CU51" s="139">
        <v>46725</v>
      </c>
    </row>
    <row r="52" spans="1:99" hidden="1">
      <c r="A52" s="46" t="s">
        <v>2171</v>
      </c>
      <c r="B52" s="46" t="s">
        <v>2931</v>
      </c>
      <c r="C52" s="46">
        <v>54</v>
      </c>
      <c r="D52" s="46" t="s">
        <v>2847</v>
      </c>
      <c r="E52" s="46" t="s">
        <v>2932</v>
      </c>
      <c r="F52" s="46" t="s">
        <v>2484</v>
      </c>
      <c r="H52" s="46">
        <v>1</v>
      </c>
      <c r="P52" s="46">
        <v>1</v>
      </c>
      <c r="R52" s="46">
        <v>1</v>
      </c>
      <c r="T52" s="46">
        <v>1</v>
      </c>
      <c r="W52" s="46">
        <v>12</v>
      </c>
      <c r="X52" s="46">
        <v>15</v>
      </c>
      <c r="Y52" s="46">
        <v>15</v>
      </c>
      <c r="Z52" s="46">
        <v>5</v>
      </c>
      <c r="AA52" s="46">
        <v>5</v>
      </c>
      <c r="AB52" s="46">
        <v>5</v>
      </c>
      <c r="AE52" s="46">
        <v>1</v>
      </c>
      <c r="AH52" s="46">
        <v>1</v>
      </c>
      <c r="AJ52" s="46">
        <v>1</v>
      </c>
      <c r="AK52" s="46">
        <v>1</v>
      </c>
      <c r="AT52" s="46">
        <v>1</v>
      </c>
      <c r="AW52" s="46">
        <v>1</v>
      </c>
      <c r="BA52" s="46">
        <v>1</v>
      </c>
      <c r="BJ52" s="46">
        <v>1</v>
      </c>
      <c r="BZ52" s="46">
        <v>1</v>
      </c>
      <c r="CC52" s="46">
        <v>1</v>
      </c>
      <c r="CI52" s="46">
        <v>1</v>
      </c>
      <c r="CP52" s="46">
        <v>1</v>
      </c>
      <c r="CU52" s="139">
        <v>46725</v>
      </c>
    </row>
    <row r="53" spans="1:99" hidden="1">
      <c r="A53" s="46" t="s">
        <v>2174</v>
      </c>
      <c r="B53" s="46" t="s">
        <v>2933</v>
      </c>
      <c r="C53" s="46">
        <v>60</v>
      </c>
      <c r="D53" s="46" t="s">
        <v>2847</v>
      </c>
      <c r="E53" s="46" t="s">
        <v>191</v>
      </c>
      <c r="F53" s="46" t="s">
        <v>2484</v>
      </c>
      <c r="J53" s="46">
        <v>1</v>
      </c>
      <c r="P53" s="46">
        <v>1</v>
      </c>
      <c r="R53" s="46">
        <v>1</v>
      </c>
      <c r="T53" s="46">
        <v>1</v>
      </c>
      <c r="W53" s="46">
        <v>20</v>
      </c>
      <c r="X53" s="46">
        <v>12</v>
      </c>
      <c r="Y53" s="46">
        <v>19</v>
      </c>
      <c r="Z53" s="46">
        <v>5</v>
      </c>
      <c r="AA53" s="46">
        <v>5</v>
      </c>
      <c r="AB53" s="46">
        <v>4</v>
      </c>
      <c r="AE53" s="46">
        <v>1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J53" s="46">
        <v>1</v>
      </c>
      <c r="BZ53" s="46">
        <v>1</v>
      </c>
      <c r="CC53" s="46">
        <v>1</v>
      </c>
      <c r="CI53" s="46">
        <v>1</v>
      </c>
      <c r="CP53" s="46">
        <v>1</v>
      </c>
      <c r="CU53" s="139">
        <v>46725</v>
      </c>
    </row>
    <row r="54" spans="1:99" hidden="1">
      <c r="A54" s="46" t="s">
        <v>2177</v>
      </c>
      <c r="B54" s="46" t="s">
        <v>2934</v>
      </c>
      <c r="C54" s="46">
        <v>58</v>
      </c>
      <c r="D54" s="46" t="s">
        <v>2847</v>
      </c>
      <c r="E54" s="46" t="s">
        <v>2935</v>
      </c>
      <c r="F54" s="46" t="s">
        <v>2484</v>
      </c>
      <c r="K54" s="46">
        <v>1</v>
      </c>
      <c r="M54" s="46">
        <v>1</v>
      </c>
      <c r="R54" s="46">
        <v>1</v>
      </c>
      <c r="T54" s="46">
        <v>1</v>
      </c>
      <c r="W54" s="46">
        <v>14</v>
      </c>
      <c r="X54" s="46">
        <v>20</v>
      </c>
      <c r="Y54" s="46">
        <v>0</v>
      </c>
      <c r="Z54" s="46">
        <v>5</v>
      </c>
      <c r="AA54" s="46">
        <v>5</v>
      </c>
      <c r="AB54" s="46">
        <v>4</v>
      </c>
      <c r="AG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J54" s="46">
        <v>1</v>
      </c>
      <c r="BW54" s="46">
        <v>1</v>
      </c>
      <c r="BZ54" s="46">
        <v>1</v>
      </c>
      <c r="CC54" s="46">
        <v>1</v>
      </c>
      <c r="CI54" s="46">
        <v>1</v>
      </c>
      <c r="CP54" s="46">
        <v>1</v>
      </c>
      <c r="CU54" s="139">
        <v>46725</v>
      </c>
    </row>
    <row r="55" spans="1:99" hidden="1">
      <c r="A55" s="46" t="s">
        <v>1859</v>
      </c>
      <c r="B55" s="46" t="s">
        <v>2936</v>
      </c>
      <c r="C55" s="46">
        <v>52</v>
      </c>
      <c r="D55" s="46" t="s">
        <v>2847</v>
      </c>
      <c r="E55" s="46" t="s">
        <v>191</v>
      </c>
      <c r="F55" s="46" t="s">
        <v>2484</v>
      </c>
      <c r="G55" s="46">
        <v>1</v>
      </c>
      <c r="M55" s="46">
        <v>1</v>
      </c>
      <c r="Q55" s="46">
        <v>1</v>
      </c>
      <c r="S55" s="46">
        <v>1</v>
      </c>
      <c r="W55" s="46">
        <v>15</v>
      </c>
      <c r="X55" s="46">
        <v>17</v>
      </c>
      <c r="Y55" s="46">
        <v>18</v>
      </c>
      <c r="Z55" s="46">
        <v>7</v>
      </c>
      <c r="AA55" s="46">
        <v>6</v>
      </c>
      <c r="AB55" s="46">
        <v>4</v>
      </c>
      <c r="AH55" s="46">
        <v>1</v>
      </c>
      <c r="AJ55" s="46">
        <v>1</v>
      </c>
      <c r="AK55" s="46">
        <v>1</v>
      </c>
      <c r="AT55" s="46">
        <v>1</v>
      </c>
      <c r="AX55" s="46">
        <v>1</v>
      </c>
      <c r="BA55" s="46">
        <v>1</v>
      </c>
      <c r="BJ55" s="46">
        <v>1</v>
      </c>
      <c r="BZ55" s="46">
        <v>1</v>
      </c>
      <c r="CC55" s="46">
        <v>1</v>
      </c>
      <c r="CI55" s="46">
        <v>1</v>
      </c>
      <c r="CP55" s="46">
        <v>1</v>
      </c>
      <c r="CU55" s="139">
        <v>46725</v>
      </c>
    </row>
    <row r="56" spans="1:99" hidden="1">
      <c r="A56" s="46" t="s">
        <v>1862</v>
      </c>
      <c r="B56" s="46" t="s">
        <v>2937</v>
      </c>
      <c r="C56" s="46">
        <v>50</v>
      </c>
      <c r="D56" s="46" t="s">
        <v>2847</v>
      </c>
      <c r="E56" s="46" t="s">
        <v>191</v>
      </c>
      <c r="F56" s="46" t="s">
        <v>2484</v>
      </c>
      <c r="J56" s="46">
        <v>1</v>
      </c>
      <c r="O56" s="46">
        <v>1</v>
      </c>
      <c r="Q56" s="46">
        <v>1</v>
      </c>
      <c r="S56" s="46">
        <v>1</v>
      </c>
      <c r="W56" s="46">
        <v>14</v>
      </c>
      <c r="X56" s="46">
        <v>20</v>
      </c>
      <c r="Y56" s="46">
        <v>25</v>
      </c>
      <c r="Z56" s="46">
        <v>8</v>
      </c>
      <c r="AA56" s="46">
        <v>8</v>
      </c>
      <c r="AB56" s="46">
        <v>8</v>
      </c>
      <c r="AH56" s="46">
        <v>1</v>
      </c>
      <c r="AI56" s="46">
        <v>1</v>
      </c>
      <c r="AM56" s="46">
        <v>1</v>
      </c>
      <c r="AT56" s="46">
        <v>1</v>
      </c>
      <c r="AX56" s="46">
        <v>1</v>
      </c>
      <c r="BA56" s="46">
        <v>1</v>
      </c>
      <c r="BJ56" s="46">
        <v>1</v>
      </c>
      <c r="BW56" s="46">
        <v>1</v>
      </c>
      <c r="BZ56" s="46">
        <v>1</v>
      </c>
      <c r="CC56" s="46">
        <v>1</v>
      </c>
      <c r="CI56" s="46">
        <v>1</v>
      </c>
      <c r="CP56" s="46">
        <v>1</v>
      </c>
      <c r="CU56" s="139">
        <v>46725</v>
      </c>
    </row>
    <row r="57" spans="1:99" hidden="1">
      <c r="A57" s="46" t="s">
        <v>1865</v>
      </c>
      <c r="B57" s="46" t="s">
        <v>2938</v>
      </c>
      <c r="C57" s="46">
        <v>75</v>
      </c>
      <c r="D57" s="46" t="s">
        <v>2847</v>
      </c>
      <c r="E57" s="46" t="s">
        <v>191</v>
      </c>
      <c r="F57" s="46" t="s">
        <v>2484</v>
      </c>
      <c r="H57" s="46">
        <v>1</v>
      </c>
      <c r="M57" s="46">
        <v>1</v>
      </c>
      <c r="R57" s="46">
        <v>1</v>
      </c>
      <c r="T57" s="46">
        <v>1</v>
      </c>
      <c r="W57" s="46">
        <v>20</v>
      </c>
      <c r="X57" s="46">
        <v>20</v>
      </c>
      <c r="Y57" s="46">
        <v>22</v>
      </c>
      <c r="Z57" s="46">
        <v>4</v>
      </c>
      <c r="AA57" s="46">
        <v>4</v>
      </c>
      <c r="AB57" s="46">
        <v>2</v>
      </c>
      <c r="AC57" s="46">
        <v>1</v>
      </c>
      <c r="AI57" s="46">
        <v>1</v>
      </c>
      <c r="AM57" s="46">
        <v>1</v>
      </c>
      <c r="AT57" s="46">
        <v>1</v>
      </c>
      <c r="AW57" s="46">
        <v>1</v>
      </c>
      <c r="BA57" s="46">
        <v>1</v>
      </c>
      <c r="BJ57" s="46">
        <v>1</v>
      </c>
      <c r="BZ57" s="46">
        <v>1</v>
      </c>
      <c r="CC57" s="46">
        <v>1</v>
      </c>
      <c r="CP57" s="46">
        <v>1</v>
      </c>
      <c r="CU57" s="139">
        <v>46725</v>
      </c>
    </row>
    <row r="58" spans="1:99">
      <c r="A58" s="46" t="s">
        <v>1868</v>
      </c>
      <c r="B58" s="46" t="s">
        <v>2939</v>
      </c>
      <c r="C58" s="46">
        <v>69</v>
      </c>
      <c r="D58" s="46" t="s">
        <v>2847</v>
      </c>
      <c r="E58" s="46" t="s">
        <v>191</v>
      </c>
      <c r="F58" s="46" t="s">
        <v>2484</v>
      </c>
      <c r="H58" s="46">
        <v>1</v>
      </c>
      <c r="P58" s="46">
        <v>1</v>
      </c>
      <c r="R58" s="46">
        <v>1</v>
      </c>
      <c r="S58" s="46">
        <v>1</v>
      </c>
      <c r="W58" s="46">
        <v>14</v>
      </c>
      <c r="X58" s="46">
        <v>14</v>
      </c>
      <c r="Y58" s="46">
        <v>16</v>
      </c>
      <c r="Z58" s="46">
        <v>6</v>
      </c>
      <c r="AA58" s="46">
        <v>6</v>
      </c>
      <c r="AB58" s="46">
        <v>5</v>
      </c>
      <c r="AC58" s="46">
        <v>1</v>
      </c>
      <c r="AI58" s="46">
        <v>1</v>
      </c>
      <c r="AK58" s="46">
        <v>1</v>
      </c>
      <c r="AT58" s="46">
        <v>1</v>
      </c>
      <c r="AZ58" s="46">
        <v>1</v>
      </c>
      <c r="BA58" s="46">
        <v>1</v>
      </c>
      <c r="BJ58" s="46">
        <v>1</v>
      </c>
      <c r="BW58" s="46">
        <v>1</v>
      </c>
      <c r="BZ58" s="46">
        <v>1</v>
      </c>
      <c r="CC58" s="46">
        <v>1</v>
      </c>
      <c r="CP58" s="46">
        <v>1</v>
      </c>
      <c r="CU58" s="139">
        <v>46725</v>
      </c>
    </row>
    <row r="59" spans="1:99" hidden="1">
      <c r="A59" s="46" t="s">
        <v>1871</v>
      </c>
      <c r="B59" s="46" t="s">
        <v>2940</v>
      </c>
      <c r="C59" s="46">
        <v>52</v>
      </c>
      <c r="D59" s="46" t="s">
        <v>2941</v>
      </c>
      <c r="E59" s="46" t="s">
        <v>191</v>
      </c>
      <c r="F59" s="46" t="s">
        <v>2484</v>
      </c>
      <c r="H59" s="46">
        <v>1</v>
      </c>
      <c r="M59" s="46">
        <v>1</v>
      </c>
      <c r="Q59" s="46">
        <v>1</v>
      </c>
      <c r="T59" s="46">
        <v>1</v>
      </c>
      <c r="W59" s="46">
        <v>17</v>
      </c>
      <c r="X59" s="46">
        <v>18</v>
      </c>
      <c r="Y59" s="46">
        <v>20</v>
      </c>
      <c r="Z59" s="46">
        <v>10</v>
      </c>
      <c r="AA59" s="46">
        <v>10</v>
      </c>
      <c r="AB59" s="46">
        <v>10</v>
      </c>
      <c r="AC59" s="46">
        <v>1</v>
      </c>
      <c r="AJ59" s="46">
        <v>1</v>
      </c>
      <c r="AK59" s="46">
        <v>1</v>
      </c>
      <c r="AT59" s="46">
        <v>1</v>
      </c>
      <c r="AY59" s="46">
        <v>1</v>
      </c>
      <c r="BA59" s="46">
        <v>1</v>
      </c>
      <c r="BJ59" s="46">
        <v>1</v>
      </c>
      <c r="BZ59" s="46">
        <v>1</v>
      </c>
      <c r="CC59" s="46">
        <v>1</v>
      </c>
      <c r="CP59" s="46">
        <v>1</v>
      </c>
      <c r="CU59" s="139">
        <v>46725</v>
      </c>
    </row>
  </sheetData>
  <autoFilter ref="A4:CU59">
    <filterColumn colId="2">
      <filters>
        <filter val="62"/>
        <filter val="65"/>
        <filter val="67"/>
        <filter val="69"/>
        <filter val="70"/>
        <filter val="73"/>
        <filter val="74"/>
        <filter val="75"/>
        <filter val="80"/>
        <filter val="86"/>
      </filters>
    </filterColumn>
    <filterColumn colId="36">
      <filters>
        <filter val="1"/>
      </filters>
    </filterColumn>
  </autoFilter>
  <mergeCells count="29">
    <mergeCell ref="A2:B2"/>
    <mergeCell ref="C2:E2"/>
    <mergeCell ref="G2:K2"/>
    <mergeCell ref="L2:P2"/>
    <mergeCell ref="Q2:R2"/>
    <mergeCell ref="S2:V2"/>
    <mergeCell ref="W2:AB2"/>
    <mergeCell ref="AC2:AH2"/>
    <mergeCell ref="AI2:AJ2"/>
    <mergeCell ref="AK2:AM2"/>
    <mergeCell ref="AN2:AP2"/>
    <mergeCell ref="AQ2:AS2"/>
    <mergeCell ref="AT2:AU2"/>
    <mergeCell ref="AV2:AZ2"/>
    <mergeCell ref="CF2:CH2"/>
    <mergeCell ref="CI2:CK2"/>
    <mergeCell ref="CM2:CN2"/>
    <mergeCell ref="CO2:CP2"/>
    <mergeCell ref="CR4:CS4"/>
    <mergeCell ref="BF3:BG3"/>
    <mergeCell ref="BH3:BI3"/>
    <mergeCell ref="BJ3:BM3"/>
    <mergeCell ref="BA2:BG2"/>
    <mergeCell ref="BH2:BM2"/>
    <mergeCell ref="BN2:BP2"/>
    <mergeCell ref="BQ2:BR2"/>
    <mergeCell ref="BU2:BY2"/>
    <mergeCell ref="BZ2:CB2"/>
    <mergeCell ref="CC2:C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"/>
  <sheetViews>
    <sheetView workbookViewId="0"/>
  </sheetViews>
  <sheetFormatPr defaultColWidth="14.42578125" defaultRowHeight="15" customHeight="1"/>
  <sheetData>
    <row r="1" spans="1:30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484" t="s">
        <v>354</v>
      </c>
      <c r="K1" s="481"/>
      <c r="L1" s="481"/>
      <c r="M1" s="481"/>
      <c r="N1" s="480"/>
      <c r="O1" s="484" t="s">
        <v>355</v>
      </c>
      <c r="P1" s="481"/>
      <c r="Q1" s="481"/>
      <c r="R1" s="480"/>
      <c r="S1" s="484" t="s">
        <v>356</v>
      </c>
      <c r="T1" s="481"/>
      <c r="U1" s="481"/>
      <c r="V1" s="481"/>
      <c r="W1" s="481"/>
      <c r="X1" s="480"/>
      <c r="Y1" s="485" t="s">
        <v>357</v>
      </c>
      <c r="Z1" s="481"/>
      <c r="AA1" s="481"/>
      <c r="AB1" s="481"/>
      <c r="AC1" s="480"/>
      <c r="AD1" s="62" t="s">
        <v>356</v>
      </c>
    </row>
    <row r="2" spans="1:30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64" t="s">
        <v>362</v>
      </c>
      <c r="I2" s="65" t="s">
        <v>361</v>
      </c>
      <c r="J2" s="64" t="s">
        <v>96</v>
      </c>
      <c r="K2" s="64" t="s">
        <v>84</v>
      </c>
      <c r="L2" s="64" t="s">
        <v>98</v>
      </c>
      <c r="M2" s="64" t="s">
        <v>38</v>
      </c>
      <c r="N2" s="65" t="s">
        <v>361</v>
      </c>
      <c r="O2" s="64" t="s">
        <v>91</v>
      </c>
      <c r="P2" s="64" t="s">
        <v>362</v>
      </c>
      <c r="Q2" s="64" t="s">
        <v>363</v>
      </c>
      <c r="R2" s="65" t="s">
        <v>361</v>
      </c>
      <c r="S2" s="64" t="s">
        <v>364</v>
      </c>
      <c r="T2" s="64" t="s">
        <v>91</v>
      </c>
      <c r="U2" s="64" t="s">
        <v>365</v>
      </c>
      <c r="V2" s="64" t="s">
        <v>366</v>
      </c>
      <c r="W2" s="64" t="s">
        <v>367</v>
      </c>
      <c r="X2" s="64"/>
      <c r="Y2" s="66" t="s">
        <v>96</v>
      </c>
      <c r="Z2" s="66" t="s">
        <v>97</v>
      </c>
      <c r="AA2" s="66" t="s">
        <v>98</v>
      </c>
      <c r="AB2" s="137" t="s">
        <v>360</v>
      </c>
      <c r="AC2" s="66" t="s">
        <v>369</v>
      </c>
      <c r="AD2" s="64" t="s">
        <v>365</v>
      </c>
    </row>
    <row r="3" spans="1:30">
      <c r="A3" s="68" t="s">
        <v>1268</v>
      </c>
      <c r="B3" s="69">
        <v>1</v>
      </c>
      <c r="C3" s="69">
        <v>0</v>
      </c>
      <c r="D3" s="69">
        <v>1</v>
      </c>
      <c r="E3" s="69">
        <f t="shared" ref="E3:E8" si="0">SUM(B3:D3)</f>
        <v>2</v>
      </c>
      <c r="F3" s="70">
        <v>0</v>
      </c>
      <c r="G3" s="70">
        <v>2</v>
      </c>
      <c r="H3" s="70">
        <v>0</v>
      </c>
      <c r="I3" s="71">
        <f t="shared" ref="I3:I9" si="1">SUM(F3:H3)</f>
        <v>2</v>
      </c>
      <c r="J3" s="70">
        <v>0</v>
      </c>
      <c r="K3" s="70">
        <v>0</v>
      </c>
      <c r="L3" s="70">
        <v>0</v>
      </c>
      <c r="M3" s="70">
        <v>0</v>
      </c>
      <c r="N3" s="71">
        <f t="shared" ref="N3:N9" si="2">SUM(J3:M3)</f>
        <v>0</v>
      </c>
      <c r="O3" s="70">
        <v>0</v>
      </c>
      <c r="P3" s="70">
        <v>0</v>
      </c>
      <c r="Q3" s="70">
        <v>1</v>
      </c>
      <c r="R3" s="71">
        <f t="shared" ref="R3:R8" si="3">SUM(O3:Q3)</f>
        <v>1</v>
      </c>
      <c r="S3" s="70"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3">
        <v>1</v>
      </c>
      <c r="Z3" s="73">
        <v>0</v>
      </c>
      <c r="AA3" s="73">
        <v>0</v>
      </c>
      <c r="AB3" s="73">
        <v>0</v>
      </c>
      <c r="AC3" s="73">
        <f t="shared" ref="AC3:AC8" si="4">SUM(Y3:AB3)</f>
        <v>1</v>
      </c>
      <c r="AD3" s="73">
        <v>0</v>
      </c>
    </row>
    <row r="4" spans="1:30">
      <c r="A4" s="74" t="s">
        <v>2942</v>
      </c>
      <c r="B4" s="69">
        <v>5</v>
      </c>
      <c r="C4" s="69">
        <v>0</v>
      </c>
      <c r="D4" s="69">
        <v>0</v>
      </c>
      <c r="E4" s="69">
        <f t="shared" si="0"/>
        <v>5</v>
      </c>
      <c r="F4" s="70">
        <v>0</v>
      </c>
      <c r="G4" s="70">
        <v>5</v>
      </c>
      <c r="H4" s="70">
        <v>0</v>
      </c>
      <c r="I4" s="71">
        <f t="shared" si="1"/>
        <v>5</v>
      </c>
      <c r="J4" s="70">
        <v>5</v>
      </c>
      <c r="K4" s="70">
        <v>0</v>
      </c>
      <c r="L4" s="70">
        <v>0</v>
      </c>
      <c r="M4" s="70">
        <v>0</v>
      </c>
      <c r="N4" s="71">
        <f t="shared" si="2"/>
        <v>5</v>
      </c>
      <c r="O4" s="70">
        <v>0</v>
      </c>
      <c r="P4" s="70">
        <v>0</v>
      </c>
      <c r="Q4" s="70">
        <v>0</v>
      </c>
      <c r="R4" s="71">
        <f t="shared" si="3"/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3">
        <v>5</v>
      </c>
      <c r="Z4" s="73">
        <v>0</v>
      </c>
      <c r="AA4" s="73">
        <v>0</v>
      </c>
      <c r="AB4" s="73">
        <v>0</v>
      </c>
      <c r="AC4" s="73">
        <f t="shared" si="4"/>
        <v>5</v>
      </c>
      <c r="AD4" s="73">
        <v>0</v>
      </c>
    </row>
    <row r="5" spans="1:30">
      <c r="A5" s="77" t="s">
        <v>888</v>
      </c>
      <c r="B5" s="69">
        <v>10</v>
      </c>
      <c r="C5" s="69">
        <v>0</v>
      </c>
      <c r="D5" s="69">
        <v>1</v>
      </c>
      <c r="E5" s="69">
        <f t="shared" si="0"/>
        <v>11</v>
      </c>
      <c r="F5" s="70">
        <v>1</v>
      </c>
      <c r="G5" s="70">
        <v>10</v>
      </c>
      <c r="H5" s="70">
        <v>0</v>
      </c>
      <c r="I5" s="71">
        <f t="shared" si="1"/>
        <v>11</v>
      </c>
      <c r="J5" s="70">
        <v>0</v>
      </c>
      <c r="K5" s="70">
        <v>0</v>
      </c>
      <c r="L5" s="70">
        <v>0</v>
      </c>
      <c r="M5" s="70">
        <v>0</v>
      </c>
      <c r="N5" s="71">
        <f t="shared" si="2"/>
        <v>0</v>
      </c>
      <c r="O5" s="70">
        <v>0</v>
      </c>
      <c r="P5" s="70">
        <v>1</v>
      </c>
      <c r="Q5" s="70">
        <v>1</v>
      </c>
      <c r="R5" s="71">
        <f t="shared" si="3"/>
        <v>2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3">
        <v>8</v>
      </c>
      <c r="Z5" s="73">
        <v>0</v>
      </c>
      <c r="AA5" s="73">
        <v>0</v>
      </c>
      <c r="AB5" s="73">
        <v>3</v>
      </c>
      <c r="AC5" s="73">
        <f t="shared" si="4"/>
        <v>11</v>
      </c>
      <c r="AD5" s="73">
        <v>0</v>
      </c>
    </row>
    <row r="6" spans="1:30">
      <c r="A6" s="77" t="s">
        <v>1824</v>
      </c>
      <c r="B6" s="69">
        <v>8</v>
      </c>
      <c r="C6" s="69">
        <v>0</v>
      </c>
      <c r="D6" s="69">
        <v>3</v>
      </c>
      <c r="E6" s="69">
        <f t="shared" si="0"/>
        <v>11</v>
      </c>
      <c r="F6" s="70">
        <v>0</v>
      </c>
      <c r="G6" s="70">
        <v>8</v>
      </c>
      <c r="H6" s="70">
        <v>0</v>
      </c>
      <c r="I6" s="71">
        <f t="shared" si="1"/>
        <v>8</v>
      </c>
      <c r="J6" s="70">
        <v>3</v>
      </c>
      <c r="K6" s="70">
        <v>0</v>
      </c>
      <c r="L6" s="70">
        <v>0</v>
      </c>
      <c r="M6" s="70">
        <v>1</v>
      </c>
      <c r="N6" s="71">
        <f t="shared" si="2"/>
        <v>4</v>
      </c>
      <c r="O6" s="70">
        <v>0</v>
      </c>
      <c r="P6" s="70">
        <v>0</v>
      </c>
      <c r="Q6" s="70">
        <v>4</v>
      </c>
      <c r="R6" s="71">
        <f t="shared" si="3"/>
        <v>4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3">
        <v>8</v>
      </c>
      <c r="Z6" s="73">
        <v>0</v>
      </c>
      <c r="AA6" s="73">
        <v>0</v>
      </c>
      <c r="AB6" s="73">
        <v>0</v>
      </c>
      <c r="AC6" s="73">
        <f t="shared" si="4"/>
        <v>8</v>
      </c>
      <c r="AD6" s="73">
        <v>0</v>
      </c>
    </row>
    <row r="7" spans="1:30">
      <c r="A7" s="77" t="s">
        <v>2943</v>
      </c>
      <c r="B7" s="69">
        <v>11</v>
      </c>
      <c r="C7" s="69">
        <v>0</v>
      </c>
      <c r="D7" s="69">
        <v>1</v>
      </c>
      <c r="E7" s="69">
        <f t="shared" si="0"/>
        <v>12</v>
      </c>
      <c r="F7" s="70">
        <v>0</v>
      </c>
      <c r="G7" s="70">
        <v>1</v>
      </c>
      <c r="H7" s="70">
        <v>0</v>
      </c>
      <c r="I7" s="71">
        <f t="shared" si="1"/>
        <v>1</v>
      </c>
      <c r="J7" s="70">
        <v>11</v>
      </c>
      <c r="K7" s="70">
        <v>0</v>
      </c>
      <c r="L7" s="70">
        <v>0</v>
      </c>
      <c r="M7" s="70">
        <v>0</v>
      </c>
      <c r="N7" s="71">
        <f t="shared" si="2"/>
        <v>11</v>
      </c>
      <c r="O7" s="70">
        <v>0</v>
      </c>
      <c r="P7" s="70">
        <v>0</v>
      </c>
      <c r="Q7" s="70">
        <v>3</v>
      </c>
      <c r="R7" s="71">
        <f t="shared" si="3"/>
        <v>3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3">
        <v>9</v>
      </c>
      <c r="Z7" s="73">
        <v>0</v>
      </c>
      <c r="AA7" s="73">
        <v>0</v>
      </c>
      <c r="AB7" s="73">
        <v>0</v>
      </c>
      <c r="AC7" s="73">
        <f t="shared" si="4"/>
        <v>9</v>
      </c>
      <c r="AD7" s="73">
        <v>0</v>
      </c>
    </row>
    <row r="8" spans="1:30">
      <c r="A8" s="78" t="s">
        <v>2944</v>
      </c>
      <c r="B8" s="79">
        <v>10</v>
      </c>
      <c r="C8" s="79">
        <v>0</v>
      </c>
      <c r="D8" s="79">
        <v>4</v>
      </c>
      <c r="E8" s="69">
        <f t="shared" si="0"/>
        <v>14</v>
      </c>
      <c r="F8" s="80">
        <v>0</v>
      </c>
      <c r="G8" s="80">
        <v>2</v>
      </c>
      <c r="H8" s="80">
        <v>0</v>
      </c>
      <c r="I8" s="71">
        <f t="shared" si="1"/>
        <v>2</v>
      </c>
      <c r="J8" s="80">
        <v>11</v>
      </c>
      <c r="K8" s="80">
        <v>0</v>
      </c>
      <c r="L8" s="80">
        <v>0</v>
      </c>
      <c r="M8" s="80">
        <v>2</v>
      </c>
      <c r="N8" s="71">
        <f t="shared" si="2"/>
        <v>13</v>
      </c>
      <c r="O8" s="80">
        <v>0</v>
      </c>
      <c r="P8" s="80">
        <v>0</v>
      </c>
      <c r="Q8" s="80">
        <v>8</v>
      </c>
      <c r="R8" s="71">
        <f t="shared" si="3"/>
        <v>8</v>
      </c>
      <c r="S8" s="80">
        <v>0</v>
      </c>
      <c r="T8" s="80">
        <v>0</v>
      </c>
      <c r="U8" s="80">
        <v>0</v>
      </c>
      <c r="V8" s="80">
        <v>1</v>
      </c>
      <c r="W8" s="80">
        <v>0</v>
      </c>
      <c r="X8" s="80">
        <v>0</v>
      </c>
      <c r="Y8" s="82">
        <v>10</v>
      </c>
      <c r="Z8" s="82">
        <v>0</v>
      </c>
      <c r="AA8" s="82">
        <v>0</v>
      </c>
      <c r="AB8" s="82">
        <v>5</v>
      </c>
      <c r="AC8" s="73">
        <f t="shared" si="4"/>
        <v>15</v>
      </c>
      <c r="AD8" s="82">
        <v>0</v>
      </c>
    </row>
    <row r="9" spans="1:30">
      <c r="A9" s="69" t="s">
        <v>376</v>
      </c>
      <c r="B9" s="69">
        <f t="shared" ref="B9:H9" si="5">SUM(B3:B8)</f>
        <v>45</v>
      </c>
      <c r="C9" s="69">
        <f t="shared" si="5"/>
        <v>0</v>
      </c>
      <c r="D9" s="69">
        <f t="shared" si="5"/>
        <v>10</v>
      </c>
      <c r="E9" s="69">
        <f t="shared" si="5"/>
        <v>55</v>
      </c>
      <c r="F9" s="69">
        <f t="shared" si="5"/>
        <v>1</v>
      </c>
      <c r="G9" s="69">
        <f t="shared" si="5"/>
        <v>28</v>
      </c>
      <c r="H9" s="69">
        <f t="shared" si="5"/>
        <v>0</v>
      </c>
      <c r="I9" s="71">
        <f t="shared" si="1"/>
        <v>29</v>
      </c>
      <c r="J9" s="114">
        <f>SUM(J3:J8)</f>
        <v>30</v>
      </c>
      <c r="K9" s="114">
        <f>SUM(K3:K8)</f>
        <v>0</v>
      </c>
      <c r="L9" s="114">
        <f>SUM(L3:L8)</f>
        <v>0</v>
      </c>
      <c r="M9" s="114">
        <f>SUM(M3:M8)</f>
        <v>3</v>
      </c>
      <c r="N9" s="71">
        <f t="shared" si="2"/>
        <v>33</v>
      </c>
      <c r="O9" s="114">
        <f t="shared" ref="O9:AC9" si="6">SUM(O3:O8)</f>
        <v>0</v>
      </c>
      <c r="P9" s="114">
        <f t="shared" si="6"/>
        <v>1</v>
      </c>
      <c r="Q9" s="114">
        <f t="shared" si="6"/>
        <v>17</v>
      </c>
      <c r="R9" s="71">
        <f t="shared" si="6"/>
        <v>18</v>
      </c>
      <c r="S9" s="114">
        <f t="shared" si="6"/>
        <v>0</v>
      </c>
      <c r="T9" s="114">
        <f t="shared" si="6"/>
        <v>0</v>
      </c>
      <c r="U9" s="114">
        <f t="shared" si="6"/>
        <v>0</v>
      </c>
      <c r="V9" s="114">
        <f t="shared" si="6"/>
        <v>1</v>
      </c>
      <c r="W9" s="114">
        <f t="shared" si="6"/>
        <v>0</v>
      </c>
      <c r="X9" s="114">
        <f t="shared" si="6"/>
        <v>0</v>
      </c>
      <c r="Y9" s="73">
        <f t="shared" si="6"/>
        <v>41</v>
      </c>
      <c r="Z9" s="73">
        <f t="shared" si="6"/>
        <v>0</v>
      </c>
      <c r="AA9" s="73">
        <f t="shared" si="6"/>
        <v>0</v>
      </c>
      <c r="AB9" s="73">
        <f t="shared" si="6"/>
        <v>8</v>
      </c>
      <c r="AC9" s="73">
        <f t="shared" si="6"/>
        <v>49</v>
      </c>
      <c r="AD9" s="83"/>
    </row>
  </sheetData>
  <mergeCells count="6">
    <mergeCell ref="Y1:AC1"/>
    <mergeCell ref="A1:A2"/>
    <mergeCell ref="B1:E1"/>
    <mergeCell ref="J1:N1"/>
    <mergeCell ref="O1:R1"/>
    <mergeCell ref="S1:X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6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0.28515625" customWidth="1"/>
    <col min="2" max="2" width="19.7109375" customWidth="1"/>
    <col min="3" max="3" width="10.7109375" customWidth="1"/>
    <col min="4" max="4" width="15.85546875" customWidth="1"/>
    <col min="5" max="5" width="26.85546875" customWidth="1"/>
    <col min="6" max="6" width="16.85546875" customWidth="1"/>
  </cols>
  <sheetData>
    <row r="1" spans="1:99">
      <c r="A1" s="479" t="s">
        <v>2945</v>
      </c>
      <c r="B1" s="480"/>
      <c r="C1" s="479" t="s">
        <v>2946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 ht="30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 hidden="1">
      <c r="A4" s="46" t="s">
        <v>1874</v>
      </c>
      <c r="B4" s="46" t="s">
        <v>1696</v>
      </c>
      <c r="C4" s="46">
        <v>45</v>
      </c>
      <c r="D4" s="46" t="s">
        <v>2947</v>
      </c>
      <c r="E4" s="46" t="s">
        <v>2948</v>
      </c>
      <c r="F4" s="46" t="s">
        <v>2472</v>
      </c>
      <c r="H4" s="46">
        <v>1</v>
      </c>
      <c r="M4" s="46">
        <v>1</v>
      </c>
      <c r="R4" s="46">
        <v>1</v>
      </c>
      <c r="T4" s="46">
        <v>1</v>
      </c>
      <c r="W4" s="46">
        <v>15</v>
      </c>
      <c r="X4" s="46">
        <v>18</v>
      </c>
      <c r="Y4" s="46">
        <v>20</v>
      </c>
      <c r="Z4" s="46">
        <v>6</v>
      </c>
      <c r="AA4" s="46">
        <v>5</v>
      </c>
      <c r="AB4" s="46">
        <v>5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G4" s="46">
        <v>1</v>
      </c>
      <c r="BK4" s="46">
        <v>1</v>
      </c>
      <c r="BS4" s="46">
        <v>1</v>
      </c>
      <c r="BT4" s="46" t="s">
        <v>952</v>
      </c>
      <c r="BZ4" s="46">
        <v>1</v>
      </c>
      <c r="CC4" s="46">
        <v>1</v>
      </c>
      <c r="CI4" s="46">
        <v>1</v>
      </c>
      <c r="CP4" s="46">
        <v>1</v>
      </c>
      <c r="CU4" s="46" t="s">
        <v>2369</v>
      </c>
    </row>
    <row r="5" spans="1:99" hidden="1">
      <c r="A5" s="46" t="s">
        <v>1877</v>
      </c>
      <c r="B5" s="46" t="s">
        <v>2949</v>
      </c>
      <c r="C5" s="46">
        <v>33</v>
      </c>
      <c r="D5" s="46" t="s">
        <v>2947</v>
      </c>
      <c r="E5" s="46" t="s">
        <v>2950</v>
      </c>
      <c r="F5" s="46" t="s">
        <v>2484</v>
      </c>
      <c r="H5" s="46">
        <v>1</v>
      </c>
      <c r="M5" s="46">
        <v>1</v>
      </c>
      <c r="R5" s="46">
        <v>1</v>
      </c>
      <c r="T5" s="46">
        <v>1</v>
      </c>
      <c r="W5" s="46">
        <v>13</v>
      </c>
      <c r="X5" s="46">
        <v>15</v>
      </c>
      <c r="Y5" s="46">
        <v>16</v>
      </c>
      <c r="Z5" s="46">
        <v>7</v>
      </c>
      <c r="AA5" s="46">
        <v>7</v>
      </c>
      <c r="AB5" s="46">
        <v>6</v>
      </c>
      <c r="AD5" s="46">
        <v>1</v>
      </c>
      <c r="AJ5" s="46">
        <v>1</v>
      </c>
      <c r="AK5" s="46">
        <v>1</v>
      </c>
      <c r="AT5" s="46">
        <v>1</v>
      </c>
      <c r="AX5" s="46">
        <v>1</v>
      </c>
      <c r="BA5" s="46">
        <v>1</v>
      </c>
      <c r="BK5" s="46">
        <v>1</v>
      </c>
      <c r="BN5" s="46">
        <v>1</v>
      </c>
      <c r="BO5" s="46" t="s">
        <v>952</v>
      </c>
      <c r="BW5" s="46">
        <v>1</v>
      </c>
      <c r="BZ5" s="46">
        <v>1</v>
      </c>
      <c r="CC5" s="46">
        <v>1</v>
      </c>
      <c r="CI5" s="46">
        <v>1</v>
      </c>
      <c r="CP5" s="46">
        <v>1</v>
      </c>
      <c r="CU5" s="140">
        <v>45383</v>
      </c>
    </row>
    <row r="6" spans="1:99" hidden="1">
      <c r="A6" s="46" t="s">
        <v>1880</v>
      </c>
      <c r="B6" s="46" t="s">
        <v>2951</v>
      </c>
      <c r="C6" s="46">
        <v>40</v>
      </c>
      <c r="D6" s="46" t="s">
        <v>2952</v>
      </c>
      <c r="E6" s="46" t="s">
        <v>2953</v>
      </c>
      <c r="F6" s="46" t="s">
        <v>2484</v>
      </c>
      <c r="J6" s="46">
        <v>1</v>
      </c>
      <c r="O6" s="46">
        <v>1</v>
      </c>
      <c r="R6" s="46">
        <v>1</v>
      </c>
      <c r="S6" s="46">
        <v>1</v>
      </c>
      <c r="W6" s="46">
        <v>13</v>
      </c>
      <c r="X6" s="46">
        <v>14</v>
      </c>
      <c r="Y6" s="46">
        <v>0</v>
      </c>
      <c r="Z6" s="46">
        <v>0</v>
      </c>
      <c r="AA6" s="46">
        <v>0</v>
      </c>
      <c r="AB6" s="46">
        <v>0</v>
      </c>
      <c r="AC6" s="46">
        <v>1</v>
      </c>
      <c r="AI6" s="46">
        <v>1</v>
      </c>
      <c r="AL6" s="46">
        <v>1</v>
      </c>
      <c r="AQ6" s="46" t="s">
        <v>2954</v>
      </c>
      <c r="AR6" s="46" t="s">
        <v>2955</v>
      </c>
      <c r="AT6" s="46">
        <v>1</v>
      </c>
      <c r="AW6" s="46">
        <v>1</v>
      </c>
      <c r="BA6" s="46">
        <v>1</v>
      </c>
      <c r="BJ6" s="46">
        <v>1</v>
      </c>
      <c r="CA6" s="46">
        <v>1</v>
      </c>
      <c r="CB6" s="168">
        <v>45200</v>
      </c>
      <c r="CC6" s="46">
        <v>1</v>
      </c>
      <c r="CI6" s="46">
        <v>1</v>
      </c>
      <c r="CP6" s="46">
        <v>1</v>
      </c>
      <c r="CU6" s="46" t="s">
        <v>2956</v>
      </c>
    </row>
    <row r="7" spans="1:99" hidden="1">
      <c r="A7" s="46" t="s">
        <v>1883</v>
      </c>
      <c r="B7" s="46" t="s">
        <v>2582</v>
      </c>
      <c r="C7" s="46">
        <v>50</v>
      </c>
      <c r="D7" s="46" t="s">
        <v>2957</v>
      </c>
      <c r="E7" s="46" t="s">
        <v>191</v>
      </c>
      <c r="F7" s="46" t="s">
        <v>2484</v>
      </c>
      <c r="H7" s="46">
        <v>1</v>
      </c>
      <c r="M7" s="46">
        <v>1</v>
      </c>
      <c r="Q7" s="46">
        <v>1</v>
      </c>
      <c r="U7" s="46">
        <v>1</v>
      </c>
      <c r="W7" s="46">
        <v>18</v>
      </c>
      <c r="X7" s="46">
        <v>20</v>
      </c>
      <c r="Y7" s="46">
        <v>20</v>
      </c>
      <c r="Z7" s="46">
        <v>10</v>
      </c>
      <c r="AA7" s="46">
        <v>9</v>
      </c>
      <c r="AB7" s="46">
        <v>9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J7" s="46">
        <v>1</v>
      </c>
      <c r="BW7" s="46">
        <v>1</v>
      </c>
      <c r="BZ7" s="46">
        <v>1</v>
      </c>
      <c r="CC7" s="46">
        <v>1</v>
      </c>
      <c r="CI7" s="46">
        <v>1</v>
      </c>
      <c r="CP7" s="46">
        <v>1</v>
      </c>
      <c r="CU7" s="46" t="s">
        <v>2956</v>
      </c>
    </row>
    <row r="8" spans="1:99" hidden="1">
      <c r="A8" s="46" t="s">
        <v>1886</v>
      </c>
      <c r="B8" s="46" t="s">
        <v>2958</v>
      </c>
      <c r="C8" s="46">
        <v>62</v>
      </c>
      <c r="D8" s="46" t="s">
        <v>2959</v>
      </c>
      <c r="E8" s="46" t="s">
        <v>2960</v>
      </c>
      <c r="F8" s="46" t="s">
        <v>2484</v>
      </c>
      <c r="H8" s="46">
        <v>1</v>
      </c>
      <c r="P8" s="46">
        <v>1</v>
      </c>
      <c r="R8" s="46">
        <v>1</v>
      </c>
      <c r="U8" s="46">
        <v>1</v>
      </c>
      <c r="W8" s="46">
        <v>14</v>
      </c>
      <c r="X8" s="46">
        <v>25</v>
      </c>
      <c r="Y8" s="46">
        <v>26</v>
      </c>
      <c r="Z8" s="46">
        <v>6</v>
      </c>
      <c r="AA8" s="46">
        <v>5</v>
      </c>
      <c r="AB8" s="46">
        <v>3</v>
      </c>
      <c r="AG8" s="46">
        <v>1</v>
      </c>
      <c r="AJ8" s="46">
        <v>1</v>
      </c>
      <c r="AK8" s="46">
        <v>1</v>
      </c>
      <c r="AT8" s="46">
        <v>1</v>
      </c>
      <c r="AW8" s="46">
        <v>1</v>
      </c>
      <c r="BB8" s="46">
        <v>1</v>
      </c>
      <c r="BG8" s="46">
        <v>1</v>
      </c>
      <c r="BJ8" s="46">
        <v>1</v>
      </c>
      <c r="BZ8" s="46">
        <v>1</v>
      </c>
      <c r="CC8" s="46">
        <v>1</v>
      </c>
      <c r="CI8" s="46">
        <v>1</v>
      </c>
      <c r="CP8" s="46">
        <v>1</v>
      </c>
      <c r="CU8" s="46" t="s">
        <v>2956</v>
      </c>
    </row>
    <row r="9" spans="1:99" hidden="1">
      <c r="A9" s="46" t="s">
        <v>1889</v>
      </c>
      <c r="B9" s="46" t="s">
        <v>2961</v>
      </c>
      <c r="C9" s="46">
        <v>55</v>
      </c>
      <c r="D9" s="46" t="s">
        <v>2962</v>
      </c>
      <c r="E9" s="46" t="s">
        <v>2963</v>
      </c>
      <c r="F9" s="46" t="s">
        <v>2484</v>
      </c>
      <c r="H9" s="46">
        <v>1</v>
      </c>
      <c r="P9" s="46">
        <v>1</v>
      </c>
      <c r="Q9" s="46">
        <v>1</v>
      </c>
      <c r="S9" s="46">
        <v>1</v>
      </c>
      <c r="W9" s="46">
        <v>12</v>
      </c>
      <c r="X9" s="46">
        <v>15</v>
      </c>
      <c r="Y9" s="46">
        <v>15</v>
      </c>
      <c r="Z9" s="46">
        <v>8</v>
      </c>
      <c r="AA9" s="46">
        <v>7</v>
      </c>
      <c r="AB9" s="46">
        <v>7</v>
      </c>
      <c r="AC9" s="46">
        <v>1</v>
      </c>
      <c r="AJ9" s="46">
        <v>1</v>
      </c>
      <c r="AL9" s="46">
        <v>1</v>
      </c>
      <c r="AO9" s="46">
        <v>1</v>
      </c>
      <c r="AT9" s="46">
        <v>1</v>
      </c>
      <c r="AW9" s="46">
        <v>1</v>
      </c>
      <c r="BE9" s="46">
        <v>1</v>
      </c>
      <c r="BG9" s="46">
        <v>1</v>
      </c>
      <c r="BJ9" s="46">
        <v>1</v>
      </c>
      <c r="BV9" s="46">
        <v>1</v>
      </c>
      <c r="BW9" s="46">
        <v>1</v>
      </c>
      <c r="BZ9" s="46">
        <v>1</v>
      </c>
      <c r="CC9" s="46">
        <v>1</v>
      </c>
      <c r="CI9" s="46">
        <v>1</v>
      </c>
      <c r="CP9" s="46">
        <v>1</v>
      </c>
      <c r="CU9" s="46" t="s">
        <v>2964</v>
      </c>
    </row>
    <row r="10" spans="1:99" hidden="1">
      <c r="A10" s="46" t="s">
        <v>1892</v>
      </c>
      <c r="B10" s="46" t="s">
        <v>2965</v>
      </c>
      <c r="C10" s="46">
        <v>54</v>
      </c>
      <c r="D10" s="46" t="s">
        <v>2966</v>
      </c>
      <c r="E10" s="46" t="s">
        <v>2967</v>
      </c>
      <c r="F10" s="46" t="s">
        <v>2484</v>
      </c>
      <c r="G10" s="46">
        <v>1</v>
      </c>
      <c r="P10" s="46">
        <v>1</v>
      </c>
      <c r="Q10" s="46">
        <v>1</v>
      </c>
      <c r="T10" s="46">
        <v>1</v>
      </c>
      <c r="W10" s="46">
        <v>15</v>
      </c>
      <c r="X10" s="46">
        <v>20</v>
      </c>
      <c r="Y10" s="46">
        <v>23</v>
      </c>
      <c r="Z10" s="46">
        <v>6</v>
      </c>
      <c r="AA10" s="46">
        <v>6</v>
      </c>
      <c r="AB10" s="46">
        <v>4</v>
      </c>
      <c r="AG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Z10" s="46">
        <v>1</v>
      </c>
      <c r="CC10" s="46">
        <v>1</v>
      </c>
      <c r="CI10" s="46">
        <v>1</v>
      </c>
      <c r="CP10" s="46">
        <v>1</v>
      </c>
      <c r="CU10" s="46" t="s">
        <v>2956</v>
      </c>
    </row>
    <row r="11" spans="1:99" hidden="1">
      <c r="A11" s="46" t="s">
        <v>1895</v>
      </c>
      <c r="B11" s="46" t="s">
        <v>2968</v>
      </c>
      <c r="C11" s="46">
        <v>57</v>
      </c>
      <c r="D11" s="46" t="s">
        <v>2625</v>
      </c>
      <c r="E11" s="46" t="s">
        <v>2969</v>
      </c>
      <c r="F11" s="46" t="s">
        <v>2484</v>
      </c>
      <c r="I11" s="46">
        <v>1</v>
      </c>
      <c r="L11" s="46">
        <v>1</v>
      </c>
      <c r="Q11" s="46">
        <v>1</v>
      </c>
      <c r="T11" s="46">
        <v>1</v>
      </c>
      <c r="W11" s="46">
        <v>16</v>
      </c>
      <c r="X11" s="46">
        <v>18</v>
      </c>
      <c r="Y11" s="46">
        <v>19</v>
      </c>
      <c r="Z11" s="46">
        <v>9</v>
      </c>
      <c r="AA11" s="46">
        <v>7</v>
      </c>
      <c r="AB11" s="46">
        <v>6</v>
      </c>
      <c r="AG11" s="46">
        <v>1</v>
      </c>
      <c r="AJ11" s="46">
        <v>1</v>
      </c>
      <c r="AK11" s="46">
        <v>1</v>
      </c>
      <c r="AT11" s="46">
        <v>1</v>
      </c>
      <c r="AW11" s="46">
        <v>1</v>
      </c>
      <c r="BB11" s="46">
        <v>1</v>
      </c>
      <c r="BG11" s="46">
        <v>1</v>
      </c>
      <c r="BJ11" s="46">
        <v>1</v>
      </c>
      <c r="BZ11" s="46">
        <v>1</v>
      </c>
      <c r="CC11" s="46">
        <v>1</v>
      </c>
      <c r="CI11" s="46">
        <v>1</v>
      </c>
      <c r="CP11" s="46">
        <v>1</v>
      </c>
      <c r="CU11" s="46" t="s">
        <v>2956</v>
      </c>
    </row>
    <row r="12" spans="1:99" hidden="1">
      <c r="A12" s="46" t="s">
        <v>1897</v>
      </c>
      <c r="B12" s="46" t="s">
        <v>2970</v>
      </c>
      <c r="C12" s="46">
        <v>36</v>
      </c>
      <c r="D12" s="46" t="s">
        <v>2971</v>
      </c>
      <c r="E12" s="46" t="s">
        <v>2972</v>
      </c>
      <c r="F12" s="46" t="s">
        <v>2973</v>
      </c>
      <c r="I12" s="46">
        <v>1</v>
      </c>
      <c r="L12" s="46">
        <v>1</v>
      </c>
      <c r="Q12" s="46">
        <v>1</v>
      </c>
      <c r="U12" s="46">
        <v>1</v>
      </c>
      <c r="W12" s="46">
        <v>14</v>
      </c>
      <c r="X12" s="46">
        <v>22</v>
      </c>
      <c r="Y12" s="46">
        <v>25</v>
      </c>
      <c r="Z12" s="46">
        <v>4</v>
      </c>
      <c r="AA12" s="46">
        <v>3</v>
      </c>
      <c r="AB12" s="46">
        <v>3</v>
      </c>
      <c r="AC12" s="46">
        <v>1</v>
      </c>
      <c r="AJ12" s="46">
        <v>1</v>
      </c>
      <c r="AK12" s="46">
        <v>1</v>
      </c>
      <c r="AT12" s="46">
        <v>1</v>
      </c>
      <c r="AX12" s="46">
        <v>1</v>
      </c>
      <c r="BB12" s="46">
        <v>1</v>
      </c>
      <c r="BG12" s="46">
        <v>1</v>
      </c>
      <c r="BK12" s="46">
        <v>1</v>
      </c>
      <c r="BS12" s="46">
        <v>1</v>
      </c>
      <c r="BT12" s="46" t="s">
        <v>952</v>
      </c>
      <c r="BZ12" s="46">
        <v>1</v>
      </c>
      <c r="CC12" s="46">
        <v>1</v>
      </c>
      <c r="CI12" s="46">
        <v>1</v>
      </c>
      <c r="CP12" s="46">
        <v>1</v>
      </c>
      <c r="CU12" s="46" t="s">
        <v>2369</v>
      </c>
    </row>
    <row r="13" spans="1:99" hidden="1">
      <c r="A13" s="46" t="s">
        <v>1900</v>
      </c>
      <c r="B13" s="46" t="s">
        <v>2974</v>
      </c>
      <c r="C13" s="46">
        <v>40</v>
      </c>
      <c r="D13" s="46" t="s">
        <v>2975</v>
      </c>
      <c r="E13" s="46" t="s">
        <v>2976</v>
      </c>
      <c r="F13" s="46" t="s">
        <v>2484</v>
      </c>
      <c r="G13" s="46">
        <v>1</v>
      </c>
      <c r="O13" s="46">
        <v>1</v>
      </c>
      <c r="R13" s="46">
        <v>1</v>
      </c>
      <c r="S13" s="46">
        <v>1</v>
      </c>
      <c r="W13" s="46">
        <v>13</v>
      </c>
      <c r="X13" s="46">
        <v>19</v>
      </c>
      <c r="Y13" s="46">
        <v>0</v>
      </c>
      <c r="Z13" s="46">
        <v>6</v>
      </c>
      <c r="AA13" s="46">
        <v>6</v>
      </c>
      <c r="AB13" s="46">
        <v>6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S13" s="46">
        <v>1</v>
      </c>
      <c r="BT13" s="46" t="s">
        <v>2977</v>
      </c>
      <c r="BZ13" s="46">
        <v>1</v>
      </c>
      <c r="CC13" s="46">
        <v>1</v>
      </c>
      <c r="CI13" s="46">
        <v>1</v>
      </c>
      <c r="CP13" s="46">
        <v>1</v>
      </c>
      <c r="CU13" s="46" t="s">
        <v>2978</v>
      </c>
    </row>
    <row r="14" spans="1:99">
      <c r="A14" s="46" t="s">
        <v>1903</v>
      </c>
      <c r="B14" s="46" t="s">
        <v>2979</v>
      </c>
      <c r="C14" s="46">
        <v>23</v>
      </c>
      <c r="D14" s="46" t="s">
        <v>2625</v>
      </c>
      <c r="E14" s="46" t="s">
        <v>2980</v>
      </c>
      <c r="F14" s="46" t="s">
        <v>2484</v>
      </c>
      <c r="H14" s="46">
        <v>1</v>
      </c>
      <c r="M14" s="46">
        <v>1</v>
      </c>
      <c r="Q14" s="46">
        <v>1</v>
      </c>
      <c r="U14" s="46">
        <v>1</v>
      </c>
      <c r="W14" s="46">
        <v>13</v>
      </c>
      <c r="X14" s="46">
        <v>19</v>
      </c>
      <c r="Y14" s="46">
        <v>19</v>
      </c>
      <c r="Z14" s="46">
        <v>2</v>
      </c>
      <c r="AA14" s="46">
        <v>1</v>
      </c>
      <c r="AB14" s="46">
        <v>1</v>
      </c>
      <c r="AE14" s="46">
        <v>1</v>
      </c>
      <c r="AG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Z14" s="46">
        <v>1</v>
      </c>
      <c r="CC14" s="46">
        <v>1</v>
      </c>
      <c r="CI14" s="46">
        <v>1</v>
      </c>
      <c r="CP14" s="46">
        <v>1</v>
      </c>
      <c r="CU14" s="46" t="s">
        <v>2619</v>
      </c>
    </row>
    <row r="15" spans="1:99" hidden="1">
      <c r="A15" s="46" t="s">
        <v>1907</v>
      </c>
      <c r="B15" s="46" t="s">
        <v>2981</v>
      </c>
      <c r="C15" s="46">
        <v>33</v>
      </c>
      <c r="D15" s="46" t="s">
        <v>2625</v>
      </c>
      <c r="E15" s="46" t="s">
        <v>2982</v>
      </c>
      <c r="F15" s="46" t="s">
        <v>2484</v>
      </c>
      <c r="H15" s="46">
        <v>1</v>
      </c>
      <c r="Q15" s="46">
        <v>1</v>
      </c>
      <c r="V15" s="46">
        <v>1</v>
      </c>
      <c r="W15" s="46">
        <v>14</v>
      </c>
      <c r="X15" s="46">
        <v>25</v>
      </c>
      <c r="Y15" s="46">
        <v>27</v>
      </c>
      <c r="Z15" s="46">
        <v>2</v>
      </c>
      <c r="AA15" s="46">
        <v>2</v>
      </c>
      <c r="AB15" s="46">
        <v>2</v>
      </c>
      <c r="AD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Z15" s="46">
        <v>1</v>
      </c>
      <c r="CC15" s="46">
        <v>1</v>
      </c>
      <c r="CI15" s="46">
        <v>1</v>
      </c>
      <c r="CP15" s="46">
        <v>1</v>
      </c>
      <c r="CU15" s="46" t="s">
        <v>2704</v>
      </c>
    </row>
    <row r="16" spans="1:99" hidden="1">
      <c r="A16" s="46" t="s">
        <v>1911</v>
      </c>
      <c r="B16" s="46" t="s">
        <v>2983</v>
      </c>
      <c r="C16" s="46">
        <v>80</v>
      </c>
      <c r="D16" s="46" t="s">
        <v>2984</v>
      </c>
      <c r="E16" s="46" t="s">
        <v>191</v>
      </c>
      <c r="F16" s="46" t="s">
        <v>2985</v>
      </c>
      <c r="G16" s="46">
        <v>1</v>
      </c>
      <c r="P16" s="46">
        <v>1</v>
      </c>
      <c r="Q16" s="46">
        <v>1</v>
      </c>
      <c r="S16" s="46">
        <v>1</v>
      </c>
      <c r="W16" s="46">
        <v>15</v>
      </c>
      <c r="X16" s="46">
        <v>17</v>
      </c>
      <c r="Y16" s="46">
        <v>18</v>
      </c>
      <c r="Z16" s="46">
        <v>5</v>
      </c>
      <c r="AA16" s="46">
        <v>5</v>
      </c>
      <c r="AB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M16" s="46">
        <v>1</v>
      </c>
      <c r="BW16" s="46">
        <v>1</v>
      </c>
      <c r="BZ16" s="46">
        <v>1</v>
      </c>
      <c r="CC16" s="46">
        <v>1</v>
      </c>
      <c r="CI16" s="46">
        <v>1</v>
      </c>
      <c r="CP16" s="46">
        <v>1</v>
      </c>
      <c r="CU16" s="46" t="s">
        <v>2956</v>
      </c>
    </row>
    <row r="17" spans="1:99" hidden="1">
      <c r="A17" s="46" t="s">
        <v>1914</v>
      </c>
      <c r="B17" s="46" t="s">
        <v>2986</v>
      </c>
      <c r="C17" s="46">
        <v>50</v>
      </c>
      <c r="D17" s="46" t="s">
        <v>2987</v>
      </c>
      <c r="E17" s="46" t="s">
        <v>2988</v>
      </c>
      <c r="F17" s="46" t="s">
        <v>2655</v>
      </c>
      <c r="H17" s="46">
        <v>1</v>
      </c>
      <c r="L17" s="46">
        <v>1</v>
      </c>
      <c r="V17" s="46">
        <v>1</v>
      </c>
      <c r="W17" s="46">
        <v>12</v>
      </c>
      <c r="X17" s="46">
        <v>30</v>
      </c>
      <c r="Y17" s="46">
        <v>32</v>
      </c>
      <c r="Z17" s="46">
        <v>2</v>
      </c>
      <c r="AA17" s="46">
        <v>2</v>
      </c>
      <c r="AB17" s="46">
        <v>2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B17" s="46">
        <v>1</v>
      </c>
      <c r="BG17" s="46">
        <v>1</v>
      </c>
      <c r="BJ17" s="46">
        <v>1</v>
      </c>
      <c r="BW17" s="46">
        <v>1</v>
      </c>
      <c r="BZ17" s="46">
        <v>1</v>
      </c>
      <c r="CC17" s="46">
        <v>1</v>
      </c>
      <c r="CI17" s="46">
        <v>1</v>
      </c>
      <c r="CP17" s="46">
        <v>1</v>
      </c>
      <c r="CU17" s="46" t="s">
        <v>2956</v>
      </c>
    </row>
    <row r="18" spans="1:99" hidden="1">
      <c r="A18" s="46" t="s">
        <v>1917</v>
      </c>
      <c r="B18" s="46" t="s">
        <v>2989</v>
      </c>
      <c r="C18" s="46">
        <v>47</v>
      </c>
      <c r="D18" s="46" t="s">
        <v>2990</v>
      </c>
      <c r="E18" s="46" t="s">
        <v>2991</v>
      </c>
      <c r="F18" s="46" t="s">
        <v>112</v>
      </c>
      <c r="H18" s="46">
        <v>1</v>
      </c>
      <c r="M18" s="46">
        <v>1</v>
      </c>
      <c r="R18" s="46">
        <v>1</v>
      </c>
      <c r="T18" s="46">
        <v>1</v>
      </c>
      <c r="W18" s="46">
        <v>16</v>
      </c>
      <c r="X18" s="46">
        <v>18</v>
      </c>
      <c r="Y18" s="46">
        <v>21</v>
      </c>
      <c r="Z18" s="46">
        <v>11</v>
      </c>
      <c r="AA18" s="46">
        <v>9</v>
      </c>
      <c r="AB18" s="46">
        <v>8</v>
      </c>
      <c r="AE18" s="46">
        <v>1</v>
      </c>
      <c r="AI18" s="46">
        <v>1</v>
      </c>
      <c r="AK18" s="46">
        <v>1</v>
      </c>
      <c r="AT18" s="46">
        <v>1</v>
      </c>
      <c r="AX18" s="46">
        <v>1</v>
      </c>
      <c r="BB18" s="46">
        <v>1</v>
      </c>
      <c r="BF18" s="46">
        <v>1</v>
      </c>
      <c r="BI18" s="46">
        <v>1</v>
      </c>
      <c r="BZ18" s="46">
        <v>1</v>
      </c>
      <c r="CC18" s="46">
        <v>1</v>
      </c>
      <c r="CI18" s="46">
        <v>1</v>
      </c>
      <c r="CP18" s="46">
        <v>1</v>
      </c>
      <c r="CU18" s="46" t="s">
        <v>2956</v>
      </c>
    </row>
    <row r="19" spans="1:99" hidden="1">
      <c r="A19" s="46" t="s">
        <v>1921</v>
      </c>
      <c r="B19" s="46" t="s">
        <v>2992</v>
      </c>
      <c r="C19" s="46">
        <v>37</v>
      </c>
      <c r="D19" s="46" t="s">
        <v>1373</v>
      </c>
      <c r="E19" s="46" t="s">
        <v>2993</v>
      </c>
      <c r="F19" s="46" t="s">
        <v>112</v>
      </c>
      <c r="H19" s="46">
        <v>1</v>
      </c>
      <c r="P19" s="46">
        <v>1</v>
      </c>
      <c r="T19" s="46">
        <v>1</v>
      </c>
      <c r="W19" s="46">
        <v>18</v>
      </c>
      <c r="X19" s="46">
        <v>19</v>
      </c>
      <c r="Y19" s="46">
        <v>19</v>
      </c>
      <c r="Z19" s="46">
        <v>4</v>
      </c>
      <c r="AA19" s="46">
        <v>4</v>
      </c>
      <c r="AB19" s="46">
        <v>4</v>
      </c>
      <c r="AH19" s="46">
        <v>1</v>
      </c>
      <c r="AJ19" s="46">
        <v>1</v>
      </c>
      <c r="AK19" s="46">
        <v>1</v>
      </c>
      <c r="AT19" s="46">
        <v>1</v>
      </c>
      <c r="AX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P19" s="46">
        <v>1</v>
      </c>
      <c r="CU19" s="46" t="s">
        <v>2956</v>
      </c>
    </row>
    <row r="20" spans="1:99" hidden="1">
      <c r="A20" s="46" t="s">
        <v>1924</v>
      </c>
      <c r="B20" s="46" t="s">
        <v>2994</v>
      </c>
      <c r="C20" s="46">
        <v>42</v>
      </c>
      <c r="D20" s="46" t="s">
        <v>2990</v>
      </c>
      <c r="E20" s="46" t="s">
        <v>191</v>
      </c>
      <c r="F20" s="46" t="s">
        <v>1045</v>
      </c>
      <c r="G20" s="46">
        <v>1</v>
      </c>
      <c r="M20" s="46">
        <v>1</v>
      </c>
      <c r="R20" s="46">
        <v>1</v>
      </c>
      <c r="S20" s="46">
        <v>1</v>
      </c>
      <c r="W20" s="46">
        <v>13</v>
      </c>
      <c r="X20" s="46">
        <v>16</v>
      </c>
      <c r="Y20" s="46">
        <v>18</v>
      </c>
      <c r="Z20" s="46">
        <v>7</v>
      </c>
      <c r="AA20" s="46">
        <v>7</v>
      </c>
      <c r="AB20" s="46">
        <v>7</v>
      </c>
      <c r="AE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Z20" s="46">
        <v>1</v>
      </c>
      <c r="CC20" s="46">
        <v>1</v>
      </c>
      <c r="CI20" s="46">
        <v>1</v>
      </c>
      <c r="CP20" s="46">
        <v>1</v>
      </c>
      <c r="CU20" s="46" t="s">
        <v>2956</v>
      </c>
    </row>
    <row r="21" spans="1:99">
      <c r="A21" s="46" t="s">
        <v>1927</v>
      </c>
      <c r="B21" s="46" t="s">
        <v>2995</v>
      </c>
      <c r="C21" s="46">
        <v>30</v>
      </c>
      <c r="D21" s="46" t="s">
        <v>2996</v>
      </c>
      <c r="E21" s="46" t="s">
        <v>2997</v>
      </c>
      <c r="F21" s="46" t="s">
        <v>514</v>
      </c>
      <c r="H21" s="46">
        <v>1</v>
      </c>
      <c r="M21" s="46">
        <v>1</v>
      </c>
      <c r="R21" s="46">
        <v>1</v>
      </c>
      <c r="U21" s="46">
        <v>1</v>
      </c>
      <c r="W21" s="46">
        <v>15</v>
      </c>
      <c r="X21" s="46">
        <v>18</v>
      </c>
      <c r="Y21" s="46">
        <v>19</v>
      </c>
      <c r="Z21" s="46">
        <v>4</v>
      </c>
      <c r="AA21" s="46">
        <v>3</v>
      </c>
      <c r="AB21" s="46">
        <v>3</v>
      </c>
      <c r="AE21" s="46">
        <v>1</v>
      </c>
      <c r="AF21" s="46">
        <v>1</v>
      </c>
      <c r="AG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P21" s="46">
        <v>1</v>
      </c>
      <c r="CU21" s="46" t="s">
        <v>2956</v>
      </c>
    </row>
    <row r="22" spans="1:99">
      <c r="A22" s="46" t="s">
        <v>1930</v>
      </c>
      <c r="B22" s="46" t="s">
        <v>2998</v>
      </c>
      <c r="C22" s="46">
        <v>30</v>
      </c>
      <c r="D22" s="46" t="s">
        <v>2999</v>
      </c>
      <c r="E22" s="46" t="s">
        <v>3000</v>
      </c>
      <c r="F22" s="46" t="s">
        <v>112</v>
      </c>
      <c r="H22" s="46">
        <v>1</v>
      </c>
      <c r="L22" s="46">
        <v>1</v>
      </c>
      <c r="U22" s="46">
        <v>1</v>
      </c>
      <c r="W22" s="46">
        <v>13</v>
      </c>
      <c r="X22" s="46">
        <v>18</v>
      </c>
      <c r="Y22" s="46">
        <v>20</v>
      </c>
      <c r="Z22" s="46">
        <v>4</v>
      </c>
      <c r="AA22" s="46">
        <v>3</v>
      </c>
      <c r="AB22" s="46">
        <v>3</v>
      </c>
      <c r="AC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P22" s="46">
        <v>1</v>
      </c>
      <c r="CU22" s="46" t="s">
        <v>2956</v>
      </c>
    </row>
    <row r="23" spans="1:99">
      <c r="A23" s="46" t="s">
        <v>1934</v>
      </c>
      <c r="B23" s="46" t="s">
        <v>3001</v>
      </c>
      <c r="C23" s="46">
        <v>21</v>
      </c>
      <c r="D23" s="46" t="s">
        <v>2987</v>
      </c>
      <c r="E23" s="46" t="s">
        <v>3002</v>
      </c>
      <c r="F23" s="46" t="s">
        <v>122</v>
      </c>
      <c r="H23" s="46">
        <v>1</v>
      </c>
      <c r="M23" s="46">
        <v>1</v>
      </c>
      <c r="Q23" s="46">
        <v>1</v>
      </c>
      <c r="T23" s="46">
        <v>1</v>
      </c>
      <c r="W23" s="46">
        <v>13</v>
      </c>
      <c r="X23" s="46">
        <v>18</v>
      </c>
      <c r="Y23" s="46">
        <v>19</v>
      </c>
      <c r="Z23" s="46">
        <v>1</v>
      </c>
      <c r="AA23" s="46">
        <v>1</v>
      </c>
      <c r="AB23" s="46">
        <v>1</v>
      </c>
      <c r="AE23" s="46">
        <v>1</v>
      </c>
      <c r="AG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U23" s="46" t="s">
        <v>2956</v>
      </c>
    </row>
    <row r="24" spans="1:99">
      <c r="A24" s="46" t="s">
        <v>1938</v>
      </c>
      <c r="B24" s="46" t="s">
        <v>3003</v>
      </c>
      <c r="C24" s="46">
        <v>24</v>
      </c>
      <c r="D24" s="46" t="s">
        <v>3004</v>
      </c>
      <c r="E24" s="46" t="s">
        <v>3005</v>
      </c>
      <c r="F24" s="46" t="s">
        <v>145</v>
      </c>
      <c r="J24" s="46">
        <v>1</v>
      </c>
      <c r="N24" s="46">
        <v>1</v>
      </c>
      <c r="R24" s="46">
        <v>1</v>
      </c>
      <c r="T24" s="46">
        <v>1</v>
      </c>
      <c r="W24" s="46">
        <v>13</v>
      </c>
      <c r="X24" s="46">
        <v>17</v>
      </c>
      <c r="Z24" s="46">
        <v>1</v>
      </c>
      <c r="AE24" s="46">
        <v>1</v>
      </c>
      <c r="AG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P24" s="46">
        <v>1</v>
      </c>
      <c r="CU24" s="46" t="s">
        <v>2956</v>
      </c>
    </row>
    <row r="25" spans="1:99" hidden="1">
      <c r="A25" s="46" t="s">
        <v>1941</v>
      </c>
      <c r="B25" s="46" t="s">
        <v>3006</v>
      </c>
      <c r="C25" s="46">
        <v>31</v>
      </c>
      <c r="D25" s="46" t="s">
        <v>2990</v>
      </c>
      <c r="E25" s="46" t="s">
        <v>3007</v>
      </c>
      <c r="F25" s="46" t="s">
        <v>112</v>
      </c>
      <c r="G25" s="46">
        <v>1</v>
      </c>
      <c r="M25" s="46">
        <v>1</v>
      </c>
      <c r="R25" s="46">
        <v>1</v>
      </c>
      <c r="T25" s="46">
        <v>1</v>
      </c>
      <c r="W25" s="46">
        <v>15</v>
      </c>
      <c r="X25" s="46">
        <v>17</v>
      </c>
      <c r="Y25" s="46">
        <v>21</v>
      </c>
      <c r="Z25" s="46">
        <v>5</v>
      </c>
      <c r="AA25" s="46">
        <v>3</v>
      </c>
      <c r="AB25" s="46">
        <v>3</v>
      </c>
      <c r="AD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P25" s="46">
        <v>1</v>
      </c>
      <c r="CU25" s="46" t="s">
        <v>2956</v>
      </c>
    </row>
    <row r="26" spans="1:99">
      <c r="A26" s="46" t="s">
        <v>1944</v>
      </c>
      <c r="B26" s="46" t="s">
        <v>3008</v>
      </c>
      <c r="C26" s="46">
        <v>20</v>
      </c>
      <c r="D26" s="46" t="s">
        <v>3009</v>
      </c>
      <c r="E26" s="46" t="s">
        <v>3010</v>
      </c>
      <c r="F26" s="46" t="s">
        <v>330</v>
      </c>
      <c r="I26" s="46">
        <v>1</v>
      </c>
      <c r="M26" s="46">
        <v>1</v>
      </c>
      <c r="Q26" s="46">
        <v>1</v>
      </c>
      <c r="W26" s="46">
        <v>10</v>
      </c>
      <c r="X26" s="46">
        <v>10</v>
      </c>
      <c r="Y26" s="46">
        <v>14</v>
      </c>
      <c r="Z26" s="46">
        <v>4</v>
      </c>
      <c r="AA26" s="46">
        <v>3</v>
      </c>
      <c r="AB26" s="46">
        <v>3</v>
      </c>
      <c r="AF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P26" s="46">
        <v>1</v>
      </c>
      <c r="CU26" s="46" t="s">
        <v>2956</v>
      </c>
    </row>
    <row r="27" spans="1:99" hidden="1">
      <c r="A27" s="46" t="s">
        <v>3011</v>
      </c>
      <c r="B27" s="46" t="s">
        <v>3012</v>
      </c>
      <c r="C27" s="46">
        <v>40</v>
      </c>
      <c r="D27" s="46" t="s">
        <v>3013</v>
      </c>
      <c r="E27" s="46" t="s">
        <v>3014</v>
      </c>
      <c r="F27" s="46" t="s">
        <v>112</v>
      </c>
      <c r="H27" s="46">
        <v>1</v>
      </c>
      <c r="M27" s="46">
        <v>1</v>
      </c>
      <c r="R27" s="46">
        <v>1</v>
      </c>
      <c r="U27" s="46">
        <v>1</v>
      </c>
      <c r="W27" s="46">
        <v>18</v>
      </c>
      <c r="X27" s="46">
        <v>24</v>
      </c>
      <c r="Y27" s="46">
        <v>15</v>
      </c>
      <c r="Z27" s="46">
        <v>8</v>
      </c>
      <c r="AA27" s="46">
        <v>8</v>
      </c>
      <c r="AB27" s="46">
        <v>6</v>
      </c>
      <c r="AE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U27" s="46" t="s">
        <v>2956</v>
      </c>
    </row>
    <row r="28" spans="1:99" hidden="1">
      <c r="A28" s="46" t="s">
        <v>1950</v>
      </c>
      <c r="B28" s="46" t="s">
        <v>1856</v>
      </c>
      <c r="C28" s="46">
        <v>47</v>
      </c>
      <c r="D28" s="46" t="s">
        <v>1369</v>
      </c>
      <c r="E28" s="46" t="s">
        <v>3015</v>
      </c>
      <c r="F28" s="46" t="s">
        <v>112</v>
      </c>
      <c r="H28" s="46">
        <v>1</v>
      </c>
      <c r="P28" s="46">
        <v>1</v>
      </c>
      <c r="T28" s="46">
        <v>1</v>
      </c>
      <c r="W28" s="46">
        <v>15</v>
      </c>
      <c r="X28" s="46">
        <v>16</v>
      </c>
      <c r="Y28" s="46">
        <v>17</v>
      </c>
      <c r="Z28" s="46">
        <v>9</v>
      </c>
      <c r="AA28" s="46">
        <v>9</v>
      </c>
      <c r="AB28" s="46">
        <v>6</v>
      </c>
      <c r="AE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P28" s="46">
        <v>1</v>
      </c>
      <c r="CU28" s="46" t="s">
        <v>2956</v>
      </c>
    </row>
    <row r="29" spans="1:99" hidden="1">
      <c r="A29" s="46" t="s">
        <v>1953</v>
      </c>
      <c r="B29" s="46" t="s">
        <v>3016</v>
      </c>
      <c r="C29" s="46">
        <v>48</v>
      </c>
      <c r="D29" s="46" t="s">
        <v>2625</v>
      </c>
      <c r="E29" s="46" t="s">
        <v>3017</v>
      </c>
      <c r="F29" s="46" t="s">
        <v>112</v>
      </c>
      <c r="H29" s="46">
        <v>1</v>
      </c>
      <c r="L29" s="46">
        <v>1</v>
      </c>
      <c r="T29" s="46">
        <v>1</v>
      </c>
      <c r="W29" s="46">
        <v>14</v>
      </c>
      <c r="X29" s="46">
        <v>16</v>
      </c>
      <c r="Y29" s="46">
        <v>20</v>
      </c>
      <c r="Z29" s="46">
        <v>6</v>
      </c>
      <c r="AA29" s="46">
        <v>4</v>
      </c>
      <c r="AB29" s="46">
        <v>4</v>
      </c>
      <c r="AE29" s="46">
        <v>1</v>
      </c>
      <c r="AG29" s="46">
        <v>1</v>
      </c>
      <c r="AH29" s="46">
        <v>1</v>
      </c>
      <c r="AI29" s="46">
        <v>1</v>
      </c>
      <c r="AK29" s="46">
        <v>1</v>
      </c>
      <c r="AT29" s="46">
        <v>1</v>
      </c>
      <c r="AX29" s="46">
        <v>1</v>
      </c>
      <c r="BB29" s="46">
        <v>1</v>
      </c>
      <c r="BG29" s="46">
        <v>1</v>
      </c>
      <c r="BI29" s="46">
        <v>1</v>
      </c>
      <c r="BZ29" s="46">
        <v>1</v>
      </c>
      <c r="CC29" s="46">
        <v>1</v>
      </c>
      <c r="CI29" s="46">
        <v>1</v>
      </c>
      <c r="CP29" s="46">
        <v>1</v>
      </c>
      <c r="CU29" s="46" t="s">
        <v>2956</v>
      </c>
    </row>
    <row r="30" spans="1:99">
      <c r="A30" s="46" t="s">
        <v>1957</v>
      </c>
      <c r="B30" s="46" t="s">
        <v>3018</v>
      </c>
      <c r="C30" s="46">
        <v>24</v>
      </c>
      <c r="D30" s="46" t="s">
        <v>2014</v>
      </c>
      <c r="E30" s="46" t="s">
        <v>191</v>
      </c>
      <c r="F30" s="46" t="s">
        <v>112</v>
      </c>
      <c r="G30" s="46">
        <v>1</v>
      </c>
      <c r="M30" s="46">
        <v>1</v>
      </c>
      <c r="R30" s="46">
        <v>1</v>
      </c>
      <c r="T30" s="46">
        <v>1</v>
      </c>
      <c r="W30" s="46">
        <v>13</v>
      </c>
      <c r="X30" s="46">
        <v>14</v>
      </c>
      <c r="Y30" s="46">
        <v>17</v>
      </c>
      <c r="Z30" s="46">
        <v>9</v>
      </c>
      <c r="AA30" s="46">
        <v>4</v>
      </c>
      <c r="AB30" s="46">
        <v>4</v>
      </c>
      <c r="AC30" s="46">
        <v>1</v>
      </c>
      <c r="AI30" s="46">
        <v>1</v>
      </c>
      <c r="AM30" s="46">
        <v>1</v>
      </c>
      <c r="AT30" s="46">
        <v>1</v>
      </c>
      <c r="AW30" s="46">
        <v>1</v>
      </c>
      <c r="BB30" s="46">
        <v>1</v>
      </c>
      <c r="BF30" s="46">
        <v>1</v>
      </c>
      <c r="BI30" s="46">
        <v>1</v>
      </c>
      <c r="BZ30" s="46">
        <v>1</v>
      </c>
      <c r="CC30" s="46">
        <v>1</v>
      </c>
      <c r="CI30" s="46">
        <v>1</v>
      </c>
      <c r="CP30" s="46">
        <v>1</v>
      </c>
      <c r="CU30" s="46" t="s">
        <v>2956</v>
      </c>
    </row>
    <row r="31" spans="1:99" hidden="1">
      <c r="A31" s="46" t="s">
        <v>1961</v>
      </c>
      <c r="B31" s="46" t="s">
        <v>3019</v>
      </c>
      <c r="C31" s="46">
        <v>49</v>
      </c>
      <c r="D31" s="46" t="s">
        <v>1373</v>
      </c>
      <c r="E31" s="46" t="s">
        <v>191</v>
      </c>
      <c r="F31" s="46" t="s">
        <v>112</v>
      </c>
      <c r="I31" s="46">
        <v>1</v>
      </c>
      <c r="P31" s="46">
        <v>1</v>
      </c>
      <c r="R31" s="46">
        <v>1</v>
      </c>
      <c r="T31" s="46">
        <v>1</v>
      </c>
      <c r="W31" s="46">
        <v>14</v>
      </c>
      <c r="X31" s="46">
        <v>17</v>
      </c>
      <c r="Y31" s="46">
        <v>17</v>
      </c>
      <c r="Z31" s="46">
        <v>9</v>
      </c>
      <c r="AA31" s="46">
        <v>10</v>
      </c>
      <c r="AB31" s="46">
        <v>10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B31" s="46">
        <v>1</v>
      </c>
      <c r="BF31" s="46">
        <v>1</v>
      </c>
      <c r="BI31" s="46">
        <v>1</v>
      </c>
      <c r="BW31" s="46">
        <v>1</v>
      </c>
      <c r="BZ31" s="46">
        <v>1</v>
      </c>
      <c r="CC31" s="46">
        <v>1</v>
      </c>
      <c r="CI31" s="46">
        <v>1</v>
      </c>
      <c r="CP31" s="46">
        <v>1</v>
      </c>
      <c r="CU31" s="46" t="s">
        <v>2956</v>
      </c>
    </row>
    <row r="32" spans="1:99">
      <c r="A32" s="46" t="s">
        <v>3020</v>
      </c>
      <c r="B32" s="46" t="s">
        <v>3021</v>
      </c>
      <c r="C32" s="46">
        <v>20</v>
      </c>
      <c r="D32" s="46" t="s">
        <v>2625</v>
      </c>
      <c r="E32" s="46" t="s">
        <v>3022</v>
      </c>
      <c r="F32" s="46" t="s">
        <v>112</v>
      </c>
      <c r="I32" s="46">
        <v>1</v>
      </c>
      <c r="N32" s="46">
        <v>1</v>
      </c>
      <c r="R32" s="46">
        <v>1</v>
      </c>
      <c r="T32" s="46">
        <v>1</v>
      </c>
      <c r="W32" s="46">
        <v>12</v>
      </c>
      <c r="X32" s="46">
        <v>16</v>
      </c>
      <c r="Y32" s="46">
        <v>19</v>
      </c>
      <c r="Z32" s="46">
        <v>1</v>
      </c>
      <c r="AA32" s="46">
        <v>1</v>
      </c>
      <c r="AB32" s="46">
        <v>1</v>
      </c>
      <c r="AC32" s="46">
        <v>1</v>
      </c>
      <c r="AJ32" s="46">
        <v>1</v>
      </c>
      <c r="AL32" s="46">
        <v>1</v>
      </c>
      <c r="AO32" s="46">
        <v>1</v>
      </c>
      <c r="AQ32" s="46" t="s">
        <v>3023</v>
      </c>
      <c r="AR32" s="46" t="s">
        <v>3024</v>
      </c>
      <c r="AT32" s="46">
        <v>1</v>
      </c>
      <c r="AX32" s="46">
        <v>1</v>
      </c>
      <c r="BE32" s="46">
        <v>1</v>
      </c>
      <c r="BG32" s="46">
        <v>1</v>
      </c>
      <c r="BI32" s="46">
        <v>1</v>
      </c>
      <c r="BV32" s="46">
        <v>1</v>
      </c>
      <c r="BW32" s="46">
        <v>1</v>
      </c>
      <c r="BZ32" s="46">
        <v>1</v>
      </c>
      <c r="CC32" s="46">
        <v>1</v>
      </c>
      <c r="CI32" s="46">
        <v>1</v>
      </c>
      <c r="CP32" s="46">
        <v>1</v>
      </c>
      <c r="CU32" s="46" t="s">
        <v>2956</v>
      </c>
    </row>
    <row r="33" spans="1:99" hidden="1">
      <c r="A33" s="46" t="s">
        <v>1967</v>
      </c>
      <c r="B33" s="46" t="s">
        <v>3025</v>
      </c>
      <c r="C33" s="46">
        <v>42</v>
      </c>
      <c r="D33" s="46" t="s">
        <v>3026</v>
      </c>
      <c r="E33" s="46" t="s">
        <v>3027</v>
      </c>
      <c r="F33" s="46" t="s">
        <v>2523</v>
      </c>
      <c r="G33" s="46">
        <v>1</v>
      </c>
      <c r="M33" s="46">
        <v>1</v>
      </c>
      <c r="Q33" s="46">
        <v>1</v>
      </c>
      <c r="T33" s="46">
        <v>1</v>
      </c>
      <c r="W33" s="46">
        <v>14</v>
      </c>
      <c r="X33" s="46">
        <v>15</v>
      </c>
      <c r="Y33" s="46">
        <v>15</v>
      </c>
      <c r="Z33" s="46">
        <v>7</v>
      </c>
      <c r="AA33" s="46">
        <v>7</v>
      </c>
      <c r="AB33" s="46">
        <v>7</v>
      </c>
      <c r="AE33" s="46">
        <v>1</v>
      </c>
      <c r="AH33" s="46">
        <v>1</v>
      </c>
      <c r="AI33" s="46">
        <v>1</v>
      </c>
      <c r="AK33" s="46">
        <v>1</v>
      </c>
      <c r="AT33" s="46">
        <v>1</v>
      </c>
      <c r="AW33" s="46">
        <v>1</v>
      </c>
      <c r="BB33" s="46">
        <v>1</v>
      </c>
      <c r="BF33" s="46">
        <v>1</v>
      </c>
      <c r="BI33" s="46">
        <v>1</v>
      </c>
      <c r="BZ33" s="46">
        <v>1</v>
      </c>
      <c r="CC33" s="46">
        <v>1</v>
      </c>
      <c r="CI33" s="46">
        <v>1</v>
      </c>
      <c r="CP33" s="46">
        <v>1</v>
      </c>
      <c r="CU33" s="46" t="s">
        <v>2956</v>
      </c>
    </row>
    <row r="34" spans="1:99">
      <c r="A34" s="46" t="s">
        <v>1970</v>
      </c>
      <c r="B34" s="46" t="s">
        <v>3028</v>
      </c>
      <c r="C34" s="46">
        <v>29</v>
      </c>
      <c r="D34" s="46" t="s">
        <v>1373</v>
      </c>
      <c r="E34" s="46" t="s">
        <v>3029</v>
      </c>
      <c r="F34" s="46" t="s">
        <v>112</v>
      </c>
      <c r="I34" s="46">
        <v>1</v>
      </c>
      <c r="M34" s="46">
        <v>1</v>
      </c>
      <c r="R34" s="46">
        <v>1</v>
      </c>
      <c r="T34" s="46">
        <v>1</v>
      </c>
      <c r="W34" s="46">
        <v>13</v>
      </c>
      <c r="X34" s="46">
        <v>13</v>
      </c>
      <c r="Y34" s="46">
        <v>13</v>
      </c>
      <c r="Z34" s="46">
        <v>3</v>
      </c>
      <c r="AA34" s="46">
        <v>3</v>
      </c>
      <c r="AB34" s="46">
        <v>3</v>
      </c>
      <c r="AD34" s="46">
        <v>1</v>
      </c>
      <c r="AE34" s="46">
        <v>1</v>
      </c>
      <c r="AG34" s="46">
        <v>1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C34" s="46">
        <v>1</v>
      </c>
      <c r="CI34" s="46">
        <v>1</v>
      </c>
      <c r="CP34" s="46">
        <v>1</v>
      </c>
      <c r="CU34" s="46" t="s">
        <v>2956</v>
      </c>
    </row>
    <row r="35" spans="1:99" hidden="1">
      <c r="A35" s="46" t="s">
        <v>1971</v>
      </c>
      <c r="B35" s="46" t="s">
        <v>3030</v>
      </c>
      <c r="C35" s="46">
        <v>49</v>
      </c>
      <c r="D35" s="46" t="s">
        <v>1416</v>
      </c>
      <c r="E35" s="46" t="s">
        <v>3031</v>
      </c>
      <c r="F35" s="46" t="s">
        <v>112</v>
      </c>
      <c r="H35" s="46">
        <v>1</v>
      </c>
      <c r="O35" s="46">
        <v>1</v>
      </c>
      <c r="Q35" s="46">
        <v>1</v>
      </c>
      <c r="T35" s="46">
        <v>1</v>
      </c>
      <c r="W35" s="46">
        <v>18</v>
      </c>
      <c r="X35" s="46">
        <v>19</v>
      </c>
      <c r="Y35" s="46">
        <v>23</v>
      </c>
      <c r="Z35" s="46">
        <v>8</v>
      </c>
      <c r="AA35" s="46">
        <v>7</v>
      </c>
      <c r="AB35" s="46">
        <v>7</v>
      </c>
      <c r="AH35" s="46">
        <v>1</v>
      </c>
      <c r="AI35" s="46">
        <v>1</v>
      </c>
      <c r="AM35" s="46">
        <v>1</v>
      </c>
      <c r="AT35" s="46">
        <v>1</v>
      </c>
      <c r="AY35" s="46">
        <v>1</v>
      </c>
      <c r="BB35" s="46">
        <v>1</v>
      </c>
      <c r="BF35" s="46">
        <v>1</v>
      </c>
      <c r="BI35" s="46">
        <v>1</v>
      </c>
      <c r="BZ35" s="46">
        <v>1</v>
      </c>
      <c r="CC35" s="46">
        <v>1</v>
      </c>
      <c r="CI35" s="46">
        <v>1</v>
      </c>
      <c r="CP35" s="46">
        <v>1</v>
      </c>
      <c r="CU35" s="46" t="s">
        <v>2956</v>
      </c>
    </row>
    <row r="36" spans="1:99" hidden="1">
      <c r="A36" s="46" t="s">
        <v>1974</v>
      </c>
      <c r="B36" s="46" t="s">
        <v>3032</v>
      </c>
      <c r="C36" s="46">
        <v>36</v>
      </c>
      <c r="D36" s="46" t="s">
        <v>3033</v>
      </c>
      <c r="E36" s="46" t="s">
        <v>3034</v>
      </c>
      <c r="F36" s="46" t="s">
        <v>112</v>
      </c>
      <c r="I36" s="46">
        <v>1</v>
      </c>
      <c r="M36" s="46">
        <v>1</v>
      </c>
      <c r="Q36" s="46">
        <v>1</v>
      </c>
      <c r="U36" s="46">
        <v>1</v>
      </c>
      <c r="W36" s="46">
        <v>13</v>
      </c>
      <c r="X36" s="46">
        <v>19</v>
      </c>
      <c r="Y36" s="46">
        <v>19</v>
      </c>
      <c r="Z36" s="46">
        <v>4</v>
      </c>
      <c r="AA36" s="46">
        <v>4</v>
      </c>
      <c r="AB36" s="46">
        <v>4</v>
      </c>
      <c r="AD36" s="46">
        <v>1</v>
      </c>
      <c r="AE36" s="46">
        <v>1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Z36" s="46">
        <v>1</v>
      </c>
      <c r="CC36" s="46">
        <v>1</v>
      </c>
      <c r="CI36" s="46">
        <v>1</v>
      </c>
      <c r="CP36" s="46">
        <v>1</v>
      </c>
      <c r="CU36" s="46" t="s">
        <v>2956</v>
      </c>
    </row>
    <row r="37" spans="1:99">
      <c r="A37" s="46" t="s">
        <v>1977</v>
      </c>
      <c r="B37" s="46" t="s">
        <v>3035</v>
      </c>
      <c r="C37" s="46">
        <v>24</v>
      </c>
      <c r="D37" s="46" t="s">
        <v>1388</v>
      </c>
      <c r="E37" s="46" t="s">
        <v>3036</v>
      </c>
      <c r="F37" s="46" t="s">
        <v>112</v>
      </c>
      <c r="G37" s="46">
        <v>1</v>
      </c>
      <c r="L37" s="46">
        <v>1</v>
      </c>
      <c r="Q37" s="46">
        <v>1</v>
      </c>
      <c r="U37" s="46">
        <v>1</v>
      </c>
      <c r="W37" s="46">
        <v>16</v>
      </c>
      <c r="X37" s="46">
        <v>18</v>
      </c>
      <c r="Y37" s="46">
        <v>21</v>
      </c>
      <c r="Z37" s="46">
        <v>1</v>
      </c>
      <c r="AA37" s="46">
        <v>0</v>
      </c>
      <c r="AB37" s="46">
        <v>0</v>
      </c>
      <c r="AE37" s="46">
        <v>1</v>
      </c>
      <c r="AG37" s="46">
        <v>1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Z37" s="46">
        <v>1</v>
      </c>
      <c r="CC37" s="46">
        <v>1</v>
      </c>
      <c r="CI37" s="46">
        <v>1</v>
      </c>
      <c r="CP37" s="46">
        <v>1</v>
      </c>
      <c r="CU37" s="46" t="s">
        <v>2956</v>
      </c>
    </row>
    <row r="38" spans="1:99">
      <c r="A38" s="46" t="s">
        <v>1980</v>
      </c>
      <c r="B38" s="46" t="s">
        <v>3037</v>
      </c>
      <c r="C38" s="46">
        <v>21</v>
      </c>
      <c r="D38" s="46" t="s">
        <v>2625</v>
      </c>
      <c r="E38" s="46" t="s">
        <v>3038</v>
      </c>
      <c r="F38" s="46" t="s">
        <v>514</v>
      </c>
      <c r="I38" s="46">
        <v>1</v>
      </c>
      <c r="M38" s="46">
        <v>1</v>
      </c>
      <c r="Q38" s="46">
        <v>1</v>
      </c>
      <c r="T38" s="46">
        <v>1</v>
      </c>
      <c r="W38" s="46">
        <v>17</v>
      </c>
      <c r="X38" s="46">
        <v>18</v>
      </c>
      <c r="Y38" s="46">
        <v>18</v>
      </c>
      <c r="Z38" s="46">
        <v>1</v>
      </c>
      <c r="AA38" s="46">
        <v>1</v>
      </c>
      <c r="AB38" s="46">
        <v>1</v>
      </c>
      <c r="AE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Z38" s="46">
        <v>1</v>
      </c>
      <c r="CC38" s="46">
        <v>1</v>
      </c>
      <c r="CI38" s="46">
        <v>1</v>
      </c>
      <c r="CP38" s="46">
        <v>1</v>
      </c>
      <c r="CU38" s="46" t="s">
        <v>2956</v>
      </c>
    </row>
    <row r="39" spans="1:99">
      <c r="A39" s="46" t="s">
        <v>1983</v>
      </c>
      <c r="B39" s="46" t="s">
        <v>3039</v>
      </c>
      <c r="C39" s="46">
        <v>26</v>
      </c>
      <c r="D39" s="46" t="s">
        <v>3040</v>
      </c>
      <c r="E39" s="46" t="s">
        <v>3041</v>
      </c>
      <c r="F39" s="46" t="s">
        <v>112</v>
      </c>
      <c r="J39" s="46">
        <v>1</v>
      </c>
      <c r="O39" s="46">
        <v>1</v>
      </c>
      <c r="R39" s="46">
        <v>1</v>
      </c>
      <c r="U39" s="46">
        <v>1</v>
      </c>
      <c r="W39" s="46">
        <v>12</v>
      </c>
      <c r="X39" s="46">
        <v>13</v>
      </c>
      <c r="Y39" s="46">
        <v>23</v>
      </c>
      <c r="Z39" s="46">
        <v>2</v>
      </c>
      <c r="AA39" s="46">
        <v>2</v>
      </c>
      <c r="AB39" s="46">
        <v>2</v>
      </c>
      <c r="AD39" s="46">
        <v>1</v>
      </c>
      <c r="AE39" s="46">
        <v>1</v>
      </c>
      <c r="AG39" s="46">
        <v>1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Z39" s="46">
        <v>1</v>
      </c>
      <c r="CC39" s="46">
        <v>1</v>
      </c>
      <c r="CI39" s="46">
        <v>1</v>
      </c>
      <c r="CP39" s="46">
        <v>1</v>
      </c>
      <c r="CU39" s="46" t="s">
        <v>2956</v>
      </c>
    </row>
    <row r="40" spans="1:99" hidden="1">
      <c r="A40" s="46" t="s">
        <v>1986</v>
      </c>
      <c r="B40" s="46" t="s">
        <v>3042</v>
      </c>
      <c r="C40" s="46">
        <v>38</v>
      </c>
      <c r="D40" s="46" t="s">
        <v>1373</v>
      </c>
      <c r="E40" s="46" t="s">
        <v>3043</v>
      </c>
      <c r="F40" s="46" t="s">
        <v>2973</v>
      </c>
      <c r="I40" s="46">
        <v>1</v>
      </c>
      <c r="M40" s="46">
        <v>1</v>
      </c>
      <c r="Q40" s="46">
        <v>1</v>
      </c>
      <c r="U40" s="46">
        <v>1</v>
      </c>
      <c r="W40" s="46">
        <v>14</v>
      </c>
      <c r="X40" s="46">
        <v>17</v>
      </c>
      <c r="Y40" s="46">
        <v>19</v>
      </c>
      <c r="Z40" s="46">
        <v>3</v>
      </c>
      <c r="AA40" s="46">
        <v>3</v>
      </c>
      <c r="AB40" s="46">
        <v>3</v>
      </c>
      <c r="AH40" s="46">
        <v>1</v>
      </c>
      <c r="AJ40" s="46">
        <v>1</v>
      </c>
      <c r="AK40" s="46">
        <v>1</v>
      </c>
      <c r="AT40" s="46">
        <v>1</v>
      </c>
      <c r="AW40" s="46">
        <v>1</v>
      </c>
      <c r="BB40" s="46">
        <v>1</v>
      </c>
      <c r="BF40" s="46">
        <v>1</v>
      </c>
      <c r="BI40" s="46">
        <v>1</v>
      </c>
      <c r="BZ40" s="46">
        <v>1</v>
      </c>
      <c r="CC40" s="46">
        <v>1</v>
      </c>
      <c r="CI40" s="46">
        <v>1</v>
      </c>
      <c r="CP40" s="46">
        <v>1</v>
      </c>
      <c r="CU40" s="46" t="s">
        <v>2956</v>
      </c>
    </row>
    <row r="41" spans="1:99">
      <c r="A41" s="46" t="s">
        <v>1990</v>
      </c>
      <c r="B41" s="46" t="s">
        <v>3044</v>
      </c>
      <c r="C41" s="46">
        <v>23</v>
      </c>
      <c r="D41" s="46" t="s">
        <v>3045</v>
      </c>
      <c r="E41" s="46" t="s">
        <v>3046</v>
      </c>
      <c r="F41" s="46" t="s">
        <v>112</v>
      </c>
      <c r="J41" s="46">
        <v>1</v>
      </c>
      <c r="M41" s="46">
        <v>1</v>
      </c>
      <c r="Q41" s="46">
        <v>1</v>
      </c>
      <c r="T41" s="46">
        <v>1</v>
      </c>
      <c r="W41" s="46">
        <v>14</v>
      </c>
      <c r="X41" s="46">
        <v>18</v>
      </c>
      <c r="Y41" s="46">
        <v>18</v>
      </c>
      <c r="Z41" s="46">
        <v>2</v>
      </c>
      <c r="AA41" s="46">
        <v>2</v>
      </c>
      <c r="AB41" s="46">
        <v>1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I41" s="46">
        <v>1</v>
      </c>
      <c r="BZ41" s="46">
        <v>1</v>
      </c>
      <c r="CC41" s="46">
        <v>1</v>
      </c>
      <c r="CI41" s="46">
        <v>1</v>
      </c>
      <c r="CP41" s="46">
        <v>1</v>
      </c>
      <c r="CU41" s="46" t="s">
        <v>2956</v>
      </c>
    </row>
    <row r="42" spans="1:99" hidden="1">
      <c r="A42" s="46" t="s">
        <v>1993</v>
      </c>
      <c r="B42" s="46" t="s">
        <v>3047</v>
      </c>
      <c r="C42" s="46">
        <v>40</v>
      </c>
      <c r="D42" s="46" t="s">
        <v>2959</v>
      </c>
      <c r="E42" s="46" t="s">
        <v>3048</v>
      </c>
      <c r="F42" s="46" t="s">
        <v>2973</v>
      </c>
      <c r="G42" s="46">
        <v>1</v>
      </c>
      <c r="M42" s="46">
        <v>1</v>
      </c>
      <c r="R42" s="46">
        <v>1</v>
      </c>
      <c r="T42" s="46">
        <v>1</v>
      </c>
      <c r="W42" s="46">
        <v>14</v>
      </c>
      <c r="X42" s="46">
        <v>16</v>
      </c>
      <c r="Y42" s="46">
        <v>20</v>
      </c>
      <c r="Z42" s="46">
        <v>6</v>
      </c>
      <c r="AA42" s="46">
        <v>6</v>
      </c>
      <c r="AB42" s="46">
        <v>6</v>
      </c>
      <c r="AE42" s="46">
        <v>1</v>
      </c>
      <c r="AH42" s="46">
        <v>1</v>
      </c>
      <c r="AJ42" s="46">
        <v>1</v>
      </c>
      <c r="AK42" s="46">
        <v>1</v>
      </c>
      <c r="AT42" s="46">
        <v>1</v>
      </c>
      <c r="AX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P42" s="46">
        <v>1</v>
      </c>
      <c r="CU42" s="46" t="s">
        <v>2956</v>
      </c>
    </row>
    <row r="43" spans="1:99">
      <c r="A43" s="46" t="s">
        <v>1996</v>
      </c>
      <c r="B43" s="46" t="s">
        <v>3049</v>
      </c>
      <c r="C43" s="46">
        <v>23</v>
      </c>
      <c r="D43" s="46" t="s">
        <v>2625</v>
      </c>
      <c r="E43" s="46" t="s">
        <v>3050</v>
      </c>
      <c r="F43" s="46" t="s">
        <v>112</v>
      </c>
      <c r="J43" s="46">
        <v>1</v>
      </c>
      <c r="N43" s="46">
        <v>1</v>
      </c>
      <c r="Q43" s="46">
        <v>1</v>
      </c>
      <c r="U43" s="46">
        <v>1</v>
      </c>
      <c r="W43" s="46">
        <v>14</v>
      </c>
      <c r="X43" s="46">
        <v>19</v>
      </c>
      <c r="Y43" s="46">
        <v>0</v>
      </c>
      <c r="Z43" s="46">
        <v>0</v>
      </c>
      <c r="AA43" s="46">
        <v>0</v>
      </c>
      <c r="AB43" s="46">
        <v>0</v>
      </c>
      <c r="AE43" s="46">
        <v>1</v>
      </c>
      <c r="AG43" s="46">
        <v>1</v>
      </c>
      <c r="AH43" s="46">
        <v>1</v>
      </c>
      <c r="AI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Z43" s="46">
        <v>1</v>
      </c>
      <c r="CC43" s="46">
        <v>1</v>
      </c>
      <c r="CI43" s="46">
        <v>1</v>
      </c>
      <c r="CP43" s="46">
        <v>1</v>
      </c>
      <c r="CU43" s="46" t="s">
        <v>2956</v>
      </c>
    </row>
    <row r="44" spans="1:99">
      <c r="A44" s="46" t="s">
        <v>1999</v>
      </c>
      <c r="B44" s="46" t="s">
        <v>3051</v>
      </c>
      <c r="C44" s="46">
        <v>26</v>
      </c>
      <c r="D44" s="46" t="s">
        <v>1373</v>
      </c>
      <c r="E44" s="46" t="s">
        <v>3052</v>
      </c>
      <c r="F44" s="46" t="s">
        <v>112</v>
      </c>
      <c r="J44" s="46">
        <v>1</v>
      </c>
      <c r="L44" s="46">
        <v>1</v>
      </c>
      <c r="Q44" s="46">
        <v>1</v>
      </c>
      <c r="U44" s="46">
        <v>1</v>
      </c>
      <c r="W44" s="46">
        <v>14</v>
      </c>
      <c r="X44" s="46">
        <v>25</v>
      </c>
      <c r="Y44" s="46">
        <v>0</v>
      </c>
      <c r="Z44" s="46">
        <v>0</v>
      </c>
      <c r="AA44" s="46">
        <v>0</v>
      </c>
      <c r="AB44" s="46">
        <v>0</v>
      </c>
      <c r="AE44" s="46">
        <v>1</v>
      </c>
      <c r="AH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Z44" s="46">
        <v>1</v>
      </c>
      <c r="CC44" s="46">
        <v>1</v>
      </c>
      <c r="CI44" s="46">
        <v>1</v>
      </c>
      <c r="CP44" s="46">
        <v>1</v>
      </c>
      <c r="CU44" s="46" t="s">
        <v>2956</v>
      </c>
    </row>
    <row r="45" spans="1:99">
      <c r="A45" s="46" t="s">
        <v>3053</v>
      </c>
      <c r="B45" s="46" t="s">
        <v>3054</v>
      </c>
      <c r="C45" s="46">
        <v>20</v>
      </c>
      <c r="D45" s="46" t="s">
        <v>2947</v>
      </c>
      <c r="E45" s="46" t="s">
        <v>3055</v>
      </c>
      <c r="F45" s="46" t="s">
        <v>112</v>
      </c>
      <c r="H45" s="46">
        <v>1</v>
      </c>
      <c r="M45" s="46">
        <v>1</v>
      </c>
      <c r="Q45" s="46">
        <v>1</v>
      </c>
      <c r="U45" s="46">
        <v>1</v>
      </c>
      <c r="W45" s="46">
        <v>14</v>
      </c>
      <c r="X45" s="46">
        <v>14</v>
      </c>
      <c r="Y45" s="46">
        <v>19</v>
      </c>
      <c r="Z45" s="46">
        <v>2</v>
      </c>
      <c r="AA45" s="46">
        <v>0</v>
      </c>
      <c r="AB45" s="46">
        <v>0</v>
      </c>
      <c r="AE45" s="46">
        <v>1</v>
      </c>
      <c r="AG45" s="46">
        <v>1</v>
      </c>
      <c r="AH45" s="46">
        <v>1</v>
      </c>
      <c r="AJ45" s="46">
        <v>1</v>
      </c>
      <c r="AK45" s="46">
        <v>1</v>
      </c>
      <c r="AT45" s="46">
        <v>1</v>
      </c>
      <c r="AX45" s="46">
        <v>1</v>
      </c>
      <c r="BA45" s="46">
        <v>1</v>
      </c>
      <c r="BI45" s="46">
        <v>1</v>
      </c>
      <c r="BZ45" s="46">
        <v>1</v>
      </c>
      <c r="CC45" s="46">
        <v>1</v>
      </c>
      <c r="CI45" s="46">
        <v>1</v>
      </c>
      <c r="CP45" s="46">
        <v>1</v>
      </c>
      <c r="CU45" s="46" t="s">
        <v>2956</v>
      </c>
    </row>
    <row r="46" spans="1:99" hidden="1">
      <c r="A46" s="46" t="s">
        <v>2008</v>
      </c>
      <c r="B46" s="46" t="s">
        <v>3056</v>
      </c>
      <c r="C46" s="46">
        <v>43</v>
      </c>
      <c r="D46" s="46" t="s">
        <v>2984</v>
      </c>
      <c r="E46" s="46" t="s">
        <v>3057</v>
      </c>
      <c r="F46" s="46" t="s">
        <v>3058</v>
      </c>
      <c r="J46" s="46">
        <v>1</v>
      </c>
      <c r="M46" s="46">
        <v>1</v>
      </c>
      <c r="Q46" s="46">
        <v>1</v>
      </c>
      <c r="U46" s="46">
        <v>1</v>
      </c>
      <c r="W46" s="46">
        <v>15</v>
      </c>
      <c r="X46" s="46">
        <v>19</v>
      </c>
      <c r="Y46" s="46">
        <v>19</v>
      </c>
      <c r="Z46" s="46">
        <v>5</v>
      </c>
      <c r="AA46" s="46">
        <v>5</v>
      </c>
      <c r="AB46" s="46">
        <v>5</v>
      </c>
      <c r="AG46" s="46">
        <v>1</v>
      </c>
      <c r="AJ46" s="46">
        <v>1</v>
      </c>
      <c r="AK46" s="46">
        <v>1</v>
      </c>
      <c r="AT46" s="46">
        <v>1</v>
      </c>
      <c r="AX46" s="46">
        <v>1</v>
      </c>
      <c r="BB46" s="46">
        <v>1</v>
      </c>
      <c r="BF46" s="46">
        <v>1</v>
      </c>
      <c r="BI46" s="46">
        <v>1</v>
      </c>
      <c r="BZ46" s="46">
        <v>1</v>
      </c>
      <c r="CC46" s="46">
        <v>1</v>
      </c>
      <c r="CI46" s="46">
        <v>1</v>
      </c>
      <c r="CP46" s="46">
        <v>1</v>
      </c>
      <c r="CU46" s="46" t="s">
        <v>2956</v>
      </c>
    </row>
    <row r="47" spans="1:99">
      <c r="A47" s="46" t="s">
        <v>2012</v>
      </c>
      <c r="B47" s="46" t="s">
        <v>3059</v>
      </c>
      <c r="C47" s="46">
        <v>23</v>
      </c>
      <c r="D47" s="46" t="s">
        <v>2990</v>
      </c>
      <c r="E47" s="46" t="s">
        <v>3060</v>
      </c>
      <c r="F47" s="46" t="s">
        <v>3058</v>
      </c>
      <c r="J47" s="46">
        <v>1</v>
      </c>
      <c r="L47" s="46">
        <v>1</v>
      </c>
      <c r="Q47" s="46">
        <v>1</v>
      </c>
      <c r="U47" s="46">
        <v>1</v>
      </c>
      <c r="W47" s="46">
        <v>17</v>
      </c>
      <c r="X47" s="46">
        <v>18</v>
      </c>
      <c r="Y47" s="46">
        <v>0</v>
      </c>
      <c r="Z47" s="46">
        <v>0</v>
      </c>
      <c r="AA47" s="46">
        <v>0</v>
      </c>
      <c r="AB47" s="46">
        <v>0</v>
      </c>
      <c r="AH47" s="46">
        <v>1</v>
      </c>
      <c r="AJ47" s="46">
        <v>1</v>
      </c>
      <c r="AK47" s="46">
        <v>1</v>
      </c>
      <c r="AT47" s="46">
        <v>1</v>
      </c>
      <c r="AX47" s="46">
        <v>1</v>
      </c>
      <c r="BA47" s="46">
        <v>1</v>
      </c>
      <c r="BI47" s="46">
        <v>1</v>
      </c>
      <c r="BZ47" s="46">
        <v>1</v>
      </c>
      <c r="CC47" s="46">
        <v>1</v>
      </c>
      <c r="CI47" s="46">
        <v>1</v>
      </c>
      <c r="CP47" s="46">
        <v>1</v>
      </c>
      <c r="CU47" s="46" t="s">
        <v>2956</v>
      </c>
    </row>
    <row r="48" spans="1:99" hidden="1">
      <c r="A48" s="46" t="s">
        <v>2017</v>
      </c>
      <c r="B48" s="46" t="s">
        <v>3061</v>
      </c>
      <c r="C48" s="46">
        <v>18</v>
      </c>
      <c r="D48" s="46" t="s">
        <v>2959</v>
      </c>
      <c r="E48" s="46" t="s">
        <v>3062</v>
      </c>
      <c r="F48" s="46" t="s">
        <v>3058</v>
      </c>
      <c r="J48" s="46">
        <v>1</v>
      </c>
      <c r="L48" s="46">
        <v>1</v>
      </c>
      <c r="Q48" s="46">
        <v>1</v>
      </c>
      <c r="U48" s="46">
        <v>1</v>
      </c>
      <c r="W48" s="46">
        <v>15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E48" s="46">
        <v>1</v>
      </c>
      <c r="AH48" s="46">
        <v>1</v>
      </c>
      <c r="AI48" s="46">
        <v>1</v>
      </c>
      <c r="AM48" s="46">
        <v>1</v>
      </c>
      <c r="AT48" s="46">
        <v>1</v>
      </c>
      <c r="AV48" s="46">
        <v>1</v>
      </c>
      <c r="BA48" s="46">
        <v>1</v>
      </c>
      <c r="BI48" s="46">
        <v>1</v>
      </c>
      <c r="BZ48" s="46">
        <v>1</v>
      </c>
      <c r="CC48" s="46">
        <v>1</v>
      </c>
      <c r="CI48" s="46">
        <v>1</v>
      </c>
      <c r="CP48" s="46">
        <v>1</v>
      </c>
      <c r="CU48" s="46" t="s">
        <v>2956</v>
      </c>
    </row>
    <row r="49" spans="1:99">
      <c r="A49" s="46" t="s">
        <v>2021</v>
      </c>
      <c r="B49" s="46" t="s">
        <v>3063</v>
      </c>
      <c r="C49" s="46">
        <v>28</v>
      </c>
      <c r="D49" s="46" t="s">
        <v>2990</v>
      </c>
      <c r="E49" s="46" t="s">
        <v>3064</v>
      </c>
      <c r="F49" s="46" t="s">
        <v>3058</v>
      </c>
      <c r="H49" s="46">
        <v>1</v>
      </c>
      <c r="M49" s="46">
        <v>1</v>
      </c>
      <c r="R49" s="46">
        <v>1</v>
      </c>
      <c r="T49" s="46">
        <v>1</v>
      </c>
      <c r="W49" s="46">
        <v>16</v>
      </c>
      <c r="X49" s="46">
        <v>17</v>
      </c>
      <c r="Y49" s="46">
        <v>18</v>
      </c>
      <c r="Z49" s="46">
        <v>7</v>
      </c>
      <c r="AA49" s="46">
        <v>7</v>
      </c>
      <c r="AB49" s="46">
        <v>7</v>
      </c>
      <c r="AE49" s="46">
        <v>1</v>
      </c>
      <c r="AH49" s="46">
        <v>1</v>
      </c>
      <c r="AJ49" s="46">
        <v>1</v>
      </c>
      <c r="AK49" s="46">
        <v>1</v>
      </c>
      <c r="AT49" s="46">
        <v>1</v>
      </c>
      <c r="AW49" s="46">
        <v>1</v>
      </c>
      <c r="BB49" s="46">
        <v>1</v>
      </c>
      <c r="BF49" s="46">
        <v>1</v>
      </c>
      <c r="BI49" s="46">
        <v>1</v>
      </c>
      <c r="BZ49" s="46">
        <v>1</v>
      </c>
      <c r="CC49" s="46">
        <v>1</v>
      </c>
      <c r="CI49" s="46">
        <v>1</v>
      </c>
      <c r="CP49" s="46">
        <v>1</v>
      </c>
      <c r="CU49" s="46" t="s">
        <v>2956</v>
      </c>
    </row>
    <row r="50" spans="1:99" hidden="1">
      <c r="A50" s="46" t="s">
        <v>2024</v>
      </c>
      <c r="B50" s="46" t="s">
        <v>3065</v>
      </c>
      <c r="C50" s="46">
        <v>45</v>
      </c>
      <c r="D50" s="46" t="s">
        <v>1373</v>
      </c>
      <c r="E50" s="46" t="s">
        <v>3066</v>
      </c>
      <c r="F50" s="46" t="s">
        <v>3067</v>
      </c>
      <c r="G50" s="46">
        <v>1</v>
      </c>
      <c r="M50" s="46">
        <v>1</v>
      </c>
      <c r="Q50" s="46">
        <v>1</v>
      </c>
      <c r="T50" s="46">
        <v>1</v>
      </c>
      <c r="W50" s="46">
        <v>17</v>
      </c>
      <c r="X50" s="46">
        <v>19</v>
      </c>
      <c r="Y50" s="46">
        <v>20</v>
      </c>
      <c r="Z50" s="46">
        <v>6</v>
      </c>
      <c r="AA50" s="46">
        <v>6</v>
      </c>
      <c r="AB50" s="46">
        <v>6</v>
      </c>
      <c r="AC50" s="46">
        <v>1</v>
      </c>
      <c r="AJ50" s="46">
        <v>1</v>
      </c>
      <c r="AM50" s="46">
        <v>1</v>
      </c>
      <c r="AT50" s="46">
        <v>1</v>
      </c>
      <c r="AW50" s="46">
        <v>1</v>
      </c>
      <c r="BA50" s="46">
        <v>1</v>
      </c>
      <c r="BI50" s="46">
        <v>1</v>
      </c>
      <c r="BZ50" s="46">
        <v>1</v>
      </c>
      <c r="CC50" s="46">
        <v>1</v>
      </c>
      <c r="CI50" s="46">
        <v>1</v>
      </c>
      <c r="CP50" s="46">
        <v>1</v>
      </c>
      <c r="CU50" s="46" t="s">
        <v>2956</v>
      </c>
    </row>
    <row r="51" spans="1:99" hidden="1">
      <c r="A51" s="46" t="s">
        <v>2027</v>
      </c>
      <c r="B51" s="46" t="s">
        <v>3068</v>
      </c>
      <c r="C51" s="46">
        <v>41</v>
      </c>
      <c r="D51" s="46" t="s">
        <v>1373</v>
      </c>
      <c r="E51" s="46" t="s">
        <v>3069</v>
      </c>
      <c r="F51" s="46" t="s">
        <v>2523</v>
      </c>
      <c r="G51" s="46">
        <v>1</v>
      </c>
      <c r="O51" s="46">
        <v>1</v>
      </c>
      <c r="Q51" s="46">
        <v>1</v>
      </c>
      <c r="T51" s="46">
        <v>1</v>
      </c>
      <c r="W51" s="46">
        <v>12</v>
      </c>
      <c r="X51" s="46">
        <v>17</v>
      </c>
      <c r="Y51" s="46">
        <v>17</v>
      </c>
      <c r="Z51" s="46">
        <v>3</v>
      </c>
      <c r="AA51" s="46">
        <v>3</v>
      </c>
      <c r="AB51" s="46">
        <v>2</v>
      </c>
      <c r="AC51" s="46">
        <v>1</v>
      </c>
      <c r="AJ51" s="46">
        <v>1</v>
      </c>
      <c r="AL51" s="46">
        <v>1</v>
      </c>
      <c r="AQ51" s="46" t="s">
        <v>2954</v>
      </c>
      <c r="AR51" s="168">
        <v>45323</v>
      </c>
      <c r="AT51" s="46">
        <v>1</v>
      </c>
      <c r="AX51" s="46">
        <v>1</v>
      </c>
      <c r="BB51" s="46">
        <v>1</v>
      </c>
      <c r="BF51" s="46">
        <v>1</v>
      </c>
      <c r="BI51" s="46">
        <v>1</v>
      </c>
      <c r="BZ51" s="46">
        <v>1</v>
      </c>
      <c r="CC51" s="46">
        <v>1</v>
      </c>
      <c r="CI51" s="46">
        <v>1</v>
      </c>
      <c r="CP51" s="46">
        <v>1</v>
      </c>
      <c r="CU51" s="46" t="s">
        <v>2956</v>
      </c>
    </row>
    <row r="52" spans="1:99" hidden="1">
      <c r="A52" s="46" t="s">
        <v>2031</v>
      </c>
      <c r="B52" s="46" t="s">
        <v>3070</v>
      </c>
      <c r="C52" s="46">
        <v>49</v>
      </c>
      <c r="D52" s="46" t="s">
        <v>2625</v>
      </c>
      <c r="E52" s="46" t="s">
        <v>3071</v>
      </c>
      <c r="F52" s="46" t="s">
        <v>2484</v>
      </c>
      <c r="H52" s="46">
        <v>1</v>
      </c>
      <c r="M52" s="46">
        <v>1</v>
      </c>
      <c r="R52" s="46">
        <v>1</v>
      </c>
      <c r="T52" s="46">
        <v>1</v>
      </c>
      <c r="W52" s="46">
        <v>15</v>
      </c>
      <c r="X52" s="46">
        <v>18</v>
      </c>
      <c r="Y52" s="46">
        <v>19</v>
      </c>
      <c r="Z52" s="46">
        <v>8</v>
      </c>
      <c r="AA52" s="46">
        <v>7</v>
      </c>
      <c r="AB52" s="46">
        <v>7</v>
      </c>
      <c r="AH52" s="46">
        <v>1</v>
      </c>
      <c r="AJ52" s="46">
        <v>1</v>
      </c>
      <c r="AK52" s="46">
        <v>1</v>
      </c>
      <c r="AT52" s="46">
        <v>1</v>
      </c>
      <c r="AX52" s="46">
        <v>1</v>
      </c>
      <c r="BA52" s="46">
        <v>1</v>
      </c>
      <c r="BI52" s="46">
        <v>1</v>
      </c>
      <c r="BZ52" s="46">
        <v>1</v>
      </c>
      <c r="CC52" s="46">
        <v>1</v>
      </c>
      <c r="CI52" s="46">
        <v>1</v>
      </c>
      <c r="CP52" s="46">
        <v>1</v>
      </c>
      <c r="CU52" s="46" t="s">
        <v>2956</v>
      </c>
    </row>
    <row r="53" spans="1:99" hidden="1">
      <c r="A53" s="46" t="s">
        <v>2036</v>
      </c>
      <c r="B53" s="46" t="s">
        <v>3072</v>
      </c>
      <c r="C53" s="46">
        <v>41</v>
      </c>
      <c r="D53" s="46" t="s">
        <v>2947</v>
      </c>
      <c r="E53" s="46" t="s">
        <v>3073</v>
      </c>
      <c r="F53" s="46" t="s">
        <v>2484</v>
      </c>
      <c r="I53" s="46">
        <v>1</v>
      </c>
      <c r="M53" s="46">
        <v>1</v>
      </c>
      <c r="R53" s="46">
        <v>1</v>
      </c>
      <c r="T53" s="46">
        <v>1</v>
      </c>
      <c r="W53" s="46">
        <v>16</v>
      </c>
      <c r="X53" s="46">
        <v>17</v>
      </c>
      <c r="Y53" s="46">
        <v>18</v>
      </c>
      <c r="Z53" s="46">
        <v>5</v>
      </c>
      <c r="AA53" s="46">
        <v>5</v>
      </c>
      <c r="AB53" s="46">
        <v>4</v>
      </c>
      <c r="AE53" s="46">
        <v>1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Z53" s="46">
        <v>1</v>
      </c>
      <c r="CC53" s="46">
        <v>1</v>
      </c>
      <c r="CI53" s="46">
        <v>1</v>
      </c>
      <c r="CP53" s="46">
        <v>1</v>
      </c>
      <c r="CU53" s="46" t="s">
        <v>2956</v>
      </c>
    </row>
    <row r="54" spans="1:99">
      <c r="A54" s="46" t="s">
        <v>2040</v>
      </c>
      <c r="B54" s="46" t="s">
        <v>3074</v>
      </c>
      <c r="C54" s="46">
        <v>21</v>
      </c>
      <c r="D54" s="46" t="s">
        <v>2959</v>
      </c>
      <c r="E54" s="46" t="s">
        <v>3075</v>
      </c>
      <c r="F54" s="46" t="s">
        <v>3058</v>
      </c>
      <c r="H54" s="46">
        <v>1</v>
      </c>
      <c r="M54" s="46">
        <v>1</v>
      </c>
      <c r="Q54" s="46">
        <v>1</v>
      </c>
      <c r="U54" s="46">
        <v>1</v>
      </c>
      <c r="W54" s="46">
        <v>14</v>
      </c>
      <c r="X54" s="46">
        <v>16</v>
      </c>
      <c r="Y54" s="46">
        <v>17</v>
      </c>
      <c r="Z54" s="46">
        <v>2</v>
      </c>
      <c r="AA54" s="46">
        <v>2</v>
      </c>
      <c r="AB54" s="46">
        <v>2</v>
      </c>
      <c r="AG54" s="46">
        <v>1</v>
      </c>
      <c r="AH54" s="46">
        <v>1</v>
      </c>
      <c r="AJ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Z54" s="46">
        <v>1</v>
      </c>
      <c r="CC54" s="46">
        <v>1</v>
      </c>
      <c r="CI54" s="46">
        <v>1</v>
      </c>
      <c r="CP54" s="46">
        <v>1</v>
      </c>
      <c r="CU54" s="46" t="s">
        <v>2956</v>
      </c>
    </row>
    <row r="55" spans="1:99">
      <c r="A55" s="46" t="s">
        <v>2043</v>
      </c>
      <c r="B55" s="46" t="s">
        <v>3076</v>
      </c>
      <c r="C55" s="46">
        <v>29</v>
      </c>
      <c r="D55" s="46" t="s">
        <v>1373</v>
      </c>
      <c r="E55" s="46" t="s">
        <v>3077</v>
      </c>
      <c r="F55" s="46" t="s">
        <v>3058</v>
      </c>
      <c r="I55" s="46">
        <v>1</v>
      </c>
      <c r="M55" s="46">
        <v>1</v>
      </c>
      <c r="Q55" s="46">
        <v>1</v>
      </c>
      <c r="T55" s="46">
        <v>1</v>
      </c>
      <c r="W55" s="46">
        <v>14</v>
      </c>
      <c r="X55" s="46">
        <v>16</v>
      </c>
      <c r="Y55" s="46">
        <v>18</v>
      </c>
      <c r="Z55" s="46">
        <v>5</v>
      </c>
      <c r="AA55" s="46">
        <v>5</v>
      </c>
      <c r="AB55" s="46">
        <v>5</v>
      </c>
      <c r="AH55" s="46">
        <v>1</v>
      </c>
      <c r="AJ55" s="46">
        <v>1</v>
      </c>
      <c r="AK55" s="46">
        <v>1</v>
      </c>
      <c r="AT55" s="46">
        <v>1</v>
      </c>
      <c r="AW55" s="46">
        <v>1</v>
      </c>
      <c r="BA55" s="46">
        <v>1</v>
      </c>
      <c r="BI55" s="46">
        <v>1</v>
      </c>
      <c r="BZ55" s="46">
        <v>1</v>
      </c>
      <c r="CC55" s="46">
        <v>1</v>
      </c>
      <c r="CI55" s="46">
        <v>1</v>
      </c>
      <c r="CP55" s="46">
        <v>1</v>
      </c>
      <c r="CU55" s="46" t="s">
        <v>2956</v>
      </c>
    </row>
    <row r="56" spans="1:99" hidden="1">
      <c r="A56" s="46" t="s">
        <v>2046</v>
      </c>
      <c r="B56" s="46" t="s">
        <v>3078</v>
      </c>
      <c r="C56" s="46">
        <v>47</v>
      </c>
      <c r="D56" s="46" t="s">
        <v>1373</v>
      </c>
      <c r="E56" s="46" t="s">
        <v>3079</v>
      </c>
      <c r="F56" s="46" t="s">
        <v>2523</v>
      </c>
      <c r="G56" s="46">
        <v>1</v>
      </c>
      <c r="M56" s="46">
        <v>1</v>
      </c>
      <c r="R56" s="46">
        <v>1</v>
      </c>
      <c r="T56" s="46">
        <v>1</v>
      </c>
      <c r="W56" s="46">
        <v>12</v>
      </c>
      <c r="X56" s="46">
        <v>25</v>
      </c>
      <c r="Y56" s="46">
        <v>25</v>
      </c>
      <c r="Z56" s="46">
        <v>7</v>
      </c>
      <c r="AA56" s="46">
        <v>2</v>
      </c>
      <c r="AB56" s="46">
        <v>2</v>
      </c>
      <c r="AH56" s="46">
        <v>1</v>
      </c>
      <c r="AI56" s="46">
        <v>1</v>
      </c>
      <c r="AK56" s="46">
        <v>1</v>
      </c>
      <c r="AT56" s="46">
        <v>1</v>
      </c>
      <c r="AW56" s="46">
        <v>1</v>
      </c>
      <c r="BA56" s="46">
        <v>1</v>
      </c>
      <c r="BI56" s="46">
        <v>1</v>
      </c>
      <c r="BZ56" s="46">
        <v>1</v>
      </c>
      <c r="CC56" s="46">
        <v>1</v>
      </c>
      <c r="CI56" s="46">
        <v>1</v>
      </c>
      <c r="CP56" s="46">
        <v>1</v>
      </c>
      <c r="CU56" s="46" t="s">
        <v>2956</v>
      </c>
    </row>
    <row r="57" spans="1:99">
      <c r="A57" s="46" t="s">
        <v>2049</v>
      </c>
      <c r="B57" s="46" t="s">
        <v>3080</v>
      </c>
      <c r="C57" s="46">
        <v>23</v>
      </c>
      <c r="D57" s="46" t="s">
        <v>1373</v>
      </c>
      <c r="E57" s="46" t="s">
        <v>3081</v>
      </c>
      <c r="F57" s="46" t="s">
        <v>2523</v>
      </c>
      <c r="I57" s="46">
        <v>1</v>
      </c>
      <c r="M57" s="46">
        <v>1</v>
      </c>
      <c r="Q57" s="46">
        <v>1</v>
      </c>
      <c r="U57" s="46">
        <v>1</v>
      </c>
      <c r="W57" s="46">
        <v>16</v>
      </c>
      <c r="X57" s="46">
        <v>20</v>
      </c>
      <c r="Y57" s="46">
        <v>21</v>
      </c>
      <c r="Z57" s="46">
        <v>1</v>
      </c>
      <c r="AA57" s="46">
        <v>1</v>
      </c>
      <c r="AB57" s="46">
        <v>1</v>
      </c>
      <c r="AH57" s="46">
        <v>1</v>
      </c>
      <c r="AJ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Z57" s="46">
        <v>1</v>
      </c>
      <c r="CC57" s="46">
        <v>1</v>
      </c>
      <c r="CI57" s="46">
        <v>1</v>
      </c>
      <c r="CP57" s="46">
        <v>1</v>
      </c>
      <c r="CU57" s="46" t="s">
        <v>2956</v>
      </c>
    </row>
    <row r="58" spans="1:99">
      <c r="A58" s="46" t="s">
        <v>2052</v>
      </c>
      <c r="B58" s="46" t="s">
        <v>3082</v>
      </c>
      <c r="C58" s="46">
        <v>27</v>
      </c>
      <c r="D58" s="46" t="s">
        <v>1373</v>
      </c>
      <c r="E58" s="46" t="s">
        <v>3083</v>
      </c>
      <c r="F58" s="46" t="s">
        <v>3058</v>
      </c>
      <c r="I58" s="46">
        <v>1</v>
      </c>
      <c r="M58" s="46">
        <v>1</v>
      </c>
      <c r="R58" s="46">
        <v>1</v>
      </c>
      <c r="U58" s="46">
        <v>1</v>
      </c>
      <c r="W58" s="46">
        <v>14</v>
      </c>
      <c r="X58" s="46">
        <v>20</v>
      </c>
      <c r="Y58" s="46">
        <v>26</v>
      </c>
      <c r="Z58" s="46">
        <v>1</v>
      </c>
      <c r="AA58" s="46">
        <v>1</v>
      </c>
      <c r="AB58" s="46">
        <v>1</v>
      </c>
      <c r="AC58" s="46">
        <v>1</v>
      </c>
      <c r="AJ58" s="46">
        <v>1</v>
      </c>
      <c r="AK58" s="46">
        <v>1</v>
      </c>
      <c r="AT58" s="46">
        <v>1</v>
      </c>
      <c r="AW58" s="46">
        <v>1</v>
      </c>
      <c r="BE58" s="46">
        <v>1</v>
      </c>
      <c r="BG58" s="46">
        <v>1</v>
      </c>
      <c r="BH58" s="46">
        <v>1</v>
      </c>
      <c r="BV58" s="46">
        <v>1</v>
      </c>
      <c r="BW58" s="46">
        <v>1</v>
      </c>
      <c r="BZ58" s="46">
        <v>1</v>
      </c>
      <c r="CC58" s="46">
        <v>1</v>
      </c>
      <c r="CI58" s="46">
        <v>1</v>
      </c>
      <c r="CP58" s="46">
        <v>1</v>
      </c>
      <c r="CU58" s="46" t="s">
        <v>2964</v>
      </c>
    </row>
    <row r="59" spans="1:99" hidden="1">
      <c r="A59" s="46" t="s">
        <v>2055</v>
      </c>
      <c r="B59" s="46" t="s">
        <v>718</v>
      </c>
      <c r="C59" s="46">
        <v>33</v>
      </c>
      <c r="D59" s="46" t="s">
        <v>3084</v>
      </c>
      <c r="E59" s="46" t="s">
        <v>3085</v>
      </c>
      <c r="F59" s="46" t="s">
        <v>3058</v>
      </c>
      <c r="H59" s="46">
        <v>1</v>
      </c>
      <c r="M59" s="46">
        <v>1</v>
      </c>
      <c r="R59" s="46">
        <v>1</v>
      </c>
      <c r="T59" s="46">
        <v>1</v>
      </c>
      <c r="W59" s="46">
        <v>14</v>
      </c>
      <c r="X59" s="46">
        <v>18</v>
      </c>
      <c r="Y59" s="46">
        <v>20</v>
      </c>
      <c r="Z59" s="46">
        <v>9</v>
      </c>
      <c r="AA59" s="46">
        <v>7</v>
      </c>
      <c r="AB59" s="46">
        <v>7</v>
      </c>
      <c r="AH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H59" s="46">
        <v>1</v>
      </c>
      <c r="BW59" s="46">
        <v>1</v>
      </c>
      <c r="BZ59" s="46">
        <v>1</v>
      </c>
      <c r="CC59" s="46">
        <v>1</v>
      </c>
      <c r="CI59" s="46">
        <v>1</v>
      </c>
      <c r="CP59" s="46">
        <v>1</v>
      </c>
      <c r="CU59" s="46" t="s">
        <v>2964</v>
      </c>
    </row>
    <row r="60" spans="1:99" hidden="1">
      <c r="A60" s="46" t="s">
        <v>2058</v>
      </c>
      <c r="B60" s="46" t="s">
        <v>3086</v>
      </c>
      <c r="C60" s="46">
        <v>50</v>
      </c>
      <c r="D60" s="46" t="s">
        <v>1373</v>
      </c>
      <c r="E60" s="46" t="s">
        <v>3087</v>
      </c>
      <c r="F60" s="46" t="s">
        <v>3058</v>
      </c>
      <c r="I60" s="46">
        <v>1</v>
      </c>
      <c r="M60" s="46">
        <v>1</v>
      </c>
      <c r="Q60" s="46">
        <v>1</v>
      </c>
      <c r="S60" s="46">
        <v>1</v>
      </c>
      <c r="W60" s="46">
        <v>14</v>
      </c>
      <c r="X60" s="46">
        <v>16</v>
      </c>
      <c r="Y60" s="46">
        <v>17</v>
      </c>
      <c r="Z60" s="46">
        <v>9</v>
      </c>
      <c r="AA60" s="46">
        <v>9</v>
      </c>
      <c r="AB60" s="46">
        <v>8</v>
      </c>
      <c r="AH60" s="46">
        <v>1</v>
      </c>
      <c r="AI60" s="46">
        <v>1</v>
      </c>
      <c r="AK60" s="46">
        <v>1</v>
      </c>
      <c r="AT60" s="46">
        <v>1</v>
      </c>
      <c r="AW60" s="46">
        <v>1</v>
      </c>
      <c r="BB60" s="46">
        <v>1</v>
      </c>
      <c r="BF60" s="46">
        <v>1</v>
      </c>
      <c r="BJ60" s="46">
        <v>1</v>
      </c>
      <c r="BS60" s="46">
        <v>1</v>
      </c>
      <c r="BZ60" s="46">
        <v>1</v>
      </c>
      <c r="CC60" s="46">
        <v>1</v>
      </c>
      <c r="CI60" s="46">
        <v>1</v>
      </c>
      <c r="CP60" s="46">
        <v>1</v>
      </c>
      <c r="CU60" s="46" t="s">
        <v>2956</v>
      </c>
    </row>
    <row r="61" spans="1:99" hidden="1">
      <c r="A61" s="46" t="s">
        <v>2063</v>
      </c>
      <c r="B61" s="46" t="s">
        <v>3088</v>
      </c>
      <c r="C61" s="46">
        <v>60</v>
      </c>
      <c r="D61" s="46" t="s">
        <v>3004</v>
      </c>
      <c r="E61" s="46" t="s">
        <v>3089</v>
      </c>
      <c r="F61" s="46" t="s">
        <v>3058</v>
      </c>
      <c r="J61" s="46">
        <v>1</v>
      </c>
      <c r="M61" s="46">
        <v>1</v>
      </c>
      <c r="R61" s="46">
        <v>1</v>
      </c>
      <c r="T61" s="46">
        <v>1</v>
      </c>
      <c r="W61" s="46">
        <v>14</v>
      </c>
      <c r="X61" s="46">
        <v>15</v>
      </c>
      <c r="Y61" s="46">
        <v>16</v>
      </c>
      <c r="Z61" s="46">
        <v>2</v>
      </c>
      <c r="AA61" s="46">
        <v>2</v>
      </c>
      <c r="AB61" s="46">
        <v>2</v>
      </c>
      <c r="AG61" s="46">
        <v>1</v>
      </c>
      <c r="AI61" s="46">
        <v>1</v>
      </c>
      <c r="AK61" s="46">
        <v>1</v>
      </c>
      <c r="AT61" s="46">
        <v>1</v>
      </c>
      <c r="AX61" s="46">
        <v>1</v>
      </c>
      <c r="BB61" s="46">
        <v>1</v>
      </c>
      <c r="BF61" s="46">
        <v>1</v>
      </c>
      <c r="BI61" s="46">
        <v>1</v>
      </c>
      <c r="BZ61" s="46">
        <v>1</v>
      </c>
      <c r="CC61" s="46">
        <v>1</v>
      </c>
      <c r="CI61" s="46">
        <v>1</v>
      </c>
      <c r="CP61" s="46">
        <v>1</v>
      </c>
      <c r="CU61" s="46" t="s">
        <v>2956</v>
      </c>
    </row>
    <row r="62" spans="1:99">
      <c r="A62" s="46" t="s">
        <v>2067</v>
      </c>
      <c r="B62" s="46" t="s">
        <v>3090</v>
      </c>
      <c r="C62" s="46">
        <v>23</v>
      </c>
      <c r="D62" s="46" t="s">
        <v>2625</v>
      </c>
      <c r="E62" s="46" t="s">
        <v>3091</v>
      </c>
      <c r="F62" s="46" t="s">
        <v>3058</v>
      </c>
      <c r="H62" s="46">
        <v>1</v>
      </c>
      <c r="M62" s="46">
        <v>1</v>
      </c>
      <c r="Q62" s="46">
        <v>1</v>
      </c>
      <c r="T62" s="46">
        <v>1</v>
      </c>
      <c r="W62" s="46">
        <v>12</v>
      </c>
      <c r="X62" s="46">
        <v>16</v>
      </c>
      <c r="Y62" s="46">
        <v>16</v>
      </c>
      <c r="Z62" s="46">
        <v>2</v>
      </c>
      <c r="AA62" s="46">
        <v>1</v>
      </c>
      <c r="AB62" s="46">
        <v>1</v>
      </c>
      <c r="AG62" s="46">
        <v>1</v>
      </c>
      <c r="AH62" s="46">
        <v>1</v>
      </c>
      <c r="AJ62" s="46">
        <v>1</v>
      </c>
      <c r="AK62" s="46">
        <v>1</v>
      </c>
      <c r="AT62" s="46">
        <v>1</v>
      </c>
      <c r="AX62" s="46">
        <v>1</v>
      </c>
      <c r="BA62" s="46">
        <v>1</v>
      </c>
      <c r="BH62" s="46">
        <v>1</v>
      </c>
      <c r="BV62" s="46">
        <v>1</v>
      </c>
      <c r="BW62" s="46">
        <v>1</v>
      </c>
      <c r="BZ62" s="46">
        <v>1</v>
      </c>
      <c r="CC62" s="46">
        <v>1</v>
      </c>
      <c r="CI62" s="46">
        <v>1</v>
      </c>
      <c r="CP62" s="46">
        <v>1</v>
      </c>
      <c r="CU62" s="46" t="s">
        <v>2964</v>
      </c>
    </row>
    <row r="63" spans="1:99" hidden="1">
      <c r="A63" s="46" t="s">
        <v>2071</v>
      </c>
      <c r="B63" s="46" t="s">
        <v>3092</v>
      </c>
      <c r="C63" s="46">
        <v>44</v>
      </c>
      <c r="D63" s="46" t="s">
        <v>3093</v>
      </c>
      <c r="E63" s="46" t="s">
        <v>3094</v>
      </c>
      <c r="F63" s="46" t="s">
        <v>3058</v>
      </c>
      <c r="H63" s="46">
        <v>1</v>
      </c>
      <c r="M63" s="46">
        <v>1</v>
      </c>
      <c r="R63" s="46">
        <v>1</v>
      </c>
      <c r="U63" s="46">
        <v>1</v>
      </c>
      <c r="W63" s="46">
        <v>17</v>
      </c>
      <c r="X63" s="46">
        <v>18</v>
      </c>
      <c r="Y63" s="46">
        <v>20</v>
      </c>
      <c r="Z63" s="46">
        <v>3</v>
      </c>
      <c r="AA63" s="46">
        <v>3</v>
      </c>
      <c r="AB63" s="46">
        <v>2</v>
      </c>
      <c r="AC63" s="46">
        <v>1</v>
      </c>
      <c r="AJ63" s="46">
        <v>1</v>
      </c>
      <c r="AK63" s="46">
        <v>1</v>
      </c>
      <c r="AT63" s="46">
        <v>1</v>
      </c>
      <c r="AX63" s="46">
        <v>1</v>
      </c>
      <c r="BA63" s="46">
        <v>1</v>
      </c>
      <c r="BH63" s="46">
        <v>1</v>
      </c>
      <c r="BV63" s="46">
        <v>1</v>
      </c>
      <c r="BW63" s="46">
        <v>1</v>
      </c>
      <c r="BZ63" s="46">
        <v>1</v>
      </c>
      <c r="CC63" s="46">
        <v>1</v>
      </c>
      <c r="CI63" s="46">
        <v>1</v>
      </c>
      <c r="CP63" s="46">
        <v>1</v>
      </c>
      <c r="CU63" s="46" t="s">
        <v>2964</v>
      </c>
    </row>
    <row r="64" spans="1:99">
      <c r="A64" s="46" t="s">
        <v>2074</v>
      </c>
      <c r="B64" s="46" t="s">
        <v>3095</v>
      </c>
      <c r="C64" s="46">
        <v>26</v>
      </c>
      <c r="D64" s="46" t="s">
        <v>3093</v>
      </c>
      <c r="E64" s="46" t="s">
        <v>191</v>
      </c>
      <c r="F64" s="46" t="s">
        <v>2523</v>
      </c>
      <c r="N64" s="46">
        <v>1</v>
      </c>
      <c r="Q64" s="46">
        <v>1</v>
      </c>
      <c r="T64" s="46">
        <v>1</v>
      </c>
      <c r="W64" s="46">
        <v>13</v>
      </c>
      <c r="X64" s="46">
        <v>17</v>
      </c>
      <c r="Y64" s="46">
        <v>19</v>
      </c>
      <c r="Z64" s="46">
        <v>1</v>
      </c>
      <c r="AA64" s="46">
        <v>1</v>
      </c>
      <c r="AB64" s="46">
        <v>1</v>
      </c>
      <c r="AC64" s="46">
        <v>1</v>
      </c>
      <c r="AI64" s="46">
        <v>1</v>
      </c>
      <c r="AL64" s="46">
        <v>1</v>
      </c>
      <c r="AQ64" s="46">
        <v>120</v>
      </c>
      <c r="AT64" s="46">
        <v>1</v>
      </c>
      <c r="AW64" s="46">
        <v>1</v>
      </c>
      <c r="BE64" s="46">
        <v>1</v>
      </c>
      <c r="BG64" s="46">
        <v>1</v>
      </c>
      <c r="BH64" s="46">
        <v>1</v>
      </c>
      <c r="BV64" s="46">
        <v>1</v>
      </c>
      <c r="BW64" s="46">
        <v>1</v>
      </c>
      <c r="BZ64" s="46">
        <v>1</v>
      </c>
      <c r="CC64" s="46">
        <v>1</v>
      </c>
      <c r="CI64" s="46">
        <v>1</v>
      </c>
      <c r="CP64" s="46">
        <v>1</v>
      </c>
      <c r="CU64" s="46" t="s">
        <v>2964</v>
      </c>
    </row>
    <row r="65" spans="1:99" hidden="1">
      <c r="A65" s="46" t="s">
        <v>2077</v>
      </c>
      <c r="B65" s="46" t="s">
        <v>3096</v>
      </c>
      <c r="C65" s="46">
        <v>44</v>
      </c>
      <c r="D65" s="46" t="s">
        <v>3097</v>
      </c>
      <c r="E65" s="46" t="s">
        <v>3098</v>
      </c>
      <c r="F65" s="46" t="s">
        <v>3058</v>
      </c>
      <c r="I65" s="46">
        <v>1</v>
      </c>
      <c r="M65" s="46">
        <v>1</v>
      </c>
      <c r="Q65" s="46">
        <v>1</v>
      </c>
      <c r="T65" s="46">
        <v>1</v>
      </c>
      <c r="W65" s="46">
        <v>15</v>
      </c>
      <c r="X65" s="46">
        <v>12</v>
      </c>
      <c r="Y65" s="46">
        <v>18</v>
      </c>
      <c r="Z65" s="46">
        <v>12</v>
      </c>
      <c r="AA65" s="46">
        <v>11</v>
      </c>
      <c r="AB65" s="46">
        <v>8</v>
      </c>
      <c r="AE65" s="46">
        <v>1</v>
      </c>
      <c r="AH65" s="46">
        <v>1</v>
      </c>
      <c r="AJ65" s="46">
        <v>1</v>
      </c>
      <c r="AK65" s="46">
        <v>1</v>
      </c>
      <c r="AT65" s="46">
        <v>1</v>
      </c>
      <c r="AW65" s="46">
        <v>1</v>
      </c>
      <c r="BA65" s="46">
        <v>1</v>
      </c>
      <c r="BH65" s="46">
        <v>1</v>
      </c>
      <c r="BV65" s="46">
        <v>1</v>
      </c>
      <c r="BW65" s="46">
        <v>1</v>
      </c>
      <c r="BZ65" s="46">
        <v>1</v>
      </c>
      <c r="CC65" s="46">
        <v>1</v>
      </c>
      <c r="CI65" s="46">
        <v>1</v>
      </c>
      <c r="CP65" s="46">
        <v>1</v>
      </c>
      <c r="CU65" s="46" t="s">
        <v>2964</v>
      </c>
    </row>
    <row r="66" spans="1:99" hidden="1">
      <c r="A66" s="46" t="s">
        <v>2080</v>
      </c>
      <c r="B66" s="46" t="s">
        <v>3099</v>
      </c>
      <c r="C66" s="46">
        <v>34</v>
      </c>
      <c r="D66" s="46" t="s">
        <v>3100</v>
      </c>
      <c r="E66" s="46" t="s">
        <v>3101</v>
      </c>
      <c r="F66" s="46" t="s">
        <v>3058</v>
      </c>
      <c r="G66" s="46">
        <v>1</v>
      </c>
      <c r="L66" s="46">
        <v>1</v>
      </c>
      <c r="Q66" s="46">
        <v>1</v>
      </c>
      <c r="U66" s="46">
        <v>1</v>
      </c>
      <c r="W66" s="46">
        <v>13</v>
      </c>
      <c r="X66" s="46">
        <v>24</v>
      </c>
      <c r="Y66" s="46">
        <v>26</v>
      </c>
      <c r="Z66" s="46">
        <v>1</v>
      </c>
      <c r="AA66" s="46">
        <v>1</v>
      </c>
      <c r="AB66" s="46">
        <v>1</v>
      </c>
      <c r="AE66" s="46">
        <v>1</v>
      </c>
      <c r="AH66" s="46">
        <v>1</v>
      </c>
      <c r="AJ66" s="46">
        <v>1</v>
      </c>
      <c r="AL66" s="46">
        <v>1</v>
      </c>
      <c r="AO66" s="46">
        <v>1</v>
      </c>
      <c r="AQ66" s="46" t="s">
        <v>3102</v>
      </c>
      <c r="AR66" s="168">
        <v>45231</v>
      </c>
      <c r="AT66" s="46">
        <v>1</v>
      </c>
      <c r="AX66" s="46">
        <v>1</v>
      </c>
      <c r="BB66" s="46">
        <v>1</v>
      </c>
      <c r="BH66" s="46">
        <v>1</v>
      </c>
      <c r="BV66" s="46">
        <v>1</v>
      </c>
      <c r="BW66" s="46">
        <v>1</v>
      </c>
      <c r="BZ66" s="46">
        <v>1</v>
      </c>
      <c r="CC66" s="46">
        <v>1</v>
      </c>
      <c r="CI66" s="46">
        <v>1</v>
      </c>
      <c r="CP66" s="46">
        <v>1</v>
      </c>
      <c r="CU66" s="46" t="s">
        <v>2964</v>
      </c>
    </row>
    <row r="67" spans="1:99" hidden="1">
      <c r="A67" s="46" t="s">
        <v>2083</v>
      </c>
      <c r="B67" s="46" t="s">
        <v>3103</v>
      </c>
      <c r="C67" s="46">
        <v>39</v>
      </c>
      <c r="D67" s="46" t="s">
        <v>3104</v>
      </c>
      <c r="E67" s="46" t="s">
        <v>3105</v>
      </c>
      <c r="F67" s="46" t="s">
        <v>3058</v>
      </c>
      <c r="I67" s="46">
        <v>1</v>
      </c>
      <c r="M67" s="46">
        <v>1</v>
      </c>
      <c r="R67" s="46">
        <v>1</v>
      </c>
      <c r="U67" s="46">
        <v>1</v>
      </c>
      <c r="W67" s="46">
        <v>13</v>
      </c>
      <c r="X67" s="46">
        <v>13</v>
      </c>
      <c r="Y67" s="46">
        <v>15</v>
      </c>
      <c r="Z67" s="46">
        <v>4</v>
      </c>
      <c r="AA67" s="46">
        <v>3</v>
      </c>
      <c r="AB67" s="46">
        <v>3</v>
      </c>
      <c r="AH67" s="46">
        <v>1</v>
      </c>
      <c r="AJ67" s="46">
        <v>1</v>
      </c>
      <c r="AK67" s="46">
        <v>1</v>
      </c>
      <c r="AT67" s="46">
        <v>1</v>
      </c>
      <c r="AX67" s="46">
        <v>1</v>
      </c>
      <c r="BA67" s="46">
        <v>1</v>
      </c>
      <c r="BI67" s="46">
        <v>1</v>
      </c>
      <c r="BZ67" s="46">
        <v>1</v>
      </c>
      <c r="CC67" s="46">
        <v>1</v>
      </c>
      <c r="CI67" s="46">
        <v>1</v>
      </c>
      <c r="CP67" s="46">
        <v>1</v>
      </c>
      <c r="CU67" s="46" t="s">
        <v>2956</v>
      </c>
    </row>
  </sheetData>
  <autoFilter ref="A3:CU67">
    <filterColumn colId="2">
      <filters>
        <filter val="20"/>
        <filter val="21"/>
        <filter val="23"/>
        <filter val="24"/>
        <filter val="26"/>
        <filter val="27"/>
        <filter val="28"/>
        <filter val="29"/>
        <filter val="30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62" t="s">
        <v>356</v>
      </c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3107</v>
      </c>
      <c r="H2" s="64" t="s">
        <v>358</v>
      </c>
      <c r="I2" s="64" t="s">
        <v>362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</row>
    <row r="3" spans="1:31">
      <c r="A3" s="68" t="s">
        <v>1361</v>
      </c>
      <c r="B3" s="69">
        <v>0</v>
      </c>
      <c r="C3" s="69">
        <v>0</v>
      </c>
      <c r="D3" s="69">
        <v>1</v>
      </c>
      <c r="E3" s="69">
        <f t="shared" ref="E3:E8" si="0">SUM(B3:D3)</f>
        <v>1</v>
      </c>
      <c r="F3" s="70">
        <v>0</v>
      </c>
      <c r="G3" s="70"/>
      <c r="H3" s="70">
        <v>1</v>
      </c>
      <c r="I3" s="70">
        <v>0</v>
      </c>
      <c r="J3" s="71">
        <f t="shared" ref="J3:J9" si="1">SUM(F3:I3)</f>
        <v>1</v>
      </c>
      <c r="K3" s="70">
        <v>0</v>
      </c>
      <c r="L3" s="70">
        <v>0</v>
      </c>
      <c r="M3" s="70">
        <v>0</v>
      </c>
      <c r="N3" s="70">
        <v>0</v>
      </c>
      <c r="O3" s="71">
        <f t="shared" ref="O3:O9" si="2">SUM(K3:N3)</f>
        <v>0</v>
      </c>
      <c r="P3" s="70">
        <v>0</v>
      </c>
      <c r="Q3" s="70">
        <v>0</v>
      </c>
      <c r="R3" s="70">
        <v>0</v>
      </c>
      <c r="S3" s="71">
        <f t="shared" ref="S3:S8" si="3">SUM(P3:R3)</f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3">
        <v>1</v>
      </c>
      <c r="AA3" s="73">
        <v>0</v>
      </c>
      <c r="AB3" s="73">
        <v>0</v>
      </c>
      <c r="AC3" s="73">
        <v>0</v>
      </c>
      <c r="AD3" s="73">
        <f t="shared" ref="AD3:AD8" si="4">SUM(Z3:AC3)</f>
        <v>1</v>
      </c>
      <c r="AE3" s="73">
        <v>0</v>
      </c>
    </row>
    <row r="4" spans="1:31">
      <c r="A4" s="74" t="s">
        <v>552</v>
      </c>
      <c r="B4" s="69">
        <v>21</v>
      </c>
      <c r="C4" s="69">
        <v>2</v>
      </c>
      <c r="D4" s="69">
        <v>1</v>
      </c>
      <c r="E4" s="69">
        <f t="shared" si="0"/>
        <v>24</v>
      </c>
      <c r="F4" s="70">
        <v>3</v>
      </c>
      <c r="G4" s="70">
        <v>1</v>
      </c>
      <c r="H4" s="70">
        <v>20</v>
      </c>
      <c r="I4" s="70">
        <v>0</v>
      </c>
      <c r="J4" s="71">
        <f t="shared" si="1"/>
        <v>24</v>
      </c>
      <c r="K4" s="70">
        <v>0</v>
      </c>
      <c r="L4" s="70">
        <v>0</v>
      </c>
      <c r="M4" s="70">
        <v>0</v>
      </c>
      <c r="N4" s="70">
        <v>0</v>
      </c>
      <c r="O4" s="71">
        <f t="shared" si="2"/>
        <v>0</v>
      </c>
      <c r="P4" s="70">
        <v>4</v>
      </c>
      <c r="Q4" s="70">
        <v>0</v>
      </c>
      <c r="R4" s="70">
        <v>4</v>
      </c>
      <c r="S4" s="71">
        <f t="shared" si="3"/>
        <v>8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3">
        <v>24</v>
      </c>
      <c r="AA4" s="73">
        <v>0</v>
      </c>
      <c r="AB4" s="73">
        <v>0</v>
      </c>
      <c r="AC4" s="73">
        <v>0</v>
      </c>
      <c r="AD4" s="73">
        <f t="shared" si="4"/>
        <v>24</v>
      </c>
      <c r="AE4" s="73">
        <v>0</v>
      </c>
    </row>
    <row r="5" spans="1:31">
      <c r="A5" s="77" t="s">
        <v>1823</v>
      </c>
      <c r="B5" s="69">
        <v>12</v>
      </c>
      <c r="C5" s="69">
        <v>2</v>
      </c>
      <c r="D5" s="69">
        <v>0</v>
      </c>
      <c r="E5" s="69">
        <f t="shared" si="0"/>
        <v>14</v>
      </c>
      <c r="F5" s="70">
        <v>2</v>
      </c>
      <c r="G5" s="70">
        <v>0</v>
      </c>
      <c r="H5" s="70">
        <v>7</v>
      </c>
      <c r="I5" s="70">
        <v>0</v>
      </c>
      <c r="J5" s="71">
        <f t="shared" si="1"/>
        <v>9</v>
      </c>
      <c r="K5" s="70">
        <v>1</v>
      </c>
      <c r="L5" s="70">
        <v>3</v>
      </c>
      <c r="M5" s="70">
        <v>0</v>
      </c>
      <c r="N5" s="70">
        <v>0</v>
      </c>
      <c r="O5" s="71">
        <f t="shared" si="2"/>
        <v>4</v>
      </c>
      <c r="P5" s="70">
        <v>2</v>
      </c>
      <c r="Q5" s="70">
        <v>0</v>
      </c>
      <c r="R5" s="70">
        <v>2</v>
      </c>
      <c r="S5" s="71">
        <f t="shared" si="3"/>
        <v>4</v>
      </c>
      <c r="T5" s="75">
        <v>0</v>
      </c>
      <c r="U5" s="75">
        <v>0</v>
      </c>
      <c r="V5" s="75">
        <v>0</v>
      </c>
      <c r="W5" s="75">
        <v>3</v>
      </c>
      <c r="X5" s="75">
        <v>0</v>
      </c>
      <c r="Y5" s="75">
        <v>0</v>
      </c>
      <c r="Z5" s="73">
        <v>14</v>
      </c>
      <c r="AA5" s="73">
        <v>0</v>
      </c>
      <c r="AB5" s="73"/>
      <c r="AC5" s="73">
        <v>0</v>
      </c>
      <c r="AD5" s="73">
        <f t="shared" si="4"/>
        <v>14</v>
      </c>
      <c r="AE5" s="73">
        <v>0</v>
      </c>
    </row>
    <row r="6" spans="1:31">
      <c r="A6" s="77" t="s">
        <v>3108</v>
      </c>
      <c r="B6" s="69">
        <v>16</v>
      </c>
      <c r="C6" s="69">
        <v>1</v>
      </c>
      <c r="D6" s="69">
        <v>2</v>
      </c>
      <c r="E6" s="69">
        <f t="shared" si="0"/>
        <v>19</v>
      </c>
      <c r="F6" s="70">
        <v>2</v>
      </c>
      <c r="G6" s="70">
        <v>0</v>
      </c>
      <c r="H6" s="70">
        <v>13</v>
      </c>
      <c r="I6" s="70">
        <v>0</v>
      </c>
      <c r="J6" s="71">
        <f t="shared" si="1"/>
        <v>15</v>
      </c>
      <c r="K6" s="70">
        <v>3</v>
      </c>
      <c r="L6" s="70">
        <v>1</v>
      </c>
      <c r="M6" s="70">
        <v>0</v>
      </c>
      <c r="N6" s="70">
        <v>0</v>
      </c>
      <c r="O6" s="71">
        <f t="shared" si="2"/>
        <v>4</v>
      </c>
      <c r="P6" s="70">
        <v>2</v>
      </c>
      <c r="Q6" s="70">
        <v>0</v>
      </c>
      <c r="R6" s="70">
        <v>5</v>
      </c>
      <c r="S6" s="71">
        <f t="shared" si="3"/>
        <v>7</v>
      </c>
      <c r="T6" s="75">
        <v>0</v>
      </c>
      <c r="U6" s="75">
        <v>0</v>
      </c>
      <c r="V6" s="75">
        <v>0</v>
      </c>
      <c r="W6" s="75">
        <v>1</v>
      </c>
      <c r="X6" s="75">
        <v>0</v>
      </c>
      <c r="Y6" s="75">
        <v>0</v>
      </c>
      <c r="Z6" s="73">
        <v>19</v>
      </c>
      <c r="AA6" s="73">
        <v>0</v>
      </c>
      <c r="AB6" s="73">
        <v>0</v>
      </c>
      <c r="AC6" s="73">
        <v>0</v>
      </c>
      <c r="AD6" s="73">
        <f t="shared" si="4"/>
        <v>19</v>
      </c>
      <c r="AE6" s="73">
        <v>0</v>
      </c>
    </row>
    <row r="7" spans="1:31">
      <c r="A7" s="77" t="s">
        <v>3109</v>
      </c>
      <c r="B7" s="69">
        <v>3</v>
      </c>
      <c r="C7" s="69">
        <v>1</v>
      </c>
      <c r="D7" s="69">
        <v>0</v>
      </c>
      <c r="E7" s="69">
        <f t="shared" si="0"/>
        <v>4</v>
      </c>
      <c r="F7" s="70">
        <v>0</v>
      </c>
      <c r="G7" s="70">
        <v>0</v>
      </c>
      <c r="H7" s="70">
        <v>1</v>
      </c>
      <c r="I7" s="70">
        <v>0</v>
      </c>
      <c r="J7" s="71">
        <f t="shared" si="1"/>
        <v>1</v>
      </c>
      <c r="K7" s="70">
        <v>3</v>
      </c>
      <c r="L7" s="70">
        <v>0</v>
      </c>
      <c r="M7" s="70">
        <v>0</v>
      </c>
      <c r="N7" s="70">
        <v>0</v>
      </c>
      <c r="O7" s="71">
        <f t="shared" si="2"/>
        <v>3</v>
      </c>
      <c r="P7" s="70">
        <v>1</v>
      </c>
      <c r="Q7" s="70">
        <v>0</v>
      </c>
      <c r="R7" s="70">
        <v>1</v>
      </c>
      <c r="S7" s="71">
        <f t="shared" si="3"/>
        <v>2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3">
        <v>4</v>
      </c>
      <c r="AA7" s="73">
        <v>0</v>
      </c>
      <c r="AB7" s="73">
        <v>0</v>
      </c>
      <c r="AC7" s="73">
        <v>0</v>
      </c>
      <c r="AD7" s="73">
        <f t="shared" si="4"/>
        <v>4</v>
      </c>
      <c r="AE7" s="73">
        <v>0</v>
      </c>
    </row>
    <row r="8" spans="1:31">
      <c r="A8" s="78" t="s">
        <v>2944</v>
      </c>
      <c r="B8" s="79">
        <v>2</v>
      </c>
      <c r="C8" s="79">
        <v>0</v>
      </c>
      <c r="D8" s="79">
        <v>0</v>
      </c>
      <c r="E8" s="69">
        <f t="shared" si="0"/>
        <v>2</v>
      </c>
      <c r="F8" s="80">
        <v>0</v>
      </c>
      <c r="G8" s="80">
        <v>0</v>
      </c>
      <c r="H8" s="80">
        <v>0</v>
      </c>
      <c r="I8" s="80"/>
      <c r="J8" s="71">
        <f t="shared" si="1"/>
        <v>0</v>
      </c>
      <c r="K8" s="80">
        <v>1</v>
      </c>
      <c r="L8" s="80">
        <v>0</v>
      </c>
      <c r="M8" s="80">
        <v>0</v>
      </c>
      <c r="N8" s="80">
        <v>1</v>
      </c>
      <c r="O8" s="71">
        <f t="shared" si="2"/>
        <v>2</v>
      </c>
      <c r="P8" s="80">
        <v>0</v>
      </c>
      <c r="Q8" s="80">
        <v>0</v>
      </c>
      <c r="R8" s="80">
        <v>1</v>
      </c>
      <c r="S8" s="71">
        <f t="shared" si="3"/>
        <v>1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2">
        <v>2</v>
      </c>
      <c r="AA8" s="82">
        <v>0</v>
      </c>
      <c r="AB8" s="82">
        <v>0</v>
      </c>
      <c r="AC8" s="82">
        <v>0</v>
      </c>
      <c r="AD8" s="73">
        <f t="shared" si="4"/>
        <v>2</v>
      </c>
      <c r="AE8" s="82">
        <v>0</v>
      </c>
    </row>
    <row r="9" spans="1:31">
      <c r="A9" s="69" t="s">
        <v>376</v>
      </c>
      <c r="B9" s="69">
        <f>SUM(B3:B8)</f>
        <v>54</v>
      </c>
      <c r="C9" s="69">
        <f>SUM(C3:C8)</f>
        <v>6</v>
      </c>
      <c r="D9" s="69">
        <f>SUM(D3:D8)</f>
        <v>4</v>
      </c>
      <c r="E9" s="69">
        <f>SUM(E3:E8)</f>
        <v>64</v>
      </c>
      <c r="F9" s="69">
        <f>SUM(F3:F8)</f>
        <v>7</v>
      </c>
      <c r="G9" s="69"/>
      <c r="H9" s="69">
        <f>SUM(H3:H8)</f>
        <v>42</v>
      </c>
      <c r="I9" s="69">
        <f>SUM(I3:I8)</f>
        <v>0</v>
      </c>
      <c r="J9" s="71">
        <f t="shared" si="1"/>
        <v>49</v>
      </c>
      <c r="K9" s="114">
        <f>SUM(K3:K8)</f>
        <v>8</v>
      </c>
      <c r="L9" s="114">
        <f>SUM(L3:L8)</f>
        <v>4</v>
      </c>
      <c r="M9" s="114">
        <f>SUM(M3:M8)</f>
        <v>0</v>
      </c>
      <c r="N9" s="114">
        <f>SUM(N3:N8)</f>
        <v>1</v>
      </c>
      <c r="O9" s="71">
        <f t="shared" si="2"/>
        <v>13</v>
      </c>
      <c r="P9" s="114">
        <f t="shared" ref="P9:AE9" si="5">SUM(P3:P8)</f>
        <v>9</v>
      </c>
      <c r="Q9" s="114">
        <f t="shared" si="5"/>
        <v>0</v>
      </c>
      <c r="R9" s="114">
        <f t="shared" si="5"/>
        <v>13</v>
      </c>
      <c r="S9" s="71">
        <f t="shared" si="5"/>
        <v>22</v>
      </c>
      <c r="T9" s="114">
        <f t="shared" si="5"/>
        <v>0</v>
      </c>
      <c r="U9" s="114">
        <f t="shared" si="5"/>
        <v>0</v>
      </c>
      <c r="V9" s="114">
        <f t="shared" si="5"/>
        <v>0</v>
      </c>
      <c r="W9" s="114">
        <f t="shared" si="5"/>
        <v>4</v>
      </c>
      <c r="X9" s="114">
        <f t="shared" si="5"/>
        <v>0</v>
      </c>
      <c r="Y9" s="114">
        <f t="shared" si="5"/>
        <v>0</v>
      </c>
      <c r="Z9" s="73">
        <f t="shared" si="5"/>
        <v>64</v>
      </c>
      <c r="AA9" s="73">
        <f t="shared" si="5"/>
        <v>0</v>
      </c>
      <c r="AB9" s="73">
        <f t="shared" si="5"/>
        <v>0</v>
      </c>
      <c r="AC9" s="73">
        <f t="shared" si="5"/>
        <v>0</v>
      </c>
      <c r="AD9" s="73">
        <f t="shared" si="5"/>
        <v>64</v>
      </c>
      <c r="AE9" s="73">
        <f t="shared" si="5"/>
        <v>0</v>
      </c>
    </row>
  </sheetData>
  <mergeCells count="6">
    <mergeCell ref="Z1:AD1"/>
    <mergeCell ref="A1:A2"/>
    <mergeCell ref="B1:E1"/>
    <mergeCell ref="K1:O1"/>
    <mergeCell ref="P1:S1"/>
    <mergeCell ref="T1:Y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82"/>
  <sheetViews>
    <sheetView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ColWidth="14.42578125" defaultRowHeight="15" customHeight="1"/>
  <cols>
    <col min="1" max="1" width="9.42578125" customWidth="1"/>
    <col min="2" max="2" width="21.42578125" customWidth="1"/>
    <col min="3" max="3" width="9.42578125" customWidth="1"/>
    <col min="5" max="5" width="16.28515625" customWidth="1"/>
  </cols>
  <sheetData>
    <row r="1" spans="1:99">
      <c r="A1" s="479" t="s">
        <v>3110</v>
      </c>
      <c r="B1" s="480"/>
      <c r="C1" s="479" t="s">
        <v>3111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>
      <c r="A4" s="46" t="s">
        <v>2086</v>
      </c>
      <c r="B4" s="46" t="s">
        <v>3112</v>
      </c>
      <c r="C4" s="46">
        <v>40</v>
      </c>
      <c r="D4" s="46" t="s">
        <v>3113</v>
      </c>
      <c r="E4" s="46" t="s">
        <v>3114</v>
      </c>
      <c r="F4" s="46" t="s">
        <v>2523</v>
      </c>
      <c r="G4" s="46">
        <v>1</v>
      </c>
      <c r="O4" s="46">
        <v>1</v>
      </c>
      <c r="Q4" s="46">
        <v>1</v>
      </c>
      <c r="U4" s="46">
        <v>1</v>
      </c>
      <c r="W4" s="46">
        <v>11</v>
      </c>
      <c r="X4" s="46">
        <v>10</v>
      </c>
      <c r="Y4" s="46">
        <v>20</v>
      </c>
      <c r="Z4" s="46">
        <v>3</v>
      </c>
      <c r="AA4" s="46">
        <v>3</v>
      </c>
      <c r="AB4" s="46">
        <v>3</v>
      </c>
      <c r="AC4" s="46">
        <v>1</v>
      </c>
      <c r="AI4" s="46">
        <v>1</v>
      </c>
      <c r="AK4" s="46">
        <v>1</v>
      </c>
      <c r="AT4" s="46">
        <v>1</v>
      </c>
      <c r="AX4" s="46">
        <v>1</v>
      </c>
      <c r="BA4" s="46">
        <v>1</v>
      </c>
      <c r="BI4" s="46">
        <v>1</v>
      </c>
      <c r="CA4" s="46">
        <v>1</v>
      </c>
      <c r="CB4" s="139">
        <v>45569</v>
      </c>
      <c r="CJ4" s="46">
        <v>1</v>
      </c>
      <c r="CM4" s="46">
        <v>1</v>
      </c>
      <c r="CP4" s="46">
        <v>1</v>
      </c>
      <c r="CU4" s="46" t="s">
        <v>3115</v>
      </c>
    </row>
    <row r="5" spans="1:99">
      <c r="A5" s="46" t="s">
        <v>2090</v>
      </c>
      <c r="B5" s="46" t="s">
        <v>3116</v>
      </c>
      <c r="C5" s="46">
        <v>38</v>
      </c>
      <c r="D5" s="46" t="s">
        <v>3117</v>
      </c>
      <c r="E5" s="46" t="s">
        <v>3118</v>
      </c>
      <c r="F5" s="46" t="s">
        <v>2973</v>
      </c>
      <c r="G5" s="46">
        <v>1</v>
      </c>
      <c r="M5" s="46">
        <v>1</v>
      </c>
      <c r="R5" s="46">
        <v>1</v>
      </c>
      <c r="V5" s="46">
        <v>1</v>
      </c>
      <c r="W5" s="46">
        <v>10</v>
      </c>
      <c r="X5" s="46">
        <v>24</v>
      </c>
      <c r="Y5" s="46">
        <v>26</v>
      </c>
      <c r="Z5" s="46">
        <v>4</v>
      </c>
      <c r="AA5" s="46">
        <v>3</v>
      </c>
      <c r="AB5" s="46">
        <v>3</v>
      </c>
      <c r="AC5" s="46">
        <v>1</v>
      </c>
      <c r="AI5" s="46">
        <v>1</v>
      </c>
      <c r="AK5" s="46">
        <v>1</v>
      </c>
      <c r="AT5" s="46">
        <v>1</v>
      </c>
      <c r="AW5" s="46">
        <v>1</v>
      </c>
      <c r="BB5" s="46">
        <v>1</v>
      </c>
      <c r="BF5" s="46">
        <v>1</v>
      </c>
      <c r="BI5" s="46">
        <v>1</v>
      </c>
      <c r="BZ5" s="46">
        <v>1</v>
      </c>
      <c r="CC5" s="46">
        <v>1</v>
      </c>
      <c r="CP5" s="46">
        <v>1</v>
      </c>
      <c r="CU5" s="46" t="s">
        <v>3115</v>
      </c>
    </row>
    <row r="6" spans="1:99">
      <c r="A6" s="46" t="s">
        <v>2092</v>
      </c>
      <c r="B6" s="46" t="s">
        <v>3119</v>
      </c>
      <c r="C6" s="46">
        <v>34</v>
      </c>
      <c r="D6" s="46" t="s">
        <v>3120</v>
      </c>
      <c r="E6" s="46" t="s">
        <v>3121</v>
      </c>
      <c r="F6" s="46" t="s">
        <v>2523</v>
      </c>
      <c r="L6" s="46">
        <v>1</v>
      </c>
      <c r="Q6" s="46">
        <v>1</v>
      </c>
      <c r="V6" s="46">
        <v>1</v>
      </c>
      <c r="W6" s="46">
        <v>14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1</v>
      </c>
      <c r="AI6" s="46">
        <v>1</v>
      </c>
      <c r="AK6" s="46">
        <v>1</v>
      </c>
      <c r="AT6" s="46">
        <v>1</v>
      </c>
      <c r="AV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P6" s="46">
        <v>1</v>
      </c>
      <c r="CU6" s="46" t="s">
        <v>3115</v>
      </c>
    </row>
    <row r="7" spans="1:99">
      <c r="A7" s="46" t="s">
        <v>2095</v>
      </c>
      <c r="B7" s="46" t="s">
        <v>3122</v>
      </c>
      <c r="C7" s="46">
        <v>18</v>
      </c>
      <c r="D7" s="46" t="s">
        <v>3123</v>
      </c>
      <c r="E7" s="46" t="s">
        <v>3124</v>
      </c>
      <c r="F7" s="46" t="s">
        <v>2523</v>
      </c>
      <c r="H7" s="46">
        <v>1</v>
      </c>
      <c r="N7" s="46">
        <v>1</v>
      </c>
      <c r="Q7" s="46">
        <v>1</v>
      </c>
      <c r="U7" s="46">
        <v>1</v>
      </c>
      <c r="W7" s="46">
        <v>12</v>
      </c>
      <c r="X7" s="46">
        <v>14</v>
      </c>
      <c r="Y7" s="46">
        <v>17</v>
      </c>
      <c r="Z7" s="46">
        <v>1</v>
      </c>
      <c r="AA7" s="46">
        <v>1</v>
      </c>
      <c r="AB7" s="46">
        <v>1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P7" s="46">
        <v>1</v>
      </c>
      <c r="CU7" s="46" t="s">
        <v>3115</v>
      </c>
    </row>
    <row r="8" spans="1:99">
      <c r="A8" s="46" t="s">
        <v>2098</v>
      </c>
      <c r="B8" s="46" t="s">
        <v>3125</v>
      </c>
      <c r="C8" s="46">
        <v>22</v>
      </c>
      <c r="D8" s="46" t="s">
        <v>3113</v>
      </c>
      <c r="E8" s="46" t="s">
        <v>3126</v>
      </c>
      <c r="F8" s="46" t="s">
        <v>2523</v>
      </c>
      <c r="G8" s="46">
        <v>1</v>
      </c>
      <c r="L8" s="46">
        <v>1</v>
      </c>
      <c r="Q8" s="46">
        <v>1</v>
      </c>
      <c r="T8" s="46">
        <v>1</v>
      </c>
      <c r="W8" s="46">
        <v>12</v>
      </c>
      <c r="X8" s="46">
        <v>18</v>
      </c>
      <c r="Y8" s="46">
        <v>19</v>
      </c>
      <c r="Z8" s="46">
        <v>2</v>
      </c>
      <c r="AA8" s="46">
        <v>2</v>
      </c>
      <c r="AB8" s="46">
        <v>2</v>
      </c>
      <c r="AE8" s="46">
        <v>1</v>
      </c>
      <c r="AI8" s="46">
        <v>1</v>
      </c>
      <c r="AK8" s="46">
        <v>1</v>
      </c>
      <c r="AT8" s="46">
        <v>1</v>
      </c>
      <c r="AX8" s="46">
        <v>1</v>
      </c>
      <c r="BA8" s="46">
        <v>1</v>
      </c>
      <c r="BI8" s="46">
        <v>1</v>
      </c>
      <c r="BM8" s="46" t="s">
        <v>3127</v>
      </c>
      <c r="BW8" s="46">
        <v>1</v>
      </c>
      <c r="BZ8" s="46">
        <v>1</v>
      </c>
      <c r="CC8" s="46">
        <v>1</v>
      </c>
      <c r="CI8" s="46">
        <v>1</v>
      </c>
      <c r="CP8" s="46">
        <v>1</v>
      </c>
      <c r="CU8" s="46" t="s">
        <v>3115</v>
      </c>
    </row>
    <row r="9" spans="1:99">
      <c r="A9" s="46" t="s">
        <v>2101</v>
      </c>
      <c r="B9" s="46" t="s">
        <v>3128</v>
      </c>
      <c r="C9" s="46">
        <v>25</v>
      </c>
      <c r="D9" s="46" t="s">
        <v>3120</v>
      </c>
      <c r="E9" s="46" t="s">
        <v>3129</v>
      </c>
      <c r="F9" s="46" t="s">
        <v>3130</v>
      </c>
      <c r="G9" s="46">
        <v>1</v>
      </c>
      <c r="L9" s="46">
        <v>1</v>
      </c>
      <c r="R9" s="46">
        <v>1</v>
      </c>
      <c r="U9" s="46">
        <v>1</v>
      </c>
      <c r="W9" s="46">
        <v>12</v>
      </c>
      <c r="X9" s="46">
        <v>23</v>
      </c>
      <c r="Y9" s="46">
        <v>0</v>
      </c>
      <c r="Z9" s="46">
        <v>0</v>
      </c>
      <c r="AA9" s="46">
        <v>0</v>
      </c>
      <c r="AB9" s="46">
        <v>0</v>
      </c>
      <c r="AE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B9" s="46">
        <v>1</v>
      </c>
      <c r="BF9" s="46">
        <v>1</v>
      </c>
      <c r="BI9" s="46">
        <v>1</v>
      </c>
      <c r="BZ9" s="46">
        <v>1</v>
      </c>
      <c r="CC9" s="46">
        <v>1</v>
      </c>
      <c r="CI9" s="46">
        <v>1</v>
      </c>
      <c r="CP9" s="46">
        <v>1</v>
      </c>
      <c r="CU9" s="46" t="s">
        <v>3115</v>
      </c>
    </row>
    <row r="10" spans="1:99">
      <c r="A10" s="46" t="s">
        <v>2105</v>
      </c>
      <c r="B10" s="46" t="s">
        <v>3131</v>
      </c>
      <c r="C10" s="46">
        <v>48</v>
      </c>
      <c r="D10" s="46" t="s">
        <v>3132</v>
      </c>
      <c r="E10" s="46" t="s">
        <v>3133</v>
      </c>
      <c r="F10" s="46" t="s">
        <v>2523</v>
      </c>
      <c r="G10" s="46">
        <v>1</v>
      </c>
      <c r="L10" s="46">
        <v>1</v>
      </c>
      <c r="R10" s="46">
        <v>1</v>
      </c>
      <c r="V10" s="46">
        <v>1</v>
      </c>
      <c r="W10" s="46">
        <v>12</v>
      </c>
      <c r="X10" s="46">
        <v>24</v>
      </c>
      <c r="Y10" s="46">
        <v>24</v>
      </c>
      <c r="Z10" s="46">
        <v>4</v>
      </c>
      <c r="AA10" s="46">
        <v>4</v>
      </c>
      <c r="AB10" s="46">
        <v>3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  <c r="CI10" s="46">
        <v>1</v>
      </c>
      <c r="CP10" s="46">
        <v>1</v>
      </c>
      <c r="CU10" s="46" t="s">
        <v>3115</v>
      </c>
    </row>
    <row r="11" spans="1:99">
      <c r="A11" s="46" t="s">
        <v>2109</v>
      </c>
      <c r="B11" s="46" t="s">
        <v>3134</v>
      </c>
      <c r="C11" s="46">
        <v>30</v>
      </c>
      <c r="D11" s="46" t="s">
        <v>3135</v>
      </c>
      <c r="E11" s="46" t="s">
        <v>3136</v>
      </c>
      <c r="F11" s="46" t="s">
        <v>2472</v>
      </c>
      <c r="H11" s="46">
        <v>1</v>
      </c>
      <c r="M11" s="46">
        <v>1</v>
      </c>
      <c r="Q11" s="46">
        <v>1</v>
      </c>
      <c r="T11" s="46">
        <v>1</v>
      </c>
      <c r="W11" s="46">
        <v>15</v>
      </c>
      <c r="X11" s="46">
        <v>16</v>
      </c>
      <c r="Y11" s="46">
        <v>21</v>
      </c>
      <c r="Z11" s="46">
        <v>7</v>
      </c>
      <c r="AA11" s="46">
        <v>5</v>
      </c>
      <c r="AB11" s="46">
        <v>5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W11" s="46">
        <v>1</v>
      </c>
      <c r="CA11" s="46">
        <v>1</v>
      </c>
      <c r="CB11" s="46">
        <v>2022</v>
      </c>
      <c r="CC11" s="46">
        <v>1</v>
      </c>
      <c r="CI11" s="46">
        <v>1</v>
      </c>
      <c r="CP11" s="46">
        <v>1</v>
      </c>
      <c r="CU11" s="46" t="s">
        <v>3115</v>
      </c>
    </row>
    <row r="12" spans="1:99">
      <c r="A12" s="46" t="s">
        <v>2112</v>
      </c>
      <c r="B12" s="46" t="s">
        <v>3137</v>
      </c>
      <c r="C12" s="46">
        <v>24</v>
      </c>
      <c r="D12" s="46" t="s">
        <v>3138</v>
      </c>
      <c r="E12" s="46" t="s">
        <v>3139</v>
      </c>
      <c r="F12" s="46" t="s">
        <v>2484</v>
      </c>
      <c r="I12" s="46">
        <v>1</v>
      </c>
      <c r="N12" s="46">
        <v>1</v>
      </c>
      <c r="Q12" s="46">
        <v>1</v>
      </c>
      <c r="T12" s="46">
        <v>1</v>
      </c>
      <c r="W12" s="46">
        <v>17</v>
      </c>
      <c r="X12" s="46">
        <v>18</v>
      </c>
      <c r="Y12" s="46">
        <v>20</v>
      </c>
      <c r="Z12" s="46">
        <v>2</v>
      </c>
      <c r="AA12" s="46">
        <v>2</v>
      </c>
      <c r="AB12" s="46">
        <v>2</v>
      </c>
      <c r="AE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W12" s="46">
        <v>1</v>
      </c>
      <c r="BZ12" s="46">
        <v>1</v>
      </c>
      <c r="CC12" s="46">
        <v>1</v>
      </c>
      <c r="CI12" s="46">
        <v>1</v>
      </c>
      <c r="CP12" s="46">
        <v>1</v>
      </c>
      <c r="CU12" s="46" t="s">
        <v>3115</v>
      </c>
    </row>
    <row r="13" spans="1:99">
      <c r="A13" s="46" t="s">
        <v>2114</v>
      </c>
      <c r="B13" s="46" t="s">
        <v>3140</v>
      </c>
      <c r="C13" s="46">
        <v>43</v>
      </c>
      <c r="D13" s="46" t="s">
        <v>3141</v>
      </c>
      <c r="E13" s="46" t="s">
        <v>3142</v>
      </c>
      <c r="F13" s="46" t="s">
        <v>2523</v>
      </c>
      <c r="J13" s="46">
        <v>1</v>
      </c>
      <c r="P13" s="46">
        <v>1</v>
      </c>
      <c r="R13" s="46">
        <v>1</v>
      </c>
      <c r="T13" s="46">
        <v>1</v>
      </c>
      <c r="W13" s="46">
        <v>13</v>
      </c>
      <c r="X13" s="46">
        <v>15</v>
      </c>
      <c r="Y13" s="46">
        <v>16</v>
      </c>
      <c r="Z13" s="46">
        <v>10</v>
      </c>
      <c r="AA13" s="46">
        <v>10</v>
      </c>
      <c r="AB13" s="46">
        <v>8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P13" s="46">
        <v>1</v>
      </c>
      <c r="CU13" s="46" t="s">
        <v>3115</v>
      </c>
    </row>
    <row r="14" spans="1:99">
      <c r="A14" s="46" t="s">
        <v>2117</v>
      </c>
      <c r="B14" s="46" t="s">
        <v>3143</v>
      </c>
      <c r="C14" s="46">
        <v>44</v>
      </c>
      <c r="D14" s="46" t="s">
        <v>3144</v>
      </c>
      <c r="E14" s="46" t="s">
        <v>3145</v>
      </c>
      <c r="F14" s="46" t="s">
        <v>2523</v>
      </c>
      <c r="H14" s="46">
        <v>1</v>
      </c>
      <c r="M14" s="46">
        <v>1</v>
      </c>
      <c r="Q14" s="46">
        <v>1</v>
      </c>
      <c r="U14" s="46">
        <v>1</v>
      </c>
      <c r="W14" s="46">
        <v>13</v>
      </c>
      <c r="X14" s="46">
        <v>16</v>
      </c>
      <c r="Y14" s="46">
        <v>16</v>
      </c>
      <c r="Z14" s="46">
        <v>7</v>
      </c>
      <c r="AA14" s="46">
        <v>7</v>
      </c>
      <c r="AB14" s="46">
        <v>7</v>
      </c>
      <c r="AC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W14" s="46">
        <v>1</v>
      </c>
      <c r="BZ14" s="46">
        <v>1</v>
      </c>
      <c r="CC14" s="46">
        <v>1</v>
      </c>
      <c r="CP14" s="46">
        <v>1</v>
      </c>
      <c r="CU14" s="46" t="s">
        <v>3115</v>
      </c>
    </row>
    <row r="15" spans="1:99">
      <c r="A15" s="46" t="s">
        <v>2120</v>
      </c>
      <c r="B15" s="46" t="s">
        <v>3146</v>
      </c>
      <c r="C15" s="46">
        <v>30</v>
      </c>
      <c r="D15" s="46" t="s">
        <v>3135</v>
      </c>
      <c r="E15" s="46" t="s">
        <v>3147</v>
      </c>
      <c r="F15" s="46" t="s">
        <v>2523</v>
      </c>
      <c r="G15" s="46">
        <v>1</v>
      </c>
      <c r="M15" s="46">
        <v>1</v>
      </c>
      <c r="Q15" s="46">
        <v>1</v>
      </c>
      <c r="T15" s="46">
        <v>1</v>
      </c>
      <c r="W15" s="46">
        <v>16</v>
      </c>
      <c r="X15" s="46">
        <v>20</v>
      </c>
      <c r="Y15" s="46">
        <v>20</v>
      </c>
      <c r="Z15" s="46">
        <v>4</v>
      </c>
      <c r="AA15" s="46">
        <v>4</v>
      </c>
      <c r="AB15" s="46">
        <v>4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W15" s="46">
        <v>1</v>
      </c>
      <c r="BZ15" s="46">
        <v>1</v>
      </c>
      <c r="CC15" s="46">
        <v>1</v>
      </c>
      <c r="CI15" s="46">
        <v>1</v>
      </c>
      <c r="CP15" s="46">
        <v>1</v>
      </c>
      <c r="CU15" s="46" t="s">
        <v>3115</v>
      </c>
    </row>
    <row r="16" spans="1:99">
      <c r="A16" s="46" t="s">
        <v>2123</v>
      </c>
      <c r="B16" s="46" t="s">
        <v>3148</v>
      </c>
      <c r="C16" s="46">
        <v>43</v>
      </c>
      <c r="D16" s="46" t="s">
        <v>3120</v>
      </c>
      <c r="E16" s="46" t="s">
        <v>3149</v>
      </c>
      <c r="F16" s="46" t="s">
        <v>2523</v>
      </c>
      <c r="H16" s="46">
        <v>1</v>
      </c>
      <c r="M16" s="46">
        <v>1</v>
      </c>
      <c r="R16" s="46">
        <v>1</v>
      </c>
      <c r="T16" s="46">
        <v>1</v>
      </c>
      <c r="W16" s="46">
        <v>14</v>
      </c>
      <c r="X16" s="46">
        <v>17</v>
      </c>
      <c r="Y16" s="46">
        <v>18</v>
      </c>
      <c r="Z16" s="46">
        <v>9</v>
      </c>
      <c r="AA16" s="46">
        <v>8</v>
      </c>
      <c r="AB16" s="46">
        <v>7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W16" s="46">
        <v>1</v>
      </c>
      <c r="BZ16" s="46">
        <v>1</v>
      </c>
      <c r="CC16" s="46">
        <v>1</v>
      </c>
      <c r="CI16" s="46">
        <v>1</v>
      </c>
      <c r="CP16" s="46">
        <v>1</v>
      </c>
      <c r="CU16" s="46" t="s">
        <v>3115</v>
      </c>
    </row>
    <row r="17" spans="1:99">
      <c r="A17" s="46" t="s">
        <v>2125</v>
      </c>
      <c r="B17" s="46" t="s">
        <v>3150</v>
      </c>
      <c r="C17" s="46">
        <v>35</v>
      </c>
      <c r="D17" s="46" t="s">
        <v>3113</v>
      </c>
      <c r="E17" s="46" t="s">
        <v>3151</v>
      </c>
      <c r="F17" s="46" t="s">
        <v>2523</v>
      </c>
      <c r="G17" s="46">
        <v>1</v>
      </c>
      <c r="M17" s="46">
        <v>1</v>
      </c>
      <c r="Q17" s="46">
        <v>1</v>
      </c>
      <c r="T17" s="46">
        <v>1</v>
      </c>
      <c r="W17" s="46">
        <v>13</v>
      </c>
      <c r="X17" s="46">
        <v>18</v>
      </c>
      <c r="Y17" s="46">
        <v>18</v>
      </c>
      <c r="Z17" s="46">
        <v>5</v>
      </c>
      <c r="AA17" s="46">
        <v>5</v>
      </c>
      <c r="AB17" s="46">
        <v>5</v>
      </c>
      <c r="AE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W17" s="46">
        <v>1</v>
      </c>
      <c r="BZ17" s="46">
        <v>1</v>
      </c>
      <c r="CC17" s="46">
        <v>1</v>
      </c>
      <c r="CI17" s="46">
        <v>1</v>
      </c>
      <c r="CP17" s="46">
        <v>1</v>
      </c>
      <c r="CU17" s="46" t="s">
        <v>3115</v>
      </c>
    </row>
    <row r="18" spans="1:99">
      <c r="A18" s="46" t="s">
        <v>2128</v>
      </c>
      <c r="B18" s="46" t="s">
        <v>3152</v>
      </c>
      <c r="C18" s="46">
        <v>45</v>
      </c>
      <c r="D18" s="46" t="s">
        <v>3123</v>
      </c>
      <c r="E18" s="46" t="s">
        <v>191</v>
      </c>
      <c r="F18" s="46" t="s">
        <v>2523</v>
      </c>
      <c r="G18" s="46">
        <v>1</v>
      </c>
      <c r="M18" s="46">
        <v>1</v>
      </c>
      <c r="R18" s="46">
        <v>1</v>
      </c>
      <c r="T18" s="46">
        <v>1</v>
      </c>
      <c r="W18" s="46">
        <v>16</v>
      </c>
      <c r="X18" s="46">
        <v>18</v>
      </c>
      <c r="Y18" s="46">
        <v>18</v>
      </c>
      <c r="Z18" s="46">
        <v>6</v>
      </c>
      <c r="AA18" s="46">
        <v>6</v>
      </c>
      <c r="AB18" s="46">
        <v>5</v>
      </c>
      <c r="AD18" s="46">
        <v>1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W18" s="46">
        <v>1</v>
      </c>
      <c r="BZ18" s="46">
        <v>1</v>
      </c>
      <c r="CC18" s="46">
        <v>1</v>
      </c>
      <c r="CI18" s="46">
        <v>1</v>
      </c>
      <c r="CP18" s="46">
        <v>1</v>
      </c>
      <c r="CU18" s="46" t="s">
        <v>3115</v>
      </c>
    </row>
    <row r="19" spans="1:99">
      <c r="A19" s="46" t="s">
        <v>2131</v>
      </c>
      <c r="B19" s="46" t="s">
        <v>3153</v>
      </c>
      <c r="C19" s="46">
        <v>23</v>
      </c>
      <c r="D19" s="46" t="s">
        <v>322</v>
      </c>
      <c r="E19" s="46" t="s">
        <v>3154</v>
      </c>
      <c r="F19" s="46" t="s">
        <v>2523</v>
      </c>
      <c r="J19" s="46">
        <v>1</v>
      </c>
      <c r="M19" s="46">
        <v>1</v>
      </c>
      <c r="Q19" s="46">
        <v>1</v>
      </c>
      <c r="U19" s="46">
        <v>1</v>
      </c>
      <c r="W19" s="46">
        <v>13</v>
      </c>
      <c r="X19" s="46">
        <v>18</v>
      </c>
      <c r="Y19" s="46">
        <v>20</v>
      </c>
      <c r="Z19" s="46">
        <v>2</v>
      </c>
      <c r="AA19" s="46">
        <v>2</v>
      </c>
      <c r="AB19" s="46">
        <v>2</v>
      </c>
      <c r="AE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B19" s="46">
        <v>1</v>
      </c>
      <c r="BF19" s="46">
        <v>1</v>
      </c>
      <c r="BI19" s="46">
        <v>1</v>
      </c>
      <c r="BW19" s="46">
        <v>1</v>
      </c>
      <c r="BZ19" s="46">
        <v>1</v>
      </c>
      <c r="CC19" s="46">
        <v>1</v>
      </c>
      <c r="CI19" s="46">
        <v>1</v>
      </c>
      <c r="CP19" s="46">
        <v>1</v>
      </c>
      <c r="CU19" s="46" t="s">
        <v>3115</v>
      </c>
    </row>
    <row r="20" spans="1:99">
      <c r="A20" s="46" t="s">
        <v>3155</v>
      </c>
      <c r="B20" s="46" t="s">
        <v>3156</v>
      </c>
      <c r="C20" s="46">
        <v>24</v>
      </c>
      <c r="D20" s="46" t="s">
        <v>3157</v>
      </c>
      <c r="E20" s="46" t="s">
        <v>3158</v>
      </c>
      <c r="F20" s="46" t="s">
        <v>2484</v>
      </c>
      <c r="H20" s="46">
        <v>1</v>
      </c>
      <c r="M20" s="46">
        <v>1</v>
      </c>
      <c r="Q20" s="46">
        <v>1</v>
      </c>
      <c r="T20" s="46">
        <v>1</v>
      </c>
      <c r="W20" s="46">
        <v>15</v>
      </c>
      <c r="X20" s="46">
        <v>16</v>
      </c>
      <c r="Y20" s="46">
        <v>19</v>
      </c>
      <c r="Z20" s="46">
        <v>4</v>
      </c>
      <c r="AA20" s="46">
        <v>3</v>
      </c>
      <c r="AB20" s="46">
        <v>3</v>
      </c>
      <c r="AE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I20" s="46">
        <v>1</v>
      </c>
      <c r="CP20" s="46">
        <v>1</v>
      </c>
      <c r="CU20" s="46" t="s">
        <v>3115</v>
      </c>
    </row>
    <row r="21" spans="1:99">
      <c r="A21" s="46" t="s">
        <v>2138</v>
      </c>
      <c r="B21" s="46" t="s">
        <v>3159</v>
      </c>
      <c r="C21" s="46">
        <v>30</v>
      </c>
      <c r="D21" s="46" t="s">
        <v>3117</v>
      </c>
      <c r="E21" s="46" t="s">
        <v>3160</v>
      </c>
      <c r="F21" s="46" t="s">
        <v>145</v>
      </c>
      <c r="H21" s="46">
        <v>1</v>
      </c>
      <c r="N21" s="46">
        <v>1</v>
      </c>
      <c r="Q21" s="46">
        <v>1</v>
      </c>
      <c r="T21" s="46">
        <v>1</v>
      </c>
      <c r="W21" s="46">
        <v>19</v>
      </c>
      <c r="X21" s="46">
        <v>20</v>
      </c>
      <c r="Y21" s="46">
        <v>24</v>
      </c>
      <c r="Z21" s="46">
        <v>3</v>
      </c>
      <c r="AA21" s="46">
        <v>3</v>
      </c>
      <c r="AB21" s="46">
        <v>3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P21" s="46">
        <v>1</v>
      </c>
      <c r="CU21" s="46" t="s">
        <v>3115</v>
      </c>
    </row>
    <row r="22" spans="1:99">
      <c r="A22" s="46" t="s">
        <v>2141</v>
      </c>
      <c r="B22" s="46" t="s">
        <v>3161</v>
      </c>
      <c r="C22" s="46">
        <v>39</v>
      </c>
      <c r="D22" s="46" t="s">
        <v>3141</v>
      </c>
      <c r="E22" s="46" t="s">
        <v>3162</v>
      </c>
      <c r="F22" s="46" t="s">
        <v>3067</v>
      </c>
      <c r="H22" s="46">
        <v>1</v>
      </c>
      <c r="M22" s="46">
        <v>1</v>
      </c>
      <c r="R22" s="46">
        <v>1</v>
      </c>
      <c r="T22" s="46">
        <v>1</v>
      </c>
      <c r="W22" s="46">
        <v>16</v>
      </c>
      <c r="X22" s="46">
        <v>17</v>
      </c>
      <c r="Y22" s="46">
        <v>18</v>
      </c>
      <c r="Z22" s="46">
        <v>6</v>
      </c>
      <c r="AA22" s="46">
        <v>6</v>
      </c>
      <c r="AB22" s="46">
        <v>6</v>
      </c>
      <c r="AE22" s="46">
        <v>1</v>
      </c>
      <c r="AG22" s="46">
        <v>1</v>
      </c>
      <c r="AH22" s="46">
        <v>1</v>
      </c>
      <c r="AJ22" s="46">
        <v>1</v>
      </c>
      <c r="AL22" s="46">
        <v>1</v>
      </c>
      <c r="AO22" s="46">
        <v>1</v>
      </c>
      <c r="AQ22" s="46" t="s">
        <v>251</v>
      </c>
      <c r="AR22" s="169">
        <v>45352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P22" s="46">
        <v>1</v>
      </c>
      <c r="CU22" s="46" t="s">
        <v>3115</v>
      </c>
    </row>
    <row r="23" spans="1:99">
      <c r="A23" s="46" t="s">
        <v>2144</v>
      </c>
      <c r="B23" s="46" t="s">
        <v>3163</v>
      </c>
      <c r="C23" s="46">
        <v>29</v>
      </c>
      <c r="D23" s="46" t="s">
        <v>3164</v>
      </c>
      <c r="E23" s="46" t="s">
        <v>3165</v>
      </c>
      <c r="F23" s="46" t="s">
        <v>2523</v>
      </c>
      <c r="H23" s="46">
        <v>1</v>
      </c>
      <c r="M23" s="46">
        <v>1</v>
      </c>
      <c r="Q23" s="46">
        <v>1</v>
      </c>
      <c r="U23" s="46">
        <v>1</v>
      </c>
      <c r="W23" s="46">
        <v>13</v>
      </c>
      <c r="X23" s="46">
        <v>16</v>
      </c>
      <c r="Y23" s="46">
        <v>17</v>
      </c>
      <c r="Z23" s="46">
        <v>4</v>
      </c>
      <c r="AA23" s="46">
        <v>4</v>
      </c>
      <c r="AB23" s="46">
        <v>4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U23" s="46" t="s">
        <v>3115</v>
      </c>
    </row>
    <row r="24" spans="1:99">
      <c r="A24" s="46" t="s">
        <v>2147</v>
      </c>
      <c r="B24" s="46" t="s">
        <v>3166</v>
      </c>
      <c r="C24" s="46">
        <v>25</v>
      </c>
      <c r="D24" s="46" t="s">
        <v>3120</v>
      </c>
      <c r="E24" s="46" t="s">
        <v>3167</v>
      </c>
      <c r="F24" s="46" t="s">
        <v>2523</v>
      </c>
      <c r="I24" s="46">
        <v>1</v>
      </c>
      <c r="M24" s="46">
        <v>1</v>
      </c>
      <c r="Q24" s="46">
        <v>1</v>
      </c>
      <c r="U24" s="46">
        <v>1</v>
      </c>
      <c r="W24" s="46">
        <v>14</v>
      </c>
      <c r="X24" s="46">
        <v>18</v>
      </c>
      <c r="Y24" s="46">
        <v>22</v>
      </c>
      <c r="Z24" s="46">
        <v>1</v>
      </c>
      <c r="AA24" s="46">
        <v>1</v>
      </c>
      <c r="AB24" s="46">
        <v>1</v>
      </c>
      <c r="AE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P24" s="46">
        <v>1</v>
      </c>
      <c r="CU24" s="46" t="s">
        <v>3115</v>
      </c>
    </row>
    <row r="25" spans="1:99">
      <c r="A25" s="46" t="s">
        <v>2150</v>
      </c>
      <c r="B25" s="46" t="s">
        <v>3168</v>
      </c>
      <c r="C25" s="46">
        <v>28</v>
      </c>
      <c r="D25" s="46" t="s">
        <v>3120</v>
      </c>
      <c r="E25" s="46" t="s">
        <v>3169</v>
      </c>
      <c r="F25" s="46" t="s">
        <v>2523</v>
      </c>
      <c r="H25" s="46">
        <v>1</v>
      </c>
      <c r="M25" s="46">
        <v>1</v>
      </c>
      <c r="Q25" s="46">
        <v>1</v>
      </c>
      <c r="V25" s="46">
        <v>1</v>
      </c>
      <c r="W25" s="46">
        <v>14</v>
      </c>
      <c r="X25" s="46">
        <v>20</v>
      </c>
      <c r="Y25" s="46">
        <v>0</v>
      </c>
      <c r="Z25" s="46">
        <v>0</v>
      </c>
      <c r="AA25" s="46">
        <v>0</v>
      </c>
      <c r="AB25" s="46">
        <v>0</v>
      </c>
      <c r="AE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P25" s="46">
        <v>1</v>
      </c>
      <c r="CU25" s="46" t="s">
        <v>3115</v>
      </c>
    </row>
    <row r="26" spans="1:99">
      <c r="A26" s="46" t="s">
        <v>2153</v>
      </c>
      <c r="B26" s="46" t="s">
        <v>3170</v>
      </c>
      <c r="C26" s="46">
        <v>23</v>
      </c>
      <c r="D26" s="46" t="s">
        <v>3171</v>
      </c>
      <c r="E26" s="46" t="s">
        <v>3172</v>
      </c>
      <c r="F26" s="46" t="s">
        <v>3173</v>
      </c>
      <c r="G26" s="46">
        <v>1</v>
      </c>
      <c r="L26" s="46">
        <v>1</v>
      </c>
      <c r="Q26" s="46">
        <v>1</v>
      </c>
      <c r="U26" s="46">
        <v>1</v>
      </c>
      <c r="W26" s="46">
        <v>15</v>
      </c>
      <c r="X26" s="46">
        <v>21</v>
      </c>
      <c r="Y26" s="46">
        <v>22</v>
      </c>
      <c r="Z26" s="46">
        <v>1</v>
      </c>
      <c r="AA26" s="46">
        <v>1</v>
      </c>
      <c r="AB26" s="46">
        <v>1</v>
      </c>
      <c r="AE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P26" s="46">
        <v>1</v>
      </c>
      <c r="CU26" s="46" t="s">
        <v>3115</v>
      </c>
    </row>
    <row r="27" spans="1:99">
      <c r="A27" s="46" t="s">
        <v>2156</v>
      </c>
      <c r="B27" s="46" t="s">
        <v>3174</v>
      </c>
      <c r="C27" s="46">
        <v>43</v>
      </c>
      <c r="D27" s="46" t="s">
        <v>3175</v>
      </c>
      <c r="E27" s="46" t="s">
        <v>3176</v>
      </c>
      <c r="F27" s="46" t="s">
        <v>2574</v>
      </c>
      <c r="G27" s="46">
        <v>1</v>
      </c>
      <c r="M27" s="46">
        <v>1</v>
      </c>
      <c r="Q27" s="46">
        <v>1</v>
      </c>
      <c r="T27" s="46">
        <v>1</v>
      </c>
      <c r="W27" s="46">
        <v>12</v>
      </c>
      <c r="X27" s="46">
        <v>15</v>
      </c>
      <c r="Y27" s="46">
        <v>25</v>
      </c>
      <c r="Z27" s="46">
        <v>6</v>
      </c>
      <c r="AA27" s="46">
        <v>6</v>
      </c>
      <c r="AB27" s="46">
        <v>6</v>
      </c>
      <c r="AC27" s="46">
        <v>1</v>
      </c>
      <c r="AJ27" s="46">
        <v>1</v>
      </c>
      <c r="AL27" s="46">
        <v>1</v>
      </c>
      <c r="AQ27" s="46" t="s">
        <v>251</v>
      </c>
      <c r="AR27" s="140">
        <v>45078</v>
      </c>
      <c r="AT27" s="46">
        <v>1</v>
      </c>
      <c r="AX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U27" s="46" t="s">
        <v>3115</v>
      </c>
    </row>
    <row r="28" spans="1:99">
      <c r="A28" s="46" t="s">
        <v>2159</v>
      </c>
      <c r="B28" s="46" t="s">
        <v>3177</v>
      </c>
      <c r="C28" s="46">
        <v>32</v>
      </c>
      <c r="D28" s="46" t="s">
        <v>3178</v>
      </c>
      <c r="E28" s="46" t="s">
        <v>3179</v>
      </c>
      <c r="F28" s="46" t="s">
        <v>2523</v>
      </c>
      <c r="G28" s="46">
        <v>1</v>
      </c>
      <c r="M28" s="46">
        <v>1</v>
      </c>
      <c r="Q28" s="46">
        <v>1</v>
      </c>
      <c r="V28" s="46">
        <v>1</v>
      </c>
      <c r="W28" s="46">
        <v>13</v>
      </c>
      <c r="X28" s="46">
        <v>20</v>
      </c>
      <c r="Y28" s="46">
        <v>20</v>
      </c>
      <c r="Z28" s="46">
        <v>3</v>
      </c>
      <c r="AA28" s="46">
        <v>4</v>
      </c>
      <c r="AB28" s="46">
        <v>4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W28" s="46">
        <v>1</v>
      </c>
      <c r="BZ28" s="46">
        <v>1</v>
      </c>
      <c r="CC28" s="46">
        <v>1</v>
      </c>
      <c r="CI28" s="46">
        <v>1</v>
      </c>
      <c r="CP28" s="46">
        <v>1</v>
      </c>
      <c r="CU28" s="46" t="s">
        <v>3115</v>
      </c>
    </row>
    <row r="29" spans="1:99">
      <c r="A29" s="46" t="s">
        <v>2162</v>
      </c>
      <c r="B29" s="46" t="s">
        <v>3180</v>
      </c>
      <c r="C29" s="46">
        <v>54</v>
      </c>
      <c r="D29" s="46" t="s">
        <v>3123</v>
      </c>
      <c r="E29" s="46" t="s">
        <v>3181</v>
      </c>
      <c r="F29" s="46" t="s">
        <v>477</v>
      </c>
      <c r="G29" s="46">
        <v>1</v>
      </c>
      <c r="O29" s="46">
        <v>1</v>
      </c>
      <c r="Q29" s="46">
        <v>1</v>
      </c>
      <c r="T29" s="46">
        <v>1</v>
      </c>
      <c r="W29" s="46">
        <v>14</v>
      </c>
      <c r="X29" s="46">
        <v>18</v>
      </c>
      <c r="Y29" s="46">
        <v>18</v>
      </c>
      <c r="Z29" s="46">
        <v>5</v>
      </c>
      <c r="AA29" s="46">
        <v>1</v>
      </c>
      <c r="AB29" s="46">
        <v>1</v>
      </c>
      <c r="AH29" s="46">
        <v>1</v>
      </c>
      <c r="AI29" s="46">
        <v>1</v>
      </c>
      <c r="AK29" s="46">
        <v>1</v>
      </c>
      <c r="AT29" s="46">
        <v>1</v>
      </c>
      <c r="AY29" s="46">
        <v>1</v>
      </c>
      <c r="BA29" s="46">
        <v>1</v>
      </c>
      <c r="BI29" s="46">
        <v>1</v>
      </c>
      <c r="BW29" s="46">
        <v>1</v>
      </c>
      <c r="BZ29" s="46">
        <v>1</v>
      </c>
      <c r="CC29" s="46">
        <v>1</v>
      </c>
      <c r="CI29" s="46">
        <v>1</v>
      </c>
      <c r="CP29" s="46">
        <v>1</v>
      </c>
      <c r="CU29" s="46" t="s">
        <v>3115</v>
      </c>
    </row>
    <row r="30" spans="1:99">
      <c r="A30" s="46" t="s">
        <v>2165</v>
      </c>
      <c r="B30" s="46" t="s">
        <v>3182</v>
      </c>
      <c r="C30" s="46">
        <v>47</v>
      </c>
      <c r="D30" s="46" t="s">
        <v>3183</v>
      </c>
      <c r="E30" s="46" t="s">
        <v>3184</v>
      </c>
      <c r="F30" s="46" t="s">
        <v>2523</v>
      </c>
      <c r="H30" s="46">
        <v>1</v>
      </c>
      <c r="L30" s="46">
        <v>1</v>
      </c>
      <c r="R30" s="46">
        <v>1</v>
      </c>
      <c r="V30" s="46">
        <v>1</v>
      </c>
      <c r="W30" s="46">
        <v>13</v>
      </c>
      <c r="X30" s="46">
        <v>16</v>
      </c>
      <c r="Y30" s="46">
        <v>16</v>
      </c>
      <c r="Z30" s="46">
        <v>5</v>
      </c>
      <c r="AA30" s="46">
        <v>5</v>
      </c>
      <c r="AB30" s="46">
        <v>5</v>
      </c>
      <c r="AC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W30" s="46">
        <v>1</v>
      </c>
      <c r="BZ30" s="46">
        <v>1</v>
      </c>
      <c r="CC30" s="46">
        <v>1</v>
      </c>
      <c r="CI30" s="46">
        <v>1</v>
      </c>
      <c r="CP30" s="46">
        <v>1</v>
      </c>
      <c r="CU30" s="46" t="s">
        <v>3115</v>
      </c>
    </row>
    <row r="31" spans="1:99">
      <c r="A31" s="46" t="s">
        <v>2168</v>
      </c>
      <c r="B31" s="46" t="s">
        <v>3185</v>
      </c>
      <c r="C31" s="46">
        <v>35</v>
      </c>
      <c r="D31" s="46" t="s">
        <v>3120</v>
      </c>
      <c r="E31" s="46" t="s">
        <v>3186</v>
      </c>
      <c r="F31" s="46" t="s">
        <v>2523</v>
      </c>
      <c r="G31" s="46">
        <v>1</v>
      </c>
      <c r="M31" s="46">
        <v>1</v>
      </c>
      <c r="R31" s="46">
        <v>1</v>
      </c>
      <c r="U31" s="46">
        <v>1</v>
      </c>
      <c r="W31" s="46">
        <v>15</v>
      </c>
      <c r="X31" s="46">
        <v>16</v>
      </c>
      <c r="Y31" s="46">
        <v>17</v>
      </c>
      <c r="Z31" s="46">
        <v>5</v>
      </c>
      <c r="AA31" s="46">
        <v>5</v>
      </c>
      <c r="AB31" s="46">
        <v>5</v>
      </c>
      <c r="AC31" s="46">
        <v>1</v>
      </c>
      <c r="AJ31" s="46">
        <v>1</v>
      </c>
      <c r="AL31" s="46">
        <v>1</v>
      </c>
      <c r="AQ31" s="46" t="s">
        <v>251</v>
      </c>
      <c r="AR31" s="140">
        <v>45017</v>
      </c>
      <c r="AT31" s="46">
        <v>1</v>
      </c>
      <c r="AX31" s="46">
        <v>1</v>
      </c>
      <c r="BB31" s="46">
        <v>1</v>
      </c>
      <c r="BF31" s="46">
        <v>1</v>
      </c>
      <c r="BI31" s="46">
        <v>1</v>
      </c>
      <c r="BW31" s="46">
        <v>1</v>
      </c>
      <c r="BZ31" s="46">
        <v>1</v>
      </c>
      <c r="CC31" s="46">
        <v>1</v>
      </c>
      <c r="CI31" s="46">
        <v>1</v>
      </c>
      <c r="CP31" s="46">
        <v>1</v>
      </c>
      <c r="CU31" s="46" t="s">
        <v>3115</v>
      </c>
    </row>
    <row r="32" spans="1:99">
      <c r="A32" s="46" t="s">
        <v>2171</v>
      </c>
      <c r="B32" s="46" t="s">
        <v>3187</v>
      </c>
      <c r="C32" s="46">
        <v>25</v>
      </c>
      <c r="D32" s="46" t="s">
        <v>3188</v>
      </c>
      <c r="E32" s="46" t="s">
        <v>3189</v>
      </c>
      <c r="F32" s="46" t="s">
        <v>3067</v>
      </c>
      <c r="H32" s="46">
        <v>1</v>
      </c>
      <c r="M32" s="46">
        <v>1</v>
      </c>
      <c r="R32" s="46">
        <v>1</v>
      </c>
      <c r="T32" s="46">
        <v>1</v>
      </c>
      <c r="W32" s="46">
        <v>13</v>
      </c>
      <c r="X32" s="46">
        <v>19</v>
      </c>
      <c r="Y32" s="46">
        <v>24</v>
      </c>
      <c r="Z32" s="46">
        <v>1</v>
      </c>
      <c r="AA32" s="46">
        <v>1</v>
      </c>
      <c r="AB32" s="46">
        <v>1</v>
      </c>
      <c r="AD32" s="46">
        <v>1</v>
      </c>
      <c r="AI32" s="46">
        <v>1</v>
      </c>
      <c r="AK32" s="46">
        <v>1</v>
      </c>
      <c r="AT32" s="46">
        <v>1</v>
      </c>
      <c r="AW32" s="46">
        <v>1</v>
      </c>
      <c r="BB32" s="46">
        <v>1</v>
      </c>
      <c r="BF32" s="46">
        <v>1</v>
      </c>
      <c r="BI32" s="46">
        <v>1</v>
      </c>
      <c r="BW32" s="46">
        <v>1</v>
      </c>
      <c r="BZ32" s="46">
        <v>1</v>
      </c>
      <c r="CC32" s="46">
        <v>1</v>
      </c>
      <c r="CI32" s="46">
        <v>1</v>
      </c>
      <c r="CP32" s="46">
        <v>1</v>
      </c>
      <c r="CU32" s="46" t="s">
        <v>3115</v>
      </c>
    </row>
    <row r="33" spans="1:99">
      <c r="A33" s="46" t="s">
        <v>2174</v>
      </c>
      <c r="B33" s="46" t="s">
        <v>3190</v>
      </c>
      <c r="C33" s="46">
        <v>40</v>
      </c>
      <c r="D33" s="46" t="s">
        <v>3135</v>
      </c>
      <c r="E33" s="46" t="s">
        <v>3191</v>
      </c>
      <c r="F33" s="46" t="s">
        <v>2523</v>
      </c>
      <c r="H33" s="46">
        <v>1</v>
      </c>
      <c r="M33" s="46">
        <v>1</v>
      </c>
      <c r="Q33" s="46">
        <v>1</v>
      </c>
      <c r="T33" s="46">
        <v>1</v>
      </c>
      <c r="W33" s="46">
        <v>14</v>
      </c>
      <c r="X33" s="46">
        <v>18</v>
      </c>
      <c r="Y33" s="46">
        <v>21</v>
      </c>
      <c r="Z33" s="46">
        <v>8</v>
      </c>
      <c r="AA33" s="46">
        <v>8</v>
      </c>
      <c r="AB33" s="46">
        <v>8</v>
      </c>
      <c r="AC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W33" s="46">
        <v>1</v>
      </c>
      <c r="BZ33" s="46">
        <v>1</v>
      </c>
      <c r="CC33" s="46">
        <v>1</v>
      </c>
      <c r="CI33" s="46">
        <v>1</v>
      </c>
      <c r="CP33" s="46">
        <v>1</v>
      </c>
      <c r="CU33" s="46" t="s">
        <v>3115</v>
      </c>
    </row>
    <row r="34" spans="1:99">
      <c r="A34" s="46" t="s">
        <v>2177</v>
      </c>
      <c r="B34" s="46" t="s">
        <v>3192</v>
      </c>
      <c r="C34" s="46">
        <v>18</v>
      </c>
      <c r="D34" s="46" t="s">
        <v>3193</v>
      </c>
      <c r="E34" s="46" t="s">
        <v>3194</v>
      </c>
      <c r="F34" s="46" t="s">
        <v>2523</v>
      </c>
      <c r="G34" s="46">
        <v>1</v>
      </c>
      <c r="L34" s="46">
        <v>1</v>
      </c>
      <c r="Q34" s="46">
        <v>1</v>
      </c>
      <c r="U34" s="46">
        <v>1</v>
      </c>
      <c r="W34" s="46">
        <v>13</v>
      </c>
      <c r="X34" s="46">
        <v>16</v>
      </c>
      <c r="Y34" s="46">
        <v>0</v>
      </c>
      <c r="Z34" s="46">
        <v>0</v>
      </c>
      <c r="AA34" s="46">
        <v>0</v>
      </c>
      <c r="AB34" s="46">
        <v>0</v>
      </c>
      <c r="AE34" s="46">
        <v>1</v>
      </c>
      <c r="AJ34" s="46">
        <v>1</v>
      </c>
      <c r="AM34" s="46">
        <v>1</v>
      </c>
      <c r="AT34" s="46">
        <v>1</v>
      </c>
      <c r="AW34" s="46">
        <v>1</v>
      </c>
      <c r="BA34" s="46">
        <v>1</v>
      </c>
      <c r="BI34" s="46">
        <v>1</v>
      </c>
      <c r="BW34" s="46">
        <v>1</v>
      </c>
      <c r="BZ34" s="46">
        <v>1</v>
      </c>
      <c r="CC34" s="46">
        <v>1</v>
      </c>
      <c r="CI34" s="46">
        <v>1</v>
      </c>
      <c r="CP34" s="46">
        <v>1</v>
      </c>
      <c r="CU34" s="46" t="s">
        <v>3115</v>
      </c>
    </row>
    <row r="35" spans="1:99">
      <c r="A35" s="46" t="s">
        <v>2180</v>
      </c>
      <c r="B35" s="46" t="s">
        <v>3195</v>
      </c>
      <c r="C35" s="46">
        <v>25</v>
      </c>
      <c r="D35" s="46" t="s">
        <v>3196</v>
      </c>
      <c r="E35" s="46" t="s">
        <v>3197</v>
      </c>
      <c r="F35" s="46" t="s">
        <v>3198</v>
      </c>
      <c r="G35" s="46">
        <v>1</v>
      </c>
      <c r="M35" s="46">
        <v>1</v>
      </c>
      <c r="Q35" s="46">
        <v>1</v>
      </c>
      <c r="T35" s="46">
        <v>1</v>
      </c>
      <c r="W35" s="46">
        <v>13</v>
      </c>
      <c r="X35" s="46">
        <v>21</v>
      </c>
      <c r="Y35" s="46">
        <v>21</v>
      </c>
      <c r="Z35" s="46">
        <v>3</v>
      </c>
      <c r="AA35" s="46">
        <v>3</v>
      </c>
      <c r="AB35" s="46">
        <v>3</v>
      </c>
      <c r="AE35" s="46">
        <v>1</v>
      </c>
      <c r="AG35" s="46">
        <v>1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Z35" s="46">
        <v>1</v>
      </c>
      <c r="CC35" s="46">
        <v>1</v>
      </c>
      <c r="CI35" s="46">
        <v>1</v>
      </c>
      <c r="CP35" s="46">
        <v>1</v>
      </c>
      <c r="CU35" s="46" t="s">
        <v>3115</v>
      </c>
    </row>
    <row r="36" spans="1:99">
      <c r="A36" s="46" t="s">
        <v>2182</v>
      </c>
      <c r="B36" s="46" t="s">
        <v>3199</v>
      </c>
      <c r="C36" s="46">
        <v>22</v>
      </c>
      <c r="D36" s="46" t="s">
        <v>3164</v>
      </c>
      <c r="E36" s="46" t="s">
        <v>3200</v>
      </c>
      <c r="F36" s="46" t="s">
        <v>2523</v>
      </c>
      <c r="I36" s="46">
        <v>1</v>
      </c>
      <c r="M36" s="46">
        <v>1</v>
      </c>
      <c r="R36" s="46">
        <v>1</v>
      </c>
      <c r="T36" s="46">
        <v>1</v>
      </c>
      <c r="W36" s="46">
        <v>14</v>
      </c>
      <c r="X36" s="46">
        <v>16</v>
      </c>
      <c r="Y36" s="46">
        <v>19</v>
      </c>
      <c r="Z36" s="46">
        <v>2</v>
      </c>
      <c r="AA36" s="46">
        <v>2</v>
      </c>
      <c r="AB36" s="46">
        <v>2</v>
      </c>
      <c r="AE36" s="46">
        <v>1</v>
      </c>
      <c r="AH36" s="46">
        <v>1</v>
      </c>
      <c r="AJ36" s="46">
        <v>1</v>
      </c>
      <c r="AM36" s="46">
        <v>1</v>
      </c>
      <c r="AT36" s="46">
        <v>1</v>
      </c>
      <c r="AW36" s="46">
        <v>1</v>
      </c>
      <c r="BA36" s="46">
        <v>1</v>
      </c>
      <c r="BI36" s="46">
        <v>1</v>
      </c>
      <c r="BW36" s="46">
        <v>1</v>
      </c>
      <c r="BZ36" s="46">
        <v>1</v>
      </c>
      <c r="CC36" s="46">
        <v>1</v>
      </c>
      <c r="CI36" s="46">
        <v>1</v>
      </c>
      <c r="CP36" s="46">
        <v>1</v>
      </c>
      <c r="CU36" s="46" t="s">
        <v>3115</v>
      </c>
    </row>
    <row r="37" spans="1:99">
      <c r="A37" s="46" t="s">
        <v>2184</v>
      </c>
      <c r="B37" s="46" t="s">
        <v>3201</v>
      </c>
      <c r="C37" s="46">
        <v>25</v>
      </c>
      <c r="D37" s="46" t="s">
        <v>3135</v>
      </c>
      <c r="E37" s="46" t="s">
        <v>3202</v>
      </c>
      <c r="F37" s="46" t="s">
        <v>2484</v>
      </c>
      <c r="K37" s="46">
        <v>1</v>
      </c>
      <c r="M37" s="46">
        <v>1</v>
      </c>
      <c r="Q37" s="46">
        <v>1</v>
      </c>
      <c r="U37" s="46">
        <v>1</v>
      </c>
      <c r="W37" s="46">
        <v>15</v>
      </c>
      <c r="X37" s="46">
        <v>21</v>
      </c>
      <c r="Y37" s="46">
        <v>21</v>
      </c>
      <c r="Z37" s="46">
        <v>3</v>
      </c>
      <c r="AA37" s="46">
        <v>3</v>
      </c>
      <c r="AB37" s="46">
        <v>3</v>
      </c>
      <c r="AC37" s="46">
        <v>1</v>
      </c>
      <c r="AI37" s="46">
        <v>1</v>
      </c>
      <c r="AK37" s="46">
        <v>1</v>
      </c>
      <c r="AT37" s="46">
        <v>1</v>
      </c>
      <c r="AW37" s="46">
        <v>1</v>
      </c>
      <c r="BB37" s="46">
        <v>1</v>
      </c>
      <c r="BG37" s="46">
        <v>1</v>
      </c>
      <c r="BI37" s="46">
        <v>1</v>
      </c>
      <c r="BW37" s="46">
        <v>1</v>
      </c>
      <c r="BZ37" s="46">
        <v>1</v>
      </c>
      <c r="CC37" s="46">
        <v>1</v>
      </c>
      <c r="CI37" s="46">
        <v>1</v>
      </c>
      <c r="CP37" s="46">
        <v>1</v>
      </c>
      <c r="CU37" s="46" t="s">
        <v>3115</v>
      </c>
    </row>
    <row r="38" spans="1:99">
      <c r="A38" s="46" t="s">
        <v>2187</v>
      </c>
      <c r="B38" s="46" t="s">
        <v>3203</v>
      </c>
      <c r="C38" s="46">
        <v>25</v>
      </c>
      <c r="D38" s="46" t="s">
        <v>3120</v>
      </c>
      <c r="E38" s="46" t="s">
        <v>3204</v>
      </c>
      <c r="F38" s="46" t="s">
        <v>2574</v>
      </c>
      <c r="H38" s="46">
        <v>1</v>
      </c>
      <c r="O38" s="46">
        <v>1</v>
      </c>
      <c r="Q38" s="46">
        <v>1</v>
      </c>
      <c r="T38" s="46">
        <v>1</v>
      </c>
      <c r="W38" s="46">
        <v>14</v>
      </c>
      <c r="X38" s="46">
        <v>17</v>
      </c>
      <c r="Y38" s="46">
        <v>0</v>
      </c>
      <c r="Z38" s="46">
        <v>0</v>
      </c>
      <c r="AA38" s="46">
        <v>0</v>
      </c>
      <c r="AB38" s="46">
        <v>0</v>
      </c>
      <c r="AE38" s="46">
        <v>1</v>
      </c>
      <c r="AH38" s="46">
        <v>1</v>
      </c>
      <c r="AI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W38" s="46">
        <v>1</v>
      </c>
      <c r="BZ38" s="46">
        <v>1</v>
      </c>
      <c r="CC38" s="46">
        <v>1</v>
      </c>
      <c r="CI38" s="46">
        <v>1</v>
      </c>
      <c r="CP38" s="46">
        <v>1</v>
      </c>
      <c r="CU38" s="46" t="s">
        <v>3115</v>
      </c>
    </row>
    <row r="39" spans="1:99">
      <c r="A39" s="46" t="s">
        <v>2190</v>
      </c>
      <c r="B39" s="46" t="s">
        <v>3205</v>
      </c>
      <c r="C39" s="46">
        <v>27</v>
      </c>
      <c r="D39" s="46" t="s">
        <v>3206</v>
      </c>
      <c r="E39" s="46" t="s">
        <v>3207</v>
      </c>
      <c r="F39" s="46" t="s">
        <v>2523</v>
      </c>
      <c r="H39" s="46">
        <v>1</v>
      </c>
      <c r="M39" s="46">
        <v>1</v>
      </c>
      <c r="Q39" s="46">
        <v>1</v>
      </c>
      <c r="T39" s="46">
        <v>1</v>
      </c>
      <c r="W39" s="46">
        <v>14</v>
      </c>
      <c r="X39" s="46">
        <v>17</v>
      </c>
      <c r="Y39" s="46">
        <v>21</v>
      </c>
      <c r="Z39" s="46">
        <v>2</v>
      </c>
      <c r="AA39" s="46">
        <v>2</v>
      </c>
      <c r="AB39" s="46">
        <v>2</v>
      </c>
      <c r="AC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CA39" s="46">
        <v>1</v>
      </c>
      <c r="CB39" s="168">
        <v>44166</v>
      </c>
      <c r="CD39" s="46">
        <v>1</v>
      </c>
      <c r="CE39" s="168">
        <v>44197</v>
      </c>
      <c r="CG39" s="46">
        <v>1</v>
      </c>
      <c r="CI39" s="46">
        <v>1</v>
      </c>
      <c r="CP39" s="46">
        <v>1</v>
      </c>
      <c r="CU39" s="46" t="s">
        <v>3115</v>
      </c>
    </row>
    <row r="40" spans="1:99">
      <c r="A40" s="46" t="s">
        <v>3208</v>
      </c>
      <c r="B40" s="46" t="s">
        <v>3209</v>
      </c>
      <c r="C40" s="46">
        <v>26</v>
      </c>
      <c r="D40" s="46" t="s">
        <v>3117</v>
      </c>
      <c r="E40" s="46" t="s">
        <v>3210</v>
      </c>
      <c r="F40" s="46" t="s">
        <v>2484</v>
      </c>
      <c r="G40" s="46">
        <v>1</v>
      </c>
      <c r="M40" s="46">
        <v>1</v>
      </c>
      <c r="Q40" s="46">
        <v>1</v>
      </c>
      <c r="T40" s="46">
        <v>1</v>
      </c>
      <c r="W40" s="46">
        <v>14</v>
      </c>
      <c r="X40" s="46">
        <v>16</v>
      </c>
      <c r="Y40" s="46">
        <v>17</v>
      </c>
      <c r="Z40" s="46">
        <v>3</v>
      </c>
      <c r="AA40" s="46">
        <v>3</v>
      </c>
      <c r="AB40" s="46">
        <v>3</v>
      </c>
      <c r="AE40" s="46">
        <v>1</v>
      </c>
      <c r="AJ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W40" s="46">
        <v>1</v>
      </c>
      <c r="BZ40" s="46">
        <v>1</v>
      </c>
      <c r="CC40" s="46">
        <v>1</v>
      </c>
      <c r="CI40" s="46">
        <v>1</v>
      </c>
      <c r="CP40" s="46">
        <v>1</v>
      </c>
      <c r="CU40" s="46" t="s">
        <v>3115</v>
      </c>
    </row>
    <row r="41" spans="1:99">
      <c r="A41" s="46" t="s">
        <v>2195</v>
      </c>
      <c r="B41" s="46" t="s">
        <v>3211</v>
      </c>
      <c r="C41" s="46">
        <v>37</v>
      </c>
      <c r="D41" s="46" t="s">
        <v>3212</v>
      </c>
      <c r="E41" s="46" t="s">
        <v>3213</v>
      </c>
      <c r="F41" s="46" t="s">
        <v>2523</v>
      </c>
      <c r="H41" s="46">
        <v>1</v>
      </c>
      <c r="O41" s="46">
        <v>1</v>
      </c>
      <c r="Q41" s="46">
        <v>1</v>
      </c>
      <c r="T41" s="46">
        <v>1</v>
      </c>
      <c r="W41" s="46">
        <v>13</v>
      </c>
      <c r="X41" s="46">
        <v>16</v>
      </c>
      <c r="Y41" s="46">
        <v>16</v>
      </c>
      <c r="Z41" s="46">
        <v>6</v>
      </c>
      <c r="AA41" s="46">
        <v>6</v>
      </c>
      <c r="AB41" s="46">
        <v>5</v>
      </c>
      <c r="AE41" s="46">
        <v>1</v>
      </c>
      <c r="AJ41" s="46">
        <v>1</v>
      </c>
      <c r="AL41" s="46">
        <v>1</v>
      </c>
      <c r="AS41" s="46">
        <v>1</v>
      </c>
      <c r="AT41" s="46">
        <v>1</v>
      </c>
      <c r="AX41" s="46">
        <v>1</v>
      </c>
      <c r="BB41" s="46">
        <v>1</v>
      </c>
      <c r="BF41" s="46">
        <v>1</v>
      </c>
      <c r="BI41" s="46">
        <v>1</v>
      </c>
      <c r="BZ41" s="46">
        <v>1</v>
      </c>
      <c r="CC41" s="46">
        <v>1</v>
      </c>
      <c r="CI41" s="46">
        <v>1</v>
      </c>
      <c r="CP41" s="46">
        <v>1</v>
      </c>
      <c r="CU41" s="46" t="s">
        <v>3115</v>
      </c>
    </row>
    <row r="42" spans="1:99">
      <c r="A42" s="46" t="s">
        <v>2198</v>
      </c>
      <c r="B42" s="46" t="s">
        <v>3214</v>
      </c>
      <c r="C42" s="46">
        <v>31</v>
      </c>
      <c r="D42" s="46" t="s">
        <v>3212</v>
      </c>
      <c r="E42" s="46" t="s">
        <v>3215</v>
      </c>
      <c r="F42" s="46" t="s">
        <v>2523</v>
      </c>
      <c r="J42" s="46">
        <v>1</v>
      </c>
      <c r="O42" s="46">
        <v>1</v>
      </c>
      <c r="R42" s="46">
        <v>1</v>
      </c>
      <c r="T42" s="46">
        <v>1</v>
      </c>
      <c r="W42" s="46">
        <v>13</v>
      </c>
      <c r="X42" s="46">
        <v>14</v>
      </c>
      <c r="Y42" s="46">
        <v>14</v>
      </c>
      <c r="Z42" s="46">
        <v>2</v>
      </c>
      <c r="AA42" s="46">
        <v>1</v>
      </c>
      <c r="AB42" s="46">
        <v>1</v>
      </c>
      <c r="AC42" s="46">
        <v>1</v>
      </c>
      <c r="AI42" s="46">
        <v>1</v>
      </c>
      <c r="AL42" s="46">
        <v>1</v>
      </c>
      <c r="AS42" s="46">
        <v>1</v>
      </c>
      <c r="AT42" s="46">
        <v>1</v>
      </c>
      <c r="AX42" s="46">
        <v>1</v>
      </c>
      <c r="BA42" s="46">
        <v>1</v>
      </c>
      <c r="BI42" s="46">
        <v>1</v>
      </c>
      <c r="BW42" s="46">
        <v>1</v>
      </c>
      <c r="BZ42" s="46">
        <v>1</v>
      </c>
      <c r="CC42" s="46">
        <v>1</v>
      </c>
      <c r="CI42" s="46">
        <v>1</v>
      </c>
      <c r="CP42" s="46">
        <v>1</v>
      </c>
      <c r="CU42" s="46" t="s">
        <v>3115</v>
      </c>
    </row>
    <row r="43" spans="1:99">
      <c r="A43" s="46" t="s">
        <v>2201</v>
      </c>
      <c r="B43" s="46" t="s">
        <v>3216</v>
      </c>
      <c r="C43" s="46">
        <v>28</v>
      </c>
      <c r="D43" s="46" t="s">
        <v>3120</v>
      </c>
      <c r="E43" s="46" t="s">
        <v>3217</v>
      </c>
      <c r="F43" s="46" t="s">
        <v>2484</v>
      </c>
      <c r="H43" s="46">
        <v>1</v>
      </c>
      <c r="M43" s="46">
        <v>1</v>
      </c>
      <c r="Q43" s="46">
        <v>1</v>
      </c>
      <c r="T43" s="46">
        <v>1</v>
      </c>
      <c r="W43" s="46">
        <v>15</v>
      </c>
      <c r="X43" s="46">
        <v>17</v>
      </c>
      <c r="Y43" s="46">
        <v>18</v>
      </c>
      <c r="Z43" s="46">
        <v>1</v>
      </c>
      <c r="AA43" s="46">
        <v>1</v>
      </c>
      <c r="AB43" s="46">
        <v>1</v>
      </c>
      <c r="AE43" s="46">
        <v>1</v>
      </c>
      <c r="AH43" s="46">
        <v>1</v>
      </c>
      <c r="AJ43" s="46">
        <v>1</v>
      </c>
      <c r="AK43" s="46">
        <v>1</v>
      </c>
      <c r="AT43" s="46">
        <v>1</v>
      </c>
      <c r="AX43" s="46">
        <v>1</v>
      </c>
      <c r="BB43" s="46">
        <v>1</v>
      </c>
      <c r="BF43" s="46">
        <v>1</v>
      </c>
      <c r="BI43" s="46">
        <v>1</v>
      </c>
      <c r="BW43" s="46">
        <v>1</v>
      </c>
      <c r="BZ43" s="46">
        <v>1</v>
      </c>
      <c r="CC43" s="46">
        <v>1</v>
      </c>
      <c r="CI43" s="46">
        <v>1</v>
      </c>
      <c r="CP43" s="46">
        <v>1</v>
      </c>
      <c r="CU43" s="46" t="s">
        <v>3115</v>
      </c>
    </row>
    <row r="44" spans="1:99">
      <c r="A44" s="46" t="s">
        <v>2204</v>
      </c>
      <c r="B44" s="46" t="s">
        <v>3218</v>
      </c>
      <c r="C44" s="46">
        <v>38</v>
      </c>
      <c r="D44" s="46" t="s">
        <v>3123</v>
      </c>
      <c r="E44" s="46" t="s">
        <v>3219</v>
      </c>
      <c r="F44" s="46" t="s">
        <v>3173</v>
      </c>
      <c r="G44" s="46">
        <v>1</v>
      </c>
      <c r="M44" s="46">
        <v>1</v>
      </c>
      <c r="Q44" s="46">
        <v>1</v>
      </c>
      <c r="T44" s="46">
        <v>1</v>
      </c>
      <c r="W44" s="46">
        <v>14</v>
      </c>
      <c r="X44" s="46">
        <v>17</v>
      </c>
      <c r="Y44" s="46">
        <v>18</v>
      </c>
      <c r="Z44" s="46">
        <v>7</v>
      </c>
      <c r="AA44" s="46">
        <v>4</v>
      </c>
      <c r="AB44" s="46">
        <v>4</v>
      </c>
      <c r="AE44" s="46">
        <v>1</v>
      </c>
      <c r="AH44" s="46">
        <v>1</v>
      </c>
      <c r="AJ44" s="46">
        <v>1</v>
      </c>
      <c r="AL44" s="46">
        <v>1</v>
      </c>
      <c r="AS44" s="46">
        <v>1</v>
      </c>
      <c r="AT44" s="46">
        <v>1</v>
      </c>
      <c r="AX44" s="46">
        <v>1</v>
      </c>
      <c r="BB44" s="46">
        <v>1</v>
      </c>
      <c r="BF44" s="46">
        <v>1</v>
      </c>
      <c r="BI44" s="46">
        <v>1</v>
      </c>
      <c r="BW44" s="46">
        <v>1</v>
      </c>
      <c r="BZ44" s="46">
        <v>1</v>
      </c>
      <c r="CC44" s="46">
        <v>1</v>
      </c>
      <c r="CI44" s="46">
        <v>1</v>
      </c>
      <c r="CP44" s="46">
        <v>1</v>
      </c>
      <c r="CU44" s="46" t="s">
        <v>3115</v>
      </c>
    </row>
    <row r="45" spans="1:99">
      <c r="A45" s="46" t="s">
        <v>2207</v>
      </c>
      <c r="B45" s="46" t="s">
        <v>3220</v>
      </c>
      <c r="C45" s="46">
        <v>25</v>
      </c>
      <c r="D45" s="46" t="s">
        <v>3120</v>
      </c>
      <c r="E45" s="46" t="s">
        <v>3221</v>
      </c>
      <c r="F45" s="46" t="s">
        <v>3222</v>
      </c>
      <c r="H45" s="46">
        <v>1</v>
      </c>
      <c r="M45" s="46">
        <v>1</v>
      </c>
      <c r="R45" s="46">
        <v>1</v>
      </c>
      <c r="T45" s="46">
        <v>1</v>
      </c>
      <c r="W45" s="46">
        <v>16</v>
      </c>
      <c r="X45" s="46">
        <v>17</v>
      </c>
      <c r="Y45" s="46">
        <v>18</v>
      </c>
      <c r="Z45" s="46">
        <v>7</v>
      </c>
      <c r="AA45" s="46">
        <v>7</v>
      </c>
      <c r="AB45" s="46">
        <v>4</v>
      </c>
      <c r="AD45" s="46">
        <v>1</v>
      </c>
      <c r="AJ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W45" s="46">
        <v>1</v>
      </c>
      <c r="BZ45" s="46">
        <v>1</v>
      </c>
      <c r="CC45" s="46">
        <v>1</v>
      </c>
      <c r="CI45" s="46">
        <v>1</v>
      </c>
      <c r="CP45" s="46">
        <v>1</v>
      </c>
      <c r="CU45" s="46" t="s">
        <v>3115</v>
      </c>
    </row>
    <row r="46" spans="1:99">
      <c r="A46" s="46" t="s">
        <v>2210</v>
      </c>
      <c r="B46" s="46" t="s">
        <v>3223</v>
      </c>
      <c r="C46" s="46">
        <v>36</v>
      </c>
      <c r="D46" s="46" t="s">
        <v>3123</v>
      </c>
      <c r="E46" s="46" t="s">
        <v>3224</v>
      </c>
      <c r="F46" s="46" t="s">
        <v>2523</v>
      </c>
      <c r="I46" s="46">
        <v>1</v>
      </c>
      <c r="O46" s="46">
        <v>1</v>
      </c>
      <c r="Q46" s="46">
        <v>1</v>
      </c>
      <c r="U46" s="46">
        <v>1</v>
      </c>
      <c r="W46" s="46">
        <v>15</v>
      </c>
      <c r="X46" s="46">
        <v>19</v>
      </c>
      <c r="Y46" s="46">
        <v>22</v>
      </c>
      <c r="Z46" s="46">
        <v>2</v>
      </c>
      <c r="AA46" s="46">
        <v>2</v>
      </c>
      <c r="AB46" s="46">
        <v>2</v>
      </c>
      <c r="AE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>
        <v>1</v>
      </c>
      <c r="BW46" s="46">
        <v>1</v>
      </c>
      <c r="BZ46" s="46">
        <v>1</v>
      </c>
      <c r="CC46" s="46">
        <v>1</v>
      </c>
      <c r="CI46" s="46">
        <v>1</v>
      </c>
      <c r="CP46" s="46">
        <v>1</v>
      </c>
      <c r="CU46" s="46" t="s">
        <v>3115</v>
      </c>
    </row>
    <row r="47" spans="1:99">
      <c r="A47" s="46" t="s">
        <v>2213</v>
      </c>
      <c r="B47" s="46" t="s">
        <v>3225</v>
      </c>
      <c r="C47" s="46">
        <v>17</v>
      </c>
      <c r="D47" s="46" t="s">
        <v>3193</v>
      </c>
      <c r="E47" s="46" t="s">
        <v>3226</v>
      </c>
      <c r="F47" s="46" t="s">
        <v>2523</v>
      </c>
      <c r="G47" s="46">
        <v>1</v>
      </c>
      <c r="L47" s="46">
        <v>1</v>
      </c>
      <c r="Q47" s="46">
        <v>1</v>
      </c>
      <c r="U47" s="46">
        <v>1</v>
      </c>
      <c r="W47" s="46">
        <v>13</v>
      </c>
      <c r="X47" s="46">
        <v>16</v>
      </c>
      <c r="Y47" s="46">
        <v>0</v>
      </c>
      <c r="Z47" s="46">
        <v>0</v>
      </c>
      <c r="AA47" s="46">
        <v>0</v>
      </c>
      <c r="AB47" s="46">
        <v>0</v>
      </c>
      <c r="AE47" s="46">
        <v>1</v>
      </c>
      <c r="AH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I47" s="46">
        <v>1</v>
      </c>
      <c r="BW47" s="46">
        <v>1</v>
      </c>
      <c r="BZ47" s="46">
        <v>1</v>
      </c>
      <c r="CA47" s="46"/>
      <c r="CC47" s="46">
        <v>1</v>
      </c>
      <c r="CI47" s="46">
        <v>1</v>
      </c>
      <c r="CP47" s="46">
        <v>1</v>
      </c>
      <c r="CU47" s="46" t="s">
        <v>3115</v>
      </c>
    </row>
    <row r="48" spans="1:99">
      <c r="A48" s="46" t="s">
        <v>2216</v>
      </c>
      <c r="B48" s="46" t="s">
        <v>3227</v>
      </c>
      <c r="C48" s="46">
        <v>27</v>
      </c>
      <c r="D48" s="46" t="s">
        <v>3123</v>
      </c>
      <c r="E48" s="46" t="s">
        <v>3228</v>
      </c>
      <c r="F48" s="46" t="s">
        <v>2523</v>
      </c>
      <c r="H48" s="46">
        <v>1</v>
      </c>
      <c r="M48" s="46">
        <v>1</v>
      </c>
      <c r="Q48" s="46">
        <v>1</v>
      </c>
      <c r="T48" s="46">
        <v>1</v>
      </c>
      <c r="W48" s="46">
        <v>14</v>
      </c>
      <c r="X48" s="46">
        <v>18</v>
      </c>
      <c r="Y48" s="46">
        <v>19</v>
      </c>
      <c r="Z48" s="46">
        <v>5</v>
      </c>
      <c r="AA48" s="46">
        <v>3</v>
      </c>
      <c r="AB48" s="46">
        <v>3</v>
      </c>
      <c r="AE48" s="46">
        <v>1</v>
      </c>
      <c r="AI48" s="46">
        <v>1</v>
      </c>
      <c r="AK48" s="46">
        <v>1</v>
      </c>
      <c r="AT48" s="46">
        <v>1</v>
      </c>
      <c r="AW48" s="46">
        <v>1</v>
      </c>
      <c r="BA48" s="46">
        <v>1</v>
      </c>
      <c r="BI48" s="46">
        <v>1</v>
      </c>
      <c r="BW48" s="46">
        <v>1</v>
      </c>
      <c r="BZ48" s="46">
        <v>1</v>
      </c>
      <c r="CC48" s="46">
        <v>1</v>
      </c>
      <c r="CI48" s="46">
        <v>1</v>
      </c>
      <c r="CP48" s="46">
        <v>1</v>
      </c>
      <c r="CU48" s="46" t="s">
        <v>3115</v>
      </c>
    </row>
    <row r="49" spans="1:99">
      <c r="A49" s="46" t="s">
        <v>2219</v>
      </c>
      <c r="B49" s="46" t="s">
        <v>3229</v>
      </c>
      <c r="C49" s="46">
        <v>29</v>
      </c>
      <c r="D49" s="46" t="s">
        <v>3230</v>
      </c>
      <c r="E49" s="46" t="s">
        <v>3231</v>
      </c>
      <c r="F49" s="46" t="s">
        <v>2484</v>
      </c>
      <c r="I49" s="46">
        <v>1</v>
      </c>
      <c r="M49" s="46">
        <v>1</v>
      </c>
      <c r="Q49" s="46">
        <v>1</v>
      </c>
      <c r="U49" s="46">
        <v>1</v>
      </c>
      <c r="W49" s="46">
        <v>15</v>
      </c>
      <c r="X49" s="46">
        <v>20</v>
      </c>
      <c r="Y49" s="46">
        <v>21</v>
      </c>
      <c r="Z49" s="46">
        <v>4</v>
      </c>
      <c r="AA49" s="46">
        <v>4</v>
      </c>
      <c r="AB49" s="46">
        <v>4</v>
      </c>
      <c r="AD49" s="46">
        <v>1</v>
      </c>
      <c r="AH49" s="46">
        <v>1</v>
      </c>
      <c r="AJ49" s="46">
        <v>1</v>
      </c>
      <c r="AK49" s="46">
        <v>1</v>
      </c>
      <c r="AT49" s="46">
        <v>1</v>
      </c>
      <c r="AY49" s="46">
        <v>1</v>
      </c>
      <c r="BA49" s="46">
        <v>1</v>
      </c>
      <c r="BI49" s="46">
        <v>1</v>
      </c>
      <c r="BZ49" s="46">
        <v>1</v>
      </c>
      <c r="CC49" s="46">
        <v>1</v>
      </c>
      <c r="CI49" s="46">
        <v>1</v>
      </c>
      <c r="CP49" s="46">
        <v>1</v>
      </c>
      <c r="CU49" s="46" t="s">
        <v>3115</v>
      </c>
    </row>
    <row r="50" spans="1:99">
      <c r="A50" s="46" t="s">
        <v>2222</v>
      </c>
      <c r="B50" s="46" t="s">
        <v>3232</v>
      </c>
      <c r="C50" s="46">
        <v>30</v>
      </c>
      <c r="D50" s="46" t="s">
        <v>3233</v>
      </c>
      <c r="E50" s="46" t="s">
        <v>3234</v>
      </c>
      <c r="F50" s="46" t="s">
        <v>2484</v>
      </c>
      <c r="J50" s="46">
        <v>1</v>
      </c>
      <c r="L50" s="46">
        <v>1</v>
      </c>
      <c r="Q50" s="46">
        <v>1</v>
      </c>
      <c r="U50" s="46">
        <v>1</v>
      </c>
      <c r="W50" s="46">
        <v>14</v>
      </c>
      <c r="X50" s="46">
        <v>18</v>
      </c>
      <c r="Y50" s="46">
        <v>0</v>
      </c>
      <c r="Z50" s="46">
        <v>0</v>
      </c>
      <c r="AA50" s="46">
        <v>0</v>
      </c>
      <c r="AB50" s="46">
        <v>0</v>
      </c>
      <c r="AE50" s="46">
        <v>1</v>
      </c>
      <c r="AH50" s="46">
        <v>1</v>
      </c>
      <c r="AI50" s="46">
        <v>1</v>
      </c>
      <c r="AK50" s="46">
        <v>1</v>
      </c>
      <c r="AT50" s="46">
        <v>1</v>
      </c>
      <c r="AX50" s="46">
        <v>1</v>
      </c>
      <c r="BA50" s="46">
        <v>1</v>
      </c>
      <c r="BI50" s="46">
        <v>1</v>
      </c>
      <c r="BZ50" s="46">
        <v>1</v>
      </c>
      <c r="CC50" s="46">
        <v>1</v>
      </c>
      <c r="CI50" s="46">
        <v>1</v>
      </c>
      <c r="CP50" s="46">
        <v>1</v>
      </c>
      <c r="CU50" s="46" t="s">
        <v>3115</v>
      </c>
    </row>
    <row r="51" spans="1:99">
      <c r="A51" s="46" t="s">
        <v>2224</v>
      </c>
      <c r="B51" s="46" t="s">
        <v>3235</v>
      </c>
      <c r="C51" s="46">
        <v>39</v>
      </c>
      <c r="D51" s="46" t="s">
        <v>3144</v>
      </c>
      <c r="E51" s="46" t="s">
        <v>3236</v>
      </c>
      <c r="F51" s="46" t="s">
        <v>3173</v>
      </c>
      <c r="J51" s="46">
        <v>1</v>
      </c>
      <c r="M51" s="46">
        <v>1</v>
      </c>
      <c r="R51" s="46">
        <v>1</v>
      </c>
      <c r="T51" s="46">
        <v>1</v>
      </c>
      <c r="W51" s="46">
        <v>14</v>
      </c>
      <c r="X51" s="46">
        <v>16</v>
      </c>
      <c r="Y51" s="46">
        <v>23</v>
      </c>
      <c r="Z51" s="46">
        <v>4</v>
      </c>
      <c r="AA51" s="46">
        <v>3</v>
      </c>
      <c r="AB51" s="46">
        <v>3</v>
      </c>
      <c r="AH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W51" s="46">
        <v>1</v>
      </c>
      <c r="BZ51" s="46">
        <v>1</v>
      </c>
      <c r="CC51" s="46">
        <v>1</v>
      </c>
      <c r="CI51" s="46">
        <v>1</v>
      </c>
      <c r="CP51" s="46">
        <v>1</v>
      </c>
      <c r="CU51" s="46" t="s">
        <v>3115</v>
      </c>
    </row>
    <row r="52" spans="1:99">
      <c r="A52" s="46" t="s">
        <v>2227</v>
      </c>
      <c r="B52" s="46" t="s">
        <v>3237</v>
      </c>
      <c r="C52" s="46">
        <v>50</v>
      </c>
      <c r="D52" s="46" t="s">
        <v>3123</v>
      </c>
      <c r="E52" s="46" t="s">
        <v>191</v>
      </c>
      <c r="F52" s="46" t="s">
        <v>3238</v>
      </c>
      <c r="G52" s="46">
        <v>1</v>
      </c>
      <c r="O52" s="46">
        <v>1</v>
      </c>
      <c r="Q52" s="46">
        <v>1</v>
      </c>
      <c r="S52" s="46">
        <v>1</v>
      </c>
      <c r="W52" s="46">
        <v>14</v>
      </c>
      <c r="X52" s="46">
        <v>18</v>
      </c>
      <c r="Y52" s="46">
        <v>20</v>
      </c>
      <c r="Z52" s="46">
        <v>2</v>
      </c>
      <c r="AA52" s="46">
        <v>2</v>
      </c>
      <c r="AB52" s="46">
        <v>1</v>
      </c>
      <c r="AE52" s="46">
        <v>1</v>
      </c>
      <c r="AG52" s="46">
        <v>1</v>
      </c>
      <c r="AI52" s="46">
        <v>1</v>
      </c>
      <c r="AL52" s="46">
        <v>1</v>
      </c>
      <c r="AQ52" s="46" t="s">
        <v>251</v>
      </c>
      <c r="AT52" s="46">
        <v>1</v>
      </c>
      <c r="AW52" s="46">
        <v>1</v>
      </c>
      <c r="BA52" s="46">
        <v>1</v>
      </c>
      <c r="BL52" s="46">
        <v>1</v>
      </c>
      <c r="BZ52" s="46">
        <v>1</v>
      </c>
      <c r="CC52" s="46">
        <v>1</v>
      </c>
      <c r="CI52" s="46">
        <v>1</v>
      </c>
      <c r="CP52" s="46">
        <v>1</v>
      </c>
    </row>
    <row r="53" spans="1:99">
      <c r="A53" s="46" t="s">
        <v>2229</v>
      </c>
      <c r="B53" s="46" t="s">
        <v>3239</v>
      </c>
      <c r="C53" s="46">
        <v>36</v>
      </c>
      <c r="D53" s="46" t="s">
        <v>3123</v>
      </c>
      <c r="E53" s="46" t="s">
        <v>3240</v>
      </c>
      <c r="F53" s="46" t="s">
        <v>3238</v>
      </c>
      <c r="G53" s="46">
        <v>1</v>
      </c>
      <c r="M53" s="46">
        <v>1</v>
      </c>
      <c r="Q53" s="46">
        <v>1</v>
      </c>
      <c r="U53" s="46">
        <v>1</v>
      </c>
      <c r="W53" s="46">
        <v>14</v>
      </c>
      <c r="X53" s="46">
        <v>17</v>
      </c>
      <c r="Y53" s="46">
        <v>20</v>
      </c>
      <c r="Z53" s="46">
        <v>4</v>
      </c>
      <c r="AA53" s="46">
        <v>3</v>
      </c>
      <c r="AB53" s="46">
        <v>3</v>
      </c>
      <c r="AC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H53" s="46">
        <v>1</v>
      </c>
      <c r="BV53" s="46">
        <v>1</v>
      </c>
      <c r="BW53" s="46">
        <v>1</v>
      </c>
      <c r="BZ53" s="46">
        <v>1</v>
      </c>
      <c r="CC53" s="46">
        <v>1</v>
      </c>
      <c r="CI53" s="46">
        <v>1</v>
      </c>
      <c r="CP53" s="46">
        <v>1</v>
      </c>
      <c r="CU53" s="139">
        <v>45418</v>
      </c>
    </row>
    <row r="54" spans="1:99">
      <c r="A54" s="46" t="s">
        <v>2230</v>
      </c>
      <c r="B54" s="46" t="s">
        <v>3241</v>
      </c>
      <c r="C54" s="46">
        <v>38</v>
      </c>
      <c r="D54" s="46" t="s">
        <v>3120</v>
      </c>
      <c r="E54" s="46" t="s">
        <v>3242</v>
      </c>
      <c r="F54" s="46" t="s">
        <v>2484</v>
      </c>
      <c r="H54" s="46">
        <v>1</v>
      </c>
      <c r="M54" s="46">
        <v>1</v>
      </c>
      <c r="Q54" s="46">
        <v>1</v>
      </c>
      <c r="T54" s="46">
        <v>1</v>
      </c>
      <c r="W54" s="46">
        <v>12</v>
      </c>
      <c r="X54" s="46">
        <v>14</v>
      </c>
      <c r="Y54" s="46">
        <v>16</v>
      </c>
      <c r="Z54" s="46">
        <v>7</v>
      </c>
      <c r="AA54" s="46">
        <v>7</v>
      </c>
      <c r="AB54" s="46">
        <v>7</v>
      </c>
      <c r="AF54" s="46">
        <v>1</v>
      </c>
      <c r="AJ54" s="46">
        <v>1</v>
      </c>
      <c r="AK54" s="46">
        <v>1</v>
      </c>
      <c r="AT54" s="46">
        <v>1</v>
      </c>
      <c r="AW54" s="46">
        <v>1</v>
      </c>
      <c r="BB54" s="46">
        <v>1</v>
      </c>
      <c r="BH54" s="46">
        <v>1</v>
      </c>
      <c r="BV54" s="46">
        <v>1</v>
      </c>
      <c r="BW54" s="46">
        <v>1</v>
      </c>
      <c r="BZ54" s="46">
        <v>1</v>
      </c>
      <c r="CC54" s="46">
        <v>1</v>
      </c>
      <c r="CI54" s="46">
        <v>1</v>
      </c>
      <c r="CP54" s="46">
        <v>1</v>
      </c>
      <c r="CU54" s="46" t="s">
        <v>3243</v>
      </c>
    </row>
    <row r="55" spans="1:99">
      <c r="A55" s="46" t="s">
        <v>2233</v>
      </c>
      <c r="B55" s="46" t="s">
        <v>3244</v>
      </c>
      <c r="C55" s="46">
        <v>45</v>
      </c>
      <c r="D55" s="46" t="s">
        <v>3245</v>
      </c>
      <c r="E55" s="46" t="s">
        <v>3246</v>
      </c>
      <c r="F55" s="46" t="s">
        <v>2523</v>
      </c>
      <c r="G55" s="46">
        <v>1</v>
      </c>
      <c r="O55" s="46">
        <v>1</v>
      </c>
      <c r="R55" s="46">
        <v>1</v>
      </c>
      <c r="S55" s="46">
        <v>1</v>
      </c>
      <c r="W55" s="46">
        <v>16</v>
      </c>
      <c r="X55" s="46">
        <v>16</v>
      </c>
      <c r="Y55" s="46">
        <v>18</v>
      </c>
      <c r="Z55" s="46">
        <v>5</v>
      </c>
      <c r="AA55" s="46">
        <v>5</v>
      </c>
      <c r="AB55" s="46">
        <v>5</v>
      </c>
      <c r="AE55" s="46">
        <v>1</v>
      </c>
      <c r="AG55" s="46">
        <v>1</v>
      </c>
      <c r="AH55" s="46">
        <v>1</v>
      </c>
      <c r="AJ55" s="46">
        <v>1</v>
      </c>
      <c r="AK55" s="46">
        <v>1</v>
      </c>
      <c r="AT55" s="46">
        <v>1</v>
      </c>
      <c r="AX55" s="46">
        <v>1</v>
      </c>
      <c r="BA55" s="46">
        <v>1</v>
      </c>
      <c r="BK55" s="46">
        <v>1</v>
      </c>
      <c r="BS55" s="46">
        <v>1</v>
      </c>
      <c r="BT55" s="46" t="s">
        <v>952</v>
      </c>
      <c r="BZ55" s="46">
        <v>1</v>
      </c>
      <c r="CC55" s="46">
        <v>1</v>
      </c>
      <c r="CI55" s="46">
        <v>1</v>
      </c>
      <c r="CP55" s="46">
        <v>1</v>
      </c>
      <c r="CU55" s="46" t="s">
        <v>2369</v>
      </c>
    </row>
    <row r="56" spans="1:99">
      <c r="A56" s="46" t="s">
        <v>2236</v>
      </c>
      <c r="B56" s="46" t="s">
        <v>3247</v>
      </c>
      <c r="C56" s="46">
        <v>45</v>
      </c>
      <c r="D56" s="46" t="s">
        <v>3245</v>
      </c>
      <c r="E56" s="46" t="s">
        <v>3248</v>
      </c>
      <c r="F56" s="46" t="s">
        <v>2523</v>
      </c>
      <c r="H56" s="46">
        <v>1</v>
      </c>
      <c r="M56" s="46">
        <v>1</v>
      </c>
      <c r="Q56" s="46">
        <v>1</v>
      </c>
      <c r="U56" s="46">
        <v>1</v>
      </c>
      <c r="W56" s="46">
        <v>13</v>
      </c>
      <c r="X56" s="46">
        <v>19</v>
      </c>
      <c r="Y56" s="46">
        <v>19</v>
      </c>
      <c r="Z56" s="46">
        <v>6</v>
      </c>
      <c r="AA56" s="46">
        <v>4</v>
      </c>
      <c r="AB56" s="46">
        <v>4</v>
      </c>
      <c r="AD56" s="46">
        <v>1</v>
      </c>
      <c r="AE56" s="46">
        <v>1</v>
      </c>
      <c r="AI56" s="46">
        <v>1</v>
      </c>
      <c r="AK56" s="46">
        <v>1</v>
      </c>
      <c r="AT56" s="46">
        <v>1</v>
      </c>
      <c r="AW56" s="46">
        <v>1</v>
      </c>
      <c r="BE56" s="46">
        <v>1</v>
      </c>
      <c r="BK56" s="46">
        <v>1</v>
      </c>
      <c r="BS56" s="46">
        <v>1</v>
      </c>
      <c r="BT56" s="46" t="s">
        <v>952</v>
      </c>
      <c r="BZ56" s="46">
        <v>1</v>
      </c>
      <c r="CC56" s="46">
        <v>1</v>
      </c>
      <c r="CI56" s="46">
        <v>1</v>
      </c>
      <c r="CP56" s="46">
        <v>1</v>
      </c>
      <c r="CU56" s="46" t="s">
        <v>2369</v>
      </c>
    </row>
    <row r="57" spans="1:99">
      <c r="A57" s="46" t="s">
        <v>2239</v>
      </c>
      <c r="B57" s="46" t="s">
        <v>3249</v>
      </c>
      <c r="C57" s="46">
        <v>28</v>
      </c>
      <c r="D57" s="46" t="s">
        <v>3196</v>
      </c>
      <c r="E57" s="46" t="s">
        <v>191</v>
      </c>
      <c r="F57" s="46" t="s">
        <v>2484</v>
      </c>
      <c r="G57" s="46">
        <v>1</v>
      </c>
      <c r="N57" s="46">
        <v>1</v>
      </c>
      <c r="R57" s="46">
        <v>1</v>
      </c>
      <c r="T57" s="46">
        <v>1</v>
      </c>
      <c r="W57" s="46">
        <v>15</v>
      </c>
      <c r="X57" s="46">
        <v>17</v>
      </c>
      <c r="Y57" s="46">
        <v>20</v>
      </c>
      <c r="Z57" s="46">
        <v>3</v>
      </c>
      <c r="AA57" s="46">
        <v>3</v>
      </c>
      <c r="AB57" s="46">
        <v>2</v>
      </c>
      <c r="AF57" s="46">
        <v>1</v>
      </c>
      <c r="AJ57" s="46">
        <v>1</v>
      </c>
      <c r="AK57" s="46">
        <v>1</v>
      </c>
      <c r="AT57" s="46">
        <v>1</v>
      </c>
      <c r="AV57" s="46">
        <v>1</v>
      </c>
      <c r="BA57" s="46">
        <v>1</v>
      </c>
      <c r="BM57" s="46" t="s">
        <v>3250</v>
      </c>
      <c r="BO57" s="46" t="s">
        <v>3251</v>
      </c>
      <c r="BZ57" s="46">
        <v>1</v>
      </c>
      <c r="CC57" s="46">
        <v>1</v>
      </c>
      <c r="CI57" s="46">
        <v>1</v>
      </c>
      <c r="CP57" s="46">
        <v>1</v>
      </c>
      <c r="CU57" s="46" t="s">
        <v>3252</v>
      </c>
    </row>
    <row r="58" spans="1:99">
      <c r="A58" s="46" t="s">
        <v>2241</v>
      </c>
      <c r="B58" s="46" t="s">
        <v>3253</v>
      </c>
      <c r="C58" s="46">
        <v>44</v>
      </c>
      <c r="D58" s="46" t="s">
        <v>3254</v>
      </c>
      <c r="E58" s="46" t="s">
        <v>3255</v>
      </c>
      <c r="F58" s="46" t="s">
        <v>145</v>
      </c>
      <c r="G58" s="46">
        <v>1</v>
      </c>
      <c r="M58" s="46">
        <v>1</v>
      </c>
      <c r="R58" s="46">
        <v>1</v>
      </c>
      <c r="U58" s="46">
        <v>1</v>
      </c>
      <c r="W58" s="46">
        <v>13</v>
      </c>
      <c r="X58" s="46">
        <v>16</v>
      </c>
      <c r="Y58" s="46">
        <v>18</v>
      </c>
      <c r="Z58" s="46">
        <v>7</v>
      </c>
      <c r="AA58" s="46">
        <v>8</v>
      </c>
      <c r="AB58" s="46">
        <v>3</v>
      </c>
      <c r="AE58" s="46">
        <v>1</v>
      </c>
      <c r="AJ58" s="46">
        <v>1</v>
      </c>
      <c r="AL58" s="46">
        <v>1</v>
      </c>
      <c r="AQ58" s="46" t="s">
        <v>3256</v>
      </c>
      <c r="AR58" s="168">
        <v>45323</v>
      </c>
      <c r="AT58" s="46">
        <v>1</v>
      </c>
      <c r="AW58" s="46">
        <v>1</v>
      </c>
      <c r="BB58" s="46">
        <v>1</v>
      </c>
      <c r="BG58" s="46">
        <v>1</v>
      </c>
      <c r="BK58" s="46">
        <v>1</v>
      </c>
      <c r="BZ58" s="46">
        <v>1</v>
      </c>
      <c r="CC58" s="46">
        <v>1</v>
      </c>
      <c r="CI58" s="46">
        <v>1</v>
      </c>
      <c r="CP58" s="46">
        <v>1</v>
      </c>
      <c r="CU58" s="46" t="s">
        <v>3257</v>
      </c>
    </row>
    <row r="59" spans="1:99">
      <c r="A59" s="46" t="s">
        <v>2245</v>
      </c>
      <c r="B59" s="46" t="s">
        <v>3258</v>
      </c>
      <c r="C59" s="46">
        <v>60</v>
      </c>
      <c r="D59" s="46" t="s">
        <v>3178</v>
      </c>
      <c r="E59" s="46" t="s">
        <v>3259</v>
      </c>
      <c r="F59" s="46" t="s">
        <v>2523</v>
      </c>
      <c r="I59" s="46">
        <v>1</v>
      </c>
      <c r="M59" s="46">
        <v>1</v>
      </c>
      <c r="Q59" s="46">
        <v>1</v>
      </c>
      <c r="U59" s="46">
        <v>1</v>
      </c>
      <c r="W59" s="46">
        <v>15</v>
      </c>
      <c r="X59" s="46">
        <v>18</v>
      </c>
      <c r="Y59" s="46">
        <v>18</v>
      </c>
      <c r="Z59" s="46">
        <v>8</v>
      </c>
      <c r="AA59" s="46">
        <v>8</v>
      </c>
      <c r="AB59" s="46">
        <v>7</v>
      </c>
      <c r="AD59" s="46">
        <v>1</v>
      </c>
      <c r="AH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M59" s="46" t="s">
        <v>3260</v>
      </c>
      <c r="BN59" s="46">
        <v>1</v>
      </c>
      <c r="BO59" s="46" t="s">
        <v>952</v>
      </c>
      <c r="BW59" s="46">
        <v>1</v>
      </c>
      <c r="BZ59" s="46">
        <v>1</v>
      </c>
      <c r="CC59" s="46">
        <v>1</v>
      </c>
      <c r="CI59" s="46">
        <v>1</v>
      </c>
      <c r="CP59" s="46">
        <v>1</v>
      </c>
      <c r="CU59" s="46" t="s">
        <v>2978</v>
      </c>
    </row>
    <row r="60" spans="1:99">
      <c r="A60" s="46" t="s">
        <v>2253</v>
      </c>
      <c r="B60" s="46" t="s">
        <v>3261</v>
      </c>
      <c r="C60" s="46">
        <v>65</v>
      </c>
      <c r="D60" s="46" t="s">
        <v>3135</v>
      </c>
      <c r="E60" s="46" t="s">
        <v>3262</v>
      </c>
      <c r="F60" s="46" t="s">
        <v>2523</v>
      </c>
      <c r="H60" s="46">
        <v>1</v>
      </c>
      <c r="O60" s="46">
        <v>1</v>
      </c>
      <c r="R60" s="46">
        <v>1</v>
      </c>
      <c r="U60" s="46">
        <v>1</v>
      </c>
      <c r="W60" s="46">
        <v>14</v>
      </c>
      <c r="X60" s="46">
        <v>18</v>
      </c>
      <c r="Y60" s="46">
        <v>18</v>
      </c>
      <c r="Z60" s="46">
        <v>12</v>
      </c>
      <c r="AA60" s="46">
        <v>12</v>
      </c>
      <c r="AB60" s="46">
        <v>10</v>
      </c>
      <c r="AC60" s="46">
        <v>1</v>
      </c>
      <c r="AJ60" s="46">
        <v>1</v>
      </c>
      <c r="AK60" s="46">
        <v>1</v>
      </c>
      <c r="AT60" s="46">
        <v>1</v>
      </c>
      <c r="AW60" s="46">
        <v>1</v>
      </c>
      <c r="BA60" s="46">
        <v>1</v>
      </c>
      <c r="BJ60" s="46">
        <v>1</v>
      </c>
      <c r="BZ60" s="46">
        <v>1</v>
      </c>
      <c r="CC60" s="46">
        <v>1</v>
      </c>
      <c r="CI60" s="46">
        <v>1</v>
      </c>
      <c r="CP60" s="46">
        <v>1</v>
      </c>
      <c r="CU60" s="46" t="s">
        <v>3263</v>
      </c>
    </row>
    <row r="61" spans="1:99">
      <c r="A61" s="46" t="s">
        <v>2258</v>
      </c>
      <c r="B61" s="46" t="s">
        <v>3199</v>
      </c>
      <c r="C61" s="46">
        <v>52</v>
      </c>
      <c r="D61" s="46" t="s">
        <v>3178</v>
      </c>
      <c r="E61" s="46" t="s">
        <v>3264</v>
      </c>
      <c r="F61" s="46" t="s">
        <v>2523</v>
      </c>
      <c r="I61" s="46">
        <v>1</v>
      </c>
      <c r="O61" s="46">
        <v>1</v>
      </c>
      <c r="Q61" s="46">
        <v>1</v>
      </c>
      <c r="T61" s="46">
        <v>1</v>
      </c>
      <c r="W61" s="46">
        <v>14</v>
      </c>
      <c r="X61" s="46">
        <v>16</v>
      </c>
      <c r="Y61" s="46">
        <v>18</v>
      </c>
      <c r="Z61" s="46">
        <v>5</v>
      </c>
      <c r="AA61" s="46">
        <v>5</v>
      </c>
      <c r="AB61" s="46">
        <v>5</v>
      </c>
      <c r="AC61" s="46">
        <v>1</v>
      </c>
      <c r="AJ61" s="46">
        <v>1</v>
      </c>
      <c r="AL61" s="46">
        <v>1</v>
      </c>
      <c r="AS61" s="46">
        <v>1</v>
      </c>
      <c r="AT61" s="46">
        <v>1</v>
      </c>
      <c r="AX61" s="46">
        <v>1</v>
      </c>
      <c r="BB61" s="46">
        <v>1</v>
      </c>
      <c r="BF61" s="46">
        <v>1</v>
      </c>
      <c r="BJ61" s="46">
        <v>1</v>
      </c>
      <c r="BW61" s="46">
        <v>1</v>
      </c>
      <c r="BZ61" s="46">
        <v>1</v>
      </c>
      <c r="CC61" s="46">
        <v>1</v>
      </c>
      <c r="CI61" s="46">
        <v>1</v>
      </c>
      <c r="CP61" s="46">
        <v>1</v>
      </c>
      <c r="CU61" s="46" t="s">
        <v>3263</v>
      </c>
    </row>
    <row r="62" spans="1:99">
      <c r="A62" s="46" t="s">
        <v>2262</v>
      </c>
      <c r="B62" s="46" t="s">
        <v>3265</v>
      </c>
      <c r="C62" s="46">
        <v>61</v>
      </c>
      <c r="D62" s="46" t="s">
        <v>3266</v>
      </c>
      <c r="E62" s="46" t="s">
        <v>3267</v>
      </c>
      <c r="F62" s="46" t="s">
        <v>2523</v>
      </c>
      <c r="G62" s="46">
        <v>1</v>
      </c>
      <c r="P62" s="46">
        <v>1</v>
      </c>
      <c r="R62" s="46">
        <v>1</v>
      </c>
      <c r="V62" s="46">
        <v>1</v>
      </c>
      <c r="W62" s="46">
        <v>13</v>
      </c>
      <c r="X62" s="46">
        <v>18</v>
      </c>
      <c r="Y62" s="46">
        <v>24</v>
      </c>
      <c r="Z62" s="46">
        <v>6</v>
      </c>
      <c r="AA62" s="46">
        <v>3</v>
      </c>
      <c r="AB62" s="46">
        <v>3</v>
      </c>
      <c r="AC62" s="46">
        <v>1</v>
      </c>
      <c r="AJ62" s="46">
        <v>1</v>
      </c>
      <c r="AK62" s="46">
        <v>1</v>
      </c>
      <c r="AT62" s="46">
        <v>1</v>
      </c>
      <c r="AW62" s="46">
        <v>1</v>
      </c>
      <c r="BE62" s="46">
        <v>1</v>
      </c>
      <c r="BF62" s="46">
        <v>1</v>
      </c>
      <c r="BJ62" s="46">
        <v>1</v>
      </c>
      <c r="BZ62" s="46">
        <v>1</v>
      </c>
      <c r="CC62" s="46">
        <v>1</v>
      </c>
      <c r="CI62" s="46">
        <v>1</v>
      </c>
      <c r="CP62" s="46">
        <v>1</v>
      </c>
      <c r="CU62" s="46" t="s">
        <v>46</v>
      </c>
    </row>
    <row r="63" spans="1:99">
      <c r="A63" s="46" t="s">
        <v>2265</v>
      </c>
      <c r="B63" s="46" t="s">
        <v>3268</v>
      </c>
      <c r="C63" s="46">
        <v>65</v>
      </c>
      <c r="D63" s="46" t="s">
        <v>1143</v>
      </c>
      <c r="E63" s="46" t="s">
        <v>3269</v>
      </c>
      <c r="F63" s="46" t="s">
        <v>3130</v>
      </c>
      <c r="K63" s="46">
        <v>1</v>
      </c>
      <c r="L63" s="46">
        <v>1</v>
      </c>
      <c r="Q63" s="46">
        <v>1</v>
      </c>
      <c r="T63" s="46">
        <v>1</v>
      </c>
      <c r="W63" s="46">
        <v>15</v>
      </c>
      <c r="X63" s="46">
        <v>20</v>
      </c>
      <c r="Y63" s="46">
        <v>20</v>
      </c>
      <c r="Z63" s="46">
        <v>2</v>
      </c>
      <c r="AA63" s="46">
        <v>2</v>
      </c>
      <c r="AB63" s="46">
        <v>1</v>
      </c>
      <c r="AE63" s="46">
        <v>1</v>
      </c>
      <c r="AI63" s="46">
        <v>1</v>
      </c>
      <c r="AK63" s="46">
        <v>1</v>
      </c>
      <c r="AT63" s="46">
        <v>1</v>
      </c>
      <c r="AW63" s="46">
        <v>1</v>
      </c>
      <c r="BA63" s="46">
        <v>1</v>
      </c>
      <c r="BJ63" s="46">
        <v>1</v>
      </c>
      <c r="BW63" s="46">
        <v>1</v>
      </c>
      <c r="BZ63" s="46">
        <v>1</v>
      </c>
      <c r="CC63" s="46">
        <v>1</v>
      </c>
      <c r="CI63" s="46">
        <v>1</v>
      </c>
      <c r="CP63" s="46">
        <v>1</v>
      </c>
      <c r="CU63" s="46" t="s">
        <v>3263</v>
      </c>
    </row>
    <row r="64" spans="1:99">
      <c r="A64" s="46" t="s">
        <v>2268</v>
      </c>
      <c r="B64" s="46" t="s">
        <v>3270</v>
      </c>
      <c r="C64" s="46">
        <v>60</v>
      </c>
      <c r="D64" s="46" t="s">
        <v>3271</v>
      </c>
      <c r="E64" s="46" t="s">
        <v>3272</v>
      </c>
      <c r="F64" s="46" t="s">
        <v>3273</v>
      </c>
      <c r="G64" s="46">
        <v>1</v>
      </c>
      <c r="L64" s="46">
        <v>1</v>
      </c>
      <c r="Q64" s="46">
        <v>1</v>
      </c>
      <c r="T64" s="46">
        <v>1</v>
      </c>
      <c r="W64" s="46">
        <v>14</v>
      </c>
      <c r="X64" s="46">
        <v>15</v>
      </c>
      <c r="Y64" s="46">
        <v>16</v>
      </c>
      <c r="Z64" s="46">
        <v>11</v>
      </c>
      <c r="AA64" s="46">
        <v>10</v>
      </c>
      <c r="AB64" s="46">
        <v>5</v>
      </c>
      <c r="AD64" s="46">
        <v>1</v>
      </c>
      <c r="AH64" s="46">
        <v>1</v>
      </c>
      <c r="AI64" s="46">
        <v>1</v>
      </c>
      <c r="AK64" s="46">
        <v>1</v>
      </c>
      <c r="AT64" s="46">
        <v>1</v>
      </c>
      <c r="AW64" s="46">
        <v>1</v>
      </c>
      <c r="BA64" s="46">
        <v>1</v>
      </c>
      <c r="BK64" s="46">
        <v>1</v>
      </c>
      <c r="BS64" s="46">
        <v>1</v>
      </c>
      <c r="BT64" s="46" t="s">
        <v>952</v>
      </c>
      <c r="BZ64" s="46">
        <v>1</v>
      </c>
      <c r="CC64" s="46">
        <v>1</v>
      </c>
      <c r="CI64" s="46">
        <v>1</v>
      </c>
      <c r="CP64" s="46">
        <v>1</v>
      </c>
      <c r="CU64" s="46" t="s">
        <v>2369</v>
      </c>
    </row>
    <row r="65" spans="1:99">
      <c r="A65" s="46" t="s">
        <v>2272</v>
      </c>
      <c r="B65" s="46" t="s">
        <v>3274</v>
      </c>
      <c r="C65" s="46">
        <v>52</v>
      </c>
      <c r="D65" s="46" t="s">
        <v>3164</v>
      </c>
      <c r="E65" s="46" t="s">
        <v>3275</v>
      </c>
      <c r="F65" s="46" t="s">
        <v>122</v>
      </c>
      <c r="H65" s="46">
        <v>1</v>
      </c>
      <c r="P65" s="46">
        <v>1</v>
      </c>
      <c r="Q65" s="46">
        <v>1</v>
      </c>
      <c r="U65" s="46">
        <v>1</v>
      </c>
      <c r="W65" s="46">
        <v>16</v>
      </c>
      <c r="X65" s="46">
        <v>16</v>
      </c>
      <c r="Y65" s="46">
        <v>19</v>
      </c>
      <c r="Z65" s="46">
        <v>4</v>
      </c>
      <c r="AA65" s="46">
        <v>4</v>
      </c>
      <c r="AB65" s="46">
        <v>4</v>
      </c>
      <c r="AH65" s="46">
        <v>1</v>
      </c>
      <c r="AJ65" s="46">
        <v>1</v>
      </c>
      <c r="AK65" s="46">
        <v>1</v>
      </c>
      <c r="AT65" s="46">
        <v>1</v>
      </c>
      <c r="AX65" s="46">
        <v>1</v>
      </c>
      <c r="BJ65" s="46">
        <v>1</v>
      </c>
      <c r="BZ65" s="46">
        <v>1</v>
      </c>
      <c r="CC65" s="46">
        <v>1</v>
      </c>
      <c r="CI65" s="46">
        <v>1</v>
      </c>
      <c r="CP65" s="46">
        <v>1</v>
      </c>
      <c r="CU65" s="46" t="s">
        <v>3263</v>
      </c>
    </row>
    <row r="66" spans="1:99">
      <c r="A66" s="46" t="s">
        <v>2275</v>
      </c>
      <c r="B66" s="46" t="s">
        <v>3276</v>
      </c>
      <c r="C66" s="46">
        <v>60</v>
      </c>
      <c r="D66" s="46" t="s">
        <v>3120</v>
      </c>
      <c r="E66" s="46" t="s">
        <v>191</v>
      </c>
      <c r="F66" s="46" t="s">
        <v>2523</v>
      </c>
      <c r="H66" s="46">
        <v>1</v>
      </c>
      <c r="M66" s="46">
        <v>1</v>
      </c>
      <c r="Q66" s="46">
        <v>1</v>
      </c>
      <c r="T66" s="46">
        <v>1</v>
      </c>
      <c r="W66" s="46">
        <v>14</v>
      </c>
      <c r="X66" s="46">
        <v>14</v>
      </c>
      <c r="Y66" s="46">
        <v>15</v>
      </c>
      <c r="Z66" s="46">
        <v>20</v>
      </c>
      <c r="AA66" s="46">
        <v>13</v>
      </c>
      <c r="AB66" s="46">
        <v>7</v>
      </c>
      <c r="AC66" s="46">
        <v>1</v>
      </c>
      <c r="AI66" s="46">
        <v>1</v>
      </c>
      <c r="AK66" s="46">
        <v>1</v>
      </c>
      <c r="AT66" s="46">
        <v>1</v>
      </c>
      <c r="AW66" s="46">
        <v>1</v>
      </c>
      <c r="BA66" s="46">
        <v>1</v>
      </c>
      <c r="BJ66" s="46">
        <v>1</v>
      </c>
      <c r="BZ66" s="46">
        <v>1</v>
      </c>
      <c r="CC66" s="46">
        <v>1</v>
      </c>
      <c r="CI66" s="46">
        <v>1</v>
      </c>
      <c r="CP66" s="46">
        <v>1</v>
      </c>
      <c r="CU66" s="46" t="s">
        <v>3263</v>
      </c>
    </row>
    <row r="67" spans="1:99">
      <c r="A67" s="46" t="s">
        <v>2278</v>
      </c>
      <c r="B67" s="46" t="s">
        <v>3277</v>
      </c>
      <c r="C67" s="46">
        <v>50</v>
      </c>
      <c r="D67" s="46" t="s">
        <v>3278</v>
      </c>
      <c r="E67" s="46" t="s">
        <v>3279</v>
      </c>
      <c r="F67" s="46" t="s">
        <v>2523</v>
      </c>
      <c r="G67" s="46">
        <v>1</v>
      </c>
      <c r="O67" s="46">
        <v>1</v>
      </c>
      <c r="R67" s="46">
        <v>1</v>
      </c>
      <c r="T67" s="46">
        <v>1</v>
      </c>
      <c r="W67" s="46">
        <v>17</v>
      </c>
      <c r="X67" s="46">
        <v>19</v>
      </c>
      <c r="Y67" s="46">
        <v>20</v>
      </c>
      <c r="Z67" s="46">
        <v>6</v>
      </c>
      <c r="AA67" s="46">
        <v>6</v>
      </c>
      <c r="AB67" s="46">
        <v>6</v>
      </c>
      <c r="AC67" s="46">
        <v>1</v>
      </c>
      <c r="AJ67" s="46">
        <v>1</v>
      </c>
      <c r="AK67" s="46">
        <v>1</v>
      </c>
      <c r="AT67" s="46">
        <v>1</v>
      </c>
      <c r="AW67" s="46">
        <v>1</v>
      </c>
      <c r="BA67" s="46">
        <v>1</v>
      </c>
      <c r="BJ67" s="46">
        <v>1</v>
      </c>
      <c r="BZ67" s="46">
        <v>1</v>
      </c>
      <c r="CC67" s="46">
        <v>1</v>
      </c>
      <c r="CI67" s="46">
        <v>1</v>
      </c>
      <c r="CP67" s="46">
        <v>1</v>
      </c>
      <c r="CU67" s="46" t="s">
        <v>3263</v>
      </c>
    </row>
    <row r="68" spans="1:99">
      <c r="A68" s="46" t="s">
        <v>2281</v>
      </c>
      <c r="B68" s="46" t="s">
        <v>3280</v>
      </c>
      <c r="C68" s="46">
        <v>67</v>
      </c>
      <c r="D68" s="46" t="s">
        <v>3164</v>
      </c>
      <c r="E68" s="46" t="s">
        <v>3281</v>
      </c>
      <c r="F68" s="46" t="s">
        <v>2523</v>
      </c>
      <c r="H68" s="46">
        <v>1</v>
      </c>
      <c r="P68" s="46">
        <v>1</v>
      </c>
      <c r="R68" s="46">
        <v>1</v>
      </c>
      <c r="U68" s="46">
        <v>1</v>
      </c>
      <c r="W68" s="46">
        <v>16</v>
      </c>
      <c r="X68" s="46">
        <v>22</v>
      </c>
      <c r="Y68" s="46">
        <v>24</v>
      </c>
      <c r="Z68" s="46">
        <v>3</v>
      </c>
      <c r="AA68" s="46">
        <v>2</v>
      </c>
      <c r="AB68" s="46">
        <v>0</v>
      </c>
      <c r="AC68" s="46">
        <v>1</v>
      </c>
      <c r="AI68" s="46">
        <v>1</v>
      </c>
      <c r="AK68" s="46">
        <v>1</v>
      </c>
      <c r="AT68" s="46">
        <v>1</v>
      </c>
      <c r="AW68" s="46">
        <v>1</v>
      </c>
      <c r="BA68" s="46">
        <v>1</v>
      </c>
      <c r="BJ68" s="46">
        <v>1</v>
      </c>
      <c r="BZ68" s="46">
        <v>1</v>
      </c>
      <c r="CC68" s="46">
        <v>1</v>
      </c>
      <c r="CI68" s="46">
        <v>1</v>
      </c>
      <c r="CP68" s="46">
        <v>1</v>
      </c>
      <c r="CU68" s="46" t="s">
        <v>3263</v>
      </c>
    </row>
    <row r="69" spans="1:99">
      <c r="A69" s="46" t="s">
        <v>2286</v>
      </c>
      <c r="B69" s="46" t="s">
        <v>3282</v>
      </c>
      <c r="C69" s="46">
        <v>77</v>
      </c>
      <c r="D69" s="46" t="s">
        <v>3193</v>
      </c>
      <c r="E69" s="46" t="s">
        <v>191</v>
      </c>
      <c r="F69" s="46" t="s">
        <v>3283</v>
      </c>
      <c r="G69" s="46">
        <v>1</v>
      </c>
      <c r="P69" s="46">
        <v>1</v>
      </c>
      <c r="R69" s="46">
        <v>1</v>
      </c>
      <c r="T69" s="46">
        <v>1</v>
      </c>
      <c r="W69" s="46">
        <v>13</v>
      </c>
      <c r="X69" s="46">
        <v>14</v>
      </c>
      <c r="Y69" s="46">
        <v>15</v>
      </c>
      <c r="Z69" s="46">
        <v>12</v>
      </c>
      <c r="AA69" s="46">
        <v>12</v>
      </c>
      <c r="AB69" s="46">
        <v>7</v>
      </c>
      <c r="AE69" s="46">
        <v>1</v>
      </c>
      <c r="AI69" s="46">
        <v>1</v>
      </c>
      <c r="AK69" s="46">
        <v>1</v>
      </c>
      <c r="AT69" s="46">
        <v>1</v>
      </c>
      <c r="AZ69" s="46">
        <v>1</v>
      </c>
      <c r="BA69" s="46">
        <v>1</v>
      </c>
      <c r="BJ69" s="46">
        <v>1</v>
      </c>
      <c r="BZ69" s="46">
        <v>1</v>
      </c>
      <c r="CC69" s="46">
        <v>1</v>
      </c>
      <c r="CI69" s="46">
        <v>1</v>
      </c>
      <c r="CP69" s="46">
        <v>1</v>
      </c>
      <c r="CU69" s="46" t="s">
        <v>3263</v>
      </c>
    </row>
    <row r="70" spans="1:99">
      <c r="A70" s="46" t="s">
        <v>2290</v>
      </c>
      <c r="B70" s="46" t="s">
        <v>3284</v>
      </c>
      <c r="C70" s="46">
        <v>52</v>
      </c>
      <c r="D70" s="46" t="s">
        <v>2479</v>
      </c>
      <c r="E70" s="46" t="s">
        <v>3285</v>
      </c>
      <c r="F70" s="46" t="s">
        <v>2675</v>
      </c>
      <c r="H70" s="46">
        <v>1</v>
      </c>
      <c r="O70" s="46">
        <v>1</v>
      </c>
      <c r="R70" s="46">
        <v>1</v>
      </c>
      <c r="T70" s="46">
        <v>1</v>
      </c>
      <c r="W70" s="46">
        <v>14</v>
      </c>
      <c r="X70" s="46">
        <v>17</v>
      </c>
      <c r="Y70" s="46">
        <v>38</v>
      </c>
      <c r="Z70" s="46">
        <v>1</v>
      </c>
      <c r="AA70" s="46">
        <v>1</v>
      </c>
      <c r="AB70" s="46">
        <v>1</v>
      </c>
      <c r="AH70" s="46">
        <v>1</v>
      </c>
      <c r="AI70" s="46">
        <v>1</v>
      </c>
      <c r="AK70" s="46">
        <v>1</v>
      </c>
      <c r="AT70" s="46">
        <v>1</v>
      </c>
      <c r="AW70" s="46">
        <v>1</v>
      </c>
      <c r="BA70" s="46">
        <v>1</v>
      </c>
      <c r="BJ70" s="46">
        <v>1</v>
      </c>
      <c r="BZ70" s="46">
        <v>1</v>
      </c>
      <c r="CC70" s="46">
        <v>1</v>
      </c>
      <c r="CI70" s="46">
        <v>1</v>
      </c>
      <c r="CP70" s="46">
        <v>1</v>
      </c>
      <c r="CU70" s="46" t="s">
        <v>3263</v>
      </c>
    </row>
    <row r="71" spans="1:99">
      <c r="A71" s="46" t="s">
        <v>2293</v>
      </c>
      <c r="B71" s="46" t="s">
        <v>3286</v>
      </c>
      <c r="C71" s="46">
        <v>50</v>
      </c>
      <c r="D71" s="46" t="s">
        <v>3141</v>
      </c>
      <c r="E71" s="46" t="s">
        <v>191</v>
      </c>
      <c r="F71" s="46" t="s">
        <v>2523</v>
      </c>
      <c r="J71" s="46">
        <v>1</v>
      </c>
      <c r="P71" s="46">
        <v>1</v>
      </c>
      <c r="R71" s="46">
        <v>1</v>
      </c>
      <c r="S71" s="46">
        <v>1</v>
      </c>
      <c r="W71" s="46">
        <v>15</v>
      </c>
      <c r="X71" s="46">
        <v>20</v>
      </c>
      <c r="Y71" s="46">
        <v>20</v>
      </c>
      <c r="Z71" s="46">
        <v>5</v>
      </c>
      <c r="AA71" s="46">
        <v>5</v>
      </c>
      <c r="AB71" s="46">
        <v>5</v>
      </c>
      <c r="AC71" s="46">
        <v>1</v>
      </c>
      <c r="AI71" s="46">
        <v>1</v>
      </c>
      <c r="AK71" s="46">
        <v>1</v>
      </c>
      <c r="AT71" s="46">
        <v>1</v>
      </c>
      <c r="AW71" s="46">
        <v>1</v>
      </c>
      <c r="BA71" s="46">
        <v>1</v>
      </c>
      <c r="BJ71" s="46">
        <v>1</v>
      </c>
      <c r="BW71" s="46">
        <v>1</v>
      </c>
      <c r="BZ71" s="46">
        <v>1</v>
      </c>
      <c r="CC71" s="46">
        <v>1</v>
      </c>
      <c r="CI71" s="46">
        <v>1</v>
      </c>
      <c r="CP71" s="46">
        <v>1</v>
      </c>
      <c r="CU71" s="46" t="s">
        <v>3263</v>
      </c>
    </row>
    <row r="72" spans="1:99">
      <c r="A72" s="46" t="s">
        <v>2296</v>
      </c>
      <c r="B72" s="46" t="s">
        <v>822</v>
      </c>
      <c r="C72" s="46">
        <v>52</v>
      </c>
      <c r="D72" s="46" t="s">
        <v>3212</v>
      </c>
      <c r="E72" s="46" t="s">
        <v>3287</v>
      </c>
      <c r="F72" s="46" t="s">
        <v>3283</v>
      </c>
      <c r="G72" s="46">
        <v>1</v>
      </c>
      <c r="P72" s="46">
        <v>1</v>
      </c>
      <c r="Q72" s="46">
        <v>1</v>
      </c>
      <c r="T72" s="46">
        <v>1</v>
      </c>
      <c r="W72" s="46">
        <v>16</v>
      </c>
      <c r="X72" s="46">
        <v>22</v>
      </c>
      <c r="Y72" s="46">
        <v>30</v>
      </c>
      <c r="Z72" s="46">
        <v>5</v>
      </c>
      <c r="AA72" s="46">
        <v>3</v>
      </c>
      <c r="AB72" s="46">
        <v>3</v>
      </c>
      <c r="AC72" s="46">
        <v>1</v>
      </c>
      <c r="AJ72" s="46">
        <v>1</v>
      </c>
      <c r="AL72" s="46">
        <v>1</v>
      </c>
      <c r="AO72" s="46">
        <v>1</v>
      </c>
      <c r="AS72" s="46">
        <v>1</v>
      </c>
      <c r="AT72" s="46">
        <v>1</v>
      </c>
      <c r="AW72" s="46">
        <v>1</v>
      </c>
      <c r="BB72" s="46">
        <v>1</v>
      </c>
      <c r="BF72" s="46">
        <v>1</v>
      </c>
      <c r="BI72" s="46">
        <v>1</v>
      </c>
      <c r="BW72" s="46">
        <v>1</v>
      </c>
      <c r="BZ72" s="46">
        <v>1</v>
      </c>
      <c r="CC72" s="46">
        <v>1</v>
      </c>
      <c r="CI72" s="46">
        <v>1</v>
      </c>
      <c r="CP72" s="46">
        <v>1</v>
      </c>
      <c r="CU72" s="46" t="s">
        <v>3263</v>
      </c>
    </row>
    <row r="73" spans="1:99">
      <c r="A73" s="46" t="s">
        <v>2299</v>
      </c>
      <c r="B73" s="46" t="s">
        <v>3288</v>
      </c>
      <c r="C73" s="46">
        <v>58</v>
      </c>
      <c r="D73" s="46" t="s">
        <v>3289</v>
      </c>
      <c r="E73" s="46" t="s">
        <v>3290</v>
      </c>
      <c r="F73" s="46" t="s">
        <v>2523</v>
      </c>
      <c r="H73" s="46">
        <v>1</v>
      </c>
      <c r="M73" s="46">
        <v>1</v>
      </c>
      <c r="Q73" s="46">
        <v>1</v>
      </c>
      <c r="T73" s="46">
        <v>1</v>
      </c>
      <c r="X73" s="46">
        <v>20</v>
      </c>
      <c r="Y73" s="46">
        <v>21</v>
      </c>
      <c r="Z73" s="46">
        <v>10</v>
      </c>
      <c r="AA73" s="46">
        <v>10</v>
      </c>
      <c r="AB73" s="46">
        <v>10</v>
      </c>
      <c r="AE73" s="46">
        <v>1</v>
      </c>
      <c r="AH73" s="46">
        <v>1</v>
      </c>
      <c r="AJ73" s="46">
        <v>1</v>
      </c>
      <c r="AL73" s="46">
        <v>1</v>
      </c>
      <c r="AO73" s="46">
        <v>1</v>
      </c>
      <c r="AQ73" s="46" t="s">
        <v>251</v>
      </c>
      <c r="AR73" s="168">
        <v>45231</v>
      </c>
      <c r="AT73" s="46">
        <v>1</v>
      </c>
      <c r="AW73" s="46">
        <v>1</v>
      </c>
      <c r="BB73" s="46">
        <v>1</v>
      </c>
      <c r="BF73" s="46">
        <v>1</v>
      </c>
      <c r="BJ73" s="46">
        <v>1</v>
      </c>
      <c r="BM73" s="46" t="s">
        <v>3291</v>
      </c>
      <c r="BW73" s="46">
        <v>1</v>
      </c>
      <c r="BZ73" s="46">
        <v>1</v>
      </c>
      <c r="CC73" s="46">
        <v>1</v>
      </c>
      <c r="CI73" s="46">
        <v>1</v>
      </c>
      <c r="CP73" s="46">
        <v>1</v>
      </c>
      <c r="CU73" s="139">
        <v>45540</v>
      </c>
    </row>
    <row r="74" spans="1:99">
      <c r="A74" s="46" t="s">
        <v>2302</v>
      </c>
      <c r="B74" s="46" t="s">
        <v>3292</v>
      </c>
      <c r="C74" s="46">
        <v>57</v>
      </c>
      <c r="D74" s="46" t="s">
        <v>3212</v>
      </c>
      <c r="E74" s="46" t="s">
        <v>3293</v>
      </c>
      <c r="F74" s="46" t="s">
        <v>3294</v>
      </c>
      <c r="J74" s="46">
        <v>1</v>
      </c>
      <c r="N74" s="46">
        <v>1</v>
      </c>
      <c r="R74" s="46">
        <v>1</v>
      </c>
      <c r="T74" s="46">
        <v>1</v>
      </c>
      <c r="W74" s="46">
        <v>17</v>
      </c>
      <c r="X74" s="46">
        <v>17</v>
      </c>
      <c r="Y74" s="46">
        <v>18</v>
      </c>
      <c r="Z74" s="46">
        <v>7</v>
      </c>
      <c r="AA74" s="46">
        <v>7</v>
      </c>
      <c r="AB74" s="46">
        <v>6</v>
      </c>
      <c r="AF74" s="46">
        <v>1</v>
      </c>
      <c r="AI74" s="46">
        <v>1</v>
      </c>
      <c r="AL74" s="46">
        <v>1</v>
      </c>
      <c r="AP74" s="46">
        <v>1</v>
      </c>
      <c r="AS74" s="46">
        <v>1</v>
      </c>
      <c r="AT74" s="46">
        <v>1</v>
      </c>
      <c r="AZ74" s="46">
        <v>1</v>
      </c>
      <c r="BA74" s="46">
        <v>1</v>
      </c>
      <c r="BJ74" s="46">
        <v>1</v>
      </c>
      <c r="BW74" s="46">
        <v>1</v>
      </c>
      <c r="BZ74" s="46">
        <v>1</v>
      </c>
      <c r="CC74" s="46">
        <v>1</v>
      </c>
      <c r="CI74" s="46">
        <v>1</v>
      </c>
      <c r="CP74" s="46">
        <v>1</v>
      </c>
      <c r="CU74" s="46" t="s">
        <v>3263</v>
      </c>
    </row>
    <row r="75" spans="1:99">
      <c r="A75" s="46" t="s">
        <v>2305</v>
      </c>
      <c r="B75" s="46" t="s">
        <v>3295</v>
      </c>
      <c r="C75" s="46">
        <v>45</v>
      </c>
      <c r="D75" s="46" t="s">
        <v>3296</v>
      </c>
      <c r="E75" s="46" t="s">
        <v>3297</v>
      </c>
      <c r="F75" s="46" t="s">
        <v>477</v>
      </c>
      <c r="G75" s="46">
        <v>1</v>
      </c>
      <c r="O75" s="46">
        <v>1</v>
      </c>
      <c r="R75" s="46">
        <v>1</v>
      </c>
      <c r="T75" s="46">
        <v>1</v>
      </c>
      <c r="W75" s="46">
        <v>14</v>
      </c>
      <c r="X75" s="46">
        <v>17</v>
      </c>
      <c r="Y75" s="46">
        <v>28</v>
      </c>
      <c r="Z75" s="46">
        <v>2</v>
      </c>
      <c r="AA75" s="46">
        <v>2</v>
      </c>
      <c r="AB75" s="46">
        <v>2</v>
      </c>
      <c r="AE75" s="46">
        <v>1</v>
      </c>
      <c r="AG75" s="46">
        <v>1</v>
      </c>
      <c r="AH75" s="46">
        <v>1</v>
      </c>
      <c r="AJ75" s="46">
        <v>1</v>
      </c>
      <c r="AL75" s="46">
        <v>1</v>
      </c>
      <c r="AQ75" s="46" t="s">
        <v>251</v>
      </c>
      <c r="AR75" s="140">
        <v>45108</v>
      </c>
      <c r="AT75" s="46">
        <v>1</v>
      </c>
      <c r="AW75" s="46">
        <v>1</v>
      </c>
      <c r="BA75" s="46">
        <v>1</v>
      </c>
      <c r="BJ75" s="46">
        <v>1</v>
      </c>
      <c r="BM75" s="46" t="s">
        <v>3298</v>
      </c>
      <c r="BW75" s="46">
        <v>1</v>
      </c>
      <c r="BZ75" s="46">
        <v>1</v>
      </c>
      <c r="CC75" s="46">
        <v>1</v>
      </c>
      <c r="CI75" s="46">
        <v>1</v>
      </c>
      <c r="CP75" s="46">
        <v>1</v>
      </c>
      <c r="CU75" s="139">
        <v>45540</v>
      </c>
    </row>
    <row r="76" spans="1:99">
      <c r="A76" s="46" t="s">
        <v>2308</v>
      </c>
      <c r="B76" s="46" t="s">
        <v>3299</v>
      </c>
      <c r="C76" s="46">
        <v>18</v>
      </c>
      <c r="D76" s="46" t="s">
        <v>3193</v>
      </c>
      <c r="E76" s="46" t="s">
        <v>3300</v>
      </c>
      <c r="F76" s="46" t="s">
        <v>3130</v>
      </c>
      <c r="G76" s="46">
        <v>1</v>
      </c>
      <c r="L76" s="46">
        <v>1</v>
      </c>
      <c r="Q76" s="46">
        <v>1</v>
      </c>
      <c r="T76" s="46">
        <v>1</v>
      </c>
      <c r="W76" s="46">
        <v>14</v>
      </c>
      <c r="X76" s="46">
        <v>17</v>
      </c>
      <c r="Y76" s="46">
        <v>0</v>
      </c>
      <c r="Z76" s="46">
        <v>0</v>
      </c>
      <c r="AA76" s="46">
        <v>0</v>
      </c>
      <c r="AB76" s="46">
        <v>0</v>
      </c>
      <c r="AD76" s="46">
        <v>1</v>
      </c>
      <c r="AF76" s="46">
        <v>1</v>
      </c>
      <c r="AH76" s="46">
        <v>1</v>
      </c>
      <c r="AI76" s="46">
        <v>1</v>
      </c>
      <c r="AK76" s="46">
        <v>1</v>
      </c>
      <c r="AT76" s="46">
        <v>1</v>
      </c>
      <c r="AW76" s="46">
        <v>1</v>
      </c>
      <c r="BA76" s="46">
        <v>1</v>
      </c>
      <c r="BM76" s="46" t="s">
        <v>3301</v>
      </c>
      <c r="BW76" s="46">
        <v>1</v>
      </c>
      <c r="BZ76" s="46">
        <v>1</v>
      </c>
      <c r="CC76" s="46">
        <v>1</v>
      </c>
      <c r="CI76" s="46">
        <v>1</v>
      </c>
      <c r="CP76" s="46">
        <v>1</v>
      </c>
      <c r="CU76" s="46" t="s">
        <v>191</v>
      </c>
    </row>
    <row r="77" spans="1:99">
      <c r="A77" s="46" t="s">
        <v>2312</v>
      </c>
      <c r="B77" s="46" t="s">
        <v>3302</v>
      </c>
      <c r="C77" s="46">
        <v>14</v>
      </c>
      <c r="D77" s="46" t="s">
        <v>3175</v>
      </c>
      <c r="E77" s="46" t="s">
        <v>191</v>
      </c>
      <c r="F77" s="46" t="s">
        <v>2574</v>
      </c>
      <c r="G77" s="46">
        <v>1</v>
      </c>
      <c r="L77" s="46">
        <v>1</v>
      </c>
      <c r="Q77" s="46">
        <v>1</v>
      </c>
      <c r="T77" s="46">
        <v>1</v>
      </c>
      <c r="W77" s="46">
        <v>12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1</v>
      </c>
      <c r="AI77" s="46">
        <v>1</v>
      </c>
      <c r="AM77" s="46">
        <v>1</v>
      </c>
      <c r="AT77" s="46">
        <v>1</v>
      </c>
      <c r="AV77" s="46">
        <v>1</v>
      </c>
      <c r="BA77" s="46">
        <v>1</v>
      </c>
      <c r="BZ77" s="46">
        <v>1</v>
      </c>
      <c r="CC77" s="46">
        <v>1</v>
      </c>
      <c r="CI77" s="46">
        <v>1</v>
      </c>
      <c r="CP77" s="46">
        <v>1</v>
      </c>
      <c r="CU77" s="46" t="s">
        <v>191</v>
      </c>
    </row>
    <row r="78" spans="1:99">
      <c r="A78" s="46" t="s">
        <v>2315</v>
      </c>
      <c r="B78" s="46" t="s">
        <v>3303</v>
      </c>
      <c r="C78" s="46">
        <v>34</v>
      </c>
      <c r="D78" s="46" t="s">
        <v>3304</v>
      </c>
      <c r="E78" s="46" t="s">
        <v>3305</v>
      </c>
      <c r="F78" s="46" t="s">
        <v>2484</v>
      </c>
      <c r="G78" s="46">
        <v>1</v>
      </c>
      <c r="M78" s="46">
        <v>1</v>
      </c>
      <c r="Q78" s="46">
        <v>1</v>
      </c>
      <c r="U78" s="46">
        <v>1</v>
      </c>
      <c r="W78" s="46">
        <v>14</v>
      </c>
      <c r="X78" s="46">
        <v>18</v>
      </c>
      <c r="Y78" s="46">
        <v>19</v>
      </c>
      <c r="Z78" s="46">
        <v>5</v>
      </c>
      <c r="AA78" s="46">
        <v>4</v>
      </c>
      <c r="AB78" s="46">
        <v>4</v>
      </c>
      <c r="AE78" s="46">
        <v>1</v>
      </c>
      <c r="AJ78" s="46">
        <v>1</v>
      </c>
      <c r="AK78" s="46">
        <v>1</v>
      </c>
      <c r="AT78" s="46">
        <v>1</v>
      </c>
      <c r="AW78" s="46">
        <v>1</v>
      </c>
      <c r="BA78" s="46">
        <v>1</v>
      </c>
      <c r="BM78" s="46" t="s">
        <v>3306</v>
      </c>
      <c r="BZ78" s="46">
        <v>1</v>
      </c>
      <c r="CC78" s="46">
        <v>1</v>
      </c>
      <c r="CI78" s="46">
        <v>1</v>
      </c>
      <c r="CP78" s="46">
        <v>1</v>
      </c>
      <c r="CU78" s="46" t="s">
        <v>3307</v>
      </c>
    </row>
    <row r="79" spans="1:99">
      <c r="A79" s="46" t="s">
        <v>2319</v>
      </c>
      <c r="B79" s="46" t="s">
        <v>3308</v>
      </c>
      <c r="C79" s="46">
        <v>36</v>
      </c>
      <c r="D79" s="46" t="s">
        <v>3196</v>
      </c>
      <c r="E79" s="46" t="s">
        <v>3309</v>
      </c>
      <c r="F79" s="46" t="s">
        <v>2523</v>
      </c>
      <c r="H79" s="46">
        <v>1</v>
      </c>
      <c r="M79" s="46">
        <v>1</v>
      </c>
      <c r="Q79" s="46">
        <v>1</v>
      </c>
      <c r="T79" s="46">
        <v>1</v>
      </c>
      <c r="W79" s="46">
        <v>14</v>
      </c>
      <c r="X79" s="46">
        <v>18</v>
      </c>
      <c r="Y79" s="46">
        <v>20</v>
      </c>
      <c r="Z79" s="46">
        <v>4</v>
      </c>
      <c r="AA79" s="46">
        <v>4</v>
      </c>
      <c r="AB79" s="46">
        <v>4</v>
      </c>
      <c r="AE79" s="46">
        <v>1</v>
      </c>
      <c r="AH79" s="46">
        <v>1</v>
      </c>
      <c r="AJ79" s="46">
        <v>1</v>
      </c>
      <c r="AK79" s="46">
        <v>1</v>
      </c>
      <c r="AT79" s="46">
        <v>1</v>
      </c>
      <c r="AW79" s="46">
        <v>1</v>
      </c>
      <c r="BA79" s="46">
        <v>1</v>
      </c>
      <c r="BM79" s="46" t="s">
        <v>1739</v>
      </c>
      <c r="BZ79" s="46">
        <v>1</v>
      </c>
      <c r="CC79" s="46">
        <v>1</v>
      </c>
      <c r="CI79" s="46">
        <v>1</v>
      </c>
      <c r="CP79" s="46">
        <v>1</v>
      </c>
      <c r="CU79" s="46" t="s">
        <v>3310</v>
      </c>
    </row>
    <row r="80" spans="1:99">
      <c r="A80" s="46" t="s">
        <v>2322</v>
      </c>
      <c r="B80" s="46" t="s">
        <v>3311</v>
      </c>
      <c r="C80" s="46">
        <v>61</v>
      </c>
      <c r="D80" s="46" t="s">
        <v>3117</v>
      </c>
      <c r="E80" s="46" t="s">
        <v>3312</v>
      </c>
      <c r="F80" s="46" t="s">
        <v>2523</v>
      </c>
      <c r="I80" s="46">
        <v>1</v>
      </c>
      <c r="N80" s="46">
        <v>1</v>
      </c>
      <c r="R80" s="46">
        <v>1</v>
      </c>
      <c r="S80" s="46">
        <v>1</v>
      </c>
      <c r="W80" s="46">
        <v>17</v>
      </c>
      <c r="X80" s="46">
        <v>18</v>
      </c>
      <c r="Y80" s="46">
        <v>19</v>
      </c>
      <c r="Z80" s="46">
        <v>8</v>
      </c>
      <c r="AA80" s="46">
        <v>8</v>
      </c>
      <c r="AB80" s="46">
        <v>8</v>
      </c>
      <c r="AC80" s="46">
        <v>1</v>
      </c>
      <c r="AI80" s="46">
        <v>1</v>
      </c>
      <c r="AK80" s="46">
        <v>1</v>
      </c>
      <c r="AT80" s="46">
        <v>1</v>
      </c>
      <c r="AW80" s="46">
        <v>1</v>
      </c>
      <c r="BA80" s="46">
        <v>1</v>
      </c>
      <c r="BZ80" s="46">
        <v>1</v>
      </c>
      <c r="CC80" s="46">
        <v>1</v>
      </c>
      <c r="CI80" s="46">
        <v>1</v>
      </c>
      <c r="CP80" s="46">
        <v>1</v>
      </c>
      <c r="CU80" s="46" t="s">
        <v>191</v>
      </c>
    </row>
    <row r="81" spans="1:99">
      <c r="A81" s="46" t="s">
        <v>2325</v>
      </c>
      <c r="B81" s="46" t="s">
        <v>3313</v>
      </c>
      <c r="C81" s="46">
        <v>30</v>
      </c>
      <c r="D81" s="46" t="s">
        <v>3289</v>
      </c>
      <c r="E81" s="46" t="s">
        <v>3314</v>
      </c>
      <c r="F81" s="46" t="s">
        <v>3294</v>
      </c>
      <c r="H81" s="46">
        <v>1</v>
      </c>
      <c r="M81" s="46">
        <v>1</v>
      </c>
      <c r="Q81" s="46">
        <v>1</v>
      </c>
      <c r="T81" s="46">
        <v>1</v>
      </c>
      <c r="W81" s="46">
        <v>16</v>
      </c>
      <c r="X81" s="46">
        <v>24</v>
      </c>
      <c r="Y81" s="46">
        <v>25</v>
      </c>
      <c r="Z81" s="46">
        <v>4</v>
      </c>
      <c r="AA81" s="46">
        <v>2</v>
      </c>
      <c r="AB81" s="46">
        <v>2</v>
      </c>
      <c r="AC81" s="46">
        <v>1</v>
      </c>
      <c r="AJ81" s="46">
        <v>1</v>
      </c>
      <c r="AK81" s="46">
        <v>1</v>
      </c>
      <c r="AT81" s="46">
        <v>1</v>
      </c>
      <c r="AW81" s="46">
        <v>1</v>
      </c>
      <c r="BA81" s="46">
        <v>1</v>
      </c>
      <c r="BZ81" s="46">
        <v>1</v>
      </c>
      <c r="CC81" s="46">
        <v>1</v>
      </c>
      <c r="CL81" s="46" t="s">
        <v>3315</v>
      </c>
      <c r="CP81" s="46">
        <v>1</v>
      </c>
      <c r="CU81" s="46" t="s">
        <v>3316</v>
      </c>
    </row>
    <row r="82" spans="1:99">
      <c r="A82" s="46" t="s">
        <v>2329</v>
      </c>
      <c r="B82" s="46" t="s">
        <v>3317</v>
      </c>
      <c r="C82" s="46">
        <v>23</v>
      </c>
      <c r="D82" s="46" t="s">
        <v>3318</v>
      </c>
      <c r="E82" s="46" t="s">
        <v>3319</v>
      </c>
      <c r="F82" s="46" t="s">
        <v>2484</v>
      </c>
      <c r="I82" s="46">
        <v>1</v>
      </c>
      <c r="M82" s="46">
        <v>1</v>
      </c>
      <c r="Q82" s="46">
        <v>1</v>
      </c>
      <c r="T82" s="46">
        <v>1</v>
      </c>
      <c r="W82" s="46">
        <v>12</v>
      </c>
      <c r="X82" s="46">
        <v>22</v>
      </c>
      <c r="Y82" s="46">
        <v>23</v>
      </c>
      <c r="Z82" s="46">
        <v>1</v>
      </c>
      <c r="AA82" s="46">
        <v>1</v>
      </c>
      <c r="AB82" s="46">
        <v>1</v>
      </c>
      <c r="AD82" s="46">
        <v>1</v>
      </c>
      <c r="AE82" s="46">
        <v>1</v>
      </c>
      <c r="AH82" s="46">
        <v>1</v>
      </c>
      <c r="AJ82" s="46">
        <v>1</v>
      </c>
      <c r="AM82" s="46">
        <v>1</v>
      </c>
      <c r="AT82" s="46">
        <v>1</v>
      </c>
      <c r="AZ82" s="46">
        <v>1</v>
      </c>
      <c r="BA82" s="46">
        <v>1</v>
      </c>
      <c r="BZ82" s="46">
        <v>1</v>
      </c>
      <c r="CC82" s="46">
        <v>1</v>
      </c>
      <c r="CJ82" s="46">
        <v>1</v>
      </c>
      <c r="CQ82" s="46" t="s">
        <v>3320</v>
      </c>
      <c r="CU82" s="46" t="s">
        <v>191</v>
      </c>
    </row>
  </sheetData>
  <autoFilter ref="A3:CU82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62" t="s">
        <v>356</v>
      </c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3107</v>
      </c>
      <c r="H2" s="64" t="s">
        <v>358</v>
      </c>
      <c r="I2" s="64" t="s">
        <v>362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</row>
    <row r="3" spans="1:31">
      <c r="A3" s="68" t="s">
        <v>1634</v>
      </c>
      <c r="B3" s="69">
        <v>3</v>
      </c>
      <c r="C3" s="69">
        <v>0</v>
      </c>
      <c r="D3" s="69">
        <v>2</v>
      </c>
      <c r="E3" s="69">
        <f t="shared" ref="E3:E8" si="0">SUM(B3:D3)</f>
        <v>5</v>
      </c>
      <c r="F3" s="70">
        <v>0</v>
      </c>
      <c r="G3" s="70">
        <v>0</v>
      </c>
      <c r="H3" s="70">
        <v>3</v>
      </c>
      <c r="I3" s="70">
        <v>0</v>
      </c>
      <c r="J3" s="71">
        <f t="shared" ref="J3:J9" si="1">SUM(F3:I3)</f>
        <v>3</v>
      </c>
      <c r="K3" s="70">
        <v>0</v>
      </c>
      <c r="L3" s="70">
        <v>0</v>
      </c>
      <c r="M3" s="70">
        <v>0</v>
      </c>
      <c r="N3" s="70">
        <v>1</v>
      </c>
      <c r="O3" s="71">
        <f t="shared" ref="O3:O9" si="2">SUM(K3:N3)</f>
        <v>1</v>
      </c>
      <c r="P3" s="70">
        <v>0</v>
      </c>
      <c r="Q3" s="70">
        <v>0</v>
      </c>
      <c r="R3" s="70">
        <v>4</v>
      </c>
      <c r="S3" s="71">
        <f t="shared" ref="S3:S8" si="3">SUM(P3:R3)</f>
        <v>4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/>
      <c r="Z3" s="73">
        <v>4</v>
      </c>
      <c r="AA3" s="73">
        <v>0</v>
      </c>
      <c r="AB3" s="73">
        <v>0</v>
      </c>
      <c r="AC3" s="73">
        <v>1</v>
      </c>
      <c r="AD3" s="170">
        <f t="shared" ref="AD3:AD8" si="4">SUM(Z3:AC3)</f>
        <v>5</v>
      </c>
      <c r="AE3" s="73">
        <v>0</v>
      </c>
    </row>
    <row r="4" spans="1:31">
      <c r="A4" s="74" t="s">
        <v>3321</v>
      </c>
      <c r="B4" s="69">
        <v>25</v>
      </c>
      <c r="C4" s="69">
        <v>0</v>
      </c>
      <c r="D4" s="69">
        <v>2</v>
      </c>
      <c r="E4" s="69">
        <f t="shared" si="0"/>
        <v>27</v>
      </c>
      <c r="F4" s="70">
        <v>0</v>
      </c>
      <c r="G4" s="70">
        <v>0</v>
      </c>
      <c r="H4" s="70">
        <v>24</v>
      </c>
      <c r="I4" s="70">
        <v>0</v>
      </c>
      <c r="J4" s="71">
        <f t="shared" si="1"/>
        <v>24</v>
      </c>
      <c r="K4" s="70">
        <v>0</v>
      </c>
      <c r="L4" s="70">
        <v>0</v>
      </c>
      <c r="M4" s="70">
        <v>0</v>
      </c>
      <c r="N4" s="70">
        <v>2</v>
      </c>
      <c r="O4" s="71">
        <f t="shared" si="2"/>
        <v>2</v>
      </c>
      <c r="P4" s="70">
        <v>0</v>
      </c>
      <c r="Q4" s="70">
        <v>0</v>
      </c>
      <c r="R4" s="70">
        <v>15</v>
      </c>
      <c r="S4" s="71">
        <f t="shared" si="3"/>
        <v>15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3">
        <v>25</v>
      </c>
      <c r="AA4" s="73">
        <v>0</v>
      </c>
      <c r="AB4" s="73">
        <v>0</v>
      </c>
      <c r="AC4" s="73">
        <v>1</v>
      </c>
      <c r="AD4" s="170">
        <f t="shared" si="4"/>
        <v>26</v>
      </c>
      <c r="AE4" s="73">
        <v>1</v>
      </c>
    </row>
    <row r="5" spans="1:31">
      <c r="A5" s="77" t="s">
        <v>372</v>
      </c>
      <c r="B5" s="69">
        <v>12</v>
      </c>
      <c r="C5" s="69">
        <v>5</v>
      </c>
      <c r="D5" s="69">
        <v>0</v>
      </c>
      <c r="E5" s="69">
        <f t="shared" si="0"/>
        <v>17</v>
      </c>
      <c r="F5" s="70">
        <v>2</v>
      </c>
      <c r="G5" s="70">
        <v>0</v>
      </c>
      <c r="H5" s="70">
        <v>13</v>
      </c>
      <c r="I5" s="70">
        <v>2</v>
      </c>
      <c r="J5" s="71">
        <f t="shared" si="1"/>
        <v>17</v>
      </c>
      <c r="K5" s="70">
        <v>0</v>
      </c>
      <c r="L5" s="70">
        <v>0</v>
      </c>
      <c r="M5" s="70">
        <v>0</v>
      </c>
      <c r="N5" s="70">
        <v>0</v>
      </c>
      <c r="O5" s="71">
        <f t="shared" si="2"/>
        <v>0</v>
      </c>
      <c r="P5" s="70">
        <v>2</v>
      </c>
      <c r="Q5" s="70">
        <v>0</v>
      </c>
      <c r="R5" s="70">
        <v>10</v>
      </c>
      <c r="S5" s="71">
        <f t="shared" si="3"/>
        <v>12</v>
      </c>
      <c r="T5" s="75">
        <v>0</v>
      </c>
      <c r="U5" s="75">
        <v>0</v>
      </c>
      <c r="V5" s="75">
        <v>0</v>
      </c>
      <c r="W5" s="75"/>
      <c r="X5" s="75"/>
      <c r="Y5" s="75"/>
      <c r="Z5" s="73">
        <v>15</v>
      </c>
      <c r="AA5" s="73">
        <v>1</v>
      </c>
      <c r="AB5" s="73">
        <v>0</v>
      </c>
      <c r="AC5" s="73">
        <v>1</v>
      </c>
      <c r="AD5" s="170">
        <f t="shared" si="4"/>
        <v>17</v>
      </c>
      <c r="AE5" s="73">
        <v>1</v>
      </c>
    </row>
    <row r="6" spans="1:31">
      <c r="A6" s="77" t="s">
        <v>775</v>
      </c>
      <c r="B6" s="69">
        <v>10</v>
      </c>
      <c r="C6" s="69">
        <v>4</v>
      </c>
      <c r="D6" s="69">
        <v>0</v>
      </c>
      <c r="E6" s="69">
        <f t="shared" si="0"/>
        <v>14</v>
      </c>
      <c r="F6" s="70">
        <v>0</v>
      </c>
      <c r="G6" s="70">
        <v>0</v>
      </c>
      <c r="H6" s="70">
        <v>7</v>
      </c>
      <c r="I6" s="70">
        <v>0</v>
      </c>
      <c r="J6" s="71">
        <f t="shared" si="1"/>
        <v>7</v>
      </c>
      <c r="K6" s="70">
        <v>3</v>
      </c>
      <c r="L6" s="70">
        <v>3</v>
      </c>
      <c r="M6" s="70">
        <v>1</v>
      </c>
      <c r="N6" s="70">
        <v>0</v>
      </c>
      <c r="O6" s="71">
        <f t="shared" si="2"/>
        <v>7</v>
      </c>
      <c r="P6" s="70">
        <v>0</v>
      </c>
      <c r="Q6" s="70">
        <v>0</v>
      </c>
      <c r="R6" s="70">
        <v>6</v>
      </c>
      <c r="S6" s="71">
        <f t="shared" si="3"/>
        <v>6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3">
        <v>13</v>
      </c>
      <c r="AA6" s="73">
        <v>0</v>
      </c>
      <c r="AB6" s="73">
        <v>0</v>
      </c>
      <c r="AC6" s="73">
        <v>1</v>
      </c>
      <c r="AD6" s="170">
        <f t="shared" si="4"/>
        <v>14</v>
      </c>
      <c r="AE6" s="73">
        <v>0</v>
      </c>
    </row>
    <row r="7" spans="1:31">
      <c r="A7" s="77" t="s">
        <v>3322</v>
      </c>
      <c r="B7" s="69">
        <v>6</v>
      </c>
      <c r="C7" s="69">
        <v>4</v>
      </c>
      <c r="D7" s="69">
        <v>0</v>
      </c>
      <c r="E7" s="69">
        <f t="shared" si="0"/>
        <v>10</v>
      </c>
      <c r="F7" s="70">
        <v>0</v>
      </c>
      <c r="G7" s="70">
        <v>0</v>
      </c>
      <c r="H7" s="70">
        <v>2</v>
      </c>
      <c r="I7" s="70">
        <v>0</v>
      </c>
      <c r="J7" s="71">
        <f t="shared" si="1"/>
        <v>2</v>
      </c>
      <c r="K7" s="70">
        <v>6</v>
      </c>
      <c r="L7" s="70">
        <v>1</v>
      </c>
      <c r="M7" s="70">
        <v>0</v>
      </c>
      <c r="N7" s="70">
        <v>1</v>
      </c>
      <c r="O7" s="71">
        <f t="shared" si="2"/>
        <v>8</v>
      </c>
      <c r="P7" s="70">
        <v>0</v>
      </c>
      <c r="Q7" s="70">
        <v>0</v>
      </c>
      <c r="R7" s="70">
        <v>6</v>
      </c>
      <c r="S7" s="71">
        <f t="shared" si="3"/>
        <v>6</v>
      </c>
      <c r="T7" s="75">
        <v>0</v>
      </c>
      <c r="U7" s="75">
        <v>0</v>
      </c>
      <c r="V7" s="75">
        <v>1</v>
      </c>
      <c r="W7" s="75">
        <v>1</v>
      </c>
      <c r="X7" s="75">
        <v>0</v>
      </c>
      <c r="Y7" s="75">
        <v>0</v>
      </c>
      <c r="Z7" s="73">
        <v>10</v>
      </c>
      <c r="AA7" s="73">
        <v>0</v>
      </c>
      <c r="AB7" s="73">
        <v>0</v>
      </c>
      <c r="AC7" s="73">
        <v>1</v>
      </c>
      <c r="AD7" s="170">
        <f t="shared" si="4"/>
        <v>11</v>
      </c>
      <c r="AE7" s="73">
        <v>0</v>
      </c>
    </row>
    <row r="8" spans="1:31">
      <c r="A8" s="78" t="s">
        <v>2603</v>
      </c>
      <c r="B8" s="79">
        <v>6</v>
      </c>
      <c r="C8" s="79">
        <v>0</v>
      </c>
      <c r="D8" s="79">
        <v>0</v>
      </c>
      <c r="E8" s="69">
        <f t="shared" si="0"/>
        <v>6</v>
      </c>
      <c r="F8" s="80">
        <v>0</v>
      </c>
      <c r="G8" s="80">
        <v>0</v>
      </c>
      <c r="H8" s="80">
        <v>6</v>
      </c>
      <c r="I8" s="80">
        <v>0</v>
      </c>
      <c r="J8" s="71">
        <f t="shared" si="1"/>
        <v>6</v>
      </c>
      <c r="K8" s="80">
        <v>0</v>
      </c>
      <c r="L8" s="80">
        <v>0</v>
      </c>
      <c r="M8" s="80">
        <v>0</v>
      </c>
      <c r="N8" s="80">
        <v>0</v>
      </c>
      <c r="O8" s="71">
        <f t="shared" si="2"/>
        <v>0</v>
      </c>
      <c r="P8" s="80">
        <v>0</v>
      </c>
      <c r="Q8" s="80">
        <v>0</v>
      </c>
      <c r="R8" s="80">
        <v>1</v>
      </c>
      <c r="S8" s="71">
        <f t="shared" si="3"/>
        <v>1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2">
        <v>6</v>
      </c>
      <c r="AA8" s="82">
        <v>0</v>
      </c>
      <c r="AB8" s="82">
        <v>0</v>
      </c>
      <c r="AC8" s="82">
        <v>0</v>
      </c>
      <c r="AD8" s="170">
        <f t="shared" si="4"/>
        <v>6</v>
      </c>
      <c r="AE8" s="82">
        <v>0</v>
      </c>
    </row>
    <row r="9" spans="1:31">
      <c r="A9" s="69" t="s">
        <v>376</v>
      </c>
      <c r="B9" s="69">
        <f>SUM(B3:B8)</f>
        <v>62</v>
      </c>
      <c r="C9" s="69">
        <f>SUM(C3:C8)</f>
        <v>13</v>
      </c>
      <c r="D9" s="69">
        <f>SUM(D3:D8)</f>
        <v>4</v>
      </c>
      <c r="E9" s="69">
        <f>SUM(E3:E8)</f>
        <v>79</v>
      </c>
      <c r="F9" s="69">
        <f>SUM(F3:F8)</f>
        <v>2</v>
      </c>
      <c r="G9" s="69"/>
      <c r="H9" s="69">
        <f>SUM(H3:H8)</f>
        <v>55</v>
      </c>
      <c r="I9" s="69">
        <f>SUM(I3:I8)</f>
        <v>2</v>
      </c>
      <c r="J9" s="71">
        <f t="shared" si="1"/>
        <v>59</v>
      </c>
      <c r="K9" s="114">
        <f>SUM(K3:K8)</f>
        <v>9</v>
      </c>
      <c r="L9" s="114">
        <f>SUM(L3:L8)</f>
        <v>4</v>
      </c>
      <c r="M9" s="114">
        <f>SUM(M3:M8)</f>
        <v>1</v>
      </c>
      <c r="N9" s="114">
        <f>SUM(N3:N8)</f>
        <v>4</v>
      </c>
      <c r="O9" s="71">
        <f t="shared" si="2"/>
        <v>18</v>
      </c>
      <c r="P9" s="114">
        <f t="shared" ref="P9:AE9" si="5">SUM(P3:P8)</f>
        <v>2</v>
      </c>
      <c r="Q9" s="114">
        <f t="shared" si="5"/>
        <v>0</v>
      </c>
      <c r="R9" s="114">
        <f t="shared" si="5"/>
        <v>42</v>
      </c>
      <c r="S9" s="71">
        <f t="shared" si="5"/>
        <v>44</v>
      </c>
      <c r="T9" s="114">
        <f t="shared" si="5"/>
        <v>0</v>
      </c>
      <c r="U9" s="114">
        <f t="shared" si="5"/>
        <v>0</v>
      </c>
      <c r="V9" s="114">
        <f t="shared" si="5"/>
        <v>1</v>
      </c>
      <c r="W9" s="114">
        <f t="shared" si="5"/>
        <v>1</v>
      </c>
      <c r="X9" s="114">
        <f t="shared" si="5"/>
        <v>0</v>
      </c>
      <c r="Y9" s="114">
        <f t="shared" si="5"/>
        <v>0</v>
      </c>
      <c r="Z9" s="73">
        <f t="shared" si="5"/>
        <v>73</v>
      </c>
      <c r="AA9" s="73">
        <f t="shared" si="5"/>
        <v>1</v>
      </c>
      <c r="AB9" s="73">
        <f t="shared" si="5"/>
        <v>0</v>
      </c>
      <c r="AC9" s="73">
        <f t="shared" si="5"/>
        <v>5</v>
      </c>
      <c r="AD9" s="73">
        <f t="shared" si="5"/>
        <v>79</v>
      </c>
      <c r="AE9" s="73">
        <f t="shared" si="5"/>
        <v>2</v>
      </c>
    </row>
  </sheetData>
  <mergeCells count="6">
    <mergeCell ref="Z1:AD1"/>
    <mergeCell ref="A1:A2"/>
    <mergeCell ref="B1:E1"/>
    <mergeCell ref="K1:O1"/>
    <mergeCell ref="P1:S1"/>
    <mergeCell ref="T1:Y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9"/>
  <sheetViews>
    <sheetView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ColWidth="14.42578125" defaultRowHeight="15" customHeight="1"/>
  <cols>
    <col min="1" max="1" width="10" customWidth="1"/>
    <col min="2" max="2" width="21.7109375" customWidth="1"/>
    <col min="3" max="3" width="11.42578125" customWidth="1"/>
  </cols>
  <sheetData>
    <row r="1" spans="1:99">
      <c r="A1" s="479" t="s">
        <v>3323</v>
      </c>
      <c r="B1" s="480"/>
      <c r="C1" s="479" t="s">
        <v>3324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>
      <c r="A4" s="46" t="s">
        <v>2332</v>
      </c>
      <c r="B4" s="46" t="s">
        <v>3325</v>
      </c>
      <c r="C4" s="46">
        <v>49</v>
      </c>
      <c r="D4" s="46" t="s">
        <v>300</v>
      </c>
      <c r="E4" s="46" t="s">
        <v>3326</v>
      </c>
      <c r="F4" s="46" t="s">
        <v>2523</v>
      </c>
      <c r="G4" s="46">
        <v>1</v>
      </c>
      <c r="M4" s="46">
        <v>1</v>
      </c>
      <c r="Q4" s="46">
        <v>1</v>
      </c>
      <c r="S4" s="46">
        <v>1</v>
      </c>
      <c r="W4" s="46">
        <v>16</v>
      </c>
      <c r="X4" s="46">
        <v>18</v>
      </c>
      <c r="Y4" s="46">
        <v>19</v>
      </c>
      <c r="Z4" s="46">
        <v>9</v>
      </c>
      <c r="AA4" s="46">
        <v>7</v>
      </c>
      <c r="AB4" s="46">
        <v>7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I4" s="46">
        <v>1</v>
      </c>
      <c r="BZ4" s="46">
        <v>1</v>
      </c>
      <c r="CC4" s="46">
        <v>1</v>
      </c>
      <c r="CP4" s="46">
        <v>1</v>
      </c>
      <c r="CU4" s="46" t="s">
        <v>3327</v>
      </c>
    </row>
    <row r="5" spans="1:99">
      <c r="A5" s="46" t="s">
        <v>2335</v>
      </c>
      <c r="B5" s="46" t="s">
        <v>3328</v>
      </c>
      <c r="C5" s="46">
        <v>28</v>
      </c>
      <c r="D5" s="46" t="s">
        <v>3233</v>
      </c>
      <c r="E5" s="46" t="s">
        <v>3329</v>
      </c>
      <c r="F5" s="46" t="s">
        <v>122</v>
      </c>
      <c r="G5" s="46">
        <v>1</v>
      </c>
      <c r="M5" s="46">
        <v>1</v>
      </c>
      <c r="Q5" s="46">
        <v>1</v>
      </c>
      <c r="V5" s="46">
        <v>1</v>
      </c>
      <c r="W5" s="46">
        <v>18</v>
      </c>
      <c r="X5" s="46">
        <v>24</v>
      </c>
      <c r="Y5" s="46">
        <v>24</v>
      </c>
      <c r="Z5" s="46">
        <v>1</v>
      </c>
      <c r="AA5" s="46">
        <v>1</v>
      </c>
      <c r="AB5" s="46">
        <v>1</v>
      </c>
      <c r="AC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P5" s="46">
        <v>1</v>
      </c>
      <c r="CU5" s="46" t="s">
        <v>3327</v>
      </c>
    </row>
    <row r="6" spans="1:99">
      <c r="A6" s="46" t="s">
        <v>2339</v>
      </c>
      <c r="B6" s="46" t="s">
        <v>3330</v>
      </c>
      <c r="C6" s="46">
        <v>22</v>
      </c>
      <c r="D6" s="46" t="s">
        <v>3331</v>
      </c>
      <c r="E6" s="46" t="s">
        <v>3332</v>
      </c>
      <c r="F6" s="46" t="s">
        <v>2285</v>
      </c>
      <c r="J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7</v>
      </c>
      <c r="Y6" s="46">
        <v>0</v>
      </c>
      <c r="Z6" s="46">
        <v>0</v>
      </c>
      <c r="AA6" s="46">
        <v>0</v>
      </c>
      <c r="AB6" s="46">
        <v>0</v>
      </c>
      <c r="AC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  <c r="CP6" s="46">
        <v>1</v>
      </c>
      <c r="CU6" s="46" t="s">
        <v>3327</v>
      </c>
    </row>
    <row r="7" spans="1:99">
      <c r="A7" s="46" t="s">
        <v>2342</v>
      </c>
      <c r="B7" s="46" t="s">
        <v>3333</v>
      </c>
      <c r="C7" s="46">
        <v>24</v>
      </c>
      <c r="D7" s="46" t="s">
        <v>3334</v>
      </c>
      <c r="E7" s="46" t="s">
        <v>3335</v>
      </c>
      <c r="F7" s="46" t="s">
        <v>145</v>
      </c>
      <c r="I7" s="46">
        <v>1</v>
      </c>
      <c r="M7" s="46">
        <v>1</v>
      </c>
      <c r="Q7" s="46">
        <v>1</v>
      </c>
      <c r="U7" s="46">
        <v>1</v>
      </c>
      <c r="W7" s="46">
        <v>14</v>
      </c>
      <c r="X7" s="46">
        <v>17</v>
      </c>
      <c r="Y7" s="46">
        <v>20</v>
      </c>
      <c r="Z7" s="46">
        <v>2</v>
      </c>
      <c r="AA7" s="46">
        <v>2</v>
      </c>
      <c r="AB7" s="46">
        <v>2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  <c r="CP7" s="46">
        <v>1</v>
      </c>
      <c r="CU7" s="46" t="s">
        <v>3327</v>
      </c>
    </row>
    <row r="8" spans="1:99">
      <c r="A8" s="46" t="s">
        <v>2345</v>
      </c>
      <c r="B8" s="46" t="s">
        <v>3336</v>
      </c>
      <c r="C8" s="46">
        <v>21</v>
      </c>
      <c r="D8" s="46" t="s">
        <v>125</v>
      </c>
      <c r="E8" s="46" t="s">
        <v>3337</v>
      </c>
      <c r="F8" s="46" t="s">
        <v>2523</v>
      </c>
      <c r="I8" s="46">
        <v>1</v>
      </c>
      <c r="N8" s="46">
        <v>1</v>
      </c>
      <c r="R8" s="46">
        <v>1</v>
      </c>
      <c r="U8" s="46">
        <v>1</v>
      </c>
      <c r="W8" s="46">
        <v>16</v>
      </c>
      <c r="X8" s="46">
        <v>19</v>
      </c>
      <c r="Y8" s="46">
        <v>0</v>
      </c>
      <c r="Z8" s="46">
        <v>0</v>
      </c>
      <c r="AA8" s="46">
        <v>0</v>
      </c>
      <c r="AB8" s="46">
        <v>0</v>
      </c>
      <c r="AC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W8" s="46">
        <v>1</v>
      </c>
      <c r="BZ8" s="46">
        <v>1</v>
      </c>
      <c r="CC8" s="46">
        <v>1</v>
      </c>
      <c r="CP8" s="46">
        <v>1</v>
      </c>
      <c r="CU8" s="46" t="s">
        <v>3327</v>
      </c>
    </row>
    <row r="9" spans="1:99">
      <c r="A9" s="46" t="s">
        <v>2348</v>
      </c>
      <c r="B9" s="46" t="s">
        <v>3338</v>
      </c>
      <c r="C9" s="46">
        <v>41</v>
      </c>
      <c r="D9" s="46" t="s">
        <v>3339</v>
      </c>
      <c r="E9" s="46" t="s">
        <v>3340</v>
      </c>
      <c r="F9" s="46" t="s">
        <v>2523</v>
      </c>
      <c r="G9" s="46">
        <v>1</v>
      </c>
      <c r="O9" s="46">
        <v>1</v>
      </c>
      <c r="Q9" s="46">
        <v>1</v>
      </c>
      <c r="T9" s="46">
        <v>1</v>
      </c>
      <c r="W9" s="46">
        <v>13</v>
      </c>
      <c r="X9" s="46">
        <v>16</v>
      </c>
      <c r="Y9" s="46">
        <v>17</v>
      </c>
      <c r="Z9" s="46">
        <v>6</v>
      </c>
      <c r="AA9" s="46">
        <v>6</v>
      </c>
      <c r="AB9" s="46">
        <v>6</v>
      </c>
      <c r="AC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M9" s="46" t="s">
        <v>3341</v>
      </c>
      <c r="BW9" s="46">
        <v>1</v>
      </c>
      <c r="BZ9" s="46">
        <v>1</v>
      </c>
      <c r="CC9" s="46">
        <v>1</v>
      </c>
      <c r="CP9" s="46">
        <v>1</v>
      </c>
      <c r="CU9" s="140">
        <v>45474</v>
      </c>
    </row>
    <row r="10" spans="1:99">
      <c r="A10" s="46" t="s">
        <v>2352</v>
      </c>
      <c r="B10" s="46" t="s">
        <v>3342</v>
      </c>
      <c r="C10" s="46">
        <v>43</v>
      </c>
      <c r="D10" s="46" t="s">
        <v>3343</v>
      </c>
      <c r="E10" s="46" t="s">
        <v>3344</v>
      </c>
      <c r="F10" s="46" t="s">
        <v>2523</v>
      </c>
      <c r="J10" s="46">
        <v>1</v>
      </c>
      <c r="L10" s="46">
        <v>1</v>
      </c>
      <c r="Q10" s="46">
        <v>1</v>
      </c>
      <c r="U10" s="46">
        <v>1</v>
      </c>
      <c r="W10" s="46">
        <v>18</v>
      </c>
      <c r="X10" s="46">
        <v>20</v>
      </c>
      <c r="Y10" s="46">
        <v>23</v>
      </c>
      <c r="Z10" s="46">
        <v>4</v>
      </c>
      <c r="AA10" s="46">
        <v>4</v>
      </c>
      <c r="AB10" s="46">
        <v>4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K10" s="46">
        <v>1</v>
      </c>
      <c r="BN10" s="46">
        <v>1</v>
      </c>
      <c r="BO10" s="46" t="s">
        <v>952</v>
      </c>
      <c r="BZ10" s="46">
        <v>1</v>
      </c>
      <c r="CC10" s="46">
        <v>1</v>
      </c>
      <c r="CI10" s="46">
        <v>1</v>
      </c>
      <c r="CP10" s="46">
        <v>1</v>
      </c>
      <c r="CU10" s="140">
        <v>45413</v>
      </c>
    </row>
    <row r="11" spans="1:99">
      <c r="A11" s="46" t="s">
        <v>2355</v>
      </c>
      <c r="B11" s="46" t="s">
        <v>3345</v>
      </c>
      <c r="C11" s="46">
        <v>59</v>
      </c>
      <c r="D11" s="46" t="s">
        <v>3346</v>
      </c>
      <c r="E11" s="46" t="s">
        <v>3347</v>
      </c>
      <c r="F11" s="46" t="s">
        <v>2472</v>
      </c>
      <c r="J11" s="46">
        <v>1</v>
      </c>
      <c r="M11" s="46">
        <v>1</v>
      </c>
      <c r="R11" s="46">
        <v>1</v>
      </c>
      <c r="T11" s="46">
        <v>1</v>
      </c>
      <c r="W11" s="46">
        <v>14</v>
      </c>
      <c r="X11" s="46">
        <v>16</v>
      </c>
      <c r="Y11" s="46">
        <v>16</v>
      </c>
      <c r="Z11" s="46">
        <v>8</v>
      </c>
      <c r="AA11" s="46">
        <v>8</v>
      </c>
      <c r="AB11" s="46">
        <v>6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Z11" s="46">
        <v>1</v>
      </c>
      <c r="CC11" s="46">
        <v>1</v>
      </c>
      <c r="CI11" s="46">
        <v>1</v>
      </c>
      <c r="CP11" s="46">
        <v>1</v>
      </c>
      <c r="CU11" s="46" t="s">
        <v>3327</v>
      </c>
    </row>
    <row r="12" spans="1:99">
      <c r="A12" s="46" t="s">
        <v>2358</v>
      </c>
      <c r="B12" s="46" t="s">
        <v>3348</v>
      </c>
      <c r="C12" s="46">
        <v>20</v>
      </c>
      <c r="D12" s="46" t="s">
        <v>3339</v>
      </c>
      <c r="E12" s="46" t="s">
        <v>3349</v>
      </c>
      <c r="F12" s="46" t="s">
        <v>218</v>
      </c>
      <c r="J12" s="46">
        <v>1</v>
      </c>
      <c r="M12" s="46">
        <v>1</v>
      </c>
      <c r="Q12" s="46">
        <v>1</v>
      </c>
      <c r="T12" s="46">
        <v>1</v>
      </c>
      <c r="W12" s="46">
        <v>14</v>
      </c>
      <c r="X12" s="46">
        <v>18</v>
      </c>
      <c r="Y12" s="46">
        <v>19</v>
      </c>
      <c r="Z12" s="46">
        <v>2</v>
      </c>
      <c r="AA12" s="46">
        <v>2</v>
      </c>
      <c r="AB12" s="46">
        <v>1</v>
      </c>
      <c r="AE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P12" s="46">
        <v>1</v>
      </c>
      <c r="CU12" s="46" t="s">
        <v>3327</v>
      </c>
    </row>
    <row r="13" spans="1:99">
      <c r="A13" s="46" t="s">
        <v>2363</v>
      </c>
      <c r="B13" s="46" t="s">
        <v>3350</v>
      </c>
      <c r="C13" s="46">
        <v>45</v>
      </c>
      <c r="D13" s="46" t="s">
        <v>300</v>
      </c>
      <c r="E13" s="46" t="s">
        <v>3351</v>
      </c>
      <c r="F13" s="46" t="s">
        <v>2523</v>
      </c>
      <c r="I13" s="46">
        <v>1</v>
      </c>
      <c r="M13" s="46">
        <v>1</v>
      </c>
      <c r="R13" s="46">
        <v>1</v>
      </c>
      <c r="U13" s="46">
        <v>1</v>
      </c>
      <c r="W13" s="46">
        <v>15</v>
      </c>
      <c r="X13" s="46">
        <v>20</v>
      </c>
      <c r="Y13" s="46">
        <v>25</v>
      </c>
      <c r="Z13" s="46">
        <v>2</v>
      </c>
      <c r="AA13" s="46">
        <v>2</v>
      </c>
      <c r="AB13" s="46">
        <v>2</v>
      </c>
      <c r="AE13" s="46">
        <v>1</v>
      </c>
      <c r="AI13" s="46">
        <v>1</v>
      </c>
      <c r="AK13" s="46">
        <v>1</v>
      </c>
      <c r="AT13" s="46">
        <v>1</v>
      </c>
      <c r="AX13" s="46">
        <v>1</v>
      </c>
      <c r="BA13" s="46">
        <v>1</v>
      </c>
      <c r="BI13" s="46">
        <v>1</v>
      </c>
      <c r="BW13" s="46">
        <v>1</v>
      </c>
      <c r="BZ13" s="46">
        <v>1</v>
      </c>
      <c r="CC13" s="46">
        <v>1</v>
      </c>
      <c r="CI13" s="46">
        <v>1</v>
      </c>
      <c r="CP13" s="46">
        <v>1</v>
      </c>
      <c r="CU13" s="46" t="s">
        <v>3327</v>
      </c>
    </row>
    <row r="14" spans="1:99">
      <c r="A14" s="46" t="s">
        <v>2370</v>
      </c>
      <c r="B14" s="46" t="s">
        <v>3352</v>
      </c>
      <c r="C14" s="46">
        <v>21</v>
      </c>
      <c r="D14" s="46" t="s">
        <v>3233</v>
      </c>
      <c r="E14" s="46" t="s">
        <v>3353</v>
      </c>
      <c r="F14" s="46" t="s">
        <v>122</v>
      </c>
      <c r="J14" s="46">
        <v>1</v>
      </c>
      <c r="M14" s="46">
        <v>1</v>
      </c>
      <c r="Q14" s="46">
        <v>1</v>
      </c>
      <c r="T14" s="46">
        <v>1</v>
      </c>
      <c r="W14" s="46">
        <v>15</v>
      </c>
      <c r="X14" s="46">
        <v>20</v>
      </c>
      <c r="Y14" s="46">
        <v>0</v>
      </c>
      <c r="Z14" s="46">
        <v>0</v>
      </c>
      <c r="AA14" s="46">
        <v>0</v>
      </c>
      <c r="AB14" s="46">
        <v>0</v>
      </c>
      <c r="AG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I14" s="46">
        <v>1</v>
      </c>
      <c r="CP14" s="46">
        <v>1</v>
      </c>
      <c r="CU14" s="46" t="s">
        <v>3327</v>
      </c>
    </row>
    <row r="15" spans="1:99">
      <c r="A15" s="46" t="s">
        <v>2373</v>
      </c>
      <c r="B15" s="46" t="s">
        <v>3354</v>
      </c>
      <c r="C15" s="46">
        <v>26</v>
      </c>
      <c r="D15" s="46" t="s">
        <v>3355</v>
      </c>
      <c r="E15" s="46" t="s">
        <v>3356</v>
      </c>
      <c r="F15" s="46" t="s">
        <v>2523</v>
      </c>
      <c r="I15" s="46">
        <v>1</v>
      </c>
      <c r="M15" s="46">
        <v>1</v>
      </c>
      <c r="Q15" s="46">
        <v>1</v>
      </c>
      <c r="T15" s="46">
        <v>1</v>
      </c>
      <c r="W15" s="46">
        <v>0</v>
      </c>
      <c r="X15" s="46">
        <v>14</v>
      </c>
      <c r="Y15" s="46">
        <v>21</v>
      </c>
      <c r="Z15" s="46">
        <v>3</v>
      </c>
      <c r="AA15" s="46">
        <v>2</v>
      </c>
      <c r="AB15" s="46">
        <v>2</v>
      </c>
      <c r="AE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  <c r="CP15" s="46">
        <v>1</v>
      </c>
      <c r="CU15" s="46" t="s">
        <v>3327</v>
      </c>
    </row>
    <row r="16" spans="1:99">
      <c r="A16" s="46" t="s">
        <v>2376</v>
      </c>
      <c r="B16" s="46" t="s">
        <v>3357</v>
      </c>
      <c r="C16" s="46">
        <v>33</v>
      </c>
      <c r="D16" s="46" t="s">
        <v>3358</v>
      </c>
      <c r="E16" s="46" t="s">
        <v>3359</v>
      </c>
      <c r="F16" s="46" t="s">
        <v>2484</v>
      </c>
      <c r="J16" s="46">
        <v>1</v>
      </c>
      <c r="M16" s="46">
        <v>1</v>
      </c>
      <c r="Q16" s="46">
        <v>1</v>
      </c>
      <c r="T16" s="46">
        <v>1</v>
      </c>
      <c r="W16" s="46">
        <v>13</v>
      </c>
      <c r="X16" s="46">
        <v>0</v>
      </c>
      <c r="Y16" s="46">
        <v>18</v>
      </c>
      <c r="Z16" s="46">
        <v>9</v>
      </c>
      <c r="AA16" s="46">
        <v>6</v>
      </c>
      <c r="AB16" s="46">
        <v>6</v>
      </c>
      <c r="AD16" s="46">
        <v>1</v>
      </c>
      <c r="AG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W16" s="46">
        <v>1</v>
      </c>
      <c r="BZ16" s="46">
        <v>1</v>
      </c>
      <c r="CC16" s="46">
        <v>1</v>
      </c>
      <c r="CI16" s="46">
        <v>1</v>
      </c>
      <c r="CP16" s="46">
        <v>1</v>
      </c>
      <c r="CU16" s="46" t="s">
        <v>3327</v>
      </c>
    </row>
    <row r="17" spans="1:99">
      <c r="A17" s="46" t="s">
        <v>2379</v>
      </c>
      <c r="B17" s="46" t="s">
        <v>3360</v>
      </c>
      <c r="C17" s="46">
        <v>19</v>
      </c>
      <c r="D17" s="46" t="s">
        <v>3361</v>
      </c>
      <c r="E17" s="46" t="s">
        <v>3362</v>
      </c>
      <c r="F17" s="46" t="s">
        <v>3363</v>
      </c>
      <c r="I17" s="46">
        <v>1</v>
      </c>
      <c r="M17" s="46">
        <v>1</v>
      </c>
      <c r="R17" s="46">
        <v>1</v>
      </c>
      <c r="T17" s="46">
        <v>1</v>
      </c>
      <c r="W17" s="46">
        <v>17</v>
      </c>
      <c r="X17" s="46">
        <v>18</v>
      </c>
      <c r="Y17" s="46">
        <v>18</v>
      </c>
      <c r="Z17" s="46">
        <v>1</v>
      </c>
      <c r="AA17" s="46">
        <v>1</v>
      </c>
      <c r="AB17" s="46">
        <v>1</v>
      </c>
      <c r="AC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P17" s="46">
        <v>1</v>
      </c>
      <c r="CU17" s="46" t="s">
        <v>3327</v>
      </c>
    </row>
    <row r="18" spans="1:99">
      <c r="A18" s="46" t="s">
        <v>2382</v>
      </c>
      <c r="B18" s="46" t="s">
        <v>3364</v>
      </c>
      <c r="C18" s="46">
        <v>29</v>
      </c>
      <c r="D18" s="46" t="s">
        <v>300</v>
      </c>
      <c r="E18" s="46" t="s">
        <v>3365</v>
      </c>
      <c r="F18" s="46" t="s">
        <v>2973</v>
      </c>
      <c r="J18" s="46">
        <v>1</v>
      </c>
      <c r="N18" s="46">
        <v>1</v>
      </c>
      <c r="R18" s="46">
        <v>1</v>
      </c>
      <c r="T18" s="46">
        <v>1</v>
      </c>
      <c r="W18" s="46">
        <v>18</v>
      </c>
      <c r="X18" s="46">
        <v>20</v>
      </c>
      <c r="Y18" s="46">
        <v>20</v>
      </c>
      <c r="Z18" s="46">
        <v>3</v>
      </c>
      <c r="AA18" s="46">
        <v>3</v>
      </c>
      <c r="AB18" s="46">
        <v>3</v>
      </c>
      <c r="AC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P18" s="46">
        <v>1</v>
      </c>
      <c r="CU18" s="46" t="s">
        <v>3327</v>
      </c>
    </row>
    <row r="19" spans="1:99">
      <c r="A19" s="46" t="s">
        <v>2385</v>
      </c>
      <c r="B19" s="46" t="s">
        <v>3366</v>
      </c>
      <c r="C19" s="46">
        <v>25</v>
      </c>
      <c r="D19" s="46" t="s">
        <v>3233</v>
      </c>
      <c r="E19" s="46" t="s">
        <v>3367</v>
      </c>
      <c r="F19" s="46" t="s">
        <v>122</v>
      </c>
      <c r="K19" s="46">
        <v>1</v>
      </c>
      <c r="M19" s="46">
        <v>1</v>
      </c>
      <c r="Q19" s="46">
        <v>1</v>
      </c>
      <c r="U19" s="46">
        <v>1</v>
      </c>
      <c r="W19" s="46">
        <v>13</v>
      </c>
      <c r="X19" s="46">
        <v>17</v>
      </c>
      <c r="Y19" s="46">
        <v>17</v>
      </c>
      <c r="Z19" s="46">
        <v>2</v>
      </c>
      <c r="AA19" s="46">
        <v>2</v>
      </c>
      <c r="AB19" s="46">
        <v>2</v>
      </c>
      <c r="AE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M19" s="46" t="s">
        <v>3368</v>
      </c>
      <c r="BW19" s="46">
        <v>1</v>
      </c>
      <c r="BZ19" s="46">
        <v>1</v>
      </c>
      <c r="CC19" s="46">
        <v>1</v>
      </c>
      <c r="CI19" s="46">
        <v>1</v>
      </c>
      <c r="CP19" s="46">
        <v>1</v>
      </c>
      <c r="CU19" s="46" t="s">
        <v>3369</v>
      </c>
    </row>
  </sheetData>
  <autoFilter ref="A3:CU19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8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62" t="s">
        <v>356</v>
      </c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3107</v>
      </c>
      <c r="H2" s="64" t="s">
        <v>358</v>
      </c>
      <c r="I2" s="64" t="s">
        <v>362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</row>
    <row r="3" spans="1:31">
      <c r="A3" s="68" t="s">
        <v>3370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0</v>
      </c>
      <c r="H3" s="70">
        <v>1</v>
      </c>
      <c r="I3" s="70">
        <v>0</v>
      </c>
      <c r="J3" s="71">
        <f t="shared" ref="J3:J8" si="0">SUM(F3:I3)</f>
        <v>1</v>
      </c>
      <c r="K3" s="70">
        <v>0</v>
      </c>
      <c r="L3" s="70">
        <v>0</v>
      </c>
      <c r="M3" s="70">
        <v>0</v>
      </c>
      <c r="N3" s="70">
        <v>0</v>
      </c>
      <c r="O3" s="71">
        <f t="shared" ref="O3:O8" si="1">SUM(K3:N3)</f>
        <v>0</v>
      </c>
      <c r="P3" s="70">
        <v>0</v>
      </c>
      <c r="Q3" s="70">
        <v>0</v>
      </c>
      <c r="R3" s="70">
        <v>0</v>
      </c>
      <c r="S3" s="71">
        <f>SUM(P3:R3)</f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3">
        <v>1</v>
      </c>
      <c r="AA3" s="73">
        <v>0</v>
      </c>
      <c r="AB3" s="73">
        <v>0</v>
      </c>
      <c r="AC3" s="73">
        <v>0</v>
      </c>
      <c r="AD3" s="170">
        <f>SUM(Z3:AC3)</f>
        <v>1</v>
      </c>
      <c r="AE3" s="73">
        <v>0</v>
      </c>
    </row>
    <row r="4" spans="1:31">
      <c r="A4" s="74" t="s">
        <v>1269</v>
      </c>
      <c r="B4" s="69">
        <v>9</v>
      </c>
      <c r="C4" s="69">
        <v>0</v>
      </c>
      <c r="D4" s="69">
        <v>0</v>
      </c>
      <c r="E4" s="69">
        <f>SUM(B4:D4)</f>
        <v>9</v>
      </c>
      <c r="F4" s="70">
        <v>0</v>
      </c>
      <c r="G4" s="70">
        <v>0</v>
      </c>
      <c r="H4" s="70">
        <v>8</v>
      </c>
      <c r="I4" s="70">
        <v>0</v>
      </c>
      <c r="J4" s="71">
        <f t="shared" si="0"/>
        <v>8</v>
      </c>
      <c r="K4" s="70">
        <v>0</v>
      </c>
      <c r="L4" s="70">
        <v>0</v>
      </c>
      <c r="M4" s="70">
        <v>0</v>
      </c>
      <c r="N4" s="70">
        <v>1</v>
      </c>
      <c r="O4" s="71">
        <f t="shared" si="1"/>
        <v>1</v>
      </c>
      <c r="P4" s="70">
        <v>0</v>
      </c>
      <c r="Q4" s="70">
        <v>0</v>
      </c>
      <c r="R4" s="70">
        <v>2</v>
      </c>
      <c r="S4" s="71">
        <f>SUM(P4:R4)</f>
        <v>2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3">
        <v>5</v>
      </c>
      <c r="AA4" s="73">
        <v>0</v>
      </c>
      <c r="AB4" s="73">
        <v>0</v>
      </c>
      <c r="AC4" s="73">
        <v>4</v>
      </c>
      <c r="AD4" s="170">
        <f>SUM(Z4:AC4)</f>
        <v>9</v>
      </c>
      <c r="AE4" s="73">
        <v>0</v>
      </c>
    </row>
    <row r="5" spans="1:31">
      <c r="A5" s="77" t="s">
        <v>1463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0</v>
      </c>
      <c r="H5" s="70">
        <v>1</v>
      </c>
      <c r="I5" s="70">
        <v>0</v>
      </c>
      <c r="J5" s="71">
        <f t="shared" si="0"/>
        <v>1</v>
      </c>
      <c r="K5" s="70">
        <v>0</v>
      </c>
      <c r="L5" s="70">
        <v>0</v>
      </c>
      <c r="M5" s="70">
        <v>0</v>
      </c>
      <c r="N5" s="70">
        <v>0</v>
      </c>
      <c r="O5" s="71">
        <f t="shared" si="1"/>
        <v>0</v>
      </c>
      <c r="P5" s="70">
        <v>0</v>
      </c>
      <c r="Q5" s="70">
        <v>0</v>
      </c>
      <c r="R5" s="70">
        <v>1</v>
      </c>
      <c r="S5" s="71">
        <f>SUM(P5:R5)</f>
        <v>1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3">
        <v>1</v>
      </c>
      <c r="AA5" s="73">
        <v>0</v>
      </c>
      <c r="AB5" s="73">
        <v>0</v>
      </c>
      <c r="AC5" s="73">
        <v>0</v>
      </c>
      <c r="AD5" s="170">
        <f>SUM(Z5:AC5)</f>
        <v>1</v>
      </c>
      <c r="AE5" s="73">
        <v>0</v>
      </c>
    </row>
    <row r="6" spans="1:31">
      <c r="A6" s="77" t="s">
        <v>1096</v>
      </c>
      <c r="B6" s="69">
        <v>4</v>
      </c>
      <c r="C6" s="69">
        <v>0</v>
      </c>
      <c r="D6" s="69">
        <v>0</v>
      </c>
      <c r="E6" s="69">
        <f>SUM(B6:D6)</f>
        <v>4</v>
      </c>
      <c r="F6" s="70">
        <v>0</v>
      </c>
      <c r="G6" s="70">
        <v>0</v>
      </c>
      <c r="H6" s="70">
        <v>3</v>
      </c>
      <c r="I6" s="70"/>
      <c r="J6" s="71">
        <f t="shared" si="0"/>
        <v>3</v>
      </c>
      <c r="K6" s="70">
        <v>0</v>
      </c>
      <c r="L6" s="70">
        <v>1</v>
      </c>
      <c r="M6" s="70">
        <v>0</v>
      </c>
      <c r="N6" s="70">
        <v>0</v>
      </c>
      <c r="O6" s="71">
        <f t="shared" si="1"/>
        <v>1</v>
      </c>
      <c r="P6" s="70">
        <v>0</v>
      </c>
      <c r="Q6" s="70">
        <v>0</v>
      </c>
      <c r="R6" s="70">
        <v>2</v>
      </c>
      <c r="S6" s="71">
        <f>SUM(P6:R6)</f>
        <v>2</v>
      </c>
      <c r="T6" s="75">
        <v>0</v>
      </c>
      <c r="U6" s="75">
        <v>0</v>
      </c>
      <c r="V6" s="75">
        <v>1</v>
      </c>
      <c r="W6" s="75">
        <v>0</v>
      </c>
      <c r="X6" s="75">
        <v>0</v>
      </c>
      <c r="Y6" s="75">
        <v>0</v>
      </c>
      <c r="Z6" s="73">
        <v>2</v>
      </c>
      <c r="AA6" s="73">
        <v>0</v>
      </c>
      <c r="AB6" s="73">
        <v>0</v>
      </c>
      <c r="AC6" s="73">
        <v>2</v>
      </c>
      <c r="AD6" s="170">
        <f>SUM(Z6:AC6)</f>
        <v>4</v>
      </c>
      <c r="AE6" s="73">
        <v>0</v>
      </c>
    </row>
    <row r="7" spans="1:31">
      <c r="A7" s="77" t="s">
        <v>1097</v>
      </c>
      <c r="B7" s="69">
        <v>1</v>
      </c>
      <c r="C7" s="69">
        <v>0</v>
      </c>
      <c r="D7" s="69">
        <v>0</v>
      </c>
      <c r="E7" s="69">
        <f>SUM(B7:D7)</f>
        <v>1</v>
      </c>
      <c r="F7" s="70">
        <v>0</v>
      </c>
      <c r="G7" s="70">
        <v>0</v>
      </c>
      <c r="H7" s="70">
        <v>1</v>
      </c>
      <c r="I7" s="70">
        <v>0</v>
      </c>
      <c r="J7" s="71">
        <f t="shared" si="0"/>
        <v>1</v>
      </c>
      <c r="K7" s="70">
        <v>0</v>
      </c>
      <c r="L7" s="70">
        <v>0</v>
      </c>
      <c r="M7" s="70">
        <v>0</v>
      </c>
      <c r="N7" s="70">
        <v>0</v>
      </c>
      <c r="O7" s="71">
        <f t="shared" si="1"/>
        <v>0</v>
      </c>
      <c r="P7" s="70">
        <v>0</v>
      </c>
      <c r="Q7" s="70">
        <v>0</v>
      </c>
      <c r="R7" s="70">
        <v>0</v>
      </c>
      <c r="S7" s="71">
        <f>SUM(P7:R7)</f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3">
        <v>1</v>
      </c>
      <c r="AA7" s="73">
        <v>0</v>
      </c>
      <c r="AB7" s="73">
        <v>0</v>
      </c>
      <c r="AC7" s="73">
        <v>0</v>
      </c>
      <c r="AD7" s="170">
        <f>SUM(Z7:AC7)</f>
        <v>1</v>
      </c>
      <c r="AE7" s="73">
        <v>0</v>
      </c>
    </row>
    <row r="8" spans="1:31">
      <c r="A8" s="69" t="s">
        <v>376</v>
      </c>
      <c r="B8" s="69">
        <f>SUM(B3:B7)</f>
        <v>16</v>
      </c>
      <c r="C8" s="69">
        <f>SUM(C3:C7)</f>
        <v>0</v>
      </c>
      <c r="D8" s="69">
        <f>SUM(D3:D7)</f>
        <v>0</v>
      </c>
      <c r="E8" s="69">
        <f>SUM(E3:E7)</f>
        <v>16</v>
      </c>
      <c r="F8" s="69">
        <f>SUM(F3:F7)</f>
        <v>0</v>
      </c>
      <c r="G8" s="69"/>
      <c r="H8" s="69">
        <f>SUM(H3:H7)</f>
        <v>14</v>
      </c>
      <c r="I8" s="69">
        <f>SUM(I3:I7)</f>
        <v>0</v>
      </c>
      <c r="J8" s="71">
        <f t="shared" si="0"/>
        <v>14</v>
      </c>
      <c r="K8" s="114">
        <f>SUM(K3:K7)</f>
        <v>0</v>
      </c>
      <c r="L8" s="114">
        <f>SUM(L3:L7)</f>
        <v>1</v>
      </c>
      <c r="M8" s="114">
        <f>SUM(M3:M7)</f>
        <v>0</v>
      </c>
      <c r="N8" s="114">
        <f>SUM(N3:N7)</f>
        <v>1</v>
      </c>
      <c r="O8" s="71">
        <f t="shared" si="1"/>
        <v>2</v>
      </c>
      <c r="P8" s="114">
        <f t="shared" ref="P8:AE8" si="2">SUM(P3:P7)</f>
        <v>0</v>
      </c>
      <c r="Q8" s="114">
        <f t="shared" si="2"/>
        <v>0</v>
      </c>
      <c r="R8" s="114">
        <f t="shared" si="2"/>
        <v>5</v>
      </c>
      <c r="S8" s="71">
        <f t="shared" si="2"/>
        <v>5</v>
      </c>
      <c r="T8" s="114">
        <f t="shared" si="2"/>
        <v>0</v>
      </c>
      <c r="U8" s="114">
        <f t="shared" si="2"/>
        <v>0</v>
      </c>
      <c r="V8" s="114">
        <f t="shared" si="2"/>
        <v>1</v>
      </c>
      <c r="W8" s="114">
        <f t="shared" si="2"/>
        <v>0</v>
      </c>
      <c r="X8" s="114">
        <f t="shared" si="2"/>
        <v>0</v>
      </c>
      <c r="Y8" s="114">
        <f t="shared" si="2"/>
        <v>0</v>
      </c>
      <c r="Z8" s="73">
        <f t="shared" si="2"/>
        <v>10</v>
      </c>
      <c r="AA8" s="73">
        <f t="shared" si="2"/>
        <v>0</v>
      </c>
      <c r="AB8" s="73">
        <f t="shared" si="2"/>
        <v>0</v>
      </c>
      <c r="AC8" s="73">
        <f t="shared" si="2"/>
        <v>6</v>
      </c>
      <c r="AD8" s="73">
        <f t="shared" si="2"/>
        <v>16</v>
      </c>
      <c r="AE8" s="73">
        <f t="shared" si="2"/>
        <v>0</v>
      </c>
    </row>
  </sheetData>
  <mergeCells count="6">
    <mergeCell ref="Z1:AD1"/>
    <mergeCell ref="A1:A2"/>
    <mergeCell ref="B1:E1"/>
    <mergeCell ref="K1:O1"/>
    <mergeCell ref="P1:S1"/>
    <mergeCell ref="T1:Y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0"/>
  <sheetViews>
    <sheetView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ColWidth="14.42578125" defaultRowHeight="15" customHeight="1"/>
  <cols>
    <col min="1" max="1" width="9.7109375" customWidth="1"/>
    <col min="2" max="2" width="18.28515625" customWidth="1"/>
    <col min="3" max="3" width="10.85546875" customWidth="1"/>
  </cols>
  <sheetData>
    <row r="1" spans="1:99">
      <c r="A1" s="479" t="s">
        <v>3371</v>
      </c>
      <c r="B1" s="480"/>
      <c r="C1" s="479" t="s">
        <v>1445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>
      <c r="A4" s="46" t="s">
        <v>2388</v>
      </c>
      <c r="B4" s="46" t="s">
        <v>3372</v>
      </c>
      <c r="C4" s="46">
        <v>56</v>
      </c>
      <c r="D4" s="46" t="s">
        <v>3373</v>
      </c>
      <c r="E4" s="46" t="s">
        <v>3374</v>
      </c>
      <c r="F4" s="46" t="s">
        <v>2523</v>
      </c>
      <c r="I4" s="46">
        <v>1</v>
      </c>
      <c r="O4" s="46">
        <v>1</v>
      </c>
      <c r="Q4" s="46">
        <v>1</v>
      </c>
      <c r="S4" s="46">
        <v>1</v>
      </c>
      <c r="W4" s="46">
        <v>14</v>
      </c>
      <c r="X4" s="46">
        <v>17</v>
      </c>
      <c r="Y4" s="46">
        <v>0</v>
      </c>
      <c r="Z4" s="46">
        <v>1</v>
      </c>
      <c r="AA4" s="46">
        <v>1</v>
      </c>
      <c r="AB4" s="46">
        <v>0</v>
      </c>
      <c r="AD4" s="46">
        <v>1</v>
      </c>
      <c r="AE4" s="46">
        <v>1</v>
      </c>
      <c r="AI4" s="46">
        <v>1</v>
      </c>
      <c r="AK4" s="46">
        <v>1</v>
      </c>
      <c r="AT4" s="46">
        <v>1</v>
      </c>
      <c r="AY4" s="46">
        <v>1</v>
      </c>
      <c r="BA4" s="46">
        <v>1</v>
      </c>
      <c r="BJ4" s="46">
        <v>1</v>
      </c>
      <c r="BW4" s="46">
        <v>1</v>
      </c>
      <c r="CA4" s="46">
        <v>1</v>
      </c>
      <c r="CB4" s="168">
        <v>45261</v>
      </c>
      <c r="CC4" s="46">
        <v>1</v>
      </c>
      <c r="CP4" s="46">
        <v>1</v>
      </c>
      <c r="CU4" s="46" t="s">
        <v>3369</v>
      </c>
    </row>
    <row r="5" spans="1:99">
      <c r="A5" s="46" t="s">
        <v>2392</v>
      </c>
      <c r="B5" s="46" t="s">
        <v>3375</v>
      </c>
      <c r="C5" s="46">
        <v>44</v>
      </c>
      <c r="D5" s="46" t="s">
        <v>3376</v>
      </c>
      <c r="E5" s="46" t="s">
        <v>3377</v>
      </c>
      <c r="F5" s="46" t="s">
        <v>2472</v>
      </c>
      <c r="J5" s="46">
        <v>1</v>
      </c>
      <c r="N5" s="46">
        <v>1</v>
      </c>
      <c r="R5" s="46">
        <v>1</v>
      </c>
      <c r="T5" s="46">
        <v>1</v>
      </c>
      <c r="W5" s="46">
        <v>13</v>
      </c>
      <c r="X5" s="46">
        <v>14</v>
      </c>
      <c r="Y5" s="46">
        <v>17</v>
      </c>
      <c r="Z5" s="46">
        <v>6</v>
      </c>
      <c r="AA5" s="46">
        <v>6</v>
      </c>
      <c r="AB5" s="46">
        <v>6</v>
      </c>
      <c r="AC5" s="46">
        <v>1</v>
      </c>
      <c r="AJ5" s="46">
        <v>1</v>
      </c>
      <c r="AK5" s="46">
        <v>1</v>
      </c>
      <c r="AT5" s="46">
        <v>1</v>
      </c>
      <c r="AW5" s="46">
        <v>1</v>
      </c>
      <c r="BB5" s="46">
        <v>1</v>
      </c>
      <c r="BF5" s="46">
        <v>1</v>
      </c>
      <c r="BJ5" s="46">
        <v>1</v>
      </c>
      <c r="BZ5" s="46">
        <v>1</v>
      </c>
      <c r="CC5" s="46">
        <v>1</v>
      </c>
      <c r="CI5" s="46">
        <v>1</v>
      </c>
      <c r="CP5" s="46">
        <v>1</v>
      </c>
      <c r="CU5" s="46" t="s">
        <v>3327</v>
      </c>
    </row>
    <row r="6" spans="1:99">
      <c r="A6" s="46" t="s">
        <v>3378</v>
      </c>
      <c r="B6" s="46" t="s">
        <v>3379</v>
      </c>
      <c r="C6" s="46">
        <v>19</v>
      </c>
      <c r="D6" s="46" t="s">
        <v>2350</v>
      </c>
      <c r="E6" s="46" t="s">
        <v>3380</v>
      </c>
      <c r="F6" s="46" t="s">
        <v>2484</v>
      </c>
      <c r="I6" s="46">
        <v>1</v>
      </c>
      <c r="N6" s="46">
        <v>1</v>
      </c>
      <c r="R6" s="46">
        <v>1</v>
      </c>
      <c r="T6" s="46">
        <v>1</v>
      </c>
      <c r="W6" s="46">
        <v>16</v>
      </c>
      <c r="X6" s="46">
        <v>19</v>
      </c>
      <c r="Y6" s="46">
        <v>0</v>
      </c>
      <c r="Z6" s="46">
        <v>0</v>
      </c>
      <c r="AA6" s="46">
        <v>0</v>
      </c>
      <c r="AB6" s="46">
        <v>0</v>
      </c>
      <c r="AD6" s="46">
        <v>1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P6" s="46">
        <v>1</v>
      </c>
      <c r="CU6" s="46" t="s">
        <v>3327</v>
      </c>
    </row>
    <row r="7" spans="1:99">
      <c r="A7" s="46" t="s">
        <v>2399</v>
      </c>
      <c r="B7" s="46" t="s">
        <v>2237</v>
      </c>
      <c r="C7" s="46">
        <v>19</v>
      </c>
      <c r="D7" s="46" t="s">
        <v>3381</v>
      </c>
      <c r="E7" s="46" t="s">
        <v>3382</v>
      </c>
      <c r="F7" s="46" t="s">
        <v>2484</v>
      </c>
      <c r="G7" s="46">
        <v>1</v>
      </c>
      <c r="N7" s="46">
        <v>1</v>
      </c>
      <c r="Q7" s="46">
        <v>1</v>
      </c>
      <c r="U7" s="46">
        <v>1</v>
      </c>
      <c r="W7" s="46">
        <v>13</v>
      </c>
      <c r="X7" s="46">
        <v>15</v>
      </c>
      <c r="Y7" s="46">
        <v>17</v>
      </c>
      <c r="Z7" s="46">
        <v>1</v>
      </c>
      <c r="AA7" s="46">
        <v>1</v>
      </c>
      <c r="AB7" s="46">
        <v>1</v>
      </c>
      <c r="AD7" s="46">
        <v>1</v>
      </c>
      <c r="AE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B7" s="46">
        <v>1</v>
      </c>
      <c r="BG7" s="46">
        <v>1</v>
      </c>
      <c r="BI7" s="46">
        <v>1</v>
      </c>
      <c r="BZ7" s="46">
        <v>1</v>
      </c>
      <c r="CC7" s="46">
        <v>1</v>
      </c>
      <c r="CP7" s="46">
        <v>1</v>
      </c>
      <c r="CU7" s="46" t="s">
        <v>2956</v>
      </c>
    </row>
    <row r="8" spans="1:99">
      <c r="A8" s="46" t="s">
        <v>2406</v>
      </c>
      <c r="B8" s="46" t="s">
        <v>3383</v>
      </c>
      <c r="C8" s="46">
        <v>43</v>
      </c>
      <c r="D8" s="46" t="s">
        <v>3384</v>
      </c>
      <c r="E8" s="46" t="s">
        <v>3385</v>
      </c>
      <c r="F8" s="46" t="s">
        <v>2523</v>
      </c>
      <c r="H8" s="46">
        <v>1</v>
      </c>
      <c r="N8" s="46">
        <v>1</v>
      </c>
      <c r="Q8" s="46">
        <v>1</v>
      </c>
      <c r="T8" s="46">
        <v>1</v>
      </c>
      <c r="W8" s="46">
        <v>14</v>
      </c>
      <c r="X8" s="46">
        <v>16</v>
      </c>
      <c r="Y8" s="46">
        <v>17</v>
      </c>
      <c r="Z8" s="46">
        <v>5</v>
      </c>
      <c r="AA8" s="46">
        <v>5</v>
      </c>
      <c r="AB8" s="46">
        <v>5</v>
      </c>
      <c r="AE8" s="46">
        <v>1</v>
      </c>
      <c r="AF8" s="46">
        <v>1</v>
      </c>
      <c r="AG8" s="46">
        <v>1</v>
      </c>
      <c r="AJ8" s="46">
        <v>1</v>
      </c>
      <c r="AK8" s="46">
        <v>1</v>
      </c>
      <c r="AT8" s="46">
        <v>1</v>
      </c>
      <c r="AX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  <c r="CP8" s="46">
        <v>1</v>
      </c>
      <c r="CU8" s="139">
        <v>46661</v>
      </c>
    </row>
    <row r="9" spans="1:99">
      <c r="A9" s="46" t="s">
        <v>2410</v>
      </c>
      <c r="B9" s="46" t="s">
        <v>3386</v>
      </c>
      <c r="C9" s="46">
        <v>40</v>
      </c>
      <c r="D9" s="46" t="s">
        <v>3387</v>
      </c>
      <c r="E9" s="46" t="s">
        <v>191</v>
      </c>
      <c r="F9" s="46" t="s">
        <v>2484</v>
      </c>
      <c r="G9" s="46">
        <v>1</v>
      </c>
      <c r="M9" s="46">
        <v>1</v>
      </c>
      <c r="Q9" s="46">
        <v>1</v>
      </c>
      <c r="T9" s="46">
        <v>1</v>
      </c>
      <c r="W9" s="46">
        <v>15</v>
      </c>
      <c r="X9" s="46">
        <v>18</v>
      </c>
      <c r="Y9" s="46">
        <v>0</v>
      </c>
      <c r="Z9" s="46">
        <v>8</v>
      </c>
      <c r="AA9" s="46">
        <v>6</v>
      </c>
      <c r="AB9" s="46">
        <v>6</v>
      </c>
      <c r="AD9" s="46">
        <v>1</v>
      </c>
      <c r="AE9" s="46">
        <v>1</v>
      </c>
      <c r="AJ9" s="46">
        <v>1</v>
      </c>
      <c r="AK9" s="46">
        <v>1</v>
      </c>
      <c r="AT9" s="46">
        <v>1</v>
      </c>
      <c r="AW9" s="46">
        <v>1</v>
      </c>
      <c r="BE9" s="46">
        <v>1</v>
      </c>
      <c r="BF9" s="46">
        <v>1</v>
      </c>
      <c r="BI9" s="46">
        <v>1</v>
      </c>
      <c r="BW9" s="46">
        <v>1</v>
      </c>
      <c r="BZ9" s="46">
        <v>1</v>
      </c>
      <c r="CC9" s="46">
        <v>1</v>
      </c>
      <c r="CI9" s="46">
        <v>1</v>
      </c>
      <c r="CP9" s="46">
        <v>1</v>
      </c>
      <c r="CU9" s="46" t="s">
        <v>3388</v>
      </c>
    </row>
    <row r="10" spans="1:99">
      <c r="A10" s="46" t="s">
        <v>2414</v>
      </c>
      <c r="B10" s="46" t="s">
        <v>2593</v>
      </c>
      <c r="C10" s="46">
        <v>33</v>
      </c>
      <c r="D10" s="46" t="s">
        <v>3389</v>
      </c>
      <c r="E10" s="46" t="s">
        <v>3390</v>
      </c>
      <c r="F10" s="46" t="s">
        <v>2484</v>
      </c>
      <c r="H10" s="46">
        <v>1</v>
      </c>
      <c r="M10" s="46">
        <v>1</v>
      </c>
      <c r="Q10" s="46">
        <v>1</v>
      </c>
      <c r="U10" s="46">
        <v>1</v>
      </c>
      <c r="W10" s="46">
        <v>12</v>
      </c>
      <c r="X10" s="46">
        <v>16</v>
      </c>
      <c r="Y10" s="46">
        <v>27</v>
      </c>
      <c r="Z10" s="46">
        <v>3</v>
      </c>
      <c r="AA10" s="46">
        <v>2</v>
      </c>
      <c r="AB10" s="46">
        <v>2</v>
      </c>
      <c r="AF10" s="46">
        <v>1</v>
      </c>
      <c r="AG10" s="46">
        <v>1</v>
      </c>
      <c r="AH10" s="46">
        <v>1</v>
      </c>
      <c r="AI10" s="46">
        <v>1</v>
      </c>
      <c r="AK10" s="46">
        <v>1</v>
      </c>
      <c r="AT10" s="46">
        <v>1</v>
      </c>
      <c r="AX10" s="46">
        <v>1</v>
      </c>
      <c r="BA10" s="46">
        <v>1</v>
      </c>
      <c r="BI10" s="46">
        <v>1</v>
      </c>
      <c r="BW10" s="46">
        <v>1</v>
      </c>
      <c r="BZ10" s="46">
        <v>1</v>
      </c>
      <c r="CC10" s="46">
        <v>1</v>
      </c>
      <c r="CP10" s="46">
        <v>1</v>
      </c>
      <c r="CU10" s="139">
        <v>46631</v>
      </c>
    </row>
  </sheetData>
  <autoFilter ref="A3:CU10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7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61" t="s">
        <v>353</v>
      </c>
      <c r="G1" s="61"/>
      <c r="H1" s="61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62" t="s">
        <v>356</v>
      </c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3107</v>
      </c>
      <c r="H2" s="64" t="s">
        <v>358</v>
      </c>
      <c r="I2" s="64" t="s">
        <v>362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</row>
    <row r="3" spans="1:31">
      <c r="A3" s="68" t="s">
        <v>1268</v>
      </c>
      <c r="B3" s="69">
        <v>2</v>
      </c>
      <c r="C3" s="69">
        <v>0</v>
      </c>
      <c r="D3" s="69">
        <v>0</v>
      </c>
      <c r="E3" s="69">
        <f>SUM(B3:D3)</f>
        <v>2</v>
      </c>
      <c r="F3" s="70">
        <v>0</v>
      </c>
      <c r="G3" s="70">
        <v>0</v>
      </c>
      <c r="H3" s="70">
        <v>2</v>
      </c>
      <c r="I3" s="70">
        <v>0</v>
      </c>
      <c r="J3" s="71">
        <f>SUM(F3:I3)</f>
        <v>2</v>
      </c>
      <c r="K3" s="70">
        <v>0</v>
      </c>
      <c r="L3" s="70">
        <v>0</v>
      </c>
      <c r="M3" s="70">
        <v>0</v>
      </c>
      <c r="N3" s="70">
        <v>0</v>
      </c>
      <c r="O3" s="71">
        <f>SUM(K3:N3)</f>
        <v>0</v>
      </c>
      <c r="P3" s="70">
        <v>0</v>
      </c>
      <c r="Q3" s="70">
        <v>0</v>
      </c>
      <c r="R3" s="70">
        <v>0</v>
      </c>
      <c r="S3" s="71">
        <f>SUM(P3:R3)</f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3">
        <v>1</v>
      </c>
      <c r="AA3" s="73">
        <v>0</v>
      </c>
      <c r="AB3" s="73">
        <v>0</v>
      </c>
      <c r="AC3" s="73">
        <v>1</v>
      </c>
      <c r="AD3" s="171">
        <f>SUM(Z3:AC3)</f>
        <v>2</v>
      </c>
      <c r="AE3" s="73">
        <v>0</v>
      </c>
    </row>
    <row r="4" spans="1:31">
      <c r="A4" s="77" t="s">
        <v>3391</v>
      </c>
      <c r="B4" s="69">
        <v>2</v>
      </c>
      <c r="C4" s="69">
        <v>0</v>
      </c>
      <c r="D4" s="69">
        <v>0</v>
      </c>
      <c r="E4" s="69">
        <f>SUM(B4:D4)</f>
        <v>2</v>
      </c>
      <c r="F4" s="70">
        <v>0</v>
      </c>
      <c r="G4" s="70">
        <v>0</v>
      </c>
      <c r="H4" s="70">
        <v>2</v>
      </c>
      <c r="I4" s="70">
        <v>0</v>
      </c>
      <c r="J4" s="71">
        <f>SUM(F4:I4)</f>
        <v>2</v>
      </c>
      <c r="K4" s="70">
        <v>0</v>
      </c>
      <c r="L4" s="70">
        <v>0</v>
      </c>
      <c r="M4" s="70">
        <v>0</v>
      </c>
      <c r="N4" s="70">
        <v>0</v>
      </c>
      <c r="O4" s="71">
        <f>SUM(K4:N4)</f>
        <v>0</v>
      </c>
      <c r="P4" s="70">
        <v>0</v>
      </c>
      <c r="Q4" s="70">
        <v>0</v>
      </c>
      <c r="R4" s="70">
        <v>2</v>
      </c>
      <c r="S4" s="71">
        <f>SUM(P4:R4)</f>
        <v>2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3">
        <v>1</v>
      </c>
      <c r="AA4" s="73">
        <v>0</v>
      </c>
      <c r="AB4" s="73">
        <v>0</v>
      </c>
      <c r="AC4" s="73">
        <v>1</v>
      </c>
      <c r="AD4" s="171">
        <f>SUM(Z4:AC4)</f>
        <v>2</v>
      </c>
      <c r="AE4" s="73">
        <v>0</v>
      </c>
    </row>
    <row r="5" spans="1:31">
      <c r="A5" s="77" t="s">
        <v>1444</v>
      </c>
      <c r="B5" s="69">
        <v>2</v>
      </c>
      <c r="C5" s="69">
        <v>0</v>
      </c>
      <c r="D5" s="69">
        <v>0</v>
      </c>
      <c r="E5" s="69">
        <f>SUM(B5:D5)</f>
        <v>2</v>
      </c>
      <c r="F5" s="70">
        <v>0</v>
      </c>
      <c r="G5" s="70">
        <v>0</v>
      </c>
      <c r="H5" s="70">
        <v>1</v>
      </c>
      <c r="I5" s="70">
        <v>0</v>
      </c>
      <c r="J5" s="71">
        <f>SUM(F5:I5)</f>
        <v>1</v>
      </c>
      <c r="K5" s="70">
        <v>1</v>
      </c>
      <c r="L5" s="70">
        <v>0</v>
      </c>
      <c r="M5" s="70">
        <v>0</v>
      </c>
      <c r="N5" s="70">
        <v>0</v>
      </c>
      <c r="O5" s="71">
        <f>SUM(K5:N5)</f>
        <v>1</v>
      </c>
      <c r="P5" s="70">
        <v>0</v>
      </c>
      <c r="Q5" s="70">
        <v>0</v>
      </c>
      <c r="R5" s="70">
        <v>0</v>
      </c>
      <c r="S5" s="71">
        <f>SUM(P5:R5)</f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3">
        <v>2</v>
      </c>
      <c r="AA5" s="73">
        <v>0</v>
      </c>
      <c r="AB5" s="73">
        <v>0</v>
      </c>
      <c r="AC5" s="73">
        <v>0</v>
      </c>
      <c r="AD5" s="171">
        <f>SUM(Z5:AC5)</f>
        <v>2</v>
      </c>
      <c r="AE5" s="73">
        <v>0</v>
      </c>
    </row>
    <row r="6" spans="1:31">
      <c r="A6" s="77" t="s">
        <v>1097</v>
      </c>
      <c r="B6" s="69">
        <v>1</v>
      </c>
      <c r="C6" s="69">
        <v>0</v>
      </c>
      <c r="D6" s="69">
        <v>0</v>
      </c>
      <c r="E6" s="69">
        <f>SUM(B6:D6)</f>
        <v>1</v>
      </c>
      <c r="F6" s="70">
        <v>0</v>
      </c>
      <c r="G6" s="70">
        <v>0</v>
      </c>
      <c r="H6" s="70">
        <v>0</v>
      </c>
      <c r="I6" s="70">
        <v>0</v>
      </c>
      <c r="J6" s="71">
        <f>SUM(F6:I6)</f>
        <v>0</v>
      </c>
      <c r="K6" s="70">
        <v>1</v>
      </c>
      <c r="L6" s="70">
        <v>0</v>
      </c>
      <c r="M6" s="70">
        <v>0</v>
      </c>
      <c r="N6" s="70">
        <v>0</v>
      </c>
      <c r="O6" s="71">
        <f>SUM(K6:N6)</f>
        <v>1</v>
      </c>
      <c r="P6" s="70">
        <v>0</v>
      </c>
      <c r="Q6" s="70">
        <v>0</v>
      </c>
      <c r="R6" s="70">
        <v>1</v>
      </c>
      <c r="S6" s="71">
        <f>SUM(P6:R6)</f>
        <v>1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3">
        <v>1</v>
      </c>
      <c r="AA6" s="73">
        <v>0</v>
      </c>
      <c r="AB6" s="73">
        <v>0</v>
      </c>
      <c r="AC6" s="73">
        <v>0</v>
      </c>
      <c r="AD6" s="171">
        <f>SUM(Z6:AC6)</f>
        <v>1</v>
      </c>
      <c r="AE6" s="73">
        <v>0</v>
      </c>
    </row>
    <row r="7" spans="1:31">
      <c r="A7" s="69" t="s">
        <v>376</v>
      </c>
      <c r="B7" s="69">
        <f>SUM(B3:B6)</f>
        <v>7</v>
      </c>
      <c r="C7" s="69">
        <f>SUM(C3:C6)</f>
        <v>0</v>
      </c>
      <c r="D7" s="69">
        <f>SUM(D3:D6)</f>
        <v>0</v>
      </c>
      <c r="E7" s="69">
        <f>SUM(E3:E6)</f>
        <v>7</v>
      </c>
      <c r="F7" s="69">
        <f>SUM(F3:F6)</f>
        <v>0</v>
      </c>
      <c r="G7" s="69"/>
      <c r="H7" s="69">
        <f>SUM(H3:H6)</f>
        <v>5</v>
      </c>
      <c r="I7" s="69">
        <f>SUM(I3:I6)</f>
        <v>0</v>
      </c>
      <c r="J7" s="71">
        <f>SUM(F7:I7)</f>
        <v>5</v>
      </c>
      <c r="K7" s="114">
        <f>SUM(K3:K6)</f>
        <v>2</v>
      </c>
      <c r="L7" s="114">
        <f>SUM(L3:L6)</f>
        <v>0</v>
      </c>
      <c r="M7" s="114">
        <f>SUM(M3:M6)</f>
        <v>0</v>
      </c>
      <c r="N7" s="114">
        <f>SUM(N3:N6)</f>
        <v>0</v>
      </c>
      <c r="O7" s="71">
        <f>SUM(K7:N7)</f>
        <v>2</v>
      </c>
      <c r="P7" s="114">
        <f t="shared" ref="P7:AE7" si="0">SUM(P3:P6)</f>
        <v>0</v>
      </c>
      <c r="Q7" s="114">
        <f t="shared" si="0"/>
        <v>0</v>
      </c>
      <c r="R7" s="114">
        <f t="shared" si="0"/>
        <v>3</v>
      </c>
      <c r="S7" s="71">
        <f t="shared" si="0"/>
        <v>3</v>
      </c>
      <c r="T7" s="114">
        <f t="shared" si="0"/>
        <v>0</v>
      </c>
      <c r="U7" s="114">
        <f t="shared" si="0"/>
        <v>0</v>
      </c>
      <c r="V7" s="114">
        <f t="shared" si="0"/>
        <v>0</v>
      </c>
      <c r="W7" s="114">
        <f t="shared" si="0"/>
        <v>0</v>
      </c>
      <c r="X7" s="114">
        <f t="shared" si="0"/>
        <v>0</v>
      </c>
      <c r="Y7" s="114">
        <f t="shared" si="0"/>
        <v>0</v>
      </c>
      <c r="Z7" s="73">
        <f t="shared" si="0"/>
        <v>5</v>
      </c>
      <c r="AA7" s="73">
        <f t="shared" si="0"/>
        <v>0</v>
      </c>
      <c r="AB7" s="73">
        <f t="shared" si="0"/>
        <v>0</v>
      </c>
      <c r="AC7" s="73">
        <f t="shared" si="0"/>
        <v>2</v>
      </c>
      <c r="AD7" s="73">
        <f t="shared" si="0"/>
        <v>7</v>
      </c>
      <c r="AE7" s="73">
        <f t="shared" si="0"/>
        <v>0</v>
      </c>
    </row>
  </sheetData>
  <mergeCells count="6">
    <mergeCell ref="Z1:AD1"/>
    <mergeCell ref="A1:A2"/>
    <mergeCell ref="B1:E1"/>
    <mergeCell ref="K1:O1"/>
    <mergeCell ref="P1:S1"/>
    <mergeCell ref="T1:Y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4"/>
  <sheetViews>
    <sheetView workbookViewId="0"/>
  </sheetViews>
  <sheetFormatPr defaultColWidth="14.42578125" defaultRowHeight="15" customHeight="1"/>
  <cols>
    <col min="2" max="2" width="35.42578125" customWidth="1"/>
  </cols>
  <sheetData>
    <row r="1" spans="1:99">
      <c r="A1" s="73" t="s">
        <v>3323</v>
      </c>
      <c r="B1" s="83"/>
      <c r="C1" s="73" t="s">
        <v>3392</v>
      </c>
      <c r="D1" s="83"/>
      <c r="E1" s="83"/>
      <c r="F1" s="172"/>
      <c r="G1" s="172" t="s">
        <v>2</v>
      </c>
      <c r="H1" s="83"/>
      <c r="I1" s="83"/>
      <c r="J1" s="83"/>
      <c r="K1" s="83"/>
      <c r="L1" s="172" t="s">
        <v>3</v>
      </c>
      <c r="M1" s="83"/>
      <c r="N1" s="83"/>
      <c r="O1" s="83"/>
      <c r="P1" s="83"/>
      <c r="Q1" s="172" t="s">
        <v>4</v>
      </c>
      <c r="R1" s="83"/>
      <c r="S1" s="172" t="s">
        <v>5</v>
      </c>
      <c r="T1" s="83"/>
      <c r="U1" s="83"/>
      <c r="V1" s="83"/>
      <c r="W1" s="172" t="s">
        <v>6</v>
      </c>
      <c r="X1" s="83"/>
      <c r="Y1" s="83"/>
      <c r="Z1" s="83"/>
      <c r="AA1" s="83"/>
      <c r="AB1" s="83"/>
      <c r="AC1" s="172" t="s">
        <v>7</v>
      </c>
      <c r="AD1" s="83"/>
      <c r="AE1" s="83"/>
      <c r="AF1" s="83"/>
      <c r="AG1" s="83"/>
      <c r="AH1" s="83"/>
      <c r="AI1" s="172" t="s">
        <v>8</v>
      </c>
      <c r="AJ1" s="83"/>
      <c r="AK1" s="172" t="s">
        <v>9</v>
      </c>
      <c r="AL1" s="83"/>
      <c r="AM1" s="83"/>
      <c r="AN1" s="172" t="s">
        <v>10</v>
      </c>
      <c r="AO1" s="83"/>
      <c r="AP1" s="83"/>
      <c r="AQ1" s="172" t="s">
        <v>11</v>
      </c>
      <c r="AR1" s="83"/>
      <c r="AS1" s="83"/>
      <c r="AT1" s="172" t="s">
        <v>12</v>
      </c>
      <c r="AU1" s="83"/>
      <c r="AV1" s="172" t="s">
        <v>13</v>
      </c>
      <c r="AW1" s="83"/>
      <c r="AX1" s="83"/>
      <c r="AY1" s="83"/>
      <c r="AZ1" s="83"/>
      <c r="BA1" s="172" t="s">
        <v>14</v>
      </c>
      <c r="BB1" s="83"/>
      <c r="BC1" s="83"/>
      <c r="BD1" s="83"/>
      <c r="BE1" s="83"/>
      <c r="BF1" s="83"/>
      <c r="BG1" s="83"/>
      <c r="BH1" s="172" t="s">
        <v>16</v>
      </c>
      <c r="BI1" s="83"/>
      <c r="BJ1" s="83"/>
      <c r="BK1" s="83"/>
      <c r="BL1" s="83"/>
      <c r="BM1" s="83"/>
      <c r="BN1" s="172" t="s">
        <v>17</v>
      </c>
      <c r="BO1" s="83"/>
      <c r="BP1" s="83"/>
      <c r="BQ1" s="172" t="s">
        <v>18</v>
      </c>
      <c r="BR1" s="83"/>
      <c r="BS1" s="172"/>
      <c r="BT1" s="172"/>
      <c r="BU1" s="172" t="s">
        <v>19</v>
      </c>
      <c r="BV1" s="83"/>
      <c r="BW1" s="83"/>
      <c r="BX1" s="83"/>
      <c r="BY1" s="83"/>
      <c r="BZ1" s="172" t="s">
        <v>20</v>
      </c>
      <c r="CA1" s="83"/>
      <c r="CB1" s="83"/>
      <c r="CC1" s="172" t="s">
        <v>21</v>
      </c>
      <c r="CD1" s="83"/>
      <c r="CE1" s="172" t="s">
        <v>22</v>
      </c>
      <c r="CF1" s="172" t="s">
        <v>23</v>
      </c>
      <c r="CG1" s="83"/>
      <c r="CH1" s="83"/>
      <c r="CI1" s="172" t="s">
        <v>16</v>
      </c>
      <c r="CJ1" s="83"/>
      <c r="CK1" s="83"/>
      <c r="CL1" s="172"/>
      <c r="CM1" s="172" t="s">
        <v>24</v>
      </c>
      <c r="CN1" s="83"/>
      <c r="CO1" s="172" t="s">
        <v>25</v>
      </c>
      <c r="CP1" s="83"/>
      <c r="CQ1" s="172"/>
      <c r="CR1" s="172" t="s">
        <v>26</v>
      </c>
      <c r="CS1" s="172"/>
      <c r="CT1" s="172"/>
      <c r="CU1" s="172"/>
    </row>
    <row r="2" spans="1:99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73" t="s">
        <v>15</v>
      </c>
      <c r="BG2" s="83"/>
      <c r="BH2" s="172" t="s">
        <v>78</v>
      </c>
      <c r="BI2" s="83"/>
      <c r="BJ2" s="172" t="s">
        <v>354</v>
      </c>
      <c r="BK2" s="83"/>
      <c r="BL2" s="83"/>
      <c r="BM2" s="83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2"/>
      <c r="CL2" s="172"/>
      <c r="CM2" s="172"/>
      <c r="CN2" s="172"/>
      <c r="CO2" s="172"/>
      <c r="CP2" s="172"/>
      <c r="CQ2" s="172" t="s">
        <v>893</v>
      </c>
      <c r="CR2" s="172"/>
      <c r="CS2" s="172"/>
      <c r="CT2" s="172"/>
      <c r="CU2" s="172"/>
    </row>
    <row r="3" spans="1:99">
      <c r="A3" s="172" t="s">
        <v>28</v>
      </c>
      <c r="B3" s="172" t="s">
        <v>29</v>
      </c>
      <c r="C3" s="172" t="s">
        <v>30</v>
      </c>
      <c r="D3" s="172" t="s">
        <v>31</v>
      </c>
      <c r="E3" s="172" t="s">
        <v>32</v>
      </c>
      <c r="F3" s="172" t="s">
        <v>33</v>
      </c>
      <c r="G3" s="172" t="s">
        <v>34</v>
      </c>
      <c r="H3" s="172" t="s">
        <v>35</v>
      </c>
      <c r="I3" s="172" t="s">
        <v>36</v>
      </c>
      <c r="J3" s="172" t="s">
        <v>37</v>
      </c>
      <c r="K3" s="172" t="s">
        <v>38</v>
      </c>
      <c r="L3" s="172" t="s">
        <v>39</v>
      </c>
      <c r="M3" s="172" t="s">
        <v>40</v>
      </c>
      <c r="N3" s="172" t="s">
        <v>41</v>
      </c>
      <c r="O3" s="172" t="s">
        <v>42</v>
      </c>
      <c r="P3" s="172" t="s">
        <v>43</v>
      </c>
      <c r="Q3" s="172" t="s">
        <v>44</v>
      </c>
      <c r="R3" s="172" t="s">
        <v>45</v>
      </c>
      <c r="S3" s="172" t="s">
        <v>46</v>
      </c>
      <c r="T3" s="172" t="s">
        <v>47</v>
      </c>
      <c r="U3" s="172" t="s">
        <v>48</v>
      </c>
      <c r="V3" s="172" t="s">
        <v>49</v>
      </c>
      <c r="W3" s="172" t="s">
        <v>50</v>
      </c>
      <c r="X3" s="172" t="s">
        <v>51</v>
      </c>
      <c r="Y3" s="172" t="s">
        <v>52</v>
      </c>
      <c r="Z3" s="172" t="s">
        <v>53</v>
      </c>
      <c r="AA3" s="172" t="s">
        <v>54</v>
      </c>
      <c r="AB3" s="172" t="s">
        <v>55</v>
      </c>
      <c r="AC3" s="172" t="s">
        <v>56</v>
      </c>
      <c r="AD3" s="172" t="s">
        <v>57</v>
      </c>
      <c r="AE3" s="172" t="s">
        <v>58</v>
      </c>
      <c r="AF3" s="172" t="s">
        <v>59</v>
      </c>
      <c r="AG3" s="172" t="s">
        <v>60</v>
      </c>
      <c r="AH3" s="172" t="s">
        <v>61</v>
      </c>
      <c r="AI3" s="172" t="s">
        <v>62</v>
      </c>
      <c r="AJ3" s="172" t="s">
        <v>63</v>
      </c>
      <c r="AK3" s="172" t="s">
        <v>64</v>
      </c>
      <c r="AL3" s="172" t="s">
        <v>65</v>
      </c>
      <c r="AM3" s="73" t="s">
        <v>66</v>
      </c>
      <c r="AN3" s="172" t="s">
        <v>67</v>
      </c>
      <c r="AO3" s="172" t="s">
        <v>68</v>
      </c>
      <c r="AP3" s="172" t="s">
        <v>69</v>
      </c>
      <c r="AQ3" s="172" t="s">
        <v>70</v>
      </c>
      <c r="AR3" s="172" t="s">
        <v>71</v>
      </c>
      <c r="AS3" s="172" t="s">
        <v>72</v>
      </c>
      <c r="AT3" s="172" t="s">
        <v>56</v>
      </c>
      <c r="AU3" s="172" t="s">
        <v>73</v>
      </c>
      <c r="AV3" s="172" t="s">
        <v>46</v>
      </c>
      <c r="AW3" s="73" t="s">
        <v>895</v>
      </c>
      <c r="AX3" s="173" t="s">
        <v>75</v>
      </c>
      <c r="AY3" s="173" t="s">
        <v>76</v>
      </c>
      <c r="AZ3" s="172" t="s">
        <v>77</v>
      </c>
      <c r="BA3" s="172" t="s">
        <v>56</v>
      </c>
      <c r="BB3" s="172" t="s">
        <v>78</v>
      </c>
      <c r="BC3" s="172" t="s">
        <v>79</v>
      </c>
      <c r="BD3" s="172" t="s">
        <v>80</v>
      </c>
      <c r="BE3" s="172" t="s">
        <v>38</v>
      </c>
      <c r="BF3" s="172" t="s">
        <v>81</v>
      </c>
      <c r="BG3" s="172" t="s">
        <v>82</v>
      </c>
      <c r="BH3" s="172" t="s">
        <v>83</v>
      </c>
      <c r="BI3" s="172" t="s">
        <v>81</v>
      </c>
      <c r="BJ3" s="73" t="s">
        <v>96</v>
      </c>
      <c r="BK3" s="172" t="s">
        <v>84</v>
      </c>
      <c r="BL3" s="172" t="s">
        <v>85</v>
      </c>
      <c r="BM3" s="172" t="s">
        <v>86</v>
      </c>
      <c r="BN3" s="172" t="s">
        <v>73</v>
      </c>
      <c r="BO3" s="73" t="s">
        <v>87</v>
      </c>
      <c r="BP3" s="172" t="s">
        <v>56</v>
      </c>
      <c r="BQ3" s="172" t="s">
        <v>83</v>
      </c>
      <c r="BR3" s="172" t="s">
        <v>88</v>
      </c>
      <c r="BS3" s="172" t="s">
        <v>89</v>
      </c>
      <c r="BT3" s="172"/>
      <c r="BU3" s="172" t="s">
        <v>90</v>
      </c>
      <c r="BV3" s="172" t="s">
        <v>91</v>
      </c>
      <c r="BW3" s="172" t="s">
        <v>92</v>
      </c>
      <c r="BX3" s="172" t="s">
        <v>93</v>
      </c>
      <c r="BY3" s="172" t="s">
        <v>94</v>
      </c>
      <c r="BZ3" s="172" t="s">
        <v>56</v>
      </c>
      <c r="CA3" s="172" t="s">
        <v>73</v>
      </c>
      <c r="CB3" s="172" t="s">
        <v>22</v>
      </c>
      <c r="CC3" s="172" t="s">
        <v>56</v>
      </c>
      <c r="CD3" s="172" t="s">
        <v>73</v>
      </c>
      <c r="CE3" s="73" t="s">
        <v>1275</v>
      </c>
      <c r="CF3" s="172" t="s">
        <v>83</v>
      </c>
      <c r="CG3" s="172" t="s">
        <v>88</v>
      </c>
      <c r="CH3" s="172" t="s">
        <v>896</v>
      </c>
      <c r="CI3" s="172" t="s">
        <v>96</v>
      </c>
      <c r="CJ3" s="73" t="s">
        <v>97</v>
      </c>
      <c r="CK3" s="172" t="s">
        <v>98</v>
      </c>
      <c r="CL3" s="73" t="s">
        <v>1276</v>
      </c>
      <c r="CM3" s="172" t="s">
        <v>73</v>
      </c>
      <c r="CN3" s="172" t="s">
        <v>56</v>
      </c>
      <c r="CO3" s="172" t="s">
        <v>99</v>
      </c>
      <c r="CP3" s="172" t="s">
        <v>56</v>
      </c>
      <c r="CQ3" s="172"/>
      <c r="CR3" s="172" t="s">
        <v>100</v>
      </c>
      <c r="CS3" s="83"/>
      <c r="CT3" s="172" t="s">
        <v>101</v>
      </c>
      <c r="CU3" s="172" t="s">
        <v>102</v>
      </c>
    </row>
    <row r="4" spans="1:99">
      <c r="A4" s="46" t="s">
        <v>3393</v>
      </c>
      <c r="B4" s="46" t="s">
        <v>3394</v>
      </c>
      <c r="C4" s="46">
        <v>27</v>
      </c>
      <c r="D4" s="46" t="s">
        <v>3395</v>
      </c>
      <c r="E4" s="46" t="s">
        <v>3396</v>
      </c>
      <c r="F4" s="46" t="s">
        <v>112</v>
      </c>
      <c r="H4" s="46">
        <v>1</v>
      </c>
      <c r="M4" s="46">
        <v>1</v>
      </c>
      <c r="Q4" s="46">
        <v>1</v>
      </c>
      <c r="U4" s="46">
        <v>1</v>
      </c>
      <c r="W4" s="46">
        <v>13</v>
      </c>
      <c r="X4" s="46">
        <v>17</v>
      </c>
      <c r="Y4" s="46">
        <v>17</v>
      </c>
      <c r="Z4" s="46">
        <v>4</v>
      </c>
      <c r="AA4" s="46">
        <v>4</v>
      </c>
      <c r="AB4" s="46">
        <v>4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V4" s="46"/>
      <c r="BW4" s="46">
        <v>1</v>
      </c>
      <c r="BY4" s="46"/>
      <c r="BZ4" s="46">
        <v>1</v>
      </c>
      <c r="CB4" s="46"/>
      <c r="CC4" s="46">
        <v>1</v>
      </c>
      <c r="CH4" s="46"/>
      <c r="CI4" s="46">
        <v>1</v>
      </c>
      <c r="CS4" s="46"/>
      <c r="CU4" s="46" t="s">
        <v>2956</v>
      </c>
    </row>
  </sheetData>
  <autoFilter ref="A3:CU4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4"/>
  <sheetViews>
    <sheetView workbookViewId="0"/>
  </sheetViews>
  <sheetFormatPr defaultColWidth="14.42578125" defaultRowHeight="15" customHeight="1"/>
  <sheetData>
    <row r="1" spans="1:29">
      <c r="A1" s="486" t="s">
        <v>1267</v>
      </c>
      <c r="B1" s="488" t="s">
        <v>352</v>
      </c>
      <c r="C1" s="481"/>
      <c r="D1" s="481"/>
      <c r="E1" s="480"/>
      <c r="F1" s="499" t="s">
        <v>353</v>
      </c>
      <c r="G1" s="481"/>
      <c r="H1" s="481"/>
      <c r="I1" s="480"/>
      <c r="J1" s="500" t="s">
        <v>354</v>
      </c>
      <c r="K1" s="481"/>
      <c r="L1" s="481"/>
      <c r="M1" s="481"/>
      <c r="N1" s="480"/>
      <c r="O1" s="501" t="s">
        <v>355</v>
      </c>
      <c r="P1" s="481"/>
      <c r="Q1" s="481"/>
      <c r="R1" s="480"/>
      <c r="S1" s="497" t="s">
        <v>356</v>
      </c>
      <c r="T1" s="481"/>
      <c r="U1" s="481"/>
      <c r="V1" s="481"/>
      <c r="W1" s="481"/>
      <c r="X1" s="480"/>
      <c r="Y1" s="498" t="s">
        <v>357</v>
      </c>
      <c r="Z1" s="481"/>
      <c r="AA1" s="481"/>
      <c r="AB1" s="480"/>
      <c r="AC1" s="62" t="s">
        <v>356</v>
      </c>
    </row>
    <row r="2" spans="1:29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119" t="s">
        <v>359</v>
      </c>
      <c r="G2" s="119" t="s">
        <v>358</v>
      </c>
      <c r="H2" s="119" t="s">
        <v>362</v>
      </c>
      <c r="I2" s="119" t="s">
        <v>361</v>
      </c>
      <c r="J2" s="120" t="s">
        <v>96</v>
      </c>
      <c r="K2" s="120" t="s">
        <v>84</v>
      </c>
      <c r="L2" s="120" t="s">
        <v>98</v>
      </c>
      <c r="M2" s="120" t="s">
        <v>38</v>
      </c>
      <c r="N2" s="120" t="s">
        <v>361</v>
      </c>
      <c r="O2" s="121" t="s">
        <v>91</v>
      </c>
      <c r="P2" s="121" t="s">
        <v>362</v>
      </c>
      <c r="Q2" s="121" t="s">
        <v>363</v>
      </c>
      <c r="R2" s="121" t="s">
        <v>361</v>
      </c>
      <c r="S2" s="122" t="s">
        <v>364</v>
      </c>
      <c r="T2" s="122" t="s">
        <v>91</v>
      </c>
      <c r="U2" s="122" t="s">
        <v>365</v>
      </c>
      <c r="V2" s="122" t="s">
        <v>366</v>
      </c>
      <c r="W2" s="122" t="s">
        <v>369</v>
      </c>
      <c r="X2" s="122"/>
      <c r="Y2" s="123" t="s">
        <v>96</v>
      </c>
      <c r="Z2" s="123" t="s">
        <v>368</v>
      </c>
      <c r="AA2" s="123" t="s">
        <v>98</v>
      </c>
      <c r="AB2" s="123" t="s">
        <v>369</v>
      </c>
      <c r="AC2" s="64" t="s">
        <v>365</v>
      </c>
    </row>
    <row r="3" spans="1:29">
      <c r="A3" s="74" t="s">
        <v>1269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0</v>
      </c>
      <c r="H3" s="70"/>
      <c r="I3" s="71">
        <f>SUM(F3:H3)</f>
        <v>0</v>
      </c>
      <c r="J3" s="70">
        <v>0</v>
      </c>
      <c r="K3" s="70">
        <v>0</v>
      </c>
      <c r="L3" s="70">
        <v>0</v>
      </c>
      <c r="M3" s="70">
        <v>0</v>
      </c>
      <c r="N3" s="70">
        <f>SUM(J3:M3)</f>
        <v>0</v>
      </c>
      <c r="O3" s="70">
        <v>0</v>
      </c>
      <c r="P3" s="70">
        <v>0</v>
      </c>
      <c r="Q3" s="70">
        <v>0</v>
      </c>
      <c r="R3" s="71">
        <f>SUM(O3:Q3)</f>
        <v>0</v>
      </c>
      <c r="S3" s="75">
        <v>0</v>
      </c>
      <c r="T3" s="75">
        <v>0</v>
      </c>
      <c r="U3" s="75">
        <v>0</v>
      </c>
      <c r="V3" s="75">
        <v>0</v>
      </c>
      <c r="W3" s="70">
        <f>SUM(S3:V3)</f>
        <v>0</v>
      </c>
      <c r="X3" s="75">
        <v>0</v>
      </c>
      <c r="Y3" s="73">
        <v>1</v>
      </c>
      <c r="Z3" s="73">
        <v>0</v>
      </c>
      <c r="AA3" s="73">
        <v>0</v>
      </c>
      <c r="AB3" s="83">
        <f>SUM(Y3:AA3)</f>
        <v>1</v>
      </c>
      <c r="AC3" s="73">
        <v>0</v>
      </c>
    </row>
    <row r="4" spans="1:29">
      <c r="A4" s="69" t="s">
        <v>369</v>
      </c>
      <c r="B4" s="69">
        <f t="shared" ref="B4:AC4" si="0">SUM(B3)</f>
        <v>1</v>
      </c>
      <c r="C4" s="69">
        <f t="shared" si="0"/>
        <v>0</v>
      </c>
      <c r="D4" s="69">
        <f t="shared" si="0"/>
        <v>0</v>
      </c>
      <c r="E4" s="69">
        <f t="shared" si="0"/>
        <v>1</v>
      </c>
      <c r="F4" s="69">
        <f t="shared" si="0"/>
        <v>0</v>
      </c>
      <c r="G4" s="69">
        <f t="shared" si="0"/>
        <v>0</v>
      </c>
      <c r="H4" s="69">
        <f t="shared" si="0"/>
        <v>0</v>
      </c>
      <c r="I4" s="69">
        <f t="shared" si="0"/>
        <v>0</v>
      </c>
      <c r="J4" s="69">
        <f t="shared" si="0"/>
        <v>0</v>
      </c>
      <c r="K4" s="69">
        <f t="shared" si="0"/>
        <v>0</v>
      </c>
      <c r="L4" s="69">
        <f t="shared" si="0"/>
        <v>0</v>
      </c>
      <c r="M4" s="69">
        <f t="shared" si="0"/>
        <v>0</v>
      </c>
      <c r="N4" s="69">
        <f t="shared" si="0"/>
        <v>0</v>
      </c>
      <c r="O4" s="69">
        <f t="shared" si="0"/>
        <v>0</v>
      </c>
      <c r="P4" s="69">
        <f t="shared" si="0"/>
        <v>0</v>
      </c>
      <c r="Q4" s="69">
        <f t="shared" si="0"/>
        <v>0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si="0"/>
        <v>0</v>
      </c>
      <c r="W4" s="69">
        <f t="shared" si="0"/>
        <v>0</v>
      </c>
      <c r="X4" s="69">
        <f t="shared" si="0"/>
        <v>0</v>
      </c>
      <c r="Y4" s="69">
        <f t="shared" si="0"/>
        <v>1</v>
      </c>
      <c r="Z4" s="69">
        <f t="shared" si="0"/>
        <v>0</v>
      </c>
      <c r="AA4" s="69">
        <f t="shared" si="0"/>
        <v>0</v>
      </c>
      <c r="AB4" s="69">
        <f t="shared" si="0"/>
        <v>1</v>
      </c>
      <c r="AC4" s="69">
        <f t="shared" si="0"/>
        <v>0</v>
      </c>
    </row>
  </sheetData>
  <mergeCells count="7">
    <mergeCell ref="S1:X1"/>
    <mergeCell ref="Y1:AB1"/>
    <mergeCell ref="A1:A2"/>
    <mergeCell ref="B1:E1"/>
    <mergeCell ref="F1:I1"/>
    <mergeCell ref="J1:N1"/>
    <mergeCell ref="O1:R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1"/>
  <sheetViews>
    <sheetView workbookViewId="0"/>
  </sheetViews>
  <sheetFormatPr defaultColWidth="14.42578125" defaultRowHeight="15" customHeight="1"/>
  <cols>
    <col min="1" max="1" width="9.42578125" customWidth="1"/>
    <col min="2" max="2" width="24" customWidth="1"/>
    <col min="3" max="3" width="7.5703125" customWidth="1"/>
    <col min="7" max="7" width="6.140625" customWidth="1"/>
    <col min="8" max="8" width="4.7109375" customWidth="1"/>
    <col min="9" max="9" width="5.85546875" customWidth="1"/>
    <col min="10" max="11" width="6.7109375" customWidth="1"/>
    <col min="13" max="13" width="5.85546875" customWidth="1"/>
    <col min="14" max="15" width="4.85546875" customWidth="1"/>
    <col min="16" max="16" width="5.5703125" customWidth="1"/>
    <col min="17" max="17" width="7.85546875" customWidth="1"/>
    <col min="18" max="18" width="4.7109375" customWidth="1"/>
    <col min="19" max="19" width="9.5703125" customWidth="1"/>
    <col min="20" max="20" width="5.85546875" customWidth="1"/>
    <col min="21" max="21" width="4.7109375" customWidth="1"/>
    <col min="22" max="22" width="4.85546875" customWidth="1"/>
    <col min="23" max="23" width="11" customWidth="1"/>
  </cols>
  <sheetData>
    <row r="1" spans="1:99">
      <c r="A1" s="174" t="s">
        <v>3397</v>
      </c>
      <c r="B1" s="143"/>
      <c r="C1" s="175" t="s">
        <v>3398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3399</v>
      </c>
      <c r="B4" s="46" t="s">
        <v>3400</v>
      </c>
      <c r="C4" s="46">
        <v>40</v>
      </c>
      <c r="D4" s="46" t="s">
        <v>3401</v>
      </c>
      <c r="E4" s="46" t="s">
        <v>3402</v>
      </c>
      <c r="F4" s="46" t="s">
        <v>112</v>
      </c>
      <c r="I4" s="46">
        <v>1</v>
      </c>
      <c r="N4" s="46">
        <v>1</v>
      </c>
      <c r="Q4" s="46">
        <v>1</v>
      </c>
      <c r="T4" s="46">
        <v>1</v>
      </c>
      <c r="W4" s="46">
        <v>16</v>
      </c>
      <c r="X4" s="46">
        <v>16</v>
      </c>
      <c r="Y4" s="46">
        <v>19</v>
      </c>
      <c r="Z4" s="46">
        <v>10</v>
      </c>
      <c r="AA4" s="46">
        <v>10</v>
      </c>
      <c r="AB4" s="46">
        <v>5</v>
      </c>
      <c r="AH4" s="46">
        <v>1</v>
      </c>
      <c r="AJ4" s="46">
        <v>1</v>
      </c>
      <c r="AL4" s="46">
        <v>1</v>
      </c>
      <c r="AO4" s="46">
        <v>1</v>
      </c>
      <c r="AQ4" s="46" t="s">
        <v>3256</v>
      </c>
      <c r="AT4" s="46">
        <v>1</v>
      </c>
      <c r="AW4" s="46">
        <v>1</v>
      </c>
      <c r="BB4" s="46">
        <v>1</v>
      </c>
      <c r="BF4" s="46">
        <v>1</v>
      </c>
      <c r="BI4" s="46">
        <v>1</v>
      </c>
      <c r="BZ4" s="46">
        <v>1</v>
      </c>
      <c r="CC4" s="46">
        <v>1</v>
      </c>
    </row>
    <row r="5" spans="1:99">
      <c r="A5" s="46" t="s">
        <v>3403</v>
      </c>
      <c r="B5" s="46" t="s">
        <v>1656</v>
      </c>
      <c r="C5" s="46">
        <v>38</v>
      </c>
      <c r="D5" s="46" t="s">
        <v>3404</v>
      </c>
      <c r="E5" s="46" t="s">
        <v>3405</v>
      </c>
      <c r="F5" s="46" t="s">
        <v>145</v>
      </c>
      <c r="G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17</v>
      </c>
      <c r="Y5" s="46">
        <v>19</v>
      </c>
      <c r="Z5" s="46">
        <v>9</v>
      </c>
      <c r="AA5" s="46">
        <v>8</v>
      </c>
      <c r="AB5" s="46">
        <v>6</v>
      </c>
      <c r="AE5" s="46">
        <v>1</v>
      </c>
      <c r="AG5" s="46">
        <v>1</v>
      </c>
      <c r="AH5" s="46">
        <v>1</v>
      </c>
      <c r="AJ5" s="46">
        <v>1</v>
      </c>
      <c r="AL5" s="46">
        <v>1</v>
      </c>
      <c r="AO5" s="46">
        <v>1</v>
      </c>
      <c r="AQ5" s="46" t="s">
        <v>908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</row>
    <row r="6" spans="1:99">
      <c r="A6" s="46" t="s">
        <v>3406</v>
      </c>
      <c r="B6" s="46" t="s">
        <v>3407</v>
      </c>
      <c r="C6" s="46">
        <v>31</v>
      </c>
      <c r="D6" s="46" t="s">
        <v>3408</v>
      </c>
      <c r="E6" s="46" t="s">
        <v>3409</v>
      </c>
      <c r="F6" s="46" t="s">
        <v>274</v>
      </c>
      <c r="H6" s="46">
        <v>1</v>
      </c>
      <c r="M6" s="46">
        <v>1</v>
      </c>
      <c r="Q6" s="46">
        <v>1</v>
      </c>
      <c r="U6" s="46">
        <v>1</v>
      </c>
      <c r="W6" s="46">
        <v>16</v>
      </c>
      <c r="X6" s="46">
        <v>21</v>
      </c>
      <c r="Y6" s="46">
        <v>26</v>
      </c>
      <c r="Z6" s="46">
        <v>3</v>
      </c>
      <c r="AA6" s="46">
        <v>3</v>
      </c>
      <c r="AB6" s="46">
        <v>3</v>
      </c>
      <c r="AE6" s="46">
        <v>1</v>
      </c>
      <c r="AG6" s="46">
        <v>1</v>
      </c>
      <c r="AH6" s="46">
        <v>1</v>
      </c>
      <c r="AJ6" s="46">
        <v>1</v>
      </c>
      <c r="AL6" s="46">
        <v>1</v>
      </c>
      <c r="AO6" s="46">
        <v>1</v>
      </c>
      <c r="AQ6" s="46" t="s">
        <v>3256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</row>
    <row r="7" spans="1:99">
      <c r="A7" s="46" t="s">
        <v>3410</v>
      </c>
      <c r="B7" s="46" t="s">
        <v>3411</v>
      </c>
      <c r="C7" s="46">
        <v>32</v>
      </c>
      <c r="D7" s="46" t="s">
        <v>3412</v>
      </c>
      <c r="F7" s="46" t="s">
        <v>112</v>
      </c>
      <c r="H7" s="46">
        <v>1</v>
      </c>
      <c r="M7" s="46">
        <v>1</v>
      </c>
      <c r="Q7" s="46">
        <v>1</v>
      </c>
      <c r="S7" s="46">
        <v>1</v>
      </c>
      <c r="W7" s="46" t="s">
        <v>908</v>
      </c>
      <c r="X7" s="46">
        <v>20</v>
      </c>
      <c r="Y7" s="46">
        <v>23</v>
      </c>
      <c r="Z7" s="46">
        <v>8</v>
      </c>
      <c r="AA7" s="46">
        <v>7</v>
      </c>
      <c r="AB7" s="46">
        <v>7</v>
      </c>
      <c r="AE7" s="46">
        <v>1</v>
      </c>
      <c r="AH7" s="46">
        <v>1</v>
      </c>
      <c r="AJ7" s="46">
        <v>1</v>
      </c>
      <c r="AL7" s="46">
        <v>1</v>
      </c>
      <c r="AO7" s="46">
        <v>1</v>
      </c>
      <c r="AQ7" s="46" t="s">
        <v>3413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</row>
    <row r="8" spans="1:99">
      <c r="A8" s="46" t="s">
        <v>3414</v>
      </c>
      <c r="B8" s="46" t="s">
        <v>3415</v>
      </c>
      <c r="C8" s="46">
        <v>46</v>
      </c>
      <c r="D8" s="46" t="s">
        <v>3416</v>
      </c>
      <c r="E8" s="46" t="s">
        <v>3417</v>
      </c>
      <c r="F8" s="46" t="s">
        <v>3418</v>
      </c>
      <c r="I8" s="46">
        <v>1</v>
      </c>
      <c r="M8" s="46">
        <v>1</v>
      </c>
      <c r="Q8" s="46">
        <v>1</v>
      </c>
      <c r="S8" s="46">
        <v>1</v>
      </c>
      <c r="W8" s="46">
        <v>14</v>
      </c>
      <c r="X8" s="46">
        <v>14</v>
      </c>
      <c r="Y8" s="46">
        <v>16</v>
      </c>
      <c r="Z8" s="46">
        <v>9</v>
      </c>
      <c r="AA8" s="46">
        <v>5</v>
      </c>
      <c r="AB8" s="46">
        <v>5</v>
      </c>
      <c r="AE8" s="46">
        <v>1</v>
      </c>
      <c r="AG8" s="46">
        <v>1</v>
      </c>
      <c r="AH8" s="46">
        <v>1</v>
      </c>
      <c r="AJ8" s="46">
        <v>1</v>
      </c>
      <c r="AL8" s="46">
        <v>1</v>
      </c>
      <c r="AO8" s="46">
        <v>1</v>
      </c>
      <c r="AQ8" s="46" t="s">
        <v>908</v>
      </c>
      <c r="AT8" s="46">
        <v>1</v>
      </c>
      <c r="AZ8" s="46">
        <v>1</v>
      </c>
      <c r="BA8" s="46">
        <v>1</v>
      </c>
      <c r="BI8" s="46">
        <v>1</v>
      </c>
      <c r="BZ8" s="46">
        <v>1</v>
      </c>
      <c r="CC8" s="46">
        <v>1</v>
      </c>
    </row>
    <row r="9" spans="1:99">
      <c r="A9" s="46" t="s">
        <v>3419</v>
      </c>
      <c r="B9" s="46" t="s">
        <v>3420</v>
      </c>
      <c r="C9" s="46">
        <v>27</v>
      </c>
      <c r="D9" s="46" t="s">
        <v>3421</v>
      </c>
      <c r="E9" s="46" t="s">
        <v>3422</v>
      </c>
      <c r="F9" s="46" t="s">
        <v>112</v>
      </c>
      <c r="G9" s="46">
        <v>1</v>
      </c>
      <c r="M9" s="46">
        <v>1</v>
      </c>
      <c r="Q9" s="46">
        <v>1</v>
      </c>
      <c r="U9" s="46">
        <v>1</v>
      </c>
      <c r="W9" s="46">
        <v>14</v>
      </c>
      <c r="X9" s="46">
        <v>16</v>
      </c>
      <c r="Y9" s="46">
        <v>17</v>
      </c>
      <c r="Z9" s="46">
        <v>4</v>
      </c>
      <c r="AA9" s="46">
        <v>4</v>
      </c>
      <c r="AB9" s="46">
        <v>4</v>
      </c>
      <c r="AH9" s="46">
        <v>1</v>
      </c>
      <c r="AJ9" s="46">
        <v>1</v>
      </c>
      <c r="AL9" s="46">
        <v>1</v>
      </c>
      <c r="AO9" s="46">
        <v>1</v>
      </c>
      <c r="AQ9" s="46" t="s">
        <v>3256</v>
      </c>
      <c r="AT9" s="46">
        <v>1</v>
      </c>
      <c r="AW9" s="46">
        <v>1</v>
      </c>
      <c r="BA9" s="46"/>
      <c r="BB9" s="46">
        <v>1</v>
      </c>
      <c r="BF9" s="46">
        <v>1</v>
      </c>
      <c r="BI9" s="46">
        <v>1</v>
      </c>
      <c r="BZ9" s="46">
        <v>1</v>
      </c>
      <c r="CC9" s="46">
        <v>1</v>
      </c>
    </row>
    <row r="10" spans="1:99">
      <c r="A10" s="46" t="s">
        <v>3423</v>
      </c>
      <c r="B10" s="46" t="s">
        <v>3424</v>
      </c>
      <c r="C10" s="46">
        <v>37</v>
      </c>
      <c r="D10" s="46" t="s">
        <v>1484</v>
      </c>
      <c r="E10" s="46" t="s">
        <v>3425</v>
      </c>
      <c r="F10" s="46" t="s">
        <v>112</v>
      </c>
      <c r="G10" s="46">
        <v>1</v>
      </c>
      <c r="M10" s="46">
        <v>1</v>
      </c>
      <c r="Q10" s="46">
        <v>1</v>
      </c>
      <c r="S10" s="46">
        <v>1</v>
      </c>
      <c r="W10" s="46">
        <v>13</v>
      </c>
      <c r="X10" s="46">
        <v>16</v>
      </c>
      <c r="Y10" s="46">
        <v>17</v>
      </c>
      <c r="Z10" s="46">
        <v>7</v>
      </c>
      <c r="AA10" s="46">
        <v>6</v>
      </c>
      <c r="AB10" s="46">
        <v>5</v>
      </c>
      <c r="AH10" s="46">
        <v>1</v>
      </c>
      <c r="AI10" s="46">
        <v>1</v>
      </c>
      <c r="AL10" s="46">
        <v>1</v>
      </c>
      <c r="AO10" s="46">
        <v>1</v>
      </c>
      <c r="AQ10" s="46" t="s">
        <v>908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</row>
    <row r="11" spans="1:99">
      <c r="A11" s="46" t="s">
        <v>3426</v>
      </c>
      <c r="B11" s="46" t="s">
        <v>3427</v>
      </c>
      <c r="C11" s="46">
        <v>35</v>
      </c>
      <c r="D11" s="46" t="s">
        <v>1431</v>
      </c>
      <c r="E11" s="46" t="s">
        <v>3428</v>
      </c>
      <c r="F11" s="46" t="s">
        <v>112</v>
      </c>
      <c r="H11" s="46">
        <v>1</v>
      </c>
      <c r="M11" s="46">
        <v>1</v>
      </c>
      <c r="Q11" s="46">
        <v>1</v>
      </c>
      <c r="T11" s="46">
        <v>1</v>
      </c>
      <c r="W11" s="46">
        <v>16</v>
      </c>
      <c r="X11" s="46">
        <v>16</v>
      </c>
      <c r="Y11" s="46">
        <v>17</v>
      </c>
      <c r="Z11" s="46">
        <v>5</v>
      </c>
      <c r="AA11" s="46">
        <v>5</v>
      </c>
      <c r="AB11" s="46">
        <v>5</v>
      </c>
      <c r="AD11" s="46">
        <v>1</v>
      </c>
      <c r="AH11" s="46">
        <v>1</v>
      </c>
      <c r="AJ11" s="46">
        <v>1</v>
      </c>
      <c r="AL11" s="46">
        <v>1</v>
      </c>
      <c r="AO11" s="46">
        <v>1</v>
      </c>
      <c r="AQ11" s="46" t="s">
        <v>908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</row>
  </sheetData>
  <autoFilter ref="A3:CT1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3431</v>
      </c>
      <c r="B3" s="69">
        <v>0</v>
      </c>
      <c r="C3" s="69">
        <v>1</v>
      </c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0">
        <v>0</v>
      </c>
      <c r="K3" s="71">
        <f>SUM(F3:J3)</f>
        <v>1</v>
      </c>
      <c r="L3" s="70">
        <v>0</v>
      </c>
      <c r="M3" s="70">
        <v>0</v>
      </c>
      <c r="N3" s="70">
        <v>0</v>
      </c>
      <c r="O3" s="70">
        <v>0</v>
      </c>
      <c r="P3" s="71">
        <f>SUM(L3:O3)</f>
        <v>0</v>
      </c>
      <c r="Q3" s="70">
        <v>0</v>
      </c>
      <c r="R3" s="70">
        <v>0</v>
      </c>
      <c r="S3" s="70">
        <v>0</v>
      </c>
      <c r="T3" s="71">
        <f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1095</v>
      </c>
      <c r="B4" s="69">
        <v>0</v>
      </c>
      <c r="C4" s="69">
        <v>6</v>
      </c>
      <c r="D4" s="69">
        <v>0</v>
      </c>
      <c r="E4" s="69">
        <f>SUM(B4:D4)</f>
        <v>6</v>
      </c>
      <c r="F4" s="70">
        <v>0</v>
      </c>
      <c r="G4" s="70">
        <v>6</v>
      </c>
      <c r="H4" s="70">
        <v>0</v>
      </c>
      <c r="I4" s="70">
        <v>0</v>
      </c>
      <c r="J4" s="70">
        <v>0</v>
      </c>
      <c r="K4" s="71">
        <f>SUM(F4:J4)</f>
        <v>6</v>
      </c>
      <c r="L4" s="70">
        <v>0</v>
      </c>
      <c r="M4" s="70">
        <v>0</v>
      </c>
      <c r="N4" s="70">
        <v>0</v>
      </c>
      <c r="O4" s="70">
        <v>0</v>
      </c>
      <c r="P4" s="71">
        <f>SUM(L4:O4)</f>
        <v>0</v>
      </c>
      <c r="Q4" s="70">
        <v>0</v>
      </c>
      <c r="R4" s="70">
        <v>0</v>
      </c>
      <c r="S4" s="70">
        <v>0</v>
      </c>
      <c r="T4" s="71">
        <f>SUM(Q4:S4)</f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6</v>
      </c>
      <c r="AE4" s="186">
        <f>SUM(AA4,AB4,AC4,AD4)</f>
        <v>6</v>
      </c>
      <c r="AF4" s="73">
        <v>0</v>
      </c>
      <c r="AG4" s="73">
        <v>0</v>
      </c>
    </row>
    <row r="5" spans="1:33">
      <c r="A5" s="77" t="s">
        <v>3432</v>
      </c>
      <c r="B5" s="69">
        <v>0</v>
      </c>
      <c r="C5" s="69">
        <v>1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0">
        <v>0</v>
      </c>
      <c r="K5" s="71">
        <f>SUM(F5:J5)</f>
        <v>1</v>
      </c>
      <c r="L5" s="70">
        <v>0</v>
      </c>
      <c r="M5" s="70">
        <v>0</v>
      </c>
      <c r="N5" s="70">
        <v>0</v>
      </c>
      <c r="O5" s="70">
        <v>0</v>
      </c>
      <c r="P5" s="71">
        <f>SUM(L5:O5)</f>
        <v>0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0</v>
      </c>
      <c r="AB5" s="73">
        <v>0</v>
      </c>
      <c r="AC5" s="73">
        <v>0</v>
      </c>
      <c r="AD5" s="73">
        <v>1</v>
      </c>
      <c r="AE5" s="186">
        <f>SUM(AA5,AB5,AC5,AD5)</f>
        <v>1</v>
      </c>
      <c r="AF5" s="73"/>
      <c r="AG5" s="73"/>
    </row>
    <row r="6" spans="1:33">
      <c r="A6" s="69" t="s">
        <v>376</v>
      </c>
      <c r="B6" s="69">
        <f t="shared" ref="B6:I6" si="0">SUM(B3:B5)</f>
        <v>0</v>
      </c>
      <c r="C6" s="69">
        <f t="shared" si="0"/>
        <v>8</v>
      </c>
      <c r="D6" s="69">
        <f t="shared" si="0"/>
        <v>0</v>
      </c>
      <c r="E6" s="69">
        <f t="shared" si="0"/>
        <v>8</v>
      </c>
      <c r="F6" s="69">
        <f t="shared" si="0"/>
        <v>0</v>
      </c>
      <c r="G6" s="69">
        <f t="shared" si="0"/>
        <v>8</v>
      </c>
      <c r="H6" s="69">
        <f t="shared" si="0"/>
        <v>0</v>
      </c>
      <c r="I6" s="69">
        <f t="shared" si="0"/>
        <v>0</v>
      </c>
      <c r="J6" s="69"/>
      <c r="K6" s="71">
        <f>SUM(F6:I6)</f>
        <v>8</v>
      </c>
      <c r="L6" s="114">
        <f>SUM(L3:L5)</f>
        <v>0</v>
      </c>
      <c r="M6" s="114">
        <f>SUM(M3:M5)</f>
        <v>0</v>
      </c>
      <c r="N6" s="114">
        <f>SUM(N3:N5)</f>
        <v>0</v>
      </c>
      <c r="O6" s="114">
        <f>SUM(O3:O5)</f>
        <v>0</v>
      </c>
      <c r="P6" s="71">
        <f>SUM(L6:O6)</f>
        <v>0</v>
      </c>
      <c r="Q6" s="114">
        <f t="shared" ref="Q6:AG6" si="1">SUM(Q3:Q5)</f>
        <v>0</v>
      </c>
      <c r="R6" s="114">
        <f t="shared" si="1"/>
        <v>0</v>
      </c>
      <c r="S6" s="114">
        <f t="shared" si="1"/>
        <v>0</v>
      </c>
      <c r="T6" s="71">
        <f t="shared" si="1"/>
        <v>0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73">
        <f t="shared" si="1"/>
        <v>0</v>
      </c>
      <c r="AB6" s="73">
        <f t="shared" si="1"/>
        <v>0</v>
      </c>
      <c r="AC6" s="73">
        <f t="shared" si="1"/>
        <v>0</v>
      </c>
      <c r="AD6" s="73">
        <f t="shared" si="1"/>
        <v>8</v>
      </c>
      <c r="AE6" s="73">
        <f t="shared" si="1"/>
        <v>8</v>
      </c>
      <c r="AF6" s="73">
        <f t="shared" si="1"/>
        <v>0</v>
      </c>
      <c r="AG6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4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0" customWidth="1"/>
    <col min="2" max="2" width="19.5703125" customWidth="1"/>
    <col min="3" max="3" width="6" customWidth="1"/>
  </cols>
  <sheetData>
    <row r="1" spans="1:99">
      <c r="A1" s="174" t="s">
        <v>3433</v>
      </c>
      <c r="B1" s="143"/>
      <c r="C1" s="175" t="s">
        <v>3434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 hidden="1">
      <c r="A4" s="46" t="s">
        <v>3435</v>
      </c>
      <c r="B4" s="46" t="s">
        <v>3436</v>
      </c>
      <c r="C4" s="46">
        <v>23</v>
      </c>
      <c r="D4" s="46" t="s">
        <v>3437</v>
      </c>
      <c r="E4" s="46" t="s">
        <v>3438</v>
      </c>
      <c r="F4" s="46" t="s">
        <v>415</v>
      </c>
      <c r="G4" s="46">
        <v>1</v>
      </c>
      <c r="N4" s="46">
        <v>1</v>
      </c>
      <c r="Q4" s="46">
        <v>1</v>
      </c>
      <c r="T4" s="46">
        <v>1</v>
      </c>
      <c r="W4" s="46">
        <v>13</v>
      </c>
      <c r="X4" s="46">
        <v>16</v>
      </c>
      <c r="Y4" s="46">
        <v>18</v>
      </c>
      <c r="Z4" s="46">
        <v>2</v>
      </c>
      <c r="AA4" s="46">
        <v>1</v>
      </c>
      <c r="AB4" s="46">
        <v>1</v>
      </c>
      <c r="AD4" s="46">
        <v>1</v>
      </c>
      <c r="AE4" s="46"/>
      <c r="AG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BZ4" s="46">
        <v>1</v>
      </c>
      <c r="CC4" s="46">
        <v>1</v>
      </c>
      <c r="CI4" s="46">
        <v>1</v>
      </c>
    </row>
    <row r="5" spans="1:99" hidden="1">
      <c r="A5" s="46" t="s">
        <v>3439</v>
      </c>
      <c r="B5" s="46" t="s">
        <v>3440</v>
      </c>
      <c r="C5" s="46">
        <v>41</v>
      </c>
      <c r="D5" s="46" t="s">
        <v>3441</v>
      </c>
      <c r="E5" s="46" t="s">
        <v>3442</v>
      </c>
      <c r="F5" s="46" t="s">
        <v>415</v>
      </c>
      <c r="H5" s="46">
        <v>1</v>
      </c>
      <c r="M5" s="46">
        <v>1</v>
      </c>
      <c r="Q5" s="46">
        <v>1</v>
      </c>
      <c r="U5" s="46">
        <v>1</v>
      </c>
      <c r="W5" s="46">
        <v>15</v>
      </c>
      <c r="X5" s="46">
        <v>17</v>
      </c>
      <c r="Y5" s="46">
        <v>20</v>
      </c>
      <c r="Z5" s="46">
        <v>9</v>
      </c>
      <c r="AA5" s="46">
        <v>9</v>
      </c>
      <c r="AB5" s="46">
        <v>7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</row>
    <row r="6" spans="1:99">
      <c r="A6" s="46" t="s">
        <v>3443</v>
      </c>
      <c r="B6" s="46" t="s">
        <v>3444</v>
      </c>
      <c r="C6" s="46">
        <v>65</v>
      </c>
      <c r="D6" s="46" t="s">
        <v>3445</v>
      </c>
      <c r="E6" s="46" t="s">
        <v>3446</v>
      </c>
      <c r="F6" s="46" t="s">
        <v>415</v>
      </c>
      <c r="H6" s="46">
        <v>1</v>
      </c>
      <c r="O6" s="46">
        <v>1</v>
      </c>
      <c r="Q6" s="46">
        <v>1</v>
      </c>
      <c r="S6" s="46">
        <v>1</v>
      </c>
      <c r="W6" s="46" t="s">
        <v>908</v>
      </c>
      <c r="X6" s="46" t="s">
        <v>908</v>
      </c>
      <c r="Y6" s="46" t="s">
        <v>908</v>
      </c>
      <c r="Z6" s="46">
        <v>5</v>
      </c>
      <c r="AA6" s="46">
        <v>5</v>
      </c>
      <c r="AB6" s="46">
        <v>3</v>
      </c>
      <c r="AC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J6" s="46">
        <v>1</v>
      </c>
      <c r="BZ6" s="46">
        <v>1</v>
      </c>
      <c r="CC6" s="46">
        <v>1</v>
      </c>
      <c r="CI6" s="46">
        <v>1</v>
      </c>
    </row>
    <row r="7" spans="1:99" hidden="1">
      <c r="A7" s="46" t="s">
        <v>3447</v>
      </c>
      <c r="B7" s="46" t="s">
        <v>3448</v>
      </c>
      <c r="C7" s="46">
        <v>56</v>
      </c>
      <c r="D7" s="46" t="s">
        <v>3449</v>
      </c>
      <c r="F7" s="46" t="s">
        <v>415</v>
      </c>
      <c r="H7" s="46">
        <v>1</v>
      </c>
      <c r="M7" s="46">
        <v>1</v>
      </c>
      <c r="Q7" s="46">
        <v>1</v>
      </c>
      <c r="T7" s="46">
        <v>1</v>
      </c>
      <c r="W7" s="46">
        <v>16</v>
      </c>
      <c r="X7" s="46">
        <v>18</v>
      </c>
      <c r="Y7" s="46">
        <v>24</v>
      </c>
      <c r="Z7" s="46">
        <v>10</v>
      </c>
      <c r="AA7" s="46">
        <v>9</v>
      </c>
      <c r="AB7" s="46">
        <v>7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J7" s="46">
        <v>1</v>
      </c>
      <c r="BZ7" s="46">
        <v>1</v>
      </c>
      <c r="CC7" s="46">
        <v>1</v>
      </c>
      <c r="CI7" s="46">
        <v>1</v>
      </c>
    </row>
    <row r="8" spans="1:99" hidden="1">
      <c r="A8" s="46" t="s">
        <v>3450</v>
      </c>
      <c r="B8" s="46" t="s">
        <v>3451</v>
      </c>
      <c r="C8" s="46">
        <v>60</v>
      </c>
      <c r="D8" s="46" t="s">
        <v>3452</v>
      </c>
      <c r="F8" s="46" t="s">
        <v>415</v>
      </c>
      <c r="H8" s="46">
        <v>1</v>
      </c>
      <c r="N8" s="46">
        <v>1</v>
      </c>
      <c r="Q8" s="46">
        <v>1</v>
      </c>
      <c r="T8" s="46">
        <v>1</v>
      </c>
      <c r="W8" s="46" t="s">
        <v>908</v>
      </c>
      <c r="X8" s="46">
        <v>14</v>
      </c>
      <c r="Y8" s="46">
        <v>14</v>
      </c>
      <c r="Z8" s="46">
        <v>14</v>
      </c>
      <c r="AA8" s="46">
        <v>13</v>
      </c>
      <c r="AB8" s="46">
        <v>10</v>
      </c>
      <c r="AH8" s="46">
        <v>1</v>
      </c>
      <c r="AJ8" s="46">
        <v>1</v>
      </c>
      <c r="AK8" s="46">
        <v>1</v>
      </c>
      <c r="AT8" s="46">
        <v>1</v>
      </c>
      <c r="AY8" s="46">
        <v>1</v>
      </c>
      <c r="BA8" s="46">
        <v>1</v>
      </c>
      <c r="BJ8" s="46">
        <v>1</v>
      </c>
      <c r="BZ8" s="46">
        <v>1</v>
      </c>
      <c r="CC8" s="46">
        <v>1</v>
      </c>
      <c r="CI8" s="46">
        <v>1</v>
      </c>
    </row>
    <row r="9" spans="1:99" hidden="1">
      <c r="A9" s="46" t="s">
        <v>3453</v>
      </c>
      <c r="B9" s="46" t="s">
        <v>3454</v>
      </c>
      <c r="C9" s="46">
        <v>35</v>
      </c>
      <c r="D9" s="46" t="s">
        <v>2957</v>
      </c>
      <c r="E9" s="46" t="s">
        <v>3455</v>
      </c>
      <c r="F9" s="46" t="s">
        <v>415</v>
      </c>
      <c r="H9" s="46">
        <v>1</v>
      </c>
      <c r="N9" s="46">
        <v>1</v>
      </c>
      <c r="Q9" s="46">
        <v>1</v>
      </c>
      <c r="V9" s="46">
        <v>1</v>
      </c>
      <c r="W9" s="46">
        <v>17</v>
      </c>
      <c r="X9" s="46">
        <v>18</v>
      </c>
      <c r="Y9" s="46">
        <v>25</v>
      </c>
      <c r="Z9" s="46">
        <v>5</v>
      </c>
      <c r="AA9" s="46">
        <v>5</v>
      </c>
      <c r="AB9" s="46">
        <v>3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J9" s="46"/>
      <c r="BZ9" s="46">
        <v>1</v>
      </c>
      <c r="CC9" s="46">
        <v>1</v>
      </c>
      <c r="CI9" s="46">
        <v>1</v>
      </c>
    </row>
    <row r="10" spans="1:99" hidden="1">
      <c r="A10" s="46" t="s">
        <v>3456</v>
      </c>
      <c r="B10" s="46" t="s">
        <v>3457</v>
      </c>
      <c r="C10" s="46">
        <v>33</v>
      </c>
      <c r="D10" s="46" t="s">
        <v>3449</v>
      </c>
      <c r="F10" s="46" t="s">
        <v>415</v>
      </c>
      <c r="I10" s="46">
        <v>1</v>
      </c>
      <c r="M10" s="46">
        <v>1</v>
      </c>
      <c r="Q10" s="46">
        <v>1</v>
      </c>
      <c r="T10" s="46">
        <v>1</v>
      </c>
      <c r="W10" s="46">
        <v>14</v>
      </c>
      <c r="X10" s="46">
        <v>17</v>
      </c>
      <c r="Y10" s="46">
        <v>20</v>
      </c>
      <c r="Z10" s="46">
        <v>6</v>
      </c>
      <c r="AA10" s="46">
        <v>6</v>
      </c>
      <c r="AB10" s="46">
        <v>6</v>
      </c>
      <c r="AE10" s="46">
        <v>1</v>
      </c>
      <c r="AH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J10" s="46"/>
      <c r="BZ10" s="46">
        <v>1</v>
      </c>
      <c r="CC10" s="46">
        <v>1</v>
      </c>
      <c r="CI10" s="46">
        <v>1</v>
      </c>
    </row>
    <row r="11" spans="1:99" hidden="1">
      <c r="A11" s="46" t="s">
        <v>3458</v>
      </c>
      <c r="B11" s="46" t="s">
        <v>3459</v>
      </c>
      <c r="C11" s="46">
        <v>60</v>
      </c>
      <c r="D11" s="46" t="s">
        <v>3449</v>
      </c>
      <c r="E11" s="46" t="s">
        <v>3460</v>
      </c>
      <c r="F11" s="46" t="s">
        <v>415</v>
      </c>
      <c r="I11" s="46">
        <v>1</v>
      </c>
      <c r="M11" s="46">
        <v>1</v>
      </c>
      <c r="R11" s="46">
        <v>1</v>
      </c>
      <c r="S11" s="46">
        <v>1</v>
      </c>
      <c r="W11" s="46">
        <v>15</v>
      </c>
      <c r="X11" s="46">
        <v>20</v>
      </c>
      <c r="Y11" s="46">
        <v>30</v>
      </c>
      <c r="Z11" s="46">
        <v>5</v>
      </c>
      <c r="AA11" s="46">
        <v>5</v>
      </c>
      <c r="AB11" s="46">
        <v>4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Z11" s="46">
        <v>1</v>
      </c>
      <c r="CC11" s="46">
        <v>1</v>
      </c>
      <c r="CI11" s="46">
        <v>1</v>
      </c>
    </row>
    <row r="12" spans="1:99">
      <c r="A12" s="46" t="s">
        <v>3461</v>
      </c>
      <c r="B12" s="46" t="s">
        <v>3462</v>
      </c>
      <c r="C12" s="46">
        <v>80</v>
      </c>
      <c r="D12" s="46" t="s">
        <v>3449</v>
      </c>
      <c r="F12" s="46" t="s">
        <v>415</v>
      </c>
      <c r="I12" s="46">
        <v>1</v>
      </c>
      <c r="O12" s="46">
        <v>1</v>
      </c>
      <c r="R12" s="46">
        <v>1</v>
      </c>
      <c r="S12" s="46">
        <v>1</v>
      </c>
      <c r="W12" s="46">
        <v>14</v>
      </c>
      <c r="X12" s="46">
        <v>16</v>
      </c>
      <c r="Y12" s="46">
        <v>16</v>
      </c>
      <c r="Z12" s="46">
        <v>10</v>
      </c>
      <c r="AA12" s="46">
        <v>10</v>
      </c>
      <c r="AB12" s="46">
        <v>3</v>
      </c>
      <c r="AE12" s="46">
        <v>1</v>
      </c>
      <c r="AG12" s="46">
        <v>1</v>
      </c>
      <c r="AH12" s="46">
        <v>1</v>
      </c>
      <c r="AI12" s="46">
        <v>1</v>
      </c>
      <c r="AM12" s="46">
        <v>1</v>
      </c>
      <c r="AT12" s="46">
        <v>1</v>
      </c>
      <c r="AW12" s="46">
        <v>1</v>
      </c>
      <c r="BA12" s="46">
        <v>1</v>
      </c>
      <c r="BJ12" s="46">
        <v>1</v>
      </c>
      <c r="BZ12" s="46">
        <v>1</v>
      </c>
      <c r="CC12" s="46">
        <v>1</v>
      </c>
      <c r="CI12" s="46">
        <v>1</v>
      </c>
    </row>
    <row r="13" spans="1:99" hidden="1">
      <c r="A13" s="46" t="s">
        <v>3463</v>
      </c>
      <c r="B13" s="46" t="s">
        <v>3464</v>
      </c>
      <c r="C13" s="46">
        <v>60</v>
      </c>
      <c r="D13" s="46" t="s">
        <v>3449</v>
      </c>
      <c r="E13" s="46" t="s">
        <v>3465</v>
      </c>
      <c r="F13" s="46" t="s">
        <v>415</v>
      </c>
      <c r="J13" s="46">
        <v>1</v>
      </c>
      <c r="P13" s="46">
        <v>1</v>
      </c>
      <c r="Q13" s="46">
        <v>1</v>
      </c>
      <c r="U13" s="46">
        <v>1</v>
      </c>
      <c r="W13" s="46">
        <v>15</v>
      </c>
      <c r="X13" s="46">
        <v>18</v>
      </c>
      <c r="Y13" s="46">
        <v>20</v>
      </c>
      <c r="Z13" s="46">
        <v>4</v>
      </c>
      <c r="AA13" s="46">
        <v>4</v>
      </c>
      <c r="AB13" s="46">
        <v>4</v>
      </c>
      <c r="AE13" s="46">
        <v>1</v>
      </c>
      <c r="AG13" s="46">
        <v>1</v>
      </c>
      <c r="AH13" s="46">
        <v>1</v>
      </c>
      <c r="AI13" s="46">
        <v>1</v>
      </c>
      <c r="AL13" s="46">
        <v>1</v>
      </c>
      <c r="AO13" s="46">
        <v>1</v>
      </c>
      <c r="AQ13" s="46" t="s">
        <v>3256</v>
      </c>
      <c r="AR13" s="187">
        <v>45588</v>
      </c>
      <c r="AT13" s="46">
        <v>1</v>
      </c>
      <c r="AX13" s="46">
        <v>1</v>
      </c>
      <c r="BA13" s="46"/>
      <c r="BB13" s="46">
        <v>1</v>
      </c>
      <c r="BF13" s="46">
        <v>1</v>
      </c>
      <c r="BJ13" s="46">
        <v>1</v>
      </c>
      <c r="BZ13" s="46">
        <v>1</v>
      </c>
      <c r="CC13" s="46">
        <v>1</v>
      </c>
      <c r="CI13" s="46">
        <v>1</v>
      </c>
    </row>
    <row r="14" spans="1:99">
      <c r="A14" s="46" t="s">
        <v>3466</v>
      </c>
      <c r="B14" s="46" t="s">
        <v>3467</v>
      </c>
      <c r="C14" s="46">
        <v>70</v>
      </c>
      <c r="D14" s="46" t="s">
        <v>3449</v>
      </c>
      <c r="F14" s="46" t="s">
        <v>415</v>
      </c>
      <c r="H14" s="46">
        <v>1</v>
      </c>
      <c r="P14" s="46">
        <v>1</v>
      </c>
      <c r="Q14" s="46">
        <v>1</v>
      </c>
      <c r="T14" s="46">
        <v>1</v>
      </c>
      <c r="W14" s="46">
        <v>14</v>
      </c>
      <c r="X14" s="46">
        <v>16</v>
      </c>
      <c r="Y14" s="46">
        <v>18</v>
      </c>
      <c r="Z14" s="46">
        <v>10</v>
      </c>
      <c r="AA14" s="46">
        <v>10</v>
      </c>
      <c r="AB14" s="46">
        <v>6</v>
      </c>
      <c r="AC14" s="46">
        <v>1</v>
      </c>
      <c r="AI14" s="46">
        <v>1</v>
      </c>
      <c r="AM14" s="46">
        <v>1</v>
      </c>
      <c r="AT14" s="46">
        <v>1</v>
      </c>
      <c r="AW14" s="46">
        <v>1</v>
      </c>
      <c r="BA14" s="46">
        <v>1</v>
      </c>
      <c r="BJ14" s="46">
        <v>1</v>
      </c>
      <c r="BZ14" s="46">
        <v>1</v>
      </c>
      <c r="CC14" s="46">
        <v>1</v>
      </c>
      <c r="CI14" s="46">
        <v>1</v>
      </c>
    </row>
    <row r="15" spans="1:99" hidden="1">
      <c r="A15" s="46" t="s">
        <v>3468</v>
      </c>
      <c r="B15" s="46" t="s">
        <v>3469</v>
      </c>
      <c r="C15" s="46">
        <v>28</v>
      </c>
      <c r="D15" s="46" t="s">
        <v>3449</v>
      </c>
      <c r="E15" s="46" t="s">
        <v>3470</v>
      </c>
      <c r="F15" s="46" t="s">
        <v>415</v>
      </c>
      <c r="H15" s="46">
        <v>1</v>
      </c>
      <c r="N15" s="46">
        <v>1</v>
      </c>
      <c r="Q15" s="46">
        <v>1</v>
      </c>
      <c r="T15" s="46">
        <v>1</v>
      </c>
      <c r="W15" s="46">
        <v>13</v>
      </c>
      <c r="X15" s="46">
        <v>14</v>
      </c>
      <c r="Y15" s="46">
        <v>14</v>
      </c>
      <c r="Z15" s="46">
        <v>7</v>
      </c>
      <c r="AA15" s="46">
        <v>6</v>
      </c>
      <c r="AB15" s="46">
        <v>6</v>
      </c>
      <c r="AD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</row>
    <row r="16" spans="1:99" hidden="1">
      <c r="A16" s="46" t="s">
        <v>3471</v>
      </c>
      <c r="B16" s="46" t="s">
        <v>3472</v>
      </c>
      <c r="C16" s="46">
        <v>58</v>
      </c>
      <c r="D16" s="46" t="s">
        <v>3449</v>
      </c>
      <c r="F16" s="46" t="s">
        <v>415</v>
      </c>
      <c r="H16" s="46">
        <v>1</v>
      </c>
      <c r="P16" s="46">
        <v>1</v>
      </c>
      <c r="Q16" s="46">
        <v>1</v>
      </c>
      <c r="T16" s="46">
        <v>1</v>
      </c>
      <c r="W16" s="46">
        <v>16</v>
      </c>
      <c r="X16" s="46">
        <v>20</v>
      </c>
      <c r="Y16" s="46">
        <v>25</v>
      </c>
      <c r="Z16" s="46">
        <v>5</v>
      </c>
      <c r="AA16" s="46">
        <v>5</v>
      </c>
      <c r="AB16" s="46">
        <v>4</v>
      </c>
      <c r="AC16" s="46">
        <v>1</v>
      </c>
      <c r="AI16" s="46">
        <v>1</v>
      </c>
      <c r="AL16" s="46">
        <v>1</v>
      </c>
      <c r="AO16" s="46">
        <v>1</v>
      </c>
      <c r="AQ16" s="46" t="s">
        <v>908</v>
      </c>
      <c r="AT16" s="46">
        <v>1</v>
      </c>
      <c r="AX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</row>
    <row r="17" spans="1:87">
      <c r="A17" s="46" t="s">
        <v>3473</v>
      </c>
      <c r="B17" s="46" t="s">
        <v>3474</v>
      </c>
      <c r="C17" s="46">
        <v>63</v>
      </c>
      <c r="D17" s="46" t="s">
        <v>3449</v>
      </c>
      <c r="F17" s="46" t="s">
        <v>415</v>
      </c>
      <c r="H17" s="46">
        <v>1</v>
      </c>
      <c r="J17" s="46">
        <v>1</v>
      </c>
      <c r="O17" s="46">
        <v>1</v>
      </c>
      <c r="Q17" s="46">
        <v>1</v>
      </c>
      <c r="T17" s="46">
        <v>1</v>
      </c>
      <c r="V17" s="46">
        <v>1</v>
      </c>
      <c r="W17" s="46">
        <v>14</v>
      </c>
      <c r="X17" s="46">
        <v>15</v>
      </c>
      <c r="Y17" s="46">
        <v>13</v>
      </c>
      <c r="Z17" s="46">
        <v>2</v>
      </c>
      <c r="AA17" s="46">
        <v>2</v>
      </c>
      <c r="AB17" s="46">
        <v>1</v>
      </c>
      <c r="AC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Z17" s="46">
        <v>1</v>
      </c>
      <c r="CC17" s="46">
        <v>1</v>
      </c>
      <c r="CI17" s="46">
        <v>1</v>
      </c>
    </row>
    <row r="18" spans="1:87" hidden="1">
      <c r="A18" s="46" t="s">
        <v>3475</v>
      </c>
      <c r="B18" s="46" t="s">
        <v>3476</v>
      </c>
      <c r="C18" s="46">
        <v>34</v>
      </c>
      <c r="D18" s="46" t="s">
        <v>3449</v>
      </c>
      <c r="F18" s="46" t="s">
        <v>415</v>
      </c>
      <c r="I18" s="46">
        <v>1</v>
      </c>
      <c r="M18" s="46">
        <v>1</v>
      </c>
      <c r="Q18" s="46">
        <v>1</v>
      </c>
      <c r="U18" s="46">
        <v>1</v>
      </c>
      <c r="W18" s="46">
        <v>17</v>
      </c>
      <c r="X18" s="46">
        <v>20</v>
      </c>
      <c r="Y18" s="46">
        <v>21</v>
      </c>
      <c r="Z18" s="46">
        <v>6</v>
      </c>
      <c r="AA18" s="46">
        <v>5</v>
      </c>
      <c r="AB18" s="46">
        <v>5</v>
      </c>
      <c r="AC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</row>
    <row r="19" spans="1:87" hidden="1">
      <c r="A19" s="46" t="s">
        <v>3477</v>
      </c>
      <c r="B19" s="46" t="s">
        <v>3478</v>
      </c>
      <c r="C19" s="46">
        <v>21</v>
      </c>
      <c r="D19" s="46" t="s">
        <v>3449</v>
      </c>
      <c r="E19" s="46" t="s">
        <v>3479</v>
      </c>
      <c r="F19" s="46" t="s">
        <v>415</v>
      </c>
      <c r="J19" s="46">
        <v>1</v>
      </c>
      <c r="N19" s="46">
        <v>1</v>
      </c>
      <c r="Q19" s="46">
        <v>1</v>
      </c>
      <c r="T19" s="46">
        <v>1</v>
      </c>
      <c r="W19" s="46">
        <v>13</v>
      </c>
      <c r="X19" s="46">
        <v>16</v>
      </c>
      <c r="Y19" s="46" t="s">
        <v>908</v>
      </c>
      <c r="Z19" s="46">
        <v>1</v>
      </c>
      <c r="AA19" s="46" t="s">
        <v>908</v>
      </c>
      <c r="AB19" s="46" t="s">
        <v>908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</row>
    <row r="20" spans="1:87" hidden="1">
      <c r="A20" s="46" t="s">
        <v>3480</v>
      </c>
      <c r="B20" s="46" t="s">
        <v>3481</v>
      </c>
      <c r="C20" s="46">
        <v>24</v>
      </c>
      <c r="D20" s="46" t="s">
        <v>3449</v>
      </c>
      <c r="F20" s="46" t="s">
        <v>415</v>
      </c>
      <c r="J20" s="46">
        <v>1</v>
      </c>
      <c r="M20" s="46">
        <v>1</v>
      </c>
      <c r="R20" s="46">
        <v>1</v>
      </c>
      <c r="S20" s="46">
        <v>1</v>
      </c>
      <c r="W20" s="46">
        <v>12</v>
      </c>
      <c r="X20" s="46">
        <v>14</v>
      </c>
      <c r="Y20" s="46" t="s">
        <v>908</v>
      </c>
      <c r="Z20" s="46">
        <v>1</v>
      </c>
      <c r="AA20" s="46" t="s">
        <v>908</v>
      </c>
      <c r="AB20" s="46" t="s">
        <v>908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Z20" s="46">
        <v>1</v>
      </c>
      <c r="BA20" s="46">
        <v>1</v>
      </c>
      <c r="BI20" s="46">
        <v>1</v>
      </c>
      <c r="BZ20" s="46">
        <v>1</v>
      </c>
      <c r="CC20" s="46">
        <v>1</v>
      </c>
      <c r="CI20" s="46">
        <v>1</v>
      </c>
    </row>
    <row r="21" spans="1:87" hidden="1">
      <c r="A21" s="46" t="s">
        <v>3482</v>
      </c>
      <c r="B21" s="46" t="s">
        <v>3483</v>
      </c>
      <c r="C21" s="46">
        <v>30</v>
      </c>
      <c r="D21" s="46" t="s">
        <v>3449</v>
      </c>
      <c r="F21" s="46" t="s">
        <v>415</v>
      </c>
      <c r="K21" s="46">
        <v>1</v>
      </c>
      <c r="N21" s="46">
        <v>1</v>
      </c>
      <c r="Q21" s="46">
        <v>1</v>
      </c>
      <c r="V21" s="46">
        <v>1</v>
      </c>
      <c r="W21" s="46">
        <v>12</v>
      </c>
      <c r="X21" s="46">
        <v>28</v>
      </c>
      <c r="Y21" s="46" t="s">
        <v>908</v>
      </c>
      <c r="Z21" s="46" t="s">
        <v>908</v>
      </c>
      <c r="AA21" s="46" t="s">
        <v>908</v>
      </c>
      <c r="AB21" s="46" t="s">
        <v>908</v>
      </c>
      <c r="AD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Z21" s="46">
        <v>1</v>
      </c>
      <c r="CC21" s="46">
        <v>1</v>
      </c>
      <c r="CI21" s="46">
        <v>1</v>
      </c>
    </row>
    <row r="22" spans="1:87" hidden="1">
      <c r="A22" s="46" t="s">
        <v>3484</v>
      </c>
      <c r="B22" s="46" t="s">
        <v>758</v>
      </c>
      <c r="C22" s="46">
        <v>31</v>
      </c>
      <c r="D22" s="46" t="s">
        <v>3449</v>
      </c>
      <c r="E22" s="46" t="s">
        <v>3485</v>
      </c>
      <c r="F22" s="46" t="s">
        <v>415</v>
      </c>
      <c r="I22" s="46">
        <v>1</v>
      </c>
      <c r="M22" s="46">
        <v>1</v>
      </c>
      <c r="R22" s="46">
        <v>1</v>
      </c>
      <c r="U22" s="46">
        <v>1</v>
      </c>
      <c r="W22" s="46">
        <v>16</v>
      </c>
      <c r="X22" s="46">
        <v>18</v>
      </c>
      <c r="Y22" s="46">
        <v>20</v>
      </c>
      <c r="Z22" s="46">
        <v>3</v>
      </c>
      <c r="AA22" s="46">
        <v>3</v>
      </c>
      <c r="AB22" s="46">
        <v>3</v>
      </c>
      <c r="AC22" s="46">
        <v>1</v>
      </c>
      <c r="AJ22" s="46">
        <v>1</v>
      </c>
      <c r="AK22" s="46">
        <v>1</v>
      </c>
      <c r="AT22" s="46">
        <v>1</v>
      </c>
      <c r="AX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</row>
    <row r="23" spans="1:87" hidden="1">
      <c r="A23" s="46" t="s">
        <v>3486</v>
      </c>
      <c r="B23" s="46" t="s">
        <v>3487</v>
      </c>
      <c r="C23" s="46">
        <v>47</v>
      </c>
      <c r="D23" s="46" t="s">
        <v>3449</v>
      </c>
      <c r="E23" s="46" t="s">
        <v>3488</v>
      </c>
      <c r="F23" s="46" t="s">
        <v>415</v>
      </c>
      <c r="I23" s="46">
        <v>1</v>
      </c>
      <c r="M23" s="46">
        <v>1</v>
      </c>
      <c r="Q23" s="46">
        <v>1</v>
      </c>
      <c r="T23" s="46">
        <v>1</v>
      </c>
      <c r="W23" s="46">
        <v>15</v>
      </c>
      <c r="X23" s="46">
        <v>15</v>
      </c>
      <c r="Y23" s="46">
        <v>18</v>
      </c>
      <c r="Z23" s="46">
        <v>6</v>
      </c>
      <c r="AA23" s="46">
        <v>6</v>
      </c>
      <c r="AB23" s="46">
        <v>4</v>
      </c>
      <c r="AC23" s="46">
        <v>1</v>
      </c>
      <c r="AJ23" s="46">
        <v>1</v>
      </c>
      <c r="AK23" s="46">
        <v>1</v>
      </c>
      <c r="AT23" s="46">
        <v>1</v>
      </c>
      <c r="AX23" s="46">
        <v>1</v>
      </c>
      <c r="BA23" s="46">
        <v>1</v>
      </c>
      <c r="BI23" s="46">
        <v>1</v>
      </c>
      <c r="BJ23" s="46">
        <v>1</v>
      </c>
      <c r="BZ23" s="46">
        <v>1</v>
      </c>
      <c r="CC23" s="46">
        <v>1</v>
      </c>
      <c r="CI23" s="46">
        <v>1</v>
      </c>
    </row>
    <row r="24" spans="1:87" hidden="1">
      <c r="A24" s="46" t="s">
        <v>3489</v>
      </c>
      <c r="B24" s="46" t="s">
        <v>3490</v>
      </c>
      <c r="C24" s="46">
        <v>43</v>
      </c>
      <c r="D24" s="46" t="s">
        <v>3449</v>
      </c>
      <c r="E24" s="46" t="s">
        <v>3491</v>
      </c>
      <c r="F24" s="46" t="s">
        <v>415</v>
      </c>
      <c r="H24" s="46">
        <v>1</v>
      </c>
      <c r="M24" s="46">
        <v>1</v>
      </c>
      <c r="Q24" s="46">
        <v>1</v>
      </c>
      <c r="S24" s="46">
        <v>1</v>
      </c>
      <c r="W24" s="46">
        <v>15</v>
      </c>
      <c r="X24" s="46">
        <v>16</v>
      </c>
      <c r="Y24" s="46">
        <v>17</v>
      </c>
      <c r="Z24" s="46">
        <v>6</v>
      </c>
      <c r="AA24" s="46">
        <v>6</v>
      </c>
      <c r="AB24" s="46">
        <v>5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</row>
    <row r="25" spans="1:87" hidden="1">
      <c r="A25" s="46" t="s">
        <v>3492</v>
      </c>
      <c r="B25" s="46" t="s">
        <v>3493</v>
      </c>
      <c r="C25" s="46">
        <v>37</v>
      </c>
      <c r="D25" s="46" t="s">
        <v>3449</v>
      </c>
      <c r="E25" s="46" t="s">
        <v>3494</v>
      </c>
      <c r="F25" s="46" t="s">
        <v>415</v>
      </c>
      <c r="H25" s="46">
        <v>1</v>
      </c>
      <c r="O25" s="46">
        <v>1</v>
      </c>
      <c r="R25" s="46">
        <v>1</v>
      </c>
      <c r="T25" s="46">
        <v>1</v>
      </c>
      <c r="W25" s="46">
        <v>17</v>
      </c>
      <c r="X25" s="46">
        <v>29</v>
      </c>
      <c r="Y25" s="46">
        <v>29</v>
      </c>
      <c r="Z25" s="46">
        <v>2</v>
      </c>
      <c r="AA25" s="46">
        <v>3</v>
      </c>
      <c r="AB25" s="46">
        <v>3</v>
      </c>
      <c r="AC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</row>
    <row r="26" spans="1:87" hidden="1">
      <c r="A26" s="46" t="s">
        <v>3495</v>
      </c>
      <c r="B26" s="46" t="s">
        <v>3496</v>
      </c>
      <c r="C26" s="46">
        <v>35</v>
      </c>
      <c r="D26" s="46" t="s">
        <v>3449</v>
      </c>
      <c r="E26" s="46" t="s">
        <v>3497</v>
      </c>
      <c r="F26" s="46" t="s">
        <v>415</v>
      </c>
      <c r="H26" s="46">
        <v>1</v>
      </c>
      <c r="O26" s="46">
        <v>1</v>
      </c>
      <c r="R26" s="46">
        <v>1</v>
      </c>
      <c r="T26" s="46">
        <v>1</v>
      </c>
      <c r="W26" s="46">
        <v>14</v>
      </c>
      <c r="X26" s="46">
        <v>18</v>
      </c>
      <c r="Y26" s="46">
        <v>18</v>
      </c>
      <c r="Z26" s="46">
        <v>7</v>
      </c>
      <c r="AA26" s="46">
        <v>7</v>
      </c>
      <c r="AB26" s="46">
        <v>7</v>
      </c>
      <c r="AD26" s="46">
        <v>1</v>
      </c>
      <c r="AE26" s="46">
        <v>1</v>
      </c>
      <c r="AG26" s="46">
        <v>1</v>
      </c>
      <c r="AH26" s="46">
        <v>1</v>
      </c>
      <c r="AJ26" s="46">
        <v>1</v>
      </c>
      <c r="AM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</row>
    <row r="27" spans="1:87" hidden="1">
      <c r="A27" s="46" t="s">
        <v>3498</v>
      </c>
      <c r="B27" s="46" t="s">
        <v>3499</v>
      </c>
      <c r="C27" s="46">
        <v>53</v>
      </c>
      <c r="D27" s="46" t="s">
        <v>3449</v>
      </c>
      <c r="E27" s="46" t="s">
        <v>3500</v>
      </c>
      <c r="F27" s="46" t="s">
        <v>415</v>
      </c>
      <c r="I27" s="46">
        <v>1</v>
      </c>
      <c r="M27" s="46">
        <v>1</v>
      </c>
      <c r="R27" s="46">
        <v>1</v>
      </c>
      <c r="T27" s="46">
        <v>1</v>
      </c>
      <c r="W27" s="46">
        <v>14</v>
      </c>
      <c r="X27" s="46">
        <v>16</v>
      </c>
      <c r="Y27" s="46">
        <v>17</v>
      </c>
      <c r="Z27" s="46">
        <v>6</v>
      </c>
      <c r="AA27" s="46">
        <v>6</v>
      </c>
      <c r="AB27" s="46">
        <v>5</v>
      </c>
      <c r="AG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J27" s="46">
        <v>1</v>
      </c>
      <c r="BW27" s="46">
        <v>1</v>
      </c>
      <c r="BZ27" s="46">
        <v>1</v>
      </c>
      <c r="CC27" s="46">
        <v>1</v>
      </c>
      <c r="CI27" s="46">
        <v>1</v>
      </c>
    </row>
    <row r="28" spans="1:87" hidden="1">
      <c r="A28" s="46" t="s">
        <v>3501</v>
      </c>
      <c r="B28" s="46" t="s">
        <v>3502</v>
      </c>
      <c r="C28" s="46">
        <v>47</v>
      </c>
      <c r="D28" s="46" t="s">
        <v>3449</v>
      </c>
      <c r="E28" s="46" t="s">
        <v>3503</v>
      </c>
      <c r="F28" s="46" t="s">
        <v>415</v>
      </c>
      <c r="H28" s="46">
        <v>1</v>
      </c>
      <c r="N28" s="46">
        <v>1</v>
      </c>
      <c r="Q28" s="46">
        <v>1</v>
      </c>
      <c r="U28" s="46">
        <v>1</v>
      </c>
      <c r="W28" s="46">
        <v>14</v>
      </c>
      <c r="X28" s="46">
        <v>18</v>
      </c>
      <c r="Y28" s="46">
        <v>20</v>
      </c>
      <c r="Z28" s="46">
        <v>11</v>
      </c>
      <c r="AA28" s="46">
        <v>9</v>
      </c>
      <c r="AB28" s="46">
        <v>8</v>
      </c>
      <c r="AG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W28" s="46">
        <v>1</v>
      </c>
      <c r="BZ28" s="46">
        <v>1</v>
      </c>
      <c r="CC28" s="46">
        <v>1</v>
      </c>
      <c r="CI28" s="46">
        <v>1</v>
      </c>
    </row>
    <row r="29" spans="1:87" hidden="1">
      <c r="A29" s="46" t="s">
        <v>3504</v>
      </c>
      <c r="B29" s="46" t="s">
        <v>3505</v>
      </c>
      <c r="C29" s="46">
        <v>42</v>
      </c>
      <c r="D29" s="46" t="s">
        <v>3449</v>
      </c>
      <c r="F29" s="46" t="s">
        <v>415</v>
      </c>
      <c r="I29" s="46">
        <v>1</v>
      </c>
      <c r="N29" s="46">
        <v>1</v>
      </c>
      <c r="R29" s="46">
        <v>1</v>
      </c>
      <c r="T29" s="46">
        <v>1</v>
      </c>
      <c r="W29" s="46" t="s">
        <v>908</v>
      </c>
      <c r="X29" s="46" t="s">
        <v>908</v>
      </c>
      <c r="Y29" s="46">
        <v>29</v>
      </c>
      <c r="Z29" s="46">
        <v>12</v>
      </c>
      <c r="AA29" s="46">
        <v>10</v>
      </c>
      <c r="AB29" s="46">
        <v>7</v>
      </c>
      <c r="AH29" s="46">
        <v>1</v>
      </c>
      <c r="AI29" s="46">
        <v>1</v>
      </c>
      <c r="AL29" s="46">
        <v>1</v>
      </c>
      <c r="AO29" s="46">
        <v>1</v>
      </c>
      <c r="AS29" s="46">
        <v>1</v>
      </c>
      <c r="AT29" s="46">
        <v>1</v>
      </c>
      <c r="AZ29" s="46">
        <v>1</v>
      </c>
      <c r="BA29" s="46">
        <v>1</v>
      </c>
      <c r="BI29" s="46">
        <v>1</v>
      </c>
      <c r="BW29" s="46">
        <v>1</v>
      </c>
      <c r="BZ29" s="46">
        <v>1</v>
      </c>
      <c r="CC29" s="46">
        <v>1</v>
      </c>
    </row>
    <row r="30" spans="1:87" hidden="1">
      <c r="A30" s="46" t="s">
        <v>3506</v>
      </c>
      <c r="B30" s="46" t="s">
        <v>3507</v>
      </c>
      <c r="C30" s="46">
        <v>47</v>
      </c>
      <c r="D30" s="46" t="s">
        <v>3449</v>
      </c>
      <c r="E30" s="46" t="s">
        <v>3508</v>
      </c>
      <c r="F30" s="46" t="s">
        <v>415</v>
      </c>
      <c r="H30" s="46">
        <v>1</v>
      </c>
      <c r="M30" s="46">
        <v>1</v>
      </c>
      <c r="Q30" s="46">
        <v>1</v>
      </c>
      <c r="T30" s="46">
        <v>1</v>
      </c>
      <c r="W30" s="46">
        <v>17</v>
      </c>
      <c r="X30" s="46">
        <v>19</v>
      </c>
      <c r="Y30" s="46">
        <v>20</v>
      </c>
      <c r="Z30" s="46">
        <v>4</v>
      </c>
      <c r="AA30" s="46">
        <v>4</v>
      </c>
      <c r="AB30" s="46">
        <v>4</v>
      </c>
      <c r="AC30" s="46">
        <v>1</v>
      </c>
      <c r="AJ30" s="46">
        <v>1</v>
      </c>
      <c r="AK30" s="46">
        <v>1</v>
      </c>
      <c r="AT30" s="46">
        <v>1</v>
      </c>
      <c r="AX30" s="46">
        <v>1</v>
      </c>
      <c r="BA30" s="46">
        <v>1</v>
      </c>
      <c r="BJ30" s="46">
        <v>1</v>
      </c>
      <c r="BP30" s="46">
        <v>1</v>
      </c>
      <c r="BZ30" s="46">
        <v>1</v>
      </c>
      <c r="CD30" s="46">
        <v>1</v>
      </c>
      <c r="CE30" s="46" t="s">
        <v>3509</v>
      </c>
      <c r="CG30" s="46">
        <v>1</v>
      </c>
      <c r="CI30" s="46">
        <v>1</v>
      </c>
    </row>
    <row r="31" spans="1:87">
      <c r="A31" s="46" t="s">
        <v>3510</v>
      </c>
      <c r="B31" s="46" t="s">
        <v>3511</v>
      </c>
      <c r="C31" s="46">
        <v>73</v>
      </c>
      <c r="D31" s="46" t="s">
        <v>3449</v>
      </c>
      <c r="E31" s="46" t="s">
        <v>3512</v>
      </c>
      <c r="F31" s="46" t="s">
        <v>415</v>
      </c>
      <c r="H31" s="46">
        <v>1</v>
      </c>
      <c r="M31" s="46">
        <v>1</v>
      </c>
      <c r="R31" s="46">
        <v>1</v>
      </c>
      <c r="T31" s="46">
        <v>1</v>
      </c>
      <c r="W31" s="46">
        <v>14</v>
      </c>
      <c r="X31" s="46">
        <v>18</v>
      </c>
      <c r="Y31" s="46">
        <v>21</v>
      </c>
      <c r="Z31" s="46">
        <v>10</v>
      </c>
      <c r="AA31" s="46">
        <v>11</v>
      </c>
      <c r="AB31" s="46">
        <v>4</v>
      </c>
      <c r="AC31" s="46">
        <v>1</v>
      </c>
      <c r="AJ31" s="46">
        <v>1</v>
      </c>
      <c r="AM31" s="46">
        <v>1</v>
      </c>
      <c r="AT31" s="46">
        <v>1</v>
      </c>
      <c r="AW31" s="46">
        <v>1</v>
      </c>
      <c r="BA31" s="46">
        <v>1</v>
      </c>
      <c r="BJ31" s="46">
        <v>1</v>
      </c>
      <c r="BP31" s="46">
        <v>1</v>
      </c>
      <c r="BZ31" s="46">
        <v>1</v>
      </c>
      <c r="CC31" s="46">
        <v>1</v>
      </c>
      <c r="CI31" s="46">
        <v>1</v>
      </c>
    </row>
    <row r="32" spans="1:87">
      <c r="A32" s="46" t="s">
        <v>3513</v>
      </c>
      <c r="B32" s="46" t="s">
        <v>3514</v>
      </c>
      <c r="C32" s="46">
        <v>80</v>
      </c>
      <c r="D32" s="46" t="s">
        <v>3449</v>
      </c>
      <c r="F32" s="46" t="s">
        <v>415</v>
      </c>
      <c r="G32" s="46">
        <v>1</v>
      </c>
      <c r="P32" s="46">
        <v>1</v>
      </c>
      <c r="Q32" s="46">
        <v>1</v>
      </c>
      <c r="S32" s="46">
        <v>1</v>
      </c>
      <c r="W32" s="46" t="s">
        <v>908</v>
      </c>
      <c r="X32" s="46">
        <v>19</v>
      </c>
      <c r="Y32" s="46">
        <v>20</v>
      </c>
      <c r="Z32" s="46">
        <v>8</v>
      </c>
      <c r="AA32" s="46">
        <v>8</v>
      </c>
      <c r="AB32" s="46">
        <v>6</v>
      </c>
      <c r="AC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C32" s="46">
        <v>1</v>
      </c>
      <c r="CI32" s="46">
        <v>1</v>
      </c>
    </row>
    <row r="33" spans="1:92" hidden="1">
      <c r="A33" s="46" t="s">
        <v>3515</v>
      </c>
      <c r="B33" s="46" t="s">
        <v>3516</v>
      </c>
      <c r="C33" s="46">
        <v>48</v>
      </c>
      <c r="D33" s="46" t="s">
        <v>3449</v>
      </c>
      <c r="E33" s="46" t="s">
        <v>3517</v>
      </c>
      <c r="F33" s="46" t="s">
        <v>415</v>
      </c>
      <c r="I33" s="46">
        <v>1</v>
      </c>
      <c r="M33" s="46">
        <v>1</v>
      </c>
      <c r="R33" s="46">
        <v>1</v>
      </c>
      <c r="S33" s="46">
        <v>1</v>
      </c>
      <c r="W33" s="46">
        <v>14</v>
      </c>
      <c r="X33" s="46">
        <v>16</v>
      </c>
      <c r="Y33" s="46">
        <v>19</v>
      </c>
      <c r="Z33" s="46">
        <v>12</v>
      </c>
      <c r="AA33" s="46">
        <v>12</v>
      </c>
      <c r="AB33" s="46">
        <v>9</v>
      </c>
      <c r="AD33" s="46">
        <v>1</v>
      </c>
      <c r="AG33" s="46">
        <v>1</v>
      </c>
      <c r="AH33" s="46">
        <v>1</v>
      </c>
      <c r="AJ33" s="46">
        <v>1</v>
      </c>
      <c r="AK33" s="46">
        <v>1</v>
      </c>
      <c r="AT33" s="46">
        <v>1</v>
      </c>
      <c r="AX33" s="46">
        <v>1</v>
      </c>
      <c r="BA33" s="46">
        <v>1</v>
      </c>
      <c r="BI33" s="46">
        <v>1</v>
      </c>
      <c r="BW33" s="46">
        <v>1</v>
      </c>
    </row>
    <row r="34" spans="1:92" hidden="1">
      <c r="A34" s="46" t="s">
        <v>3518</v>
      </c>
      <c r="B34" s="46" t="s">
        <v>3519</v>
      </c>
      <c r="C34" s="46">
        <v>22</v>
      </c>
      <c r="D34" s="46" t="s">
        <v>3449</v>
      </c>
      <c r="E34" s="46" t="s">
        <v>3520</v>
      </c>
      <c r="F34" s="46" t="s">
        <v>415</v>
      </c>
      <c r="I34" s="46">
        <v>1</v>
      </c>
      <c r="L34" s="46">
        <v>1</v>
      </c>
      <c r="Q34" s="46">
        <v>1</v>
      </c>
      <c r="U34" s="46">
        <v>1</v>
      </c>
      <c r="W34" s="46">
        <v>13</v>
      </c>
      <c r="X34" s="46">
        <v>14</v>
      </c>
      <c r="Y34" s="46">
        <v>22</v>
      </c>
      <c r="Z34" s="46">
        <v>1</v>
      </c>
      <c r="AA34" s="46">
        <v>1</v>
      </c>
      <c r="AB34" s="46">
        <v>1</v>
      </c>
      <c r="AC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CA34" s="46">
        <v>1</v>
      </c>
      <c r="CC34" s="46">
        <v>1</v>
      </c>
      <c r="CI34" s="46">
        <v>1</v>
      </c>
      <c r="CN34" s="46">
        <v>1</v>
      </c>
    </row>
    <row r="35" spans="1:92" hidden="1">
      <c r="A35" s="46" t="s">
        <v>3521</v>
      </c>
      <c r="B35" s="46" t="s">
        <v>3522</v>
      </c>
      <c r="C35" s="46">
        <v>43</v>
      </c>
      <c r="D35" s="46" t="s">
        <v>3449</v>
      </c>
      <c r="E35" s="46" t="s">
        <v>3523</v>
      </c>
      <c r="F35" s="46" t="s">
        <v>415</v>
      </c>
      <c r="I35" s="46">
        <v>1</v>
      </c>
      <c r="M35" s="46">
        <v>1</v>
      </c>
      <c r="Q35" s="46">
        <v>1</v>
      </c>
      <c r="U35" s="46">
        <v>1</v>
      </c>
      <c r="W35" s="46">
        <v>14</v>
      </c>
      <c r="X35" s="46">
        <v>15</v>
      </c>
      <c r="Y35" s="46">
        <v>16</v>
      </c>
      <c r="Z35" s="46">
        <v>8</v>
      </c>
      <c r="AA35" s="46">
        <v>7</v>
      </c>
      <c r="AB35" s="46">
        <v>7</v>
      </c>
      <c r="AC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J35" s="46">
        <v>1</v>
      </c>
      <c r="BP35" s="46">
        <v>1</v>
      </c>
      <c r="BW35" s="46">
        <v>1</v>
      </c>
    </row>
    <row r="36" spans="1:92" hidden="1">
      <c r="A36" s="46" t="s">
        <v>3524</v>
      </c>
      <c r="B36" s="46" t="s">
        <v>3525</v>
      </c>
      <c r="C36" s="46">
        <v>43</v>
      </c>
      <c r="D36" s="46" t="s">
        <v>3449</v>
      </c>
      <c r="E36" s="46" t="s">
        <v>3526</v>
      </c>
      <c r="F36" s="46" t="s">
        <v>415</v>
      </c>
      <c r="I36" s="46">
        <v>1</v>
      </c>
      <c r="N36" s="46">
        <v>1</v>
      </c>
      <c r="R36" s="46">
        <v>1</v>
      </c>
      <c r="T36" s="46">
        <v>1</v>
      </c>
      <c r="W36" s="46">
        <v>18</v>
      </c>
      <c r="X36" s="46">
        <v>19</v>
      </c>
      <c r="Y36" s="46">
        <v>19</v>
      </c>
      <c r="Z36" s="46">
        <v>12</v>
      </c>
      <c r="AA36" s="46">
        <v>12</v>
      </c>
      <c r="AB36" s="46">
        <v>8</v>
      </c>
      <c r="AG36" s="46">
        <v>1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J36" s="46">
        <v>1</v>
      </c>
      <c r="BP36" s="46">
        <v>1</v>
      </c>
    </row>
    <row r="37" spans="1:92" hidden="1">
      <c r="A37" s="46" t="s">
        <v>3527</v>
      </c>
      <c r="B37" s="46" t="s">
        <v>3528</v>
      </c>
      <c r="C37" s="46">
        <v>25</v>
      </c>
      <c r="D37" s="46" t="s">
        <v>3449</v>
      </c>
      <c r="E37" s="46" t="s">
        <v>3529</v>
      </c>
      <c r="F37" s="46" t="s">
        <v>415</v>
      </c>
      <c r="H37" s="46">
        <v>1</v>
      </c>
      <c r="M37" s="46">
        <v>1</v>
      </c>
      <c r="R37" s="46">
        <v>1</v>
      </c>
      <c r="U37" s="46">
        <v>1</v>
      </c>
      <c r="W37" s="46">
        <v>18</v>
      </c>
      <c r="X37" s="46">
        <v>16</v>
      </c>
      <c r="Y37" s="46">
        <v>22</v>
      </c>
      <c r="Z37" s="46">
        <v>2</v>
      </c>
      <c r="AA37" s="46">
        <v>2</v>
      </c>
      <c r="AB37" s="46">
        <v>2</v>
      </c>
      <c r="AC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Z37" s="46">
        <v>1</v>
      </c>
      <c r="CC37" s="46">
        <v>1</v>
      </c>
    </row>
    <row r="38" spans="1:92" hidden="1">
      <c r="A38" s="46" t="s">
        <v>3530</v>
      </c>
      <c r="B38" s="46" t="s">
        <v>3531</v>
      </c>
      <c r="C38" s="46">
        <v>20</v>
      </c>
      <c r="D38" s="46" t="s">
        <v>3449</v>
      </c>
      <c r="F38" s="46" t="s">
        <v>415</v>
      </c>
      <c r="I38" s="46">
        <v>1</v>
      </c>
      <c r="L38" s="46">
        <v>1</v>
      </c>
      <c r="Q38" s="46">
        <v>1</v>
      </c>
      <c r="U38" s="46">
        <v>1</v>
      </c>
      <c r="W38" s="46">
        <v>15</v>
      </c>
      <c r="X38" s="46" t="s">
        <v>908</v>
      </c>
      <c r="Y38" s="46" t="s">
        <v>908</v>
      </c>
      <c r="Z38" s="46" t="s">
        <v>908</v>
      </c>
      <c r="AA38" s="46" t="s">
        <v>908</v>
      </c>
      <c r="AB38" s="46" t="s">
        <v>908</v>
      </c>
      <c r="AC38" s="46">
        <v>1</v>
      </c>
      <c r="AI38" s="46">
        <v>1</v>
      </c>
      <c r="AM38" s="46">
        <v>1</v>
      </c>
      <c r="AT38" s="46">
        <v>1</v>
      </c>
      <c r="AW38" s="46">
        <v>1</v>
      </c>
      <c r="BA38" s="46">
        <v>1</v>
      </c>
      <c r="CA38" s="46">
        <v>1</v>
      </c>
      <c r="CC38" s="46">
        <v>1</v>
      </c>
      <c r="CI38" s="46">
        <v>1</v>
      </c>
    </row>
    <row r="39" spans="1:92" hidden="1">
      <c r="A39" s="46" t="s">
        <v>3532</v>
      </c>
      <c r="B39" s="46" t="s">
        <v>3533</v>
      </c>
      <c r="C39" s="46">
        <v>18</v>
      </c>
      <c r="D39" s="46" t="s">
        <v>3449</v>
      </c>
      <c r="E39" s="46" t="s">
        <v>3534</v>
      </c>
      <c r="F39" s="46" t="s">
        <v>415</v>
      </c>
      <c r="J39" s="46">
        <v>1</v>
      </c>
      <c r="L39" s="46">
        <v>1</v>
      </c>
      <c r="Q39" s="46">
        <v>1</v>
      </c>
      <c r="U39" s="46">
        <v>1</v>
      </c>
      <c r="W39" s="46">
        <v>14</v>
      </c>
      <c r="X39" s="46">
        <v>17</v>
      </c>
      <c r="Y39" s="46" t="s">
        <v>908</v>
      </c>
      <c r="Z39" s="46" t="s">
        <v>908</v>
      </c>
      <c r="AA39" s="46" t="s">
        <v>908</v>
      </c>
      <c r="AB39" s="46" t="s">
        <v>908</v>
      </c>
      <c r="AC39" s="46">
        <v>1</v>
      </c>
      <c r="AI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W39" s="46">
        <v>1</v>
      </c>
      <c r="BZ39" s="46">
        <v>1</v>
      </c>
      <c r="CC39" s="46">
        <v>1</v>
      </c>
      <c r="CI39" s="46">
        <v>1</v>
      </c>
    </row>
    <row r="40" spans="1:92" hidden="1">
      <c r="A40" s="46" t="s">
        <v>3535</v>
      </c>
      <c r="B40" s="46" t="s">
        <v>3536</v>
      </c>
      <c r="C40" s="46">
        <v>36</v>
      </c>
      <c r="D40" s="46" t="s">
        <v>3449</v>
      </c>
      <c r="E40" s="46" t="s">
        <v>3537</v>
      </c>
      <c r="F40" s="46" t="s">
        <v>112</v>
      </c>
      <c r="I40" s="46">
        <v>1</v>
      </c>
      <c r="M40" s="46">
        <v>1</v>
      </c>
      <c r="R40" s="46">
        <v>1</v>
      </c>
      <c r="T40" s="46">
        <v>1</v>
      </c>
      <c r="W40" s="46">
        <v>14</v>
      </c>
      <c r="X40" s="46">
        <v>18</v>
      </c>
      <c r="Y40" s="46">
        <v>20</v>
      </c>
      <c r="Z40" s="46">
        <v>7</v>
      </c>
      <c r="AA40" s="46">
        <v>7</v>
      </c>
      <c r="AB40" s="46">
        <v>7</v>
      </c>
      <c r="AE40" s="46">
        <v>1</v>
      </c>
      <c r="AH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W40" s="46">
        <v>1</v>
      </c>
      <c r="BZ40" s="46">
        <v>1</v>
      </c>
      <c r="CC40" s="46">
        <v>1</v>
      </c>
      <c r="CI40" s="46">
        <v>1</v>
      </c>
    </row>
  </sheetData>
  <autoFilter ref="A3:CU40">
    <filterColumn colId="2">
      <filters>
        <filter val="63"/>
        <filter val="65"/>
        <filter val="70"/>
        <filter val="73"/>
        <filter val="80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0</v>
      </c>
      <c r="H3" s="70">
        <v>0</v>
      </c>
      <c r="I3" s="70">
        <v>0</v>
      </c>
      <c r="J3" s="70">
        <v>1</v>
      </c>
      <c r="K3" s="71">
        <f t="shared" ref="K3:K8" si="1">SUM(F3:J3)</f>
        <v>1</v>
      </c>
      <c r="L3" s="70">
        <v>0</v>
      </c>
      <c r="M3" s="70">
        <v>0</v>
      </c>
      <c r="N3" s="70">
        <v>0</v>
      </c>
      <c r="O3" s="70">
        <v>0</v>
      </c>
      <c r="P3" s="71">
        <f t="shared" ref="P3:P9" si="2">SUM(L3:O3)</f>
        <v>0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0</v>
      </c>
      <c r="AC3" s="73">
        <v>0</v>
      </c>
      <c r="AD3" s="73">
        <v>1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3538</v>
      </c>
      <c r="B4" s="69">
        <v>7</v>
      </c>
      <c r="C4" s="69">
        <v>0</v>
      </c>
      <c r="D4" s="69">
        <v>1</v>
      </c>
      <c r="E4" s="69">
        <f t="shared" si="0"/>
        <v>8</v>
      </c>
      <c r="F4" s="70">
        <v>0</v>
      </c>
      <c r="G4" s="70">
        <v>5</v>
      </c>
      <c r="H4" s="70">
        <v>0</v>
      </c>
      <c r="I4" s="70"/>
      <c r="J4" s="70">
        <v>3</v>
      </c>
      <c r="K4" s="71">
        <f t="shared" si="1"/>
        <v>8</v>
      </c>
      <c r="L4" s="70">
        <v>0</v>
      </c>
      <c r="M4" s="70">
        <v>0</v>
      </c>
      <c r="N4" s="70">
        <v>0</v>
      </c>
      <c r="O4" s="70">
        <v>0</v>
      </c>
      <c r="P4" s="71">
        <f t="shared" si="2"/>
        <v>0</v>
      </c>
      <c r="Q4" s="70">
        <v>0</v>
      </c>
      <c r="R4" s="70">
        <v>0</v>
      </c>
      <c r="S4" s="70">
        <v>1</v>
      </c>
      <c r="T4" s="71">
        <f t="shared" si="3"/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7</v>
      </c>
      <c r="AB4" s="73">
        <v>0</v>
      </c>
      <c r="AC4" s="73">
        <v>0</v>
      </c>
      <c r="AD4" s="73">
        <v>1</v>
      </c>
      <c r="AE4" s="186">
        <f t="shared" si="4"/>
        <v>8</v>
      </c>
      <c r="AF4" s="73">
        <v>0</v>
      </c>
      <c r="AG4" s="73">
        <v>0</v>
      </c>
    </row>
    <row r="5" spans="1:33">
      <c r="A5" s="77" t="s">
        <v>1363</v>
      </c>
      <c r="B5" s="69">
        <v>6</v>
      </c>
      <c r="C5" s="69">
        <v>0</v>
      </c>
      <c r="D5" s="69">
        <v>1</v>
      </c>
      <c r="E5" s="69">
        <f t="shared" si="0"/>
        <v>7</v>
      </c>
      <c r="F5" s="70">
        <v>0</v>
      </c>
      <c r="G5" s="70">
        <v>7</v>
      </c>
      <c r="H5" s="70">
        <v>0</v>
      </c>
      <c r="I5" s="70">
        <v>0</v>
      </c>
      <c r="J5" s="70">
        <v>0</v>
      </c>
      <c r="K5" s="71">
        <f t="shared" si="1"/>
        <v>7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0</v>
      </c>
      <c r="Q5" s="70">
        <v>0</v>
      </c>
      <c r="R5" s="70">
        <v>0</v>
      </c>
      <c r="S5" s="70">
        <v>2</v>
      </c>
      <c r="T5" s="71">
        <f t="shared" si="3"/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7</v>
      </c>
      <c r="AB5" s="73">
        <v>0</v>
      </c>
      <c r="AC5" s="73">
        <v>0</v>
      </c>
      <c r="AD5" s="73">
        <v>0</v>
      </c>
      <c r="AE5" s="186">
        <f t="shared" si="4"/>
        <v>7</v>
      </c>
      <c r="AF5" s="73">
        <v>0</v>
      </c>
      <c r="AG5" s="73">
        <v>0</v>
      </c>
    </row>
    <row r="6" spans="1:33">
      <c r="A6" s="77" t="s">
        <v>3539</v>
      </c>
      <c r="B6" s="69">
        <v>8</v>
      </c>
      <c r="C6" s="69">
        <v>1</v>
      </c>
      <c r="D6" s="69">
        <v>0</v>
      </c>
      <c r="E6" s="69">
        <f t="shared" si="0"/>
        <v>9</v>
      </c>
      <c r="F6" s="70">
        <v>0</v>
      </c>
      <c r="G6" s="70">
        <v>5</v>
      </c>
      <c r="H6" s="70">
        <v>0</v>
      </c>
      <c r="I6" s="70">
        <v>0</v>
      </c>
      <c r="J6" s="70">
        <v>0</v>
      </c>
      <c r="K6" s="71">
        <f t="shared" si="1"/>
        <v>5</v>
      </c>
      <c r="L6" s="70">
        <v>4</v>
      </c>
      <c r="M6" s="70">
        <v>0</v>
      </c>
      <c r="N6" s="70">
        <v>0</v>
      </c>
      <c r="O6" s="70">
        <v>0</v>
      </c>
      <c r="P6" s="71">
        <f t="shared" si="2"/>
        <v>4</v>
      </c>
      <c r="Q6" s="70">
        <v>0</v>
      </c>
      <c r="R6" s="70">
        <v>0</v>
      </c>
      <c r="S6" s="70">
        <v>4</v>
      </c>
      <c r="T6" s="71">
        <f t="shared" si="3"/>
        <v>4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4</v>
      </c>
      <c r="AB6" s="73">
        <v>0</v>
      </c>
      <c r="AC6" s="73">
        <v>0</v>
      </c>
      <c r="AD6" s="73">
        <v>5</v>
      </c>
      <c r="AE6" s="186">
        <f t="shared" si="4"/>
        <v>9</v>
      </c>
      <c r="AF6" s="73"/>
      <c r="AG6" s="73"/>
    </row>
    <row r="7" spans="1:33">
      <c r="A7" s="77" t="s">
        <v>890</v>
      </c>
      <c r="B7" s="69">
        <v>4</v>
      </c>
      <c r="C7" s="69">
        <v>2</v>
      </c>
      <c r="D7" s="69">
        <v>0</v>
      </c>
      <c r="E7" s="69">
        <f t="shared" si="0"/>
        <v>6</v>
      </c>
      <c r="F7" s="70">
        <v>0</v>
      </c>
      <c r="G7" s="70">
        <v>1</v>
      </c>
      <c r="H7" s="70">
        <v>0</v>
      </c>
      <c r="I7" s="70">
        <v>0</v>
      </c>
      <c r="J7" s="70">
        <v>0</v>
      </c>
      <c r="K7" s="71">
        <f t="shared" si="1"/>
        <v>1</v>
      </c>
      <c r="L7" s="70">
        <v>5</v>
      </c>
      <c r="M7" s="70">
        <v>0</v>
      </c>
      <c r="N7" s="70">
        <v>0</v>
      </c>
      <c r="O7" s="70">
        <v>0</v>
      </c>
      <c r="P7" s="71">
        <f t="shared" si="2"/>
        <v>5</v>
      </c>
      <c r="Q7" s="70">
        <v>0</v>
      </c>
      <c r="R7" s="70">
        <v>0</v>
      </c>
      <c r="S7" s="70">
        <v>1</v>
      </c>
      <c r="T7" s="71">
        <f t="shared" si="3"/>
        <v>1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6</v>
      </c>
      <c r="AB7" s="73">
        <v>0</v>
      </c>
      <c r="AC7" s="73">
        <v>0</v>
      </c>
      <c r="AD7" s="73">
        <v>0</v>
      </c>
      <c r="AE7" s="186">
        <f t="shared" si="4"/>
        <v>6</v>
      </c>
      <c r="AF7" s="73">
        <v>0</v>
      </c>
      <c r="AG7" s="73">
        <v>0</v>
      </c>
    </row>
    <row r="8" spans="1:33">
      <c r="A8" s="78" t="s">
        <v>2603</v>
      </c>
      <c r="B8" s="79">
        <v>3</v>
      </c>
      <c r="C8" s="79">
        <v>0</v>
      </c>
      <c r="D8" s="79">
        <v>3</v>
      </c>
      <c r="E8" s="69">
        <f t="shared" si="0"/>
        <v>6</v>
      </c>
      <c r="F8" s="80">
        <v>0</v>
      </c>
      <c r="G8" s="80">
        <v>1</v>
      </c>
      <c r="H8" s="80">
        <v>0</v>
      </c>
      <c r="I8" s="80">
        <v>0</v>
      </c>
      <c r="J8" s="80">
        <v>0</v>
      </c>
      <c r="K8" s="71">
        <f t="shared" si="1"/>
        <v>1</v>
      </c>
      <c r="L8" s="80">
        <v>5</v>
      </c>
      <c r="M8" s="80">
        <v>0</v>
      </c>
      <c r="N8" s="80">
        <v>0</v>
      </c>
      <c r="O8" s="80">
        <v>0</v>
      </c>
      <c r="P8" s="71">
        <f t="shared" si="2"/>
        <v>5</v>
      </c>
      <c r="Q8" s="80">
        <v>0</v>
      </c>
      <c r="R8" s="80">
        <v>0</v>
      </c>
      <c r="S8" s="80">
        <v>0</v>
      </c>
      <c r="T8" s="71">
        <f t="shared" si="3"/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/>
      <c r="AA8" s="82">
        <v>6</v>
      </c>
      <c r="AB8" s="82">
        <v>0</v>
      </c>
      <c r="AC8" s="82">
        <v>0</v>
      </c>
      <c r="AD8" s="82">
        <v>0</v>
      </c>
      <c r="AE8" s="186">
        <f t="shared" si="4"/>
        <v>6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29</v>
      </c>
      <c r="C9" s="69">
        <f t="shared" si="5"/>
        <v>3</v>
      </c>
      <c r="D9" s="69">
        <f t="shared" si="5"/>
        <v>5</v>
      </c>
      <c r="E9" s="69">
        <f t="shared" si="5"/>
        <v>37</v>
      </c>
      <c r="F9" s="69">
        <f t="shared" si="5"/>
        <v>0</v>
      </c>
      <c r="G9" s="69">
        <f t="shared" si="5"/>
        <v>19</v>
      </c>
      <c r="H9" s="69">
        <f t="shared" si="5"/>
        <v>0</v>
      </c>
      <c r="I9" s="69">
        <f t="shared" si="5"/>
        <v>0</v>
      </c>
      <c r="J9" s="69"/>
      <c r="K9" s="71">
        <f>SUM(F9:I9)</f>
        <v>19</v>
      </c>
      <c r="L9" s="114">
        <f>SUM(L3:L8)</f>
        <v>14</v>
      </c>
      <c r="M9" s="114">
        <f>SUM(M3:M8)</f>
        <v>0</v>
      </c>
      <c r="N9" s="114">
        <f>SUM(N3:N8)</f>
        <v>0</v>
      </c>
      <c r="O9" s="114">
        <f>SUM(O3:O8)</f>
        <v>0</v>
      </c>
      <c r="P9" s="71">
        <f t="shared" si="2"/>
        <v>14</v>
      </c>
      <c r="Q9" s="114">
        <f t="shared" ref="Q9:AG9" si="6">SUM(Q3:Q8)</f>
        <v>0</v>
      </c>
      <c r="R9" s="114">
        <f t="shared" si="6"/>
        <v>0</v>
      </c>
      <c r="S9" s="114">
        <f t="shared" si="6"/>
        <v>9</v>
      </c>
      <c r="T9" s="71">
        <f t="shared" si="6"/>
        <v>9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114">
        <f t="shared" si="6"/>
        <v>0</v>
      </c>
      <c r="AA9" s="73">
        <f t="shared" si="6"/>
        <v>30</v>
      </c>
      <c r="AB9" s="73">
        <f t="shared" si="6"/>
        <v>0</v>
      </c>
      <c r="AC9" s="73">
        <f t="shared" si="6"/>
        <v>0</v>
      </c>
      <c r="AD9" s="73">
        <f t="shared" si="6"/>
        <v>7</v>
      </c>
      <c r="AE9" s="73">
        <f t="shared" si="6"/>
        <v>37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18"/>
  <sheetViews>
    <sheetView workbookViewId="0"/>
  </sheetViews>
  <sheetFormatPr defaultColWidth="14.42578125" defaultRowHeight="15" customHeight="1"/>
  <cols>
    <col min="2" max="2" width="19.28515625" customWidth="1"/>
    <col min="3" max="3" width="6.85546875" customWidth="1"/>
  </cols>
  <sheetData>
    <row r="1" spans="1:99">
      <c r="A1" s="174" t="s">
        <v>3540</v>
      </c>
      <c r="B1" s="143"/>
      <c r="C1" s="175" t="s">
        <v>3541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 hidden="1">
      <c r="A4" s="46" t="s">
        <v>3543</v>
      </c>
      <c r="B4" s="46" t="s">
        <v>3544</v>
      </c>
      <c r="C4" s="46">
        <v>24</v>
      </c>
      <c r="D4" s="46" t="s">
        <v>613</v>
      </c>
      <c r="E4" s="46" t="s">
        <v>3545</v>
      </c>
      <c r="F4" s="46" t="s">
        <v>415</v>
      </c>
      <c r="H4" s="46">
        <v>1</v>
      </c>
      <c r="O4" s="46">
        <v>1</v>
      </c>
      <c r="R4" s="46">
        <v>1</v>
      </c>
      <c r="T4" s="46">
        <v>1</v>
      </c>
      <c r="W4" s="46">
        <v>16</v>
      </c>
      <c r="X4" s="46">
        <v>17</v>
      </c>
      <c r="Y4" s="46">
        <v>17</v>
      </c>
      <c r="Z4" s="46">
        <v>2</v>
      </c>
      <c r="AA4" s="46">
        <v>2</v>
      </c>
      <c r="AB4" s="46">
        <v>2</v>
      </c>
      <c r="AH4" s="46">
        <v>1</v>
      </c>
      <c r="AJ4" s="46">
        <v>1</v>
      </c>
      <c r="AL4" s="46">
        <v>1</v>
      </c>
      <c r="AO4" s="46">
        <v>1</v>
      </c>
      <c r="AQ4" s="46" t="s">
        <v>3256</v>
      </c>
      <c r="AT4" s="46">
        <v>1</v>
      </c>
      <c r="AW4" s="46">
        <v>3</v>
      </c>
      <c r="BA4" s="46">
        <v>1</v>
      </c>
      <c r="BI4" s="46">
        <v>1</v>
      </c>
      <c r="BW4" s="46">
        <v>1</v>
      </c>
      <c r="BZ4" s="46">
        <v>1</v>
      </c>
      <c r="CC4" s="46">
        <v>1</v>
      </c>
      <c r="CI4" s="46">
        <v>1</v>
      </c>
    </row>
    <row r="5" spans="1:99" hidden="1">
      <c r="A5" s="46" t="s">
        <v>3546</v>
      </c>
      <c r="B5" s="46" t="s">
        <v>3547</v>
      </c>
      <c r="C5" s="46">
        <v>49</v>
      </c>
      <c r="D5" s="46" t="s">
        <v>3548</v>
      </c>
      <c r="E5" s="46" t="s">
        <v>3549</v>
      </c>
      <c r="F5" s="46" t="s">
        <v>415</v>
      </c>
      <c r="G5" s="46">
        <v>1</v>
      </c>
      <c r="O5" s="46">
        <v>1</v>
      </c>
      <c r="R5" s="46">
        <v>1</v>
      </c>
      <c r="U5" s="46">
        <v>1</v>
      </c>
      <c r="W5" s="46">
        <v>18</v>
      </c>
      <c r="X5" s="46">
        <v>20</v>
      </c>
      <c r="Y5" s="46" t="s">
        <v>908</v>
      </c>
      <c r="Z5" s="46" t="s">
        <v>908</v>
      </c>
      <c r="AA5" s="46" t="s">
        <v>908</v>
      </c>
      <c r="AB5" s="46" t="s">
        <v>908</v>
      </c>
      <c r="AD5" s="46">
        <v>1</v>
      </c>
      <c r="AE5" s="46">
        <v>1</v>
      </c>
      <c r="AG5" s="46">
        <v>1</v>
      </c>
      <c r="AH5" s="46">
        <v>1</v>
      </c>
      <c r="AI5" s="46">
        <v>1</v>
      </c>
      <c r="AM5" s="46">
        <v>1</v>
      </c>
      <c r="AT5" s="46">
        <v>1</v>
      </c>
      <c r="AW5" s="46">
        <v>1</v>
      </c>
      <c r="BA5" s="46">
        <v>1</v>
      </c>
      <c r="BK5" s="46">
        <v>1</v>
      </c>
      <c r="BN5" s="46">
        <v>1</v>
      </c>
      <c r="BO5" s="46" t="s">
        <v>952</v>
      </c>
      <c r="BZ5" s="46">
        <v>1</v>
      </c>
      <c r="CC5" s="46">
        <v>1</v>
      </c>
      <c r="CU5" s="46">
        <v>1</v>
      </c>
    </row>
    <row r="6" spans="1:99" hidden="1">
      <c r="A6" s="46" t="s">
        <v>3550</v>
      </c>
      <c r="B6" s="46" t="s">
        <v>3551</v>
      </c>
      <c r="C6" s="46">
        <v>49</v>
      </c>
      <c r="D6" s="46" t="s">
        <v>622</v>
      </c>
      <c r="E6" s="46" t="s">
        <v>3552</v>
      </c>
      <c r="F6" s="46" t="s">
        <v>2285</v>
      </c>
      <c r="G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17</v>
      </c>
      <c r="Y6" s="46">
        <v>19</v>
      </c>
      <c r="Z6" s="46">
        <v>11</v>
      </c>
      <c r="AA6" s="46">
        <v>10</v>
      </c>
      <c r="AB6" s="46">
        <v>8</v>
      </c>
      <c r="AE6" s="46">
        <v>1</v>
      </c>
      <c r="AG6" s="46">
        <v>1</v>
      </c>
      <c r="AH6" s="46">
        <v>1</v>
      </c>
      <c r="AI6" s="46">
        <v>1</v>
      </c>
      <c r="AK6" s="46">
        <v>1</v>
      </c>
      <c r="AT6" s="46">
        <v>1</v>
      </c>
      <c r="AX6" s="46">
        <v>1</v>
      </c>
      <c r="BA6" s="46">
        <v>1</v>
      </c>
      <c r="BK6" s="46">
        <v>1</v>
      </c>
      <c r="BN6" s="46">
        <v>1</v>
      </c>
      <c r="BO6" s="46" t="s">
        <v>952</v>
      </c>
      <c r="BZ6" s="46">
        <v>1</v>
      </c>
      <c r="CC6" s="46">
        <v>1</v>
      </c>
      <c r="CI6" s="46">
        <v>1</v>
      </c>
      <c r="CU6" s="46">
        <v>1</v>
      </c>
    </row>
    <row r="7" spans="1:99" hidden="1">
      <c r="A7" s="46" t="s">
        <v>3553</v>
      </c>
      <c r="B7" s="46" t="s">
        <v>3554</v>
      </c>
      <c r="C7" s="46">
        <v>18</v>
      </c>
      <c r="D7" s="46" t="s">
        <v>568</v>
      </c>
      <c r="E7" s="46" t="s">
        <v>3555</v>
      </c>
      <c r="F7" s="46" t="s">
        <v>415</v>
      </c>
      <c r="G7" s="46">
        <v>1</v>
      </c>
      <c r="N7" s="46">
        <v>1</v>
      </c>
      <c r="Q7" s="46">
        <v>1</v>
      </c>
      <c r="T7" s="46">
        <v>1</v>
      </c>
      <c r="W7" s="46">
        <v>12</v>
      </c>
      <c r="X7" s="46">
        <v>14</v>
      </c>
      <c r="Y7" s="46">
        <v>16</v>
      </c>
      <c r="Z7" s="46">
        <v>1</v>
      </c>
      <c r="AA7" s="46">
        <v>1</v>
      </c>
      <c r="AB7" s="46">
        <v>1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Z7" s="46">
        <v>1</v>
      </c>
      <c r="CC7" s="46">
        <v>1</v>
      </c>
      <c r="CI7" s="46">
        <v>1</v>
      </c>
    </row>
    <row r="8" spans="1:99" hidden="1">
      <c r="A8" s="46" t="s">
        <v>3556</v>
      </c>
      <c r="B8" s="46" t="s">
        <v>3557</v>
      </c>
      <c r="C8" s="46">
        <v>21</v>
      </c>
      <c r="D8" s="46" t="s">
        <v>561</v>
      </c>
      <c r="E8" s="46" t="s">
        <v>3558</v>
      </c>
      <c r="F8" s="46" t="s">
        <v>112</v>
      </c>
      <c r="G8" s="46">
        <v>1</v>
      </c>
      <c r="N8" s="46">
        <v>1</v>
      </c>
      <c r="Q8" s="46">
        <v>1</v>
      </c>
      <c r="U8" s="46">
        <v>1</v>
      </c>
      <c r="W8" s="46">
        <v>13</v>
      </c>
      <c r="X8" s="46">
        <v>18</v>
      </c>
      <c r="Y8" s="46" t="s">
        <v>908</v>
      </c>
      <c r="Z8" s="46" t="s">
        <v>908</v>
      </c>
      <c r="AA8" s="46" t="s">
        <v>908</v>
      </c>
      <c r="AB8" s="46" t="s">
        <v>908</v>
      </c>
      <c r="AG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</row>
    <row r="9" spans="1:99" hidden="1">
      <c r="A9" s="46" t="s">
        <v>3559</v>
      </c>
      <c r="B9" s="46" t="s">
        <v>3560</v>
      </c>
      <c r="C9" s="46">
        <v>38</v>
      </c>
      <c r="D9" s="46" t="s">
        <v>568</v>
      </c>
      <c r="E9" s="46" t="s">
        <v>3561</v>
      </c>
      <c r="F9" s="46" t="s">
        <v>455</v>
      </c>
      <c r="G9" s="46">
        <v>1</v>
      </c>
      <c r="M9" s="46">
        <v>1</v>
      </c>
      <c r="Q9" s="46">
        <v>1</v>
      </c>
      <c r="T9" s="46">
        <v>1</v>
      </c>
      <c r="W9" s="46">
        <v>16</v>
      </c>
      <c r="X9" s="46">
        <v>16</v>
      </c>
      <c r="Y9" s="46">
        <v>17</v>
      </c>
      <c r="Z9" s="46">
        <v>7</v>
      </c>
      <c r="AA9" s="46">
        <v>8</v>
      </c>
      <c r="AB9" s="46">
        <v>8</v>
      </c>
      <c r="AD9" s="46">
        <v>1</v>
      </c>
      <c r="AE9" s="46">
        <v>1</v>
      </c>
      <c r="AG9" s="46">
        <v>1</v>
      </c>
      <c r="AH9" s="46">
        <v>1</v>
      </c>
      <c r="AJ9" s="46">
        <v>1</v>
      </c>
      <c r="AK9" s="46">
        <v>1</v>
      </c>
      <c r="AT9" s="46">
        <v>1</v>
      </c>
      <c r="AX9" s="46">
        <v>1</v>
      </c>
      <c r="BA9" s="46">
        <v>1</v>
      </c>
      <c r="BI9" s="46">
        <v>1</v>
      </c>
      <c r="BZ9" s="46">
        <v>1</v>
      </c>
      <c r="CC9" s="46">
        <v>1</v>
      </c>
      <c r="CI9" s="46">
        <v>1</v>
      </c>
    </row>
    <row r="10" spans="1:99" hidden="1">
      <c r="A10" s="46" t="s">
        <v>3562</v>
      </c>
      <c r="B10" s="46" t="s">
        <v>3563</v>
      </c>
      <c r="C10" s="46">
        <v>40</v>
      </c>
      <c r="D10" s="46" t="s">
        <v>568</v>
      </c>
      <c r="E10" s="46" t="s">
        <v>3564</v>
      </c>
      <c r="F10" s="46" t="s">
        <v>2285</v>
      </c>
      <c r="G10" s="46">
        <v>1</v>
      </c>
      <c r="P10" s="46">
        <v>1</v>
      </c>
      <c r="Q10" s="46">
        <v>1</v>
      </c>
      <c r="S10" s="46">
        <v>1</v>
      </c>
      <c r="W10" s="46">
        <v>15</v>
      </c>
      <c r="X10" s="46">
        <v>17</v>
      </c>
      <c r="Y10" s="46">
        <v>18</v>
      </c>
      <c r="Z10" s="46">
        <v>8</v>
      </c>
      <c r="AA10" s="46">
        <v>8</v>
      </c>
      <c r="AB10" s="46">
        <v>8</v>
      </c>
      <c r="AD10" s="46">
        <v>1</v>
      </c>
      <c r="AE10" s="46">
        <v>1</v>
      </c>
      <c r="AG10" s="46">
        <v>1</v>
      </c>
      <c r="AH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H10" s="46">
        <v>1</v>
      </c>
      <c r="BP10" s="46">
        <v>1</v>
      </c>
      <c r="BZ10" s="46">
        <v>1</v>
      </c>
      <c r="CC10" s="46">
        <v>1</v>
      </c>
      <c r="CI10" s="46">
        <v>1</v>
      </c>
      <c r="CU10" s="46">
        <v>1</v>
      </c>
    </row>
    <row r="11" spans="1:99" hidden="1">
      <c r="A11" s="46" t="s">
        <v>3565</v>
      </c>
      <c r="B11" s="46" t="s">
        <v>3566</v>
      </c>
      <c r="C11" s="46">
        <v>17</v>
      </c>
      <c r="D11" s="46" t="s">
        <v>568</v>
      </c>
      <c r="E11" s="46" t="s">
        <v>3567</v>
      </c>
      <c r="F11" s="46" t="s">
        <v>112</v>
      </c>
      <c r="G11" s="46">
        <v>1</v>
      </c>
      <c r="N11" s="46">
        <v>1</v>
      </c>
      <c r="Q11" s="46">
        <v>1</v>
      </c>
      <c r="T11" s="46">
        <v>1</v>
      </c>
      <c r="W11" s="46">
        <v>15</v>
      </c>
      <c r="X11" s="46">
        <v>14</v>
      </c>
      <c r="Y11" s="46" t="s">
        <v>908</v>
      </c>
      <c r="Z11" s="46" t="s">
        <v>908</v>
      </c>
      <c r="AA11" s="46" t="s">
        <v>908</v>
      </c>
      <c r="AB11" s="46" t="s">
        <v>908</v>
      </c>
      <c r="AH11" s="46">
        <v>1</v>
      </c>
      <c r="AI11" s="46">
        <v>1</v>
      </c>
      <c r="AM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</row>
    <row r="12" spans="1:99">
      <c r="A12" s="46" t="s">
        <v>3568</v>
      </c>
      <c r="B12" s="46" t="s">
        <v>3569</v>
      </c>
      <c r="C12" s="46">
        <v>62</v>
      </c>
      <c r="D12" s="46" t="s">
        <v>3570</v>
      </c>
      <c r="F12" s="46" t="s">
        <v>415</v>
      </c>
      <c r="G12" s="46">
        <v>1</v>
      </c>
      <c r="O12" s="46">
        <v>1</v>
      </c>
      <c r="R12" s="46">
        <v>1</v>
      </c>
      <c r="S12" s="46">
        <v>1</v>
      </c>
      <c r="W12" s="46">
        <v>16</v>
      </c>
      <c r="X12" s="46">
        <v>18</v>
      </c>
      <c r="Y12" s="46">
        <v>25</v>
      </c>
      <c r="Z12" s="46">
        <v>1</v>
      </c>
      <c r="AA12" s="46">
        <v>1</v>
      </c>
      <c r="AB12" s="46">
        <v>1</v>
      </c>
      <c r="AC12" s="46">
        <v>1</v>
      </c>
      <c r="AI12" s="46">
        <v>1</v>
      </c>
      <c r="AM12" s="46">
        <v>1</v>
      </c>
      <c r="AT12" s="46">
        <v>1</v>
      </c>
      <c r="AW12" s="46">
        <v>1</v>
      </c>
      <c r="BA12" s="46">
        <v>1</v>
      </c>
      <c r="CA12" s="46">
        <v>1</v>
      </c>
      <c r="CC12" s="46">
        <v>1</v>
      </c>
      <c r="CJ12" s="46">
        <v>1</v>
      </c>
      <c r="CM12" s="46">
        <v>1</v>
      </c>
      <c r="CP12" s="46">
        <v>1</v>
      </c>
      <c r="CQ12" s="46" t="s">
        <v>3571</v>
      </c>
      <c r="CU12" s="46">
        <v>1</v>
      </c>
    </row>
    <row r="13" spans="1:99" hidden="1">
      <c r="A13" s="46" t="s">
        <v>3572</v>
      </c>
      <c r="B13" s="46" t="s">
        <v>3573</v>
      </c>
      <c r="C13" s="46">
        <v>20</v>
      </c>
      <c r="D13" s="46" t="s">
        <v>568</v>
      </c>
      <c r="F13" s="46" t="s">
        <v>748</v>
      </c>
      <c r="G13" s="46">
        <v>1</v>
      </c>
      <c r="M13" s="46">
        <v>1</v>
      </c>
      <c r="Q13" s="46">
        <v>1</v>
      </c>
      <c r="T13" s="46">
        <v>1</v>
      </c>
      <c r="W13" s="46">
        <v>15</v>
      </c>
      <c r="X13" s="46">
        <v>16</v>
      </c>
      <c r="Y13" s="46">
        <v>17</v>
      </c>
      <c r="Z13" s="46">
        <v>2</v>
      </c>
      <c r="AA13" s="46">
        <v>2</v>
      </c>
      <c r="AB13" s="46">
        <v>2</v>
      </c>
      <c r="AD13" s="46">
        <v>1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W13" s="46">
        <v>1</v>
      </c>
      <c r="BZ13" s="46">
        <v>1</v>
      </c>
      <c r="CC13" s="46">
        <v>1</v>
      </c>
      <c r="CI13" s="46">
        <v>1</v>
      </c>
    </row>
    <row r="14" spans="1:99" hidden="1">
      <c r="A14" s="46" t="s">
        <v>3574</v>
      </c>
      <c r="B14" s="46" t="s">
        <v>3575</v>
      </c>
      <c r="C14" s="46">
        <v>36</v>
      </c>
      <c r="D14" s="46" t="s">
        <v>584</v>
      </c>
      <c r="E14" s="46" t="s">
        <v>3576</v>
      </c>
      <c r="F14" s="46" t="s">
        <v>3577</v>
      </c>
      <c r="G14" s="46">
        <v>1</v>
      </c>
      <c r="M14" s="46">
        <v>1</v>
      </c>
      <c r="R14" s="46">
        <v>1</v>
      </c>
      <c r="T14" s="46">
        <v>1</v>
      </c>
      <c r="W14" s="46">
        <v>14</v>
      </c>
      <c r="X14" s="46">
        <v>15</v>
      </c>
      <c r="Y14" s="46">
        <v>16</v>
      </c>
      <c r="Z14" s="46">
        <v>10</v>
      </c>
      <c r="AA14" s="46">
        <v>10</v>
      </c>
      <c r="AB14" s="46">
        <v>9</v>
      </c>
      <c r="AD14" s="46">
        <v>1</v>
      </c>
      <c r="AE14" s="46">
        <v>1</v>
      </c>
      <c r="AG14" s="46">
        <v>1</v>
      </c>
      <c r="AH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I14" s="46">
        <v>1</v>
      </c>
    </row>
    <row r="15" spans="1:99" hidden="1">
      <c r="A15" s="46" t="s">
        <v>3578</v>
      </c>
      <c r="B15" s="46" t="s">
        <v>3579</v>
      </c>
      <c r="C15" s="46">
        <v>23</v>
      </c>
      <c r="D15" s="46" t="s">
        <v>561</v>
      </c>
      <c r="E15" s="46" t="s">
        <v>3580</v>
      </c>
      <c r="F15" s="46" t="s">
        <v>3577</v>
      </c>
      <c r="G15" s="46">
        <v>1</v>
      </c>
      <c r="M15" s="46">
        <v>1</v>
      </c>
      <c r="Q15" s="46">
        <v>1</v>
      </c>
      <c r="T15" s="46">
        <v>1</v>
      </c>
      <c r="W15" s="46">
        <v>12</v>
      </c>
      <c r="X15" s="46">
        <v>13</v>
      </c>
      <c r="Y15" s="46">
        <v>13</v>
      </c>
      <c r="Z15" s="46">
        <v>1</v>
      </c>
      <c r="AA15" s="46">
        <v>1</v>
      </c>
      <c r="AB15" s="46">
        <v>0</v>
      </c>
      <c r="AE15" s="46">
        <v>1</v>
      </c>
      <c r="AH15" s="46">
        <v>1</v>
      </c>
      <c r="AJ15" s="46">
        <v>1</v>
      </c>
      <c r="AM15" s="46">
        <v>1</v>
      </c>
      <c r="AT15" s="46">
        <v>1</v>
      </c>
      <c r="AX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</row>
    <row r="16" spans="1:99">
      <c r="A16" s="46" t="s">
        <v>3581</v>
      </c>
      <c r="B16" s="46" t="s">
        <v>3582</v>
      </c>
      <c r="C16" s="46">
        <v>80</v>
      </c>
      <c r="D16" s="46" t="s">
        <v>3583</v>
      </c>
      <c r="F16" s="46" t="s">
        <v>415</v>
      </c>
      <c r="J16" s="46">
        <v>1</v>
      </c>
      <c r="P16" s="46">
        <v>1</v>
      </c>
      <c r="Q16" s="46">
        <v>1</v>
      </c>
      <c r="S16" s="46">
        <v>1</v>
      </c>
      <c r="W16" s="46" t="s">
        <v>908</v>
      </c>
      <c r="X16" s="46" t="s">
        <v>908</v>
      </c>
      <c r="Y16" s="46" t="s">
        <v>908</v>
      </c>
      <c r="Z16" s="46">
        <v>2</v>
      </c>
      <c r="AA16" s="46">
        <v>2</v>
      </c>
      <c r="AB16" s="46">
        <v>0</v>
      </c>
      <c r="AH16" s="46">
        <v>1</v>
      </c>
      <c r="AI16" s="46">
        <v>1</v>
      </c>
      <c r="AK16" s="46">
        <v>1</v>
      </c>
      <c r="AT16" s="46">
        <v>1</v>
      </c>
      <c r="AX16" s="46">
        <v>1</v>
      </c>
      <c r="BA16" s="46">
        <v>1</v>
      </c>
      <c r="BJ16" s="46">
        <v>1</v>
      </c>
      <c r="BZ16" s="46">
        <v>1</v>
      </c>
      <c r="CC16" s="46">
        <v>1</v>
      </c>
      <c r="CI16" s="46">
        <v>1</v>
      </c>
    </row>
    <row r="17" spans="1:1">
      <c r="A17" s="46"/>
    </row>
    <row r="18" spans="1:1">
      <c r="A18" s="46"/>
    </row>
  </sheetData>
  <autoFilter ref="A3:CU16">
    <filterColumn colId="2">
      <filters>
        <filter val="80"/>
        <filter val="62"/>
      </filters>
    </filterColumn>
  </autoFilter>
  <mergeCells count="1">
    <mergeCell ref="AV1:AZ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1268</v>
      </c>
      <c r="B3" s="69">
        <v>1</v>
      </c>
      <c r="C3" s="69">
        <v>0</v>
      </c>
      <c r="D3" s="69">
        <v>1</v>
      </c>
      <c r="E3" s="69">
        <f>SUM(B3:D3)</f>
        <v>2</v>
      </c>
      <c r="F3" s="70">
        <v>0</v>
      </c>
      <c r="G3" s="70">
        <v>1</v>
      </c>
      <c r="H3" s="70"/>
      <c r="I3" s="70">
        <v>0</v>
      </c>
      <c r="J3" s="70">
        <v>1</v>
      </c>
      <c r="K3" s="71">
        <f>SUM(F3:J3)</f>
        <v>2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0">SUM(L3:O3)</f>
        <v>0</v>
      </c>
      <c r="Q3" s="70">
        <v>0</v>
      </c>
      <c r="R3" s="70">
        <v>0</v>
      </c>
      <c r="S3" s="70">
        <v>0</v>
      </c>
      <c r="T3" s="71">
        <f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2</v>
      </c>
      <c r="AB3" s="73">
        <v>0</v>
      </c>
      <c r="AC3" s="73">
        <v>0</v>
      </c>
      <c r="AD3" s="73">
        <v>0</v>
      </c>
      <c r="AE3" s="186">
        <f>SUM(AA3,AB3,AC3,AD3)</f>
        <v>2</v>
      </c>
      <c r="AF3" s="73">
        <v>0</v>
      </c>
      <c r="AG3" s="73">
        <v>0</v>
      </c>
    </row>
    <row r="4" spans="1:33">
      <c r="A4" s="74" t="s">
        <v>3584</v>
      </c>
      <c r="B4" s="69">
        <v>2</v>
      </c>
      <c r="C4" s="69">
        <v>1</v>
      </c>
      <c r="D4" s="69">
        <v>1</v>
      </c>
      <c r="E4" s="69">
        <f>SUM(B4:D4)</f>
        <v>4</v>
      </c>
      <c r="F4" s="70">
        <v>0</v>
      </c>
      <c r="G4" s="70">
        <v>4</v>
      </c>
      <c r="H4" s="70">
        <v>0</v>
      </c>
      <c r="I4" s="70">
        <v>0</v>
      </c>
      <c r="J4" s="70">
        <v>0</v>
      </c>
      <c r="K4" s="71">
        <f>SUM(F4:J4)</f>
        <v>4</v>
      </c>
      <c r="L4" s="70">
        <v>0</v>
      </c>
      <c r="M4" s="70">
        <v>0</v>
      </c>
      <c r="N4" s="70">
        <v>0</v>
      </c>
      <c r="O4" s="70">
        <v>0</v>
      </c>
      <c r="P4" s="71">
        <f t="shared" si="0"/>
        <v>0</v>
      </c>
      <c r="Q4" s="70">
        <v>0</v>
      </c>
      <c r="R4" s="70">
        <v>0</v>
      </c>
      <c r="S4" s="70">
        <v>2</v>
      </c>
      <c r="T4" s="71">
        <f>SUM(Q4:S4)</f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4</v>
      </c>
      <c r="AB4" s="73">
        <v>0</v>
      </c>
      <c r="AC4" s="73">
        <v>0</v>
      </c>
      <c r="AD4" s="73">
        <v>0</v>
      </c>
      <c r="AE4" s="186">
        <f>SUM(AA4,AB4,AC4,AD4)</f>
        <v>4</v>
      </c>
      <c r="AF4" s="73">
        <v>0</v>
      </c>
      <c r="AG4" s="73">
        <v>0</v>
      </c>
    </row>
    <row r="5" spans="1:33">
      <c r="A5" s="77" t="s">
        <v>2443</v>
      </c>
      <c r="B5" s="69">
        <v>3</v>
      </c>
      <c r="C5" s="69">
        <v>0</v>
      </c>
      <c r="D5" s="69">
        <v>0</v>
      </c>
      <c r="E5" s="69">
        <f>SUM(B5:D5)</f>
        <v>3</v>
      </c>
      <c r="F5" s="70">
        <v>1</v>
      </c>
      <c r="G5" s="70">
        <v>2</v>
      </c>
      <c r="H5" s="70">
        <v>0</v>
      </c>
      <c r="I5" s="70">
        <v>0</v>
      </c>
      <c r="J5" s="70">
        <v>0</v>
      </c>
      <c r="K5" s="71">
        <f>SUM(F5:J5)</f>
        <v>3</v>
      </c>
      <c r="L5" s="70">
        <v>0</v>
      </c>
      <c r="M5" s="70">
        <v>0</v>
      </c>
      <c r="N5" s="70">
        <v>0</v>
      </c>
      <c r="O5" s="70">
        <v>0</v>
      </c>
      <c r="P5" s="71">
        <f t="shared" si="0"/>
        <v>0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3</v>
      </c>
      <c r="AB5" s="73">
        <v>0</v>
      </c>
      <c r="AC5" s="73">
        <v>0</v>
      </c>
      <c r="AD5" s="73">
        <v>0</v>
      </c>
      <c r="AE5" s="186">
        <f>SUM(AA5,AB5,AC5,AD5)</f>
        <v>3</v>
      </c>
      <c r="AF5" s="73">
        <v>0</v>
      </c>
      <c r="AG5" s="73">
        <v>0</v>
      </c>
    </row>
    <row r="6" spans="1:33">
      <c r="A6" s="77" t="s">
        <v>925</v>
      </c>
      <c r="B6" s="69">
        <v>1</v>
      </c>
      <c r="C6" s="69">
        <v>0</v>
      </c>
      <c r="D6" s="69">
        <v>1</v>
      </c>
      <c r="E6" s="69">
        <f>SUM(B6:D6)</f>
        <v>2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1">
        <f>SUM(F6:J6)</f>
        <v>0</v>
      </c>
      <c r="L6" s="70">
        <v>0</v>
      </c>
      <c r="M6" s="70">
        <v>2</v>
      </c>
      <c r="N6" s="70">
        <v>0</v>
      </c>
      <c r="O6" s="70">
        <v>0</v>
      </c>
      <c r="P6" s="71">
        <f t="shared" si="0"/>
        <v>2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2</v>
      </c>
      <c r="Y6" s="75">
        <v>0</v>
      </c>
      <c r="Z6" s="75"/>
      <c r="AA6" s="73">
        <v>1</v>
      </c>
      <c r="AB6" s="73">
        <v>0</v>
      </c>
      <c r="AC6" s="73">
        <v>0</v>
      </c>
      <c r="AD6" s="73">
        <v>1</v>
      </c>
      <c r="AE6" s="186">
        <f>SUM(AA6,AB6,AC6,AD6)</f>
        <v>2</v>
      </c>
      <c r="AF6" s="73">
        <v>0</v>
      </c>
      <c r="AG6" s="73">
        <v>0</v>
      </c>
    </row>
    <row r="7" spans="1:33">
      <c r="A7" s="78" t="s">
        <v>1364</v>
      </c>
      <c r="B7" s="79">
        <v>1</v>
      </c>
      <c r="C7" s="79">
        <v>0</v>
      </c>
      <c r="D7" s="79">
        <v>1</v>
      </c>
      <c r="E7" s="69">
        <f>SUM(B7:D7)</f>
        <v>2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71">
        <f>SUM(F7:J7)</f>
        <v>0</v>
      </c>
      <c r="L7" s="80">
        <v>1</v>
      </c>
      <c r="M7" s="80">
        <v>0</v>
      </c>
      <c r="N7" s="80">
        <v>0</v>
      </c>
      <c r="O7" s="80">
        <v>0</v>
      </c>
      <c r="P7" s="71">
        <f t="shared" si="0"/>
        <v>1</v>
      </c>
      <c r="Q7" s="80">
        <v>0</v>
      </c>
      <c r="R7" s="80">
        <v>0</v>
      </c>
      <c r="S7" s="80">
        <v>0</v>
      </c>
      <c r="T7" s="71">
        <f>SUM(Q7:S7)</f>
        <v>0</v>
      </c>
      <c r="U7" s="80">
        <v>0</v>
      </c>
      <c r="V7" s="80">
        <v>0</v>
      </c>
      <c r="W7" s="80">
        <v>0</v>
      </c>
      <c r="X7" s="80">
        <v>0</v>
      </c>
      <c r="Y7" s="80">
        <v>0</v>
      </c>
      <c r="Z7" s="80"/>
      <c r="AA7" s="82">
        <v>1</v>
      </c>
      <c r="AB7" s="82">
        <v>1</v>
      </c>
      <c r="AC7" s="82">
        <v>0</v>
      </c>
      <c r="AD7" s="82">
        <v>0</v>
      </c>
      <c r="AE7" s="186">
        <f>SUM(AA7,AB7,AC7,AD7)</f>
        <v>2</v>
      </c>
      <c r="AF7" s="82">
        <v>0</v>
      </c>
      <c r="AG7" s="82">
        <v>0</v>
      </c>
    </row>
    <row r="8" spans="1:33">
      <c r="A8" s="69" t="s">
        <v>376</v>
      </c>
      <c r="B8" s="69">
        <f t="shared" ref="B8:J8" si="1">SUM(B3:B7)</f>
        <v>8</v>
      </c>
      <c r="C8" s="69">
        <f t="shared" si="1"/>
        <v>1</v>
      </c>
      <c r="D8" s="69">
        <f t="shared" si="1"/>
        <v>4</v>
      </c>
      <c r="E8" s="69">
        <f t="shared" si="1"/>
        <v>13</v>
      </c>
      <c r="F8" s="69">
        <f t="shared" si="1"/>
        <v>1</v>
      </c>
      <c r="G8" s="69">
        <f t="shared" si="1"/>
        <v>7</v>
      </c>
      <c r="H8" s="69">
        <f t="shared" si="1"/>
        <v>0</v>
      </c>
      <c r="I8" s="69">
        <f t="shared" si="1"/>
        <v>0</v>
      </c>
      <c r="J8" s="69">
        <f t="shared" si="1"/>
        <v>1</v>
      </c>
      <c r="K8" s="71">
        <f>SUM(F8:I8)</f>
        <v>8</v>
      </c>
      <c r="L8" s="114">
        <f>SUM(L3:L7)</f>
        <v>1</v>
      </c>
      <c r="M8" s="114">
        <f>SUM(M3:M7)</f>
        <v>2</v>
      </c>
      <c r="N8" s="114">
        <f>SUM(N3:N7)</f>
        <v>0</v>
      </c>
      <c r="O8" s="114">
        <f>SUM(O3:O7)</f>
        <v>0</v>
      </c>
      <c r="P8" s="71">
        <f t="shared" si="0"/>
        <v>3</v>
      </c>
      <c r="Q8" s="114">
        <f t="shared" ref="Q8:AG8" si="2">SUM(Q3:Q7)</f>
        <v>0</v>
      </c>
      <c r="R8" s="114">
        <f t="shared" si="2"/>
        <v>0</v>
      </c>
      <c r="S8" s="114">
        <f t="shared" si="2"/>
        <v>2</v>
      </c>
      <c r="T8" s="71">
        <f t="shared" si="2"/>
        <v>2</v>
      </c>
      <c r="U8" s="114">
        <f t="shared" si="2"/>
        <v>0</v>
      </c>
      <c r="V8" s="114">
        <f t="shared" si="2"/>
        <v>0</v>
      </c>
      <c r="W8" s="114">
        <f t="shared" si="2"/>
        <v>0</v>
      </c>
      <c r="X8" s="114">
        <f t="shared" si="2"/>
        <v>2</v>
      </c>
      <c r="Y8" s="114">
        <f t="shared" si="2"/>
        <v>0</v>
      </c>
      <c r="Z8" s="114">
        <f t="shared" si="2"/>
        <v>0</v>
      </c>
      <c r="AA8" s="73">
        <f t="shared" si="2"/>
        <v>11</v>
      </c>
      <c r="AB8" s="73">
        <f t="shared" si="2"/>
        <v>1</v>
      </c>
      <c r="AC8" s="73">
        <f t="shared" si="2"/>
        <v>0</v>
      </c>
      <c r="AD8" s="73">
        <f t="shared" si="2"/>
        <v>1</v>
      </c>
      <c r="AE8" s="73">
        <f t="shared" si="2"/>
        <v>13</v>
      </c>
      <c r="AF8" s="73">
        <f t="shared" si="2"/>
        <v>0</v>
      </c>
      <c r="AG8" s="73">
        <f t="shared" si="2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6"/>
  <sheetViews>
    <sheetView workbookViewId="0"/>
  </sheetViews>
  <sheetFormatPr defaultColWidth="14.42578125" defaultRowHeight="15" customHeight="1"/>
  <cols>
    <col min="1" max="1" width="9.85546875" customWidth="1"/>
    <col min="2" max="2" width="23.7109375" customWidth="1"/>
    <col min="3" max="3" width="6.85546875" customWidth="1"/>
  </cols>
  <sheetData>
    <row r="1" spans="1:99" ht="20.25" customHeight="1">
      <c r="A1" s="188"/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 hidden="1">
      <c r="A4" s="46" t="s">
        <v>3585</v>
      </c>
      <c r="B4" s="46" t="s">
        <v>3586</v>
      </c>
      <c r="C4" s="46">
        <v>32</v>
      </c>
      <c r="D4" s="46" t="s">
        <v>919</v>
      </c>
      <c r="F4" s="46" t="s">
        <v>2285</v>
      </c>
      <c r="H4" s="46">
        <v>1</v>
      </c>
      <c r="N4" s="46">
        <v>1</v>
      </c>
      <c r="Q4" s="46">
        <v>1</v>
      </c>
      <c r="S4" s="46">
        <v>1</v>
      </c>
      <c r="W4" s="46">
        <v>15</v>
      </c>
      <c r="X4" s="46">
        <v>16</v>
      </c>
      <c r="Y4" s="46">
        <v>18</v>
      </c>
      <c r="Z4" s="46">
        <v>7</v>
      </c>
      <c r="AA4" s="46">
        <v>7</v>
      </c>
      <c r="AB4" s="46">
        <v>7</v>
      </c>
      <c r="AD4" s="46">
        <v>1</v>
      </c>
      <c r="AE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CC4" s="46">
        <v>1</v>
      </c>
    </row>
    <row r="5" spans="1:99">
      <c r="A5" s="46" t="s">
        <v>3587</v>
      </c>
      <c r="B5" s="46" t="s">
        <v>2575</v>
      </c>
      <c r="C5" s="46">
        <v>40</v>
      </c>
      <c r="D5" s="46" t="s">
        <v>3588</v>
      </c>
      <c r="F5" s="46" t="s">
        <v>415</v>
      </c>
      <c r="J5" s="46">
        <v>1</v>
      </c>
      <c r="O5" s="46">
        <v>1</v>
      </c>
      <c r="R5" s="46">
        <v>1</v>
      </c>
      <c r="T5" s="46">
        <v>1</v>
      </c>
      <c r="W5" s="46">
        <v>15</v>
      </c>
      <c r="X5" s="46">
        <v>16</v>
      </c>
      <c r="Y5" s="46">
        <v>17</v>
      </c>
      <c r="Z5" s="46">
        <v>10</v>
      </c>
      <c r="AA5" s="46">
        <v>10</v>
      </c>
      <c r="AB5" s="46">
        <v>10</v>
      </c>
      <c r="AD5" s="46">
        <v>1</v>
      </c>
      <c r="AE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W5" s="46">
        <v>1</v>
      </c>
      <c r="CC5" s="46">
        <v>1</v>
      </c>
    </row>
    <row r="6" spans="1:99" hidden="1">
      <c r="A6" s="46" t="s">
        <v>3589</v>
      </c>
      <c r="B6" s="46" t="s">
        <v>3590</v>
      </c>
      <c r="C6" s="46">
        <v>28</v>
      </c>
      <c r="D6" s="46" t="s">
        <v>3591</v>
      </c>
      <c r="E6" s="46" t="s">
        <v>3592</v>
      </c>
      <c r="F6" s="46" t="s">
        <v>112</v>
      </c>
      <c r="H6" s="46">
        <v>1</v>
      </c>
      <c r="M6" s="46">
        <v>1</v>
      </c>
      <c r="Q6" s="46">
        <v>1</v>
      </c>
      <c r="U6" s="46">
        <v>1</v>
      </c>
      <c r="W6" s="46" t="s">
        <v>908</v>
      </c>
      <c r="X6" s="46" t="s">
        <v>908</v>
      </c>
      <c r="Y6" s="46">
        <v>0</v>
      </c>
      <c r="Z6" s="46">
        <v>0</v>
      </c>
      <c r="AA6" s="46">
        <v>0</v>
      </c>
      <c r="AB6" s="46">
        <v>0</v>
      </c>
      <c r="AC6" s="46">
        <v>1</v>
      </c>
      <c r="AM6" s="46">
        <v>1</v>
      </c>
      <c r="AT6" s="46">
        <v>1</v>
      </c>
      <c r="AW6" s="46">
        <v>1</v>
      </c>
      <c r="BA6" s="46">
        <v>1</v>
      </c>
      <c r="BI6" s="46">
        <v>1</v>
      </c>
      <c r="BW6" s="46">
        <v>1</v>
      </c>
      <c r="CC6" s="46">
        <v>1</v>
      </c>
    </row>
  </sheetData>
  <autoFilter ref="A3:CU6">
    <filterColumn colId="2">
      <filters>
        <filter val="40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3431</v>
      </c>
      <c r="B3" s="69">
        <v>0</v>
      </c>
      <c r="C3" s="69">
        <v>0</v>
      </c>
      <c r="D3" s="69">
        <v>1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0">
        <v>0</v>
      </c>
      <c r="K3" s="71">
        <f>SUM(F3:J3)</f>
        <v>1</v>
      </c>
      <c r="L3" s="70">
        <v>0</v>
      </c>
      <c r="M3" s="70">
        <v>0</v>
      </c>
      <c r="N3" s="70">
        <v>0</v>
      </c>
      <c r="O3" s="70">
        <v>0</v>
      </c>
      <c r="P3" s="71">
        <f>SUM(L3:O3)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1463</v>
      </c>
      <c r="B4" s="69">
        <v>0</v>
      </c>
      <c r="C4" s="69">
        <v>1</v>
      </c>
      <c r="D4" s="69">
        <v>0</v>
      </c>
      <c r="E4" s="69">
        <f>SUM(B4:D4)</f>
        <v>1</v>
      </c>
      <c r="F4" s="70"/>
      <c r="G4" s="70">
        <v>1</v>
      </c>
      <c r="H4" s="70">
        <v>0</v>
      </c>
      <c r="I4" s="70">
        <v>0</v>
      </c>
      <c r="J4" s="70">
        <v>0</v>
      </c>
      <c r="K4" s="71">
        <f>SUM(F4:J4)</f>
        <v>1</v>
      </c>
      <c r="L4" s="70">
        <v>0</v>
      </c>
      <c r="M4" s="70">
        <v>0</v>
      </c>
      <c r="N4" s="70">
        <v>0</v>
      </c>
      <c r="O4" s="70">
        <v>0</v>
      </c>
      <c r="P4" s="71">
        <f>SUM(L4:O4)</f>
        <v>0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1</v>
      </c>
      <c r="AE4" s="186">
        <f>SUM(AA4,AB4,AC4,AD4)</f>
        <v>1</v>
      </c>
      <c r="AF4" s="73">
        <v>0</v>
      </c>
      <c r="AG4" s="73">
        <v>0</v>
      </c>
    </row>
    <row r="5" spans="1:33">
      <c r="A5" s="77" t="s">
        <v>3432</v>
      </c>
      <c r="B5" s="69">
        <v>0</v>
      </c>
      <c r="C5" s="69">
        <v>1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0">
        <v>0</v>
      </c>
      <c r="K5" s="71">
        <f>SUM(F5:J5)</f>
        <v>1</v>
      </c>
      <c r="L5" s="70">
        <v>0</v>
      </c>
      <c r="M5" s="70">
        <v>0</v>
      </c>
      <c r="N5" s="70">
        <v>0</v>
      </c>
      <c r="O5" s="70">
        <v>0</v>
      </c>
      <c r="P5" s="71">
        <f>SUM(L5:O5)</f>
        <v>0</v>
      </c>
      <c r="Q5" s="70">
        <v>0</v>
      </c>
      <c r="R5" s="70">
        <v>0</v>
      </c>
      <c r="S5" s="70">
        <v>1</v>
      </c>
      <c r="T5" s="71">
        <f>SUM(Q5:S5)</f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0</v>
      </c>
      <c r="AB5" s="73">
        <v>0</v>
      </c>
      <c r="AC5" s="73">
        <v>0</v>
      </c>
      <c r="AD5" s="73">
        <v>1</v>
      </c>
      <c r="AE5" s="186">
        <f>SUM(AA5,AB5,AC5,AD5)</f>
        <v>1</v>
      </c>
      <c r="AF5" s="73">
        <v>0</v>
      </c>
      <c r="AG5" s="73">
        <v>0</v>
      </c>
    </row>
    <row r="6" spans="1:33">
      <c r="A6" s="69" t="s">
        <v>376</v>
      </c>
      <c r="B6" s="69">
        <f t="shared" ref="B6:J6" si="0">SUM(B3:B5)</f>
        <v>0</v>
      </c>
      <c r="C6" s="69">
        <f t="shared" si="0"/>
        <v>2</v>
      </c>
      <c r="D6" s="69">
        <f t="shared" si="0"/>
        <v>1</v>
      </c>
      <c r="E6" s="69">
        <f t="shared" si="0"/>
        <v>3</v>
      </c>
      <c r="F6" s="69">
        <f t="shared" si="0"/>
        <v>0</v>
      </c>
      <c r="G6" s="69">
        <f t="shared" si="0"/>
        <v>3</v>
      </c>
      <c r="H6" s="69">
        <f t="shared" si="0"/>
        <v>0</v>
      </c>
      <c r="I6" s="69">
        <f t="shared" si="0"/>
        <v>0</v>
      </c>
      <c r="J6" s="69">
        <f t="shared" si="0"/>
        <v>0</v>
      </c>
      <c r="K6" s="71">
        <f>SUM(F6:I6)</f>
        <v>3</v>
      </c>
      <c r="L6" s="114">
        <f>SUM(L3:L5)</f>
        <v>0</v>
      </c>
      <c r="M6" s="114">
        <f>SUM(M3:M5)</f>
        <v>0</v>
      </c>
      <c r="N6" s="114">
        <f>SUM(N3:N5)</f>
        <v>0</v>
      </c>
      <c r="O6" s="114">
        <f>SUM(O3:O5)</f>
        <v>0</v>
      </c>
      <c r="P6" s="71">
        <f>SUM(L6:O6)</f>
        <v>0</v>
      </c>
      <c r="Q6" s="114">
        <f t="shared" ref="Q6:AG6" si="1">SUM(Q3:Q5)</f>
        <v>0</v>
      </c>
      <c r="R6" s="114">
        <f t="shared" si="1"/>
        <v>0</v>
      </c>
      <c r="S6" s="114">
        <f t="shared" si="1"/>
        <v>3</v>
      </c>
      <c r="T6" s="71">
        <f t="shared" si="1"/>
        <v>3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73">
        <f t="shared" si="1"/>
        <v>0</v>
      </c>
      <c r="AB6" s="73">
        <f t="shared" si="1"/>
        <v>0</v>
      </c>
      <c r="AC6" s="73">
        <f t="shared" si="1"/>
        <v>0</v>
      </c>
      <c r="AD6" s="73">
        <f t="shared" si="1"/>
        <v>3</v>
      </c>
      <c r="AE6" s="73">
        <f t="shared" si="1"/>
        <v>3</v>
      </c>
      <c r="AF6" s="73">
        <f t="shared" si="1"/>
        <v>0</v>
      </c>
      <c r="AG6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3431</v>
      </c>
      <c r="B3" s="69">
        <v>0</v>
      </c>
      <c r="C3" s="69">
        <v>0</v>
      </c>
      <c r="D3" s="69">
        <v>1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0">
        <v>0</v>
      </c>
      <c r="K3" s="71">
        <f>SUM(F3:J3)</f>
        <v>1</v>
      </c>
      <c r="L3" s="70">
        <v>0</v>
      </c>
      <c r="M3" s="70">
        <v>0</v>
      </c>
      <c r="N3" s="70">
        <v>0</v>
      </c>
      <c r="O3" s="70">
        <v>0</v>
      </c>
      <c r="P3" s="71">
        <f>SUM(L3:O3)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3391</v>
      </c>
      <c r="B4" s="69">
        <v>2</v>
      </c>
      <c r="C4" s="69">
        <v>0</v>
      </c>
      <c r="D4" s="69">
        <v>0</v>
      </c>
      <c r="E4" s="69">
        <f>SUM(B4:D4)</f>
        <v>2</v>
      </c>
      <c r="F4" s="70">
        <v>0</v>
      </c>
      <c r="G4" s="70">
        <v>2</v>
      </c>
      <c r="H4" s="70">
        <v>0</v>
      </c>
      <c r="I4" s="70">
        <v>0</v>
      </c>
      <c r="J4" s="70">
        <v>0</v>
      </c>
      <c r="K4" s="71">
        <f>SUM(F4:J4)</f>
        <v>2</v>
      </c>
      <c r="L4" s="70">
        <v>0</v>
      </c>
      <c r="M4" s="70">
        <v>0</v>
      </c>
      <c r="N4" s="70">
        <v>0</v>
      </c>
      <c r="O4" s="70">
        <v>0</v>
      </c>
      <c r="P4" s="71">
        <f>SUM(L4:O4)</f>
        <v>0</v>
      </c>
      <c r="Q4" s="70">
        <v>0</v>
      </c>
      <c r="R4" s="70">
        <v>0</v>
      </c>
      <c r="S4" s="70">
        <v>2</v>
      </c>
      <c r="T4" s="71">
        <f>SUM(Q4:S4)</f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2</v>
      </c>
      <c r="AE4" s="186">
        <f>SUM(AA4,AB4,AC4,AD4)</f>
        <v>2</v>
      </c>
      <c r="AF4" s="73">
        <v>0</v>
      </c>
      <c r="AG4" s="73">
        <v>0</v>
      </c>
    </row>
    <row r="5" spans="1:33">
      <c r="A5" s="69" t="s">
        <v>376</v>
      </c>
      <c r="B5" s="69">
        <f t="shared" ref="B5:J5" si="0">SUM(B3:B4)</f>
        <v>2</v>
      </c>
      <c r="C5" s="69">
        <f t="shared" si="0"/>
        <v>0</v>
      </c>
      <c r="D5" s="69">
        <f t="shared" si="0"/>
        <v>1</v>
      </c>
      <c r="E5" s="69">
        <f t="shared" si="0"/>
        <v>3</v>
      </c>
      <c r="F5" s="69">
        <f t="shared" si="0"/>
        <v>0</v>
      </c>
      <c r="G5" s="69">
        <f t="shared" si="0"/>
        <v>3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71">
        <f>SUM(F5:I5)</f>
        <v>3</v>
      </c>
      <c r="L5" s="114">
        <f>SUM(L3:L4)</f>
        <v>0</v>
      </c>
      <c r="M5" s="114">
        <f>SUM(M3:M4)</f>
        <v>0</v>
      </c>
      <c r="N5" s="114">
        <f>SUM(N3:N4)</f>
        <v>0</v>
      </c>
      <c r="O5" s="114">
        <f>SUM(O3:O4)</f>
        <v>0</v>
      </c>
      <c r="P5" s="71">
        <f>SUM(L5:O5)</f>
        <v>0</v>
      </c>
      <c r="Q5" s="114">
        <f t="shared" ref="Q5:AG5" si="1">SUM(Q3:Q4)</f>
        <v>0</v>
      </c>
      <c r="R5" s="114">
        <f t="shared" si="1"/>
        <v>0</v>
      </c>
      <c r="S5" s="114">
        <f t="shared" si="1"/>
        <v>3</v>
      </c>
      <c r="T5" s="71">
        <f t="shared" si="1"/>
        <v>3</v>
      </c>
      <c r="U5" s="114">
        <f t="shared" si="1"/>
        <v>0</v>
      </c>
      <c r="V5" s="114">
        <f t="shared" si="1"/>
        <v>0</v>
      </c>
      <c r="W5" s="114">
        <f t="shared" si="1"/>
        <v>0</v>
      </c>
      <c r="X5" s="114">
        <f t="shared" si="1"/>
        <v>0</v>
      </c>
      <c r="Y5" s="114">
        <f t="shared" si="1"/>
        <v>0</v>
      </c>
      <c r="Z5" s="114">
        <f t="shared" si="1"/>
        <v>0</v>
      </c>
      <c r="AA5" s="73">
        <f t="shared" si="1"/>
        <v>0</v>
      </c>
      <c r="AB5" s="73">
        <f t="shared" si="1"/>
        <v>0</v>
      </c>
      <c r="AC5" s="73">
        <f t="shared" si="1"/>
        <v>0</v>
      </c>
      <c r="AD5" s="73">
        <f t="shared" si="1"/>
        <v>3</v>
      </c>
      <c r="AE5" s="73">
        <f t="shared" si="1"/>
        <v>3</v>
      </c>
      <c r="AF5" s="73">
        <f t="shared" si="1"/>
        <v>0</v>
      </c>
      <c r="AG5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6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8.7109375" customWidth="1"/>
    <col min="2" max="2" width="20.85546875" customWidth="1"/>
    <col min="3" max="3" width="5.42578125" customWidth="1"/>
    <col min="7" max="8" width="5.140625" customWidth="1"/>
    <col min="9" max="9" width="6" customWidth="1"/>
    <col min="10" max="10" width="6.28515625" customWidth="1"/>
    <col min="11" max="11" width="6.140625" customWidth="1"/>
    <col min="12" max="12" width="4.7109375" customWidth="1"/>
    <col min="13" max="13" width="5" customWidth="1"/>
    <col min="14" max="14" width="4.7109375" customWidth="1"/>
    <col min="15" max="15" width="5.42578125" customWidth="1"/>
    <col min="16" max="16" width="5.28515625" customWidth="1"/>
    <col min="17" max="17" width="6.5703125" customWidth="1"/>
    <col min="18" max="18" width="8.28515625" customWidth="1"/>
    <col min="19" max="19" width="5.85546875" customWidth="1"/>
    <col min="20" max="20" width="5.5703125" customWidth="1"/>
    <col min="21" max="21" width="4.140625" customWidth="1"/>
    <col min="22" max="22" width="6" customWidth="1"/>
    <col min="23" max="23" width="9.5703125" customWidth="1"/>
    <col min="25" max="25" width="10.5703125" customWidth="1"/>
    <col min="26" max="26" width="7.42578125" customWidth="1"/>
    <col min="27" max="27" width="11.140625" customWidth="1"/>
    <col min="28" max="28" width="12.7109375" customWidth="1"/>
    <col min="29" max="29" width="4.42578125" customWidth="1"/>
    <col min="30" max="30" width="7" customWidth="1"/>
    <col min="31" max="31" width="6.42578125" customWidth="1"/>
    <col min="32" max="32" width="7.85546875" customWidth="1"/>
    <col min="33" max="33" width="7.7109375" customWidth="1"/>
    <col min="34" max="34" width="5.140625" customWidth="1"/>
    <col min="35" max="35" width="5.42578125" customWidth="1"/>
    <col min="36" max="36" width="7.140625" customWidth="1"/>
    <col min="37" max="37" width="5.85546875" customWidth="1"/>
    <col min="38" max="38" width="5.42578125" customWidth="1"/>
    <col min="39" max="39" width="10.42578125" customWidth="1"/>
    <col min="40" max="40" width="10.7109375" customWidth="1"/>
    <col min="41" max="41" width="7.140625" customWidth="1"/>
    <col min="42" max="42" width="7.5703125" customWidth="1"/>
    <col min="46" max="46" width="6.28515625" customWidth="1"/>
    <col min="47" max="47" width="10.140625" customWidth="1"/>
    <col min="48" max="48" width="6" customWidth="1"/>
    <col min="49" max="49" width="7.5703125" customWidth="1"/>
    <col min="50" max="50" width="8" customWidth="1"/>
    <col min="51" max="51" width="7.7109375" customWidth="1"/>
    <col min="52" max="52" width="4.5703125" customWidth="1"/>
    <col min="53" max="53" width="4.28515625" customWidth="1"/>
    <col min="54" max="54" width="4.85546875" customWidth="1"/>
    <col min="55" max="55" width="5.140625" customWidth="1"/>
    <col min="56" max="56" width="9.140625" customWidth="1"/>
    <col min="57" max="58" width="7" customWidth="1"/>
    <col min="60" max="60" width="5.42578125" customWidth="1"/>
    <col min="61" max="61" width="5.5703125" customWidth="1"/>
  </cols>
  <sheetData>
    <row r="1" spans="1:99" ht="22.5" customHeight="1">
      <c r="A1" s="189" t="s">
        <v>1786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3515</v>
      </c>
      <c r="B4" s="46" t="s">
        <v>3593</v>
      </c>
      <c r="C4" s="46">
        <v>23</v>
      </c>
      <c r="D4" s="46" t="s">
        <v>915</v>
      </c>
      <c r="F4" s="46" t="s">
        <v>433</v>
      </c>
      <c r="I4" s="46">
        <v>1</v>
      </c>
      <c r="N4" s="46">
        <v>1</v>
      </c>
      <c r="Q4" s="46">
        <v>1</v>
      </c>
      <c r="T4" s="46">
        <v>1</v>
      </c>
      <c r="W4" s="46">
        <v>17</v>
      </c>
      <c r="X4" s="46">
        <v>18</v>
      </c>
      <c r="Y4" s="46">
        <v>18</v>
      </c>
      <c r="Z4" s="46">
        <v>4</v>
      </c>
      <c r="AA4" s="46">
        <v>3</v>
      </c>
      <c r="AB4" s="46">
        <v>3</v>
      </c>
      <c r="AH4" s="46">
        <v>1</v>
      </c>
      <c r="AJ4" s="46">
        <v>1</v>
      </c>
      <c r="AK4" s="46">
        <v>1</v>
      </c>
      <c r="AT4" s="46">
        <v>1</v>
      </c>
      <c r="AX4" s="46">
        <v>1</v>
      </c>
      <c r="BB4" s="46">
        <v>1</v>
      </c>
      <c r="BF4" s="46">
        <v>1</v>
      </c>
      <c r="BI4" s="46">
        <v>1</v>
      </c>
      <c r="BP4" s="46">
        <v>1</v>
      </c>
      <c r="BW4" s="46">
        <v>1</v>
      </c>
      <c r="BZ4" s="46">
        <v>1</v>
      </c>
      <c r="CC4" s="46">
        <v>1</v>
      </c>
      <c r="CP4" s="46">
        <v>1</v>
      </c>
    </row>
    <row r="5" spans="1:99">
      <c r="A5" s="46" t="s">
        <v>3518</v>
      </c>
      <c r="B5" s="46" t="s">
        <v>3594</v>
      </c>
      <c r="C5" s="46">
        <v>40</v>
      </c>
      <c r="D5" s="46" t="s">
        <v>919</v>
      </c>
      <c r="F5" s="46" t="s">
        <v>415</v>
      </c>
      <c r="H5" s="46">
        <v>1</v>
      </c>
      <c r="M5" s="46">
        <v>1</v>
      </c>
      <c r="R5" s="46">
        <v>1</v>
      </c>
      <c r="T5" s="46">
        <v>1</v>
      </c>
      <c r="W5" s="46">
        <v>14</v>
      </c>
      <c r="X5" s="46">
        <v>15</v>
      </c>
      <c r="Y5" s="46">
        <v>16</v>
      </c>
      <c r="Z5" s="46">
        <v>10</v>
      </c>
      <c r="AA5" s="46">
        <v>10</v>
      </c>
      <c r="AB5" s="46">
        <v>10</v>
      </c>
      <c r="AD5" s="46">
        <v>1</v>
      </c>
      <c r="AE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P5" s="46">
        <v>1</v>
      </c>
      <c r="BZ5" s="46">
        <v>1</v>
      </c>
      <c r="CC5" s="46">
        <v>1</v>
      </c>
      <c r="CP5" s="46">
        <v>1</v>
      </c>
    </row>
    <row r="6" spans="1:99">
      <c r="A6" s="46" t="s">
        <v>3521</v>
      </c>
      <c r="B6" s="46" t="s">
        <v>3595</v>
      </c>
      <c r="C6" s="46">
        <v>21</v>
      </c>
      <c r="D6" s="46" t="s">
        <v>3596</v>
      </c>
      <c r="E6" s="46" t="s">
        <v>3597</v>
      </c>
      <c r="F6" s="46" t="s">
        <v>145</v>
      </c>
      <c r="I6" s="46">
        <v>1</v>
      </c>
      <c r="L6" s="46">
        <v>1</v>
      </c>
      <c r="Q6" s="46">
        <v>1</v>
      </c>
      <c r="T6" s="46">
        <v>1</v>
      </c>
      <c r="W6" s="46">
        <v>14</v>
      </c>
      <c r="X6" s="46">
        <v>19</v>
      </c>
      <c r="Y6" s="46">
        <v>19</v>
      </c>
      <c r="Z6" s="46">
        <v>1</v>
      </c>
      <c r="AA6" s="46">
        <v>1</v>
      </c>
      <c r="AB6" s="46">
        <v>1</v>
      </c>
      <c r="AD6" s="46">
        <v>1</v>
      </c>
      <c r="AE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P6" s="46">
        <v>1</v>
      </c>
      <c r="BZ6" s="46">
        <v>1</v>
      </c>
      <c r="CC6" s="46">
        <v>1</v>
      </c>
      <c r="CP6" s="46">
        <v>1</v>
      </c>
    </row>
  </sheetData>
  <autoFilter ref="A3:CU6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2466</v>
      </c>
      <c r="B3" s="69">
        <v>0</v>
      </c>
      <c r="C3" s="69">
        <v>2</v>
      </c>
      <c r="D3" s="69">
        <v>0</v>
      </c>
      <c r="E3" s="69">
        <f>SUM(B3:D3)</f>
        <v>2</v>
      </c>
      <c r="F3" s="70">
        <v>0</v>
      </c>
      <c r="G3" s="70">
        <v>2</v>
      </c>
      <c r="H3" s="70">
        <v>0</v>
      </c>
      <c r="I3" s="70">
        <v>0</v>
      </c>
      <c r="J3" s="70">
        <v>0</v>
      </c>
      <c r="K3" s="71">
        <f>SUM(F3:J3)</f>
        <v>2</v>
      </c>
      <c r="L3" s="70">
        <v>0</v>
      </c>
      <c r="M3" s="70">
        <v>0</v>
      </c>
      <c r="N3" s="70">
        <v>0</v>
      </c>
      <c r="O3" s="70">
        <v>0</v>
      </c>
      <c r="P3" s="71">
        <f>SUM(L3:O3)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2</v>
      </c>
      <c r="AE3" s="186">
        <f>SUM(AA3,AB3,AC3,AD3)</f>
        <v>2</v>
      </c>
      <c r="AF3" s="73">
        <v>0</v>
      </c>
      <c r="AG3" s="73">
        <v>0</v>
      </c>
    </row>
    <row r="4" spans="1:33">
      <c r="A4" s="77" t="s">
        <v>3432</v>
      </c>
      <c r="B4" s="69">
        <v>0</v>
      </c>
      <c r="C4" s="69">
        <v>1</v>
      </c>
      <c r="D4" s="69">
        <v>0</v>
      </c>
      <c r="E4" s="69">
        <f>SUM(B4:D4)</f>
        <v>1</v>
      </c>
      <c r="F4" s="70">
        <v>0</v>
      </c>
      <c r="G4" s="70">
        <v>1</v>
      </c>
      <c r="H4" s="70">
        <v>0</v>
      </c>
      <c r="I4" s="70">
        <v>0</v>
      </c>
      <c r="J4" s="70">
        <v>0</v>
      </c>
      <c r="K4" s="71">
        <f>SUM(F4:J4)</f>
        <v>1</v>
      </c>
      <c r="L4" s="70">
        <v>0</v>
      </c>
      <c r="M4" s="70">
        <v>0</v>
      </c>
      <c r="N4" s="70">
        <v>0</v>
      </c>
      <c r="O4" s="70">
        <v>0</v>
      </c>
      <c r="P4" s="71">
        <f>SUM(L4:O4)</f>
        <v>0</v>
      </c>
      <c r="Q4" s="70">
        <v>0</v>
      </c>
      <c r="R4" s="70">
        <v>0</v>
      </c>
      <c r="S4" s="70">
        <v>0</v>
      </c>
      <c r="T4" s="71">
        <f>SUM(Q4:S4)</f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1</v>
      </c>
      <c r="AE4" s="186">
        <f>SUM(AA4,AB4,AC4,AD4)</f>
        <v>1</v>
      </c>
      <c r="AF4" s="73">
        <v>0</v>
      </c>
      <c r="AG4" s="73">
        <v>0</v>
      </c>
    </row>
    <row r="5" spans="1:33">
      <c r="A5" s="69" t="s">
        <v>376</v>
      </c>
      <c r="B5" s="69">
        <f t="shared" ref="B5:J5" si="0">SUM(B3:B4)</f>
        <v>0</v>
      </c>
      <c r="C5" s="69">
        <f t="shared" si="0"/>
        <v>3</v>
      </c>
      <c r="D5" s="69">
        <f t="shared" si="0"/>
        <v>0</v>
      </c>
      <c r="E5" s="69">
        <f t="shared" si="0"/>
        <v>3</v>
      </c>
      <c r="F5" s="69">
        <f t="shared" si="0"/>
        <v>0</v>
      </c>
      <c r="G5" s="69">
        <f t="shared" si="0"/>
        <v>3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71">
        <f>SUM(F5:I5)</f>
        <v>3</v>
      </c>
      <c r="L5" s="114">
        <f>SUM(L3:L4)</f>
        <v>0</v>
      </c>
      <c r="M5" s="114">
        <f>SUM(M3:M4)</f>
        <v>0</v>
      </c>
      <c r="N5" s="114">
        <f>SUM(N3:N4)</f>
        <v>0</v>
      </c>
      <c r="O5" s="114">
        <f>SUM(O3:O4)</f>
        <v>0</v>
      </c>
      <c r="P5" s="71">
        <f>SUM(L5:O5)</f>
        <v>0</v>
      </c>
      <c r="Q5" s="114">
        <f t="shared" ref="Q5:AG5" si="1">SUM(Q3:Q4)</f>
        <v>0</v>
      </c>
      <c r="R5" s="114">
        <f t="shared" si="1"/>
        <v>0</v>
      </c>
      <c r="S5" s="114">
        <f t="shared" si="1"/>
        <v>1</v>
      </c>
      <c r="T5" s="71">
        <f t="shared" si="1"/>
        <v>1</v>
      </c>
      <c r="U5" s="114">
        <f t="shared" si="1"/>
        <v>0</v>
      </c>
      <c r="V5" s="114">
        <f t="shared" si="1"/>
        <v>0</v>
      </c>
      <c r="W5" s="114">
        <f t="shared" si="1"/>
        <v>0</v>
      </c>
      <c r="X5" s="114">
        <f t="shared" si="1"/>
        <v>0</v>
      </c>
      <c r="Y5" s="114">
        <f t="shared" si="1"/>
        <v>0</v>
      </c>
      <c r="Z5" s="114">
        <f t="shared" si="1"/>
        <v>0</v>
      </c>
      <c r="AA5" s="73">
        <f t="shared" si="1"/>
        <v>0</v>
      </c>
      <c r="AB5" s="73">
        <f t="shared" si="1"/>
        <v>0</v>
      </c>
      <c r="AC5" s="73">
        <f t="shared" si="1"/>
        <v>0</v>
      </c>
      <c r="AD5" s="73">
        <f t="shared" si="1"/>
        <v>3</v>
      </c>
      <c r="AE5" s="73">
        <f t="shared" si="1"/>
        <v>3</v>
      </c>
      <c r="AF5" s="73">
        <f t="shared" si="1"/>
        <v>0</v>
      </c>
      <c r="AG5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7"/>
  <sheetViews>
    <sheetView workbookViewId="0"/>
  </sheetViews>
  <sheetFormatPr defaultColWidth="14.42578125" defaultRowHeight="15" customHeight="1"/>
  <cols>
    <col min="1" max="1" width="7.5703125" customWidth="1"/>
    <col min="2" max="2" width="19" customWidth="1"/>
    <col min="3" max="3" width="6.5703125" customWidth="1"/>
    <col min="4" max="4" width="9.28515625" customWidth="1"/>
    <col min="7" max="7" width="8.28515625" customWidth="1"/>
    <col min="8" max="8" width="6.5703125" customWidth="1"/>
    <col min="9" max="9" width="6.42578125" customWidth="1"/>
    <col min="10" max="10" width="6.7109375" customWidth="1"/>
    <col min="11" max="11" width="6.42578125" customWidth="1"/>
    <col min="12" max="12" width="5.42578125" customWidth="1"/>
    <col min="13" max="13" width="4.28515625" customWidth="1"/>
    <col min="14" max="14" width="5.140625" customWidth="1"/>
    <col min="15" max="15" width="4.42578125" customWidth="1"/>
    <col min="16" max="16" width="6" customWidth="1"/>
    <col min="17" max="17" width="6.42578125" customWidth="1"/>
    <col min="18" max="18" width="6.140625" customWidth="1"/>
    <col min="19" max="19" width="5.42578125" customWidth="1"/>
    <col min="20" max="20" width="4.7109375" customWidth="1"/>
    <col min="21" max="21" width="4.5703125" customWidth="1"/>
    <col min="22" max="22" width="4.85546875" customWidth="1"/>
    <col min="23" max="23" width="9.7109375" customWidth="1"/>
    <col min="25" max="25" width="9.140625" customWidth="1"/>
    <col min="26" max="26" width="6.140625" customWidth="1"/>
    <col min="27" max="27" width="10.5703125" customWidth="1"/>
    <col min="28" max="28" width="12" customWidth="1"/>
    <col min="29" max="29" width="3.140625" customWidth="1"/>
    <col min="30" max="30" width="6.5703125" customWidth="1"/>
    <col min="31" max="31" width="5.85546875" customWidth="1"/>
    <col min="32" max="32" width="7.42578125" customWidth="1"/>
    <col min="33" max="33" width="7.5703125" customWidth="1"/>
    <col min="34" max="34" width="5.28515625" customWidth="1"/>
    <col min="35" max="35" width="5.140625" customWidth="1"/>
    <col min="36" max="36" width="7" customWidth="1"/>
    <col min="37" max="37" width="4.42578125" customWidth="1"/>
    <col min="38" max="38" width="5" customWidth="1"/>
  </cols>
  <sheetData>
    <row r="1" spans="1:99">
      <c r="A1" s="189" t="s">
        <v>3598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3599</v>
      </c>
      <c r="B4" s="46" t="s">
        <v>3600</v>
      </c>
      <c r="C4" s="46">
        <v>27</v>
      </c>
      <c r="D4" s="46" t="s">
        <v>609</v>
      </c>
      <c r="E4" s="46" t="s">
        <v>3601</v>
      </c>
      <c r="F4" s="46" t="s">
        <v>415</v>
      </c>
      <c r="H4" s="46">
        <v>1</v>
      </c>
      <c r="M4" s="46">
        <v>1</v>
      </c>
      <c r="R4" s="46">
        <v>1</v>
      </c>
      <c r="U4" s="46">
        <v>1</v>
      </c>
      <c r="W4" s="46">
        <v>15</v>
      </c>
      <c r="X4" s="46">
        <v>16</v>
      </c>
      <c r="Y4" s="46">
        <v>16</v>
      </c>
      <c r="Z4" s="46">
        <v>3</v>
      </c>
      <c r="AA4" s="46">
        <v>3</v>
      </c>
      <c r="AB4" s="46">
        <v>3</v>
      </c>
      <c r="AD4" s="46">
        <v>1</v>
      </c>
      <c r="AE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BZ4" s="46">
        <v>1</v>
      </c>
      <c r="CC4" s="46">
        <v>1</v>
      </c>
    </row>
    <row r="5" spans="1:99">
      <c r="A5" s="46" t="s">
        <v>3602</v>
      </c>
      <c r="B5" s="46" t="s">
        <v>3603</v>
      </c>
      <c r="C5" s="46">
        <v>32</v>
      </c>
      <c r="D5" s="46" t="s">
        <v>3604</v>
      </c>
      <c r="F5" s="46" t="s">
        <v>415</v>
      </c>
      <c r="G5" s="46">
        <v>1</v>
      </c>
      <c r="M5" s="46">
        <v>1</v>
      </c>
      <c r="R5" s="46">
        <v>1</v>
      </c>
      <c r="T5" s="46">
        <v>1</v>
      </c>
      <c r="W5" s="46">
        <v>16</v>
      </c>
      <c r="X5" s="46">
        <v>16</v>
      </c>
      <c r="Y5" s="46">
        <v>18</v>
      </c>
      <c r="Z5" s="46">
        <v>6</v>
      </c>
      <c r="AA5" s="46">
        <v>4</v>
      </c>
      <c r="AB5" s="46">
        <v>4</v>
      </c>
      <c r="AD5" s="46">
        <v>1</v>
      </c>
      <c r="AE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W5" s="46">
        <v>1</v>
      </c>
      <c r="BZ5" s="46">
        <v>1</v>
      </c>
      <c r="CC5" s="46">
        <v>1</v>
      </c>
    </row>
    <row r="6" spans="1:99">
      <c r="A6" s="46" t="s">
        <v>3605</v>
      </c>
      <c r="B6" s="46" t="s">
        <v>3606</v>
      </c>
      <c r="C6" s="46">
        <v>48</v>
      </c>
      <c r="D6" s="46" t="s">
        <v>3607</v>
      </c>
      <c r="F6" s="46" t="s">
        <v>415</v>
      </c>
      <c r="G6" s="46">
        <v>1</v>
      </c>
      <c r="O6" s="46">
        <v>1</v>
      </c>
      <c r="R6" s="46">
        <v>1</v>
      </c>
      <c r="S6" s="46">
        <v>1</v>
      </c>
      <c r="W6" s="46">
        <v>12</v>
      </c>
      <c r="X6" s="46">
        <v>15</v>
      </c>
      <c r="Y6" s="46">
        <v>16</v>
      </c>
      <c r="Z6" s="46">
        <v>5</v>
      </c>
      <c r="AA6" s="46">
        <v>5</v>
      </c>
      <c r="AB6" s="46">
        <v>4</v>
      </c>
      <c r="AD6" s="46">
        <v>1</v>
      </c>
      <c r="AE6" s="46">
        <v>1</v>
      </c>
      <c r="AI6" s="46">
        <v>1</v>
      </c>
      <c r="AL6" s="46">
        <v>1</v>
      </c>
      <c r="AO6" s="46">
        <v>1</v>
      </c>
      <c r="AT6" s="46">
        <v>1</v>
      </c>
      <c r="AX6" s="46">
        <v>1</v>
      </c>
      <c r="BB6" s="46">
        <v>1</v>
      </c>
      <c r="BF6" s="46">
        <v>1</v>
      </c>
      <c r="BI6" s="46"/>
      <c r="BK6" s="46">
        <v>1</v>
      </c>
      <c r="BN6" s="46">
        <v>1</v>
      </c>
      <c r="BZ6" s="46">
        <v>1</v>
      </c>
      <c r="CC6" s="46">
        <v>1</v>
      </c>
    </row>
    <row r="7" spans="1:99">
      <c r="A7" s="46" t="s">
        <v>3608</v>
      </c>
      <c r="B7" s="46" t="s">
        <v>3609</v>
      </c>
      <c r="C7" s="46">
        <v>49</v>
      </c>
      <c r="D7" s="46" t="s">
        <v>3610</v>
      </c>
      <c r="E7" s="46" t="s">
        <v>3611</v>
      </c>
      <c r="F7" s="46" t="s">
        <v>691</v>
      </c>
      <c r="J7" s="46">
        <v>1</v>
      </c>
      <c r="M7" s="46">
        <v>1</v>
      </c>
      <c r="Q7" s="46">
        <v>1</v>
      </c>
      <c r="T7" s="46">
        <v>1</v>
      </c>
      <c r="W7" s="46">
        <v>15</v>
      </c>
      <c r="X7" s="46">
        <v>17</v>
      </c>
      <c r="Y7" s="46">
        <v>19</v>
      </c>
      <c r="Z7" s="46">
        <v>13</v>
      </c>
      <c r="AA7" s="46">
        <v>10</v>
      </c>
      <c r="AB7" s="46">
        <v>8</v>
      </c>
      <c r="AE7" s="46">
        <v>1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</row>
  </sheetData>
  <autoFilter ref="A3:CU7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5"/>
  <sheetViews>
    <sheetView workbookViewId="0"/>
  </sheetViews>
  <sheetFormatPr defaultColWidth="14.42578125" defaultRowHeight="15" customHeight="1"/>
  <cols>
    <col min="1" max="1" width="8.7109375" customWidth="1"/>
    <col min="2" max="2" width="18.28515625" customWidth="1"/>
    <col min="3" max="3" width="6.42578125" customWidth="1"/>
  </cols>
  <sheetData>
    <row r="1" spans="1:99">
      <c r="A1" s="189" t="s">
        <v>3612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 hidden="1">
      <c r="A4" s="46" t="s">
        <v>3613</v>
      </c>
      <c r="B4" s="46" t="s">
        <v>3614</v>
      </c>
      <c r="C4" s="46">
        <v>27</v>
      </c>
      <c r="D4" s="46" t="s">
        <v>3615</v>
      </c>
      <c r="E4" s="46" t="s">
        <v>3616</v>
      </c>
      <c r="F4" s="46" t="s">
        <v>145</v>
      </c>
      <c r="G4" s="46">
        <v>1</v>
      </c>
      <c r="M4" s="46">
        <v>1</v>
      </c>
      <c r="R4" s="46">
        <v>1</v>
      </c>
      <c r="T4" s="46">
        <v>1</v>
      </c>
      <c r="W4" s="46">
        <v>13</v>
      </c>
      <c r="X4" s="46">
        <v>14</v>
      </c>
      <c r="Y4" s="46">
        <v>14</v>
      </c>
      <c r="Z4" s="46">
        <v>4</v>
      </c>
      <c r="AA4" s="46">
        <v>4</v>
      </c>
      <c r="AB4" s="46">
        <v>4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CC4" s="46">
        <v>1</v>
      </c>
    </row>
    <row r="5" spans="1:99">
      <c r="A5" s="46" t="s">
        <v>3617</v>
      </c>
      <c r="B5" s="46" t="s">
        <v>3618</v>
      </c>
      <c r="C5" s="46">
        <v>40</v>
      </c>
      <c r="D5" s="46" t="s">
        <v>3619</v>
      </c>
      <c r="E5" s="46" t="s">
        <v>3620</v>
      </c>
      <c r="F5" s="46" t="s">
        <v>420</v>
      </c>
      <c r="G5" s="46">
        <v>1</v>
      </c>
      <c r="M5" s="46">
        <v>1</v>
      </c>
      <c r="Q5" s="46">
        <v>1</v>
      </c>
      <c r="U5" s="46">
        <v>1</v>
      </c>
      <c r="W5" s="46">
        <v>15</v>
      </c>
      <c r="X5" s="46">
        <v>18</v>
      </c>
      <c r="Y5" s="46">
        <v>22</v>
      </c>
      <c r="Z5" s="46">
        <v>8</v>
      </c>
      <c r="AA5" s="46">
        <v>8</v>
      </c>
      <c r="AB5" s="46">
        <v>6</v>
      </c>
      <c r="AE5" s="46">
        <v>1</v>
      </c>
      <c r="AG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N5" s="46">
        <v>1</v>
      </c>
      <c r="BO5" s="46" t="s">
        <v>3621</v>
      </c>
      <c r="BW5" s="46">
        <v>1</v>
      </c>
      <c r="CC5" s="46">
        <v>1</v>
      </c>
    </row>
  </sheetData>
  <autoFilter ref="A3:CU5">
    <filterColumn colId="2">
      <filters>
        <filter val="40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3622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3623</v>
      </c>
      <c r="B4" s="69">
        <v>1</v>
      </c>
      <c r="C4" s="69">
        <v>0</v>
      </c>
      <c r="D4" s="69">
        <v>0</v>
      </c>
      <c r="E4" s="69">
        <f>SUM(B4:D4)</f>
        <v>1</v>
      </c>
      <c r="F4" s="70">
        <v>0</v>
      </c>
      <c r="G4" s="70">
        <v>0</v>
      </c>
      <c r="H4" s="70">
        <v>0</v>
      </c>
      <c r="I4" s="70">
        <v>0</v>
      </c>
      <c r="J4" s="71">
        <f>SUM(F4:I4)</f>
        <v>0</v>
      </c>
      <c r="K4" s="70">
        <v>0</v>
      </c>
      <c r="L4" s="70">
        <v>1</v>
      </c>
      <c r="M4" s="70">
        <v>0</v>
      </c>
      <c r="N4" s="70">
        <v>0</v>
      </c>
      <c r="O4" s="70">
        <v>0</v>
      </c>
      <c r="P4" s="71">
        <f>SUM(K4:O4)</f>
        <v>1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1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1</v>
      </c>
      <c r="AE4" s="186">
        <f>SUM(AA4,AB4,AC4,AD4)</f>
        <v>1</v>
      </c>
      <c r="AF4" s="73">
        <v>0</v>
      </c>
      <c r="AG4" s="73">
        <v>0</v>
      </c>
    </row>
    <row r="5" spans="1:33">
      <c r="A5" s="69" t="s">
        <v>376</v>
      </c>
      <c r="B5" s="69">
        <f t="shared" ref="B5:I5" si="0">SUM(B3:B4)</f>
        <v>2</v>
      </c>
      <c r="C5" s="69">
        <f t="shared" si="0"/>
        <v>0</v>
      </c>
      <c r="D5" s="69">
        <f t="shared" si="0"/>
        <v>0</v>
      </c>
      <c r="E5" s="69">
        <f t="shared" si="0"/>
        <v>2</v>
      </c>
      <c r="F5" s="69">
        <f t="shared" si="0"/>
        <v>0</v>
      </c>
      <c r="G5" s="69">
        <f t="shared" si="0"/>
        <v>1</v>
      </c>
      <c r="H5" s="69">
        <f t="shared" si="0"/>
        <v>0</v>
      </c>
      <c r="I5" s="69">
        <f t="shared" si="0"/>
        <v>0</v>
      </c>
      <c r="J5" s="71">
        <f>SUM(F5:I5)</f>
        <v>1</v>
      </c>
      <c r="K5" s="114">
        <f>SUM(K3:K4)</f>
        <v>0</v>
      </c>
      <c r="L5" s="114">
        <f>SUM(L3:L4)</f>
        <v>1</v>
      </c>
      <c r="M5" s="114">
        <f>SUM(M3:M4)</f>
        <v>0</v>
      </c>
      <c r="N5" s="114">
        <f>SUM(N3:N4)</f>
        <v>0</v>
      </c>
      <c r="O5" s="114">
        <f>SUM(O3:O4)</f>
        <v>0</v>
      </c>
      <c r="P5" s="71">
        <f>SUM(K5:N5)</f>
        <v>1</v>
      </c>
      <c r="Q5" s="114">
        <f t="shared" ref="Q5:AG5" si="1">SUM(Q3:Q4)</f>
        <v>0</v>
      </c>
      <c r="R5" s="114">
        <f t="shared" si="1"/>
        <v>0</v>
      </c>
      <c r="S5" s="114">
        <f t="shared" si="1"/>
        <v>2</v>
      </c>
      <c r="T5" s="71">
        <f t="shared" si="1"/>
        <v>2</v>
      </c>
      <c r="U5" s="114">
        <f t="shared" si="1"/>
        <v>0</v>
      </c>
      <c r="V5" s="114">
        <f t="shared" si="1"/>
        <v>0</v>
      </c>
      <c r="W5" s="114">
        <f t="shared" si="1"/>
        <v>1</v>
      </c>
      <c r="X5" s="114">
        <f t="shared" si="1"/>
        <v>0</v>
      </c>
      <c r="Y5" s="114">
        <f t="shared" si="1"/>
        <v>0</v>
      </c>
      <c r="Z5" s="114">
        <f t="shared" si="1"/>
        <v>0</v>
      </c>
      <c r="AA5" s="73">
        <f t="shared" si="1"/>
        <v>0</v>
      </c>
      <c r="AB5" s="73">
        <f t="shared" si="1"/>
        <v>0</v>
      </c>
      <c r="AC5" s="73">
        <f t="shared" si="1"/>
        <v>0</v>
      </c>
      <c r="AD5" s="73">
        <f t="shared" si="1"/>
        <v>2</v>
      </c>
      <c r="AE5" s="73">
        <f t="shared" si="1"/>
        <v>2</v>
      </c>
      <c r="AF5" s="73">
        <f t="shared" si="1"/>
        <v>0</v>
      </c>
      <c r="AG5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3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8.7109375" customWidth="1"/>
    <col min="2" max="2" width="19.85546875" customWidth="1"/>
    <col min="3" max="3" width="5" customWidth="1"/>
    <col min="7" max="7" width="5.140625" customWidth="1"/>
    <col min="8" max="8" width="5.85546875" customWidth="1"/>
    <col min="9" max="9" width="5.42578125" customWidth="1"/>
    <col min="10" max="10" width="6.7109375" customWidth="1"/>
    <col min="11" max="11" width="6.42578125" customWidth="1"/>
    <col min="12" max="12" width="5.140625" customWidth="1"/>
    <col min="13" max="13" width="5" customWidth="1"/>
    <col min="14" max="14" width="4.7109375" customWidth="1"/>
    <col min="15" max="15" width="4.42578125" customWidth="1"/>
    <col min="16" max="16" width="5.28515625" customWidth="1"/>
    <col min="17" max="17" width="6.42578125" customWidth="1"/>
    <col min="18" max="18" width="7.42578125" customWidth="1"/>
    <col min="19" max="19" width="6.42578125" customWidth="1"/>
    <col min="20" max="20" width="5" customWidth="1"/>
    <col min="21" max="21" width="4.7109375" customWidth="1"/>
    <col min="22" max="22" width="5.42578125" customWidth="1"/>
    <col min="23" max="23" width="9.7109375" customWidth="1"/>
    <col min="25" max="25" width="10.5703125" customWidth="1"/>
    <col min="26" max="26" width="7.140625" customWidth="1"/>
    <col min="27" max="27" width="10.42578125" customWidth="1"/>
    <col min="28" max="28" width="12" customWidth="1"/>
    <col min="29" max="29" width="4.28515625" customWidth="1"/>
    <col min="30" max="30" width="6.5703125" customWidth="1"/>
    <col min="31" max="31" width="6.140625" customWidth="1"/>
    <col min="32" max="32" width="7.42578125" customWidth="1"/>
    <col min="33" max="33" width="7" customWidth="1"/>
    <col min="34" max="34" width="4.7109375" customWidth="1"/>
    <col min="35" max="35" width="5.5703125" customWidth="1"/>
    <col min="36" max="36" width="6.7109375" customWidth="1"/>
    <col min="37" max="37" width="5.7109375" customWidth="1"/>
    <col min="38" max="38" width="5.28515625" customWidth="1"/>
    <col min="39" max="39" width="10.42578125" customWidth="1"/>
    <col min="40" max="40" width="10.28515625" customWidth="1"/>
    <col min="41" max="41" width="7.5703125" customWidth="1"/>
    <col min="42" max="42" width="8.140625" customWidth="1"/>
    <col min="46" max="46" width="6.85546875" customWidth="1"/>
    <col min="47" max="47" width="9.140625" customWidth="1"/>
    <col min="48" max="48" width="6.140625" customWidth="1"/>
    <col min="49" max="49" width="7.85546875" customWidth="1"/>
    <col min="50" max="50" width="7.5703125" customWidth="1"/>
    <col min="51" max="51" width="7.42578125" customWidth="1"/>
    <col min="52" max="52" width="4.42578125" customWidth="1"/>
    <col min="53" max="53" width="4.5703125" customWidth="1"/>
    <col min="54" max="54" width="4.7109375" customWidth="1"/>
    <col min="55" max="55" width="7.42578125" customWidth="1"/>
    <col min="56" max="56" width="8.5703125" customWidth="1"/>
    <col min="57" max="57" width="5.85546875" customWidth="1"/>
    <col min="58" max="58" width="4.7109375" customWidth="1"/>
    <col min="60" max="60" width="4.28515625" customWidth="1"/>
    <col min="61" max="61" width="7.140625" customWidth="1"/>
    <col min="62" max="62" width="8.42578125" customWidth="1"/>
    <col min="63" max="63" width="9.5703125" customWidth="1"/>
    <col min="64" max="64" width="12.7109375" customWidth="1"/>
    <col min="65" max="65" width="6.7109375" customWidth="1"/>
    <col min="66" max="66" width="5" customWidth="1"/>
    <col min="67" max="67" width="6.5703125" customWidth="1"/>
    <col min="68" max="68" width="5.85546875" customWidth="1"/>
    <col min="69" max="69" width="6" customWidth="1"/>
    <col min="70" max="70" width="8.7109375" customWidth="1"/>
  </cols>
  <sheetData>
    <row r="1" spans="1:99" ht="18.75" customHeight="1">
      <c r="A1" s="189" t="s">
        <v>3624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510" t="s">
        <v>6</v>
      </c>
      <c r="X1" s="481"/>
      <c r="Y1" s="481"/>
      <c r="Z1" s="481"/>
      <c r="AA1" s="481"/>
      <c r="AB1" s="480"/>
      <c r="AC1" s="510" t="s">
        <v>7</v>
      </c>
      <c r="AD1" s="481"/>
      <c r="AE1" s="481"/>
      <c r="AF1" s="481"/>
      <c r="AG1" s="481"/>
      <c r="AH1" s="480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3625</v>
      </c>
      <c r="B4" s="46" t="s">
        <v>3626</v>
      </c>
      <c r="C4" s="46">
        <v>49</v>
      </c>
      <c r="D4" s="46" t="s">
        <v>3627</v>
      </c>
      <c r="E4" s="46" t="s">
        <v>3628</v>
      </c>
      <c r="F4" s="46" t="s">
        <v>477</v>
      </c>
      <c r="J4" s="46">
        <v>1</v>
      </c>
      <c r="M4" s="46">
        <v>1</v>
      </c>
      <c r="Q4" s="46">
        <v>1</v>
      </c>
      <c r="S4" s="46">
        <v>1</v>
      </c>
      <c r="W4" s="46">
        <v>14</v>
      </c>
      <c r="X4" s="46">
        <v>15</v>
      </c>
      <c r="Y4" s="46">
        <v>16</v>
      </c>
      <c r="Z4" s="46">
        <v>8</v>
      </c>
      <c r="AA4" s="46">
        <v>8</v>
      </c>
      <c r="AB4" s="46">
        <v>8</v>
      </c>
      <c r="AE4" s="46">
        <v>1</v>
      </c>
      <c r="AF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J4" s="46">
        <v>1</v>
      </c>
      <c r="BW4" s="46">
        <v>1</v>
      </c>
      <c r="BZ4" s="46"/>
      <c r="CC4" s="46">
        <v>1</v>
      </c>
    </row>
    <row r="5" spans="1:99">
      <c r="A5" s="46" t="s">
        <v>3629</v>
      </c>
      <c r="B5" s="46" t="s">
        <v>3630</v>
      </c>
      <c r="C5" s="46">
        <v>23</v>
      </c>
      <c r="D5" s="46" t="s">
        <v>414</v>
      </c>
      <c r="E5" s="46" t="s">
        <v>3631</v>
      </c>
      <c r="F5" s="46" t="s">
        <v>112</v>
      </c>
      <c r="G5" s="46">
        <v>1</v>
      </c>
      <c r="M5" s="46">
        <v>1</v>
      </c>
      <c r="Q5" s="46">
        <v>1</v>
      </c>
      <c r="U5" s="46">
        <v>1</v>
      </c>
      <c r="W5" s="46">
        <v>16</v>
      </c>
      <c r="X5" s="46">
        <v>16</v>
      </c>
      <c r="Y5" s="46">
        <v>21</v>
      </c>
      <c r="Z5" s="46">
        <v>1</v>
      </c>
      <c r="AA5" s="46">
        <v>1</v>
      </c>
      <c r="AB5" s="46">
        <v>0</v>
      </c>
      <c r="AG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J5" s="46">
        <v>1</v>
      </c>
      <c r="BW5" s="46">
        <v>1</v>
      </c>
      <c r="BZ5" s="46"/>
      <c r="CC5" s="46">
        <v>1</v>
      </c>
      <c r="CL5" s="46">
        <v>1</v>
      </c>
    </row>
    <row r="6" spans="1:99">
      <c r="A6" s="46" t="s">
        <v>3632</v>
      </c>
      <c r="B6" s="46" t="s">
        <v>3633</v>
      </c>
      <c r="C6" s="46">
        <v>20</v>
      </c>
      <c r="D6" s="46" t="s">
        <v>3634</v>
      </c>
      <c r="E6" s="46" t="s">
        <v>3635</v>
      </c>
      <c r="F6" s="46" t="s">
        <v>112</v>
      </c>
      <c r="H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16</v>
      </c>
      <c r="Y6" s="46">
        <v>18</v>
      </c>
      <c r="Z6" s="46">
        <v>1</v>
      </c>
      <c r="AA6" s="46">
        <v>1</v>
      </c>
      <c r="AB6" s="46">
        <v>1</v>
      </c>
      <c r="AG6" s="46">
        <v>1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W6" s="46">
        <v>1</v>
      </c>
      <c r="CA6" s="46">
        <v>1</v>
      </c>
      <c r="CB6" s="46">
        <v>2021</v>
      </c>
      <c r="CC6" s="46">
        <v>1</v>
      </c>
      <c r="CI6" s="46">
        <v>1</v>
      </c>
    </row>
    <row r="7" spans="1:99">
      <c r="A7" s="46" t="s">
        <v>3636</v>
      </c>
      <c r="B7" s="46" t="s">
        <v>1741</v>
      </c>
      <c r="C7" s="46">
        <v>50</v>
      </c>
      <c r="D7" s="46" t="s">
        <v>513</v>
      </c>
      <c r="E7" s="46" t="s">
        <v>3637</v>
      </c>
      <c r="F7" s="46" t="s">
        <v>3638</v>
      </c>
      <c r="H7" s="46">
        <v>1</v>
      </c>
      <c r="M7" s="46">
        <v>1</v>
      </c>
      <c r="R7" s="46">
        <v>1</v>
      </c>
      <c r="T7" s="46">
        <v>1</v>
      </c>
      <c r="W7" s="46">
        <v>16</v>
      </c>
      <c r="X7" s="46">
        <v>18</v>
      </c>
      <c r="Y7" s="46">
        <v>18</v>
      </c>
      <c r="Z7" s="46">
        <v>12</v>
      </c>
      <c r="AA7" s="46">
        <v>10</v>
      </c>
      <c r="AB7" s="46">
        <v>8</v>
      </c>
      <c r="AE7" s="46">
        <v>1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J7" s="46">
        <v>1</v>
      </c>
      <c r="BW7" s="46">
        <v>1</v>
      </c>
      <c r="CC7" s="46">
        <v>1</v>
      </c>
      <c r="CI7" s="46">
        <v>1</v>
      </c>
    </row>
    <row r="8" spans="1:99">
      <c r="A8" s="46" t="s">
        <v>3639</v>
      </c>
      <c r="B8" s="46" t="s">
        <v>3640</v>
      </c>
      <c r="C8" s="46">
        <v>27</v>
      </c>
      <c r="D8" s="46" t="s">
        <v>3627</v>
      </c>
      <c r="E8" s="46" t="s">
        <v>3641</v>
      </c>
      <c r="F8" s="46" t="s">
        <v>112</v>
      </c>
      <c r="I8" s="46">
        <v>1</v>
      </c>
      <c r="M8" s="46">
        <v>1</v>
      </c>
      <c r="Q8" s="46">
        <v>1</v>
      </c>
      <c r="T8" s="46">
        <v>1</v>
      </c>
      <c r="W8" s="46">
        <v>13</v>
      </c>
      <c r="X8" s="46">
        <v>18</v>
      </c>
      <c r="Y8" s="46">
        <v>19</v>
      </c>
      <c r="Z8" s="46">
        <v>6</v>
      </c>
      <c r="AA8" s="46">
        <v>6</v>
      </c>
      <c r="AB8" s="46">
        <v>6</v>
      </c>
      <c r="AG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J8" s="46">
        <v>1</v>
      </c>
      <c r="BW8" s="46">
        <v>1</v>
      </c>
      <c r="CC8" s="46">
        <v>1</v>
      </c>
      <c r="CI8" s="46">
        <v>1</v>
      </c>
    </row>
    <row r="9" spans="1:99">
      <c r="A9" s="46" t="s">
        <v>3642</v>
      </c>
      <c r="B9" s="46" t="s">
        <v>3643</v>
      </c>
      <c r="C9" s="46">
        <v>21</v>
      </c>
      <c r="D9" s="46" t="s">
        <v>3627</v>
      </c>
      <c r="E9" s="46" t="s">
        <v>3644</v>
      </c>
      <c r="F9" s="46" t="s">
        <v>477</v>
      </c>
      <c r="J9" s="46">
        <v>1</v>
      </c>
      <c r="M9" s="46">
        <v>1</v>
      </c>
      <c r="Q9" s="46">
        <v>1</v>
      </c>
      <c r="S9" s="46">
        <v>1</v>
      </c>
      <c r="W9" s="46">
        <v>16</v>
      </c>
      <c r="X9" s="46">
        <v>16</v>
      </c>
      <c r="Y9" s="46">
        <v>19</v>
      </c>
      <c r="Z9" s="46">
        <v>19</v>
      </c>
      <c r="AA9" s="46">
        <v>2</v>
      </c>
      <c r="AB9" s="46">
        <v>2</v>
      </c>
      <c r="AF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J9" s="46">
        <v>1</v>
      </c>
      <c r="BW9" s="46">
        <v>1</v>
      </c>
      <c r="CC9" s="46">
        <v>1</v>
      </c>
      <c r="CI9" s="46">
        <v>1</v>
      </c>
    </row>
    <row r="10" spans="1:99">
      <c r="A10" s="46" t="s">
        <v>3645</v>
      </c>
      <c r="B10" s="46" t="s">
        <v>3646</v>
      </c>
      <c r="C10" s="46">
        <v>28</v>
      </c>
      <c r="D10" s="46" t="s">
        <v>3627</v>
      </c>
      <c r="E10" s="46" t="s">
        <v>3647</v>
      </c>
      <c r="F10" s="46" t="s">
        <v>455</v>
      </c>
      <c r="H10" s="46">
        <v>1</v>
      </c>
      <c r="M10" s="46">
        <v>1</v>
      </c>
      <c r="Q10" s="46">
        <v>1</v>
      </c>
      <c r="V10" s="46">
        <v>1</v>
      </c>
      <c r="W10" s="46">
        <v>14</v>
      </c>
      <c r="X10" s="46">
        <v>14</v>
      </c>
      <c r="Y10" s="46">
        <v>14</v>
      </c>
      <c r="Z10" s="46">
        <v>14</v>
      </c>
      <c r="AA10" s="46">
        <v>3</v>
      </c>
      <c r="AB10" s="46">
        <v>3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W10" s="46">
        <v>1</v>
      </c>
      <c r="CC10" s="46">
        <v>1</v>
      </c>
      <c r="CI10" s="46">
        <v>1</v>
      </c>
    </row>
    <row r="11" spans="1:99">
      <c r="A11" s="46" t="s">
        <v>3648</v>
      </c>
      <c r="B11" s="46" t="s">
        <v>3649</v>
      </c>
      <c r="C11" s="46">
        <v>30</v>
      </c>
      <c r="D11" s="46" t="s">
        <v>3627</v>
      </c>
      <c r="E11" s="46" t="s">
        <v>3650</v>
      </c>
      <c r="F11" s="46" t="s">
        <v>594</v>
      </c>
      <c r="H11" s="46">
        <v>1</v>
      </c>
      <c r="M11" s="46">
        <v>1</v>
      </c>
      <c r="Q11" s="46">
        <v>1</v>
      </c>
      <c r="U11" s="46">
        <v>1</v>
      </c>
      <c r="W11" s="46">
        <v>14</v>
      </c>
      <c r="X11" s="46">
        <v>19</v>
      </c>
      <c r="Y11" s="46">
        <v>22</v>
      </c>
      <c r="Z11" s="46">
        <v>3</v>
      </c>
      <c r="AA11" s="46">
        <v>3</v>
      </c>
      <c r="AB11" s="46">
        <v>3</v>
      </c>
      <c r="AH11" s="46">
        <v>1</v>
      </c>
      <c r="AI11" s="46">
        <v>1</v>
      </c>
      <c r="AL11" s="46">
        <v>1</v>
      </c>
      <c r="AO11" s="46">
        <v>1</v>
      </c>
      <c r="AT11" s="46">
        <v>1</v>
      </c>
      <c r="AW11" s="46">
        <v>1</v>
      </c>
      <c r="BA11" s="46">
        <v>1</v>
      </c>
      <c r="BI11" s="46">
        <v>1</v>
      </c>
      <c r="BW11" s="46">
        <v>1</v>
      </c>
      <c r="CC11" s="46">
        <v>1</v>
      </c>
      <c r="CI11" s="46">
        <v>1</v>
      </c>
    </row>
    <row r="12" spans="1:99">
      <c r="A12" s="46" t="s">
        <v>3651</v>
      </c>
      <c r="B12" s="46" t="s">
        <v>3652</v>
      </c>
      <c r="C12" s="46">
        <v>42</v>
      </c>
      <c r="D12" s="46" t="s">
        <v>3653</v>
      </c>
      <c r="E12" s="46" t="s">
        <v>3654</v>
      </c>
      <c r="F12" s="46" t="s">
        <v>112</v>
      </c>
      <c r="J12" s="46">
        <v>1</v>
      </c>
      <c r="M12" s="46">
        <v>1</v>
      </c>
      <c r="Q12" s="46">
        <v>1</v>
      </c>
      <c r="U12" s="46">
        <v>1</v>
      </c>
      <c r="W12" s="46">
        <v>12</v>
      </c>
      <c r="X12" s="46">
        <v>22</v>
      </c>
      <c r="Y12" s="46">
        <v>22</v>
      </c>
      <c r="Z12" s="46">
        <v>6</v>
      </c>
      <c r="AA12" s="46">
        <v>6</v>
      </c>
      <c r="AB12" s="46">
        <v>6</v>
      </c>
      <c r="AE12" s="46">
        <v>1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BN12" s="46">
        <v>1</v>
      </c>
      <c r="BO12" s="46" t="s">
        <v>3655</v>
      </c>
      <c r="CC12" s="46">
        <v>1</v>
      </c>
      <c r="CU12" s="46">
        <v>1</v>
      </c>
    </row>
    <row r="13" spans="1:99">
      <c r="A13" s="46" t="s">
        <v>3656</v>
      </c>
      <c r="B13" s="46" t="s">
        <v>3657</v>
      </c>
      <c r="C13" s="46">
        <v>38</v>
      </c>
      <c r="D13" s="46" t="s">
        <v>414</v>
      </c>
      <c r="E13" s="46" t="s">
        <v>3658</v>
      </c>
      <c r="F13" s="46" t="s">
        <v>112</v>
      </c>
      <c r="H13" s="46">
        <v>1</v>
      </c>
      <c r="M13" s="46">
        <v>1</v>
      </c>
      <c r="R13" s="46">
        <v>1</v>
      </c>
      <c r="T13" s="46">
        <v>1</v>
      </c>
      <c r="W13" s="46">
        <v>17</v>
      </c>
      <c r="X13" s="46">
        <v>17</v>
      </c>
      <c r="Y13" s="46">
        <v>19</v>
      </c>
      <c r="Z13" s="46">
        <v>5</v>
      </c>
      <c r="AA13" s="46">
        <v>4</v>
      </c>
      <c r="AB13" s="46">
        <v>4</v>
      </c>
      <c r="AE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CC13" s="46">
        <v>1</v>
      </c>
      <c r="CI13" s="46">
        <v>1</v>
      </c>
    </row>
    <row r="14" spans="1:99">
      <c r="A14" s="46" t="s">
        <v>3659</v>
      </c>
      <c r="B14" s="46" t="s">
        <v>3660</v>
      </c>
      <c r="C14" s="46">
        <v>45</v>
      </c>
      <c r="D14" s="46" t="s">
        <v>3653</v>
      </c>
      <c r="E14" s="46" t="s">
        <v>3661</v>
      </c>
      <c r="F14" s="46" t="s">
        <v>112</v>
      </c>
      <c r="H14" s="46">
        <v>1</v>
      </c>
      <c r="M14" s="46">
        <v>1</v>
      </c>
      <c r="R14" s="46">
        <v>1</v>
      </c>
      <c r="T14" s="46">
        <v>1</v>
      </c>
      <c r="W14" s="46">
        <v>13</v>
      </c>
      <c r="X14" s="46">
        <v>15</v>
      </c>
      <c r="Y14" s="46">
        <v>15</v>
      </c>
      <c r="Z14" s="46">
        <v>7</v>
      </c>
      <c r="AA14" s="46">
        <v>7</v>
      </c>
      <c r="AB14" s="46">
        <v>7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J14" s="46">
        <v>1</v>
      </c>
      <c r="CC14" s="46">
        <v>1</v>
      </c>
      <c r="CI14" s="46">
        <v>1</v>
      </c>
    </row>
    <row r="15" spans="1:99">
      <c r="A15" s="46" t="s">
        <v>3662</v>
      </c>
      <c r="B15" s="46" t="s">
        <v>3663</v>
      </c>
      <c r="C15" s="46">
        <v>43</v>
      </c>
      <c r="D15" s="46" t="s">
        <v>414</v>
      </c>
      <c r="E15" s="46" t="s">
        <v>3664</v>
      </c>
      <c r="F15" s="46" t="s">
        <v>112</v>
      </c>
      <c r="K15" s="46">
        <v>1</v>
      </c>
      <c r="O15" s="46">
        <v>1</v>
      </c>
      <c r="U15" s="46">
        <v>1</v>
      </c>
      <c r="W15" s="46">
        <v>17</v>
      </c>
      <c r="X15" s="46">
        <v>18</v>
      </c>
      <c r="Y15" s="46">
        <v>18</v>
      </c>
      <c r="Z15" s="46">
        <v>3</v>
      </c>
      <c r="AA15" s="46">
        <v>3</v>
      </c>
      <c r="AB15" s="46">
        <v>3</v>
      </c>
      <c r="AE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CC15" s="46">
        <v>1</v>
      </c>
      <c r="CI15" s="46">
        <v>1</v>
      </c>
    </row>
    <row r="16" spans="1:99">
      <c r="A16" s="46" t="s">
        <v>3665</v>
      </c>
      <c r="B16" s="46" t="s">
        <v>3666</v>
      </c>
      <c r="C16" s="46">
        <v>18</v>
      </c>
      <c r="D16" s="46" t="s">
        <v>3627</v>
      </c>
      <c r="E16" s="46" t="s">
        <v>3667</v>
      </c>
      <c r="F16" s="46" t="s">
        <v>3668</v>
      </c>
      <c r="G16" s="46">
        <v>1</v>
      </c>
      <c r="M16" s="46">
        <v>1</v>
      </c>
      <c r="Q16" s="46">
        <v>1</v>
      </c>
      <c r="T16" s="46">
        <v>1</v>
      </c>
      <c r="W16" s="46">
        <v>12</v>
      </c>
      <c r="X16" s="46">
        <v>15</v>
      </c>
      <c r="Y16" s="46">
        <v>16</v>
      </c>
      <c r="Z16" s="46">
        <v>1</v>
      </c>
      <c r="AA16" s="46">
        <v>1</v>
      </c>
      <c r="AB16" s="46">
        <v>1</v>
      </c>
      <c r="AE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CC16" s="46">
        <v>1</v>
      </c>
      <c r="CI16" s="46">
        <v>1</v>
      </c>
    </row>
    <row r="17" spans="1:99">
      <c r="A17" s="46" t="s">
        <v>3669</v>
      </c>
      <c r="B17" s="46" t="s">
        <v>3670</v>
      </c>
      <c r="C17" s="46">
        <v>18</v>
      </c>
      <c r="D17" s="46" t="s">
        <v>3627</v>
      </c>
      <c r="F17" s="46" t="s">
        <v>145</v>
      </c>
      <c r="J17" s="46">
        <v>1</v>
      </c>
      <c r="M17" s="46">
        <v>1</v>
      </c>
      <c r="Q17" s="46">
        <v>1</v>
      </c>
      <c r="T17" s="46">
        <v>1</v>
      </c>
      <c r="W17" s="46">
        <v>13</v>
      </c>
      <c r="X17" s="46">
        <v>14</v>
      </c>
      <c r="Y17" s="46">
        <v>17</v>
      </c>
      <c r="Z17" s="46">
        <v>1</v>
      </c>
      <c r="AA17" s="46">
        <v>1</v>
      </c>
      <c r="AB17" s="46">
        <v>1</v>
      </c>
      <c r="AD17" s="46">
        <v>1</v>
      </c>
      <c r="AE17" s="46">
        <v>1</v>
      </c>
      <c r="AF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CC17" s="46">
        <v>1</v>
      </c>
      <c r="CI17" s="46">
        <v>1</v>
      </c>
    </row>
    <row r="18" spans="1:99">
      <c r="A18" s="46" t="s">
        <v>3671</v>
      </c>
      <c r="B18" s="46" t="s">
        <v>3672</v>
      </c>
      <c r="C18" s="46">
        <v>48</v>
      </c>
      <c r="D18" s="46" t="s">
        <v>3627</v>
      </c>
      <c r="F18" s="46" t="s">
        <v>112</v>
      </c>
      <c r="H18" s="46">
        <v>1</v>
      </c>
      <c r="M18" s="46">
        <v>1</v>
      </c>
      <c r="R18" s="46">
        <v>1</v>
      </c>
      <c r="T18" s="46">
        <v>1</v>
      </c>
      <c r="W18" s="46">
        <v>14</v>
      </c>
      <c r="X18" s="46">
        <v>16</v>
      </c>
      <c r="Y18" s="46">
        <v>18</v>
      </c>
      <c r="Z18" s="46">
        <v>9</v>
      </c>
      <c r="AA18" s="46">
        <v>7</v>
      </c>
      <c r="AB18" s="46">
        <v>7</v>
      </c>
      <c r="AE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J18" s="46">
        <v>1</v>
      </c>
      <c r="CC18" s="46">
        <v>1</v>
      </c>
    </row>
    <row r="19" spans="1:99">
      <c r="A19" s="46" t="s">
        <v>3673</v>
      </c>
      <c r="B19" s="46" t="s">
        <v>3674</v>
      </c>
      <c r="C19" s="46">
        <v>49</v>
      </c>
      <c r="D19" s="46" t="s">
        <v>3627</v>
      </c>
      <c r="E19" s="46" t="s">
        <v>3675</v>
      </c>
      <c r="F19" s="46" t="s">
        <v>420</v>
      </c>
      <c r="H19" s="46">
        <v>1</v>
      </c>
      <c r="M19" s="46">
        <v>1</v>
      </c>
      <c r="Q19" s="46">
        <v>1</v>
      </c>
      <c r="T19" s="46">
        <v>1</v>
      </c>
      <c r="W19" s="46">
        <v>16</v>
      </c>
      <c r="X19" s="46">
        <v>17</v>
      </c>
      <c r="Y19" s="46">
        <v>17</v>
      </c>
      <c r="Z19" s="46">
        <v>9</v>
      </c>
      <c r="AA19" s="46">
        <v>9</v>
      </c>
      <c r="AB19" s="46">
        <v>7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J19" s="46">
        <v>1</v>
      </c>
      <c r="CC19" s="46">
        <v>1</v>
      </c>
    </row>
    <row r="20" spans="1:99">
      <c r="A20" s="46" t="s">
        <v>3676</v>
      </c>
      <c r="B20" s="46" t="s">
        <v>3594</v>
      </c>
      <c r="C20" s="46">
        <v>22</v>
      </c>
      <c r="D20" s="46" t="s">
        <v>3653</v>
      </c>
      <c r="E20" s="46" t="s">
        <v>3677</v>
      </c>
      <c r="F20" s="46" t="s">
        <v>181</v>
      </c>
      <c r="J20" s="46">
        <v>1</v>
      </c>
      <c r="M20" s="46">
        <v>1</v>
      </c>
      <c r="Q20" s="46">
        <v>1</v>
      </c>
      <c r="U20" s="46">
        <v>1</v>
      </c>
      <c r="W20" s="46">
        <v>18</v>
      </c>
      <c r="X20" s="46">
        <v>20</v>
      </c>
      <c r="Y20" s="46">
        <v>21</v>
      </c>
      <c r="Z20" s="46">
        <v>2</v>
      </c>
      <c r="AA20" s="46">
        <v>2</v>
      </c>
      <c r="AB20" s="46">
        <v>2</v>
      </c>
      <c r="AE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CC20" s="46">
        <v>1</v>
      </c>
      <c r="CL20" s="46">
        <v>1</v>
      </c>
    </row>
    <row r="21" spans="1:99">
      <c r="A21" s="46" t="s">
        <v>3678</v>
      </c>
      <c r="B21" s="46" t="s">
        <v>3679</v>
      </c>
      <c r="C21" s="46">
        <v>43</v>
      </c>
      <c r="D21" s="46" t="s">
        <v>3653</v>
      </c>
      <c r="E21" s="46" t="s">
        <v>3680</v>
      </c>
      <c r="F21" s="46" t="s">
        <v>112</v>
      </c>
      <c r="G21" s="46">
        <v>1</v>
      </c>
      <c r="H21" s="46"/>
      <c r="M21" s="46">
        <v>1</v>
      </c>
      <c r="Q21" s="46">
        <v>1</v>
      </c>
      <c r="T21" s="46">
        <v>1</v>
      </c>
      <c r="W21" s="46">
        <v>13</v>
      </c>
      <c r="X21" s="46">
        <v>17</v>
      </c>
      <c r="Y21" s="46">
        <v>19</v>
      </c>
      <c r="Z21" s="46">
        <v>9</v>
      </c>
      <c r="AA21" s="46">
        <v>9</v>
      </c>
      <c r="AB21" s="46">
        <v>9</v>
      </c>
      <c r="AD21" s="46">
        <v>1</v>
      </c>
      <c r="AE21" s="46">
        <v>1</v>
      </c>
      <c r="AG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J21" s="46">
        <v>1</v>
      </c>
      <c r="CC21" s="46">
        <v>1</v>
      </c>
    </row>
    <row r="22" spans="1:99">
      <c r="A22" s="46" t="s">
        <v>3681</v>
      </c>
      <c r="B22" s="46" t="s">
        <v>3682</v>
      </c>
      <c r="C22" s="46">
        <v>43</v>
      </c>
      <c r="D22" s="46" t="s">
        <v>3653</v>
      </c>
      <c r="E22" s="46" t="s">
        <v>3683</v>
      </c>
      <c r="F22" s="46" t="s">
        <v>112</v>
      </c>
      <c r="H22" s="46">
        <v>1</v>
      </c>
      <c r="M22" s="46">
        <v>1</v>
      </c>
      <c r="R22" s="46">
        <v>1</v>
      </c>
      <c r="U22" s="46">
        <v>1</v>
      </c>
      <c r="W22" s="46">
        <v>16</v>
      </c>
      <c r="X22" s="46">
        <v>17</v>
      </c>
      <c r="Y22" s="46">
        <v>17</v>
      </c>
      <c r="Z22" s="46">
        <v>8</v>
      </c>
      <c r="AA22" s="46">
        <v>6</v>
      </c>
      <c r="AB22" s="46">
        <v>6</v>
      </c>
      <c r="AD22" s="46">
        <v>1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J22" s="46">
        <v>1</v>
      </c>
      <c r="CC22" s="46">
        <v>1</v>
      </c>
    </row>
    <row r="23" spans="1:99">
      <c r="A23" s="46" t="s">
        <v>3684</v>
      </c>
      <c r="B23" s="46" t="s">
        <v>3685</v>
      </c>
      <c r="C23" s="46">
        <v>40</v>
      </c>
      <c r="D23" s="46" t="s">
        <v>3627</v>
      </c>
      <c r="F23" s="46" t="s">
        <v>444</v>
      </c>
      <c r="I23" s="46">
        <v>1</v>
      </c>
      <c r="M23" s="46">
        <v>1</v>
      </c>
      <c r="Q23" s="46">
        <v>1</v>
      </c>
      <c r="T23" s="46">
        <v>1</v>
      </c>
      <c r="W23" s="46">
        <v>20</v>
      </c>
      <c r="X23" s="46">
        <v>20</v>
      </c>
      <c r="Y23" s="46">
        <v>20</v>
      </c>
      <c r="Z23" s="46">
        <v>8</v>
      </c>
      <c r="AA23" s="46">
        <v>8</v>
      </c>
      <c r="AB23" s="46">
        <v>8</v>
      </c>
      <c r="AE23" s="46">
        <v>1</v>
      </c>
      <c r="AG23" s="46">
        <v>1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J23" s="46">
        <v>1</v>
      </c>
      <c r="CC23" s="46">
        <v>1</v>
      </c>
    </row>
    <row r="24" spans="1:99">
      <c r="A24" s="46" t="s">
        <v>3686</v>
      </c>
      <c r="B24" s="46" t="s">
        <v>3687</v>
      </c>
      <c r="C24" s="46">
        <v>57</v>
      </c>
      <c r="D24" s="46" t="s">
        <v>414</v>
      </c>
      <c r="F24" s="46" t="s">
        <v>112</v>
      </c>
      <c r="G24" s="46">
        <v>1</v>
      </c>
      <c r="P24" s="46">
        <v>1</v>
      </c>
      <c r="T24" s="46">
        <v>1</v>
      </c>
      <c r="W24" s="46">
        <v>15</v>
      </c>
      <c r="X24" s="46">
        <v>17</v>
      </c>
      <c r="Y24" s="46">
        <v>17</v>
      </c>
      <c r="Z24" s="46">
        <v>9</v>
      </c>
      <c r="AA24" s="46">
        <v>9</v>
      </c>
      <c r="AB24" s="46">
        <v>9</v>
      </c>
      <c r="AE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BN24" s="46">
        <v>1</v>
      </c>
      <c r="BO24" s="46" t="s">
        <v>3655</v>
      </c>
      <c r="CC24" s="46">
        <v>1</v>
      </c>
      <c r="CU24" s="46">
        <v>1</v>
      </c>
    </row>
    <row r="25" spans="1:99">
      <c r="A25" s="46" t="s">
        <v>3688</v>
      </c>
      <c r="B25" s="46" t="s">
        <v>3689</v>
      </c>
      <c r="C25" s="46">
        <v>51</v>
      </c>
      <c r="D25" s="46" t="s">
        <v>414</v>
      </c>
      <c r="E25" s="46" t="s">
        <v>3690</v>
      </c>
      <c r="F25" s="46" t="s">
        <v>415</v>
      </c>
      <c r="J25" s="46">
        <v>1</v>
      </c>
      <c r="P25" s="46">
        <v>1</v>
      </c>
      <c r="T25" s="46">
        <v>1</v>
      </c>
      <c r="W25" s="46">
        <v>14</v>
      </c>
      <c r="X25" s="46">
        <v>14</v>
      </c>
      <c r="Y25" s="46">
        <v>16</v>
      </c>
      <c r="Z25" s="46">
        <v>9</v>
      </c>
      <c r="AA25" s="46">
        <v>9</v>
      </c>
      <c r="AB25" s="46">
        <v>8</v>
      </c>
      <c r="AH25" s="46">
        <v>1</v>
      </c>
      <c r="AI25" s="46">
        <v>1</v>
      </c>
      <c r="AL25" s="46">
        <v>1</v>
      </c>
      <c r="AO25" s="46">
        <v>1</v>
      </c>
      <c r="AT25" s="46">
        <v>1</v>
      </c>
      <c r="AW25" s="46">
        <v>1</v>
      </c>
      <c r="BA25" s="46">
        <v>1</v>
      </c>
      <c r="BJ25" s="46">
        <v>1</v>
      </c>
      <c r="CC25" s="46">
        <v>1</v>
      </c>
      <c r="CI25" s="46">
        <v>1</v>
      </c>
    </row>
    <row r="26" spans="1:99">
      <c r="A26" s="46" t="s">
        <v>3691</v>
      </c>
      <c r="B26" s="46" t="s">
        <v>3692</v>
      </c>
      <c r="C26" s="46">
        <v>51</v>
      </c>
      <c r="D26" s="46" t="s">
        <v>3627</v>
      </c>
      <c r="F26" s="46" t="s">
        <v>444</v>
      </c>
      <c r="G26" s="46">
        <v>1</v>
      </c>
      <c r="P26" s="46">
        <v>1</v>
      </c>
      <c r="S26" s="46">
        <v>1</v>
      </c>
      <c r="W26" s="46">
        <v>15</v>
      </c>
      <c r="X26" s="46">
        <v>20</v>
      </c>
      <c r="Y26" s="46">
        <v>21</v>
      </c>
      <c r="Z26" s="46">
        <v>7</v>
      </c>
      <c r="AA26" s="46">
        <v>7</v>
      </c>
      <c r="AB26" s="46">
        <v>7</v>
      </c>
      <c r="AE26" s="46">
        <v>1</v>
      </c>
      <c r="AH26" s="46">
        <v>1</v>
      </c>
      <c r="AI26" s="46">
        <v>1</v>
      </c>
      <c r="AL26" s="46">
        <v>1</v>
      </c>
      <c r="AO26" s="46">
        <v>1</v>
      </c>
      <c r="AT26" s="46">
        <v>1</v>
      </c>
      <c r="AW26" s="46">
        <v>1</v>
      </c>
      <c r="BA26" s="46">
        <v>1</v>
      </c>
      <c r="BJ26" s="46">
        <v>1</v>
      </c>
      <c r="CC26" s="46">
        <v>1</v>
      </c>
      <c r="CI26" s="46">
        <v>1</v>
      </c>
    </row>
    <row r="27" spans="1:99">
      <c r="A27" s="46" t="s">
        <v>3693</v>
      </c>
      <c r="B27" s="46" t="s">
        <v>3694</v>
      </c>
      <c r="C27" s="46">
        <v>24</v>
      </c>
      <c r="D27" s="46" t="s">
        <v>3653</v>
      </c>
      <c r="E27" s="46" t="s">
        <v>3695</v>
      </c>
      <c r="F27" s="46" t="s">
        <v>145</v>
      </c>
      <c r="H27" s="46">
        <v>1</v>
      </c>
      <c r="M27" s="46">
        <v>1</v>
      </c>
      <c r="R27" s="46">
        <v>1</v>
      </c>
      <c r="S27" s="46">
        <v>1</v>
      </c>
      <c r="W27" s="46">
        <v>15</v>
      </c>
      <c r="X27" s="46">
        <v>16</v>
      </c>
      <c r="Y27" s="46">
        <v>16</v>
      </c>
      <c r="Z27" s="46">
        <v>2</v>
      </c>
      <c r="AA27" s="46">
        <v>2</v>
      </c>
      <c r="AB27" s="46">
        <v>2</v>
      </c>
      <c r="AE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CC27" s="46">
        <v>1</v>
      </c>
      <c r="CI27" s="46">
        <v>1</v>
      </c>
    </row>
    <row r="28" spans="1:99">
      <c r="A28" s="46" t="s">
        <v>3696</v>
      </c>
      <c r="B28" s="46" t="s">
        <v>3697</v>
      </c>
      <c r="C28" s="46">
        <v>22</v>
      </c>
      <c r="D28" s="46" t="s">
        <v>414</v>
      </c>
      <c r="F28" s="46" t="s">
        <v>3698</v>
      </c>
      <c r="J28" s="46">
        <v>1</v>
      </c>
      <c r="M28" s="46">
        <v>1</v>
      </c>
      <c r="Q28" s="46">
        <v>1</v>
      </c>
      <c r="S28" s="46">
        <v>1</v>
      </c>
      <c r="W28" s="46">
        <v>14</v>
      </c>
      <c r="X28" s="46">
        <v>18</v>
      </c>
      <c r="Y28" s="46">
        <v>20</v>
      </c>
      <c r="Z28" s="46">
        <v>3</v>
      </c>
      <c r="AA28" s="46">
        <v>3</v>
      </c>
      <c r="AB28" s="46">
        <v>4</v>
      </c>
      <c r="AE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J28" s="46">
        <v>1</v>
      </c>
      <c r="CC28" s="46">
        <v>1</v>
      </c>
      <c r="CI28" s="46">
        <v>1</v>
      </c>
    </row>
    <row r="29" spans="1:99">
      <c r="A29" s="46" t="s">
        <v>3699</v>
      </c>
      <c r="B29" s="46" t="s">
        <v>3700</v>
      </c>
      <c r="C29" s="46">
        <v>35</v>
      </c>
      <c r="D29" s="46" t="s">
        <v>3627</v>
      </c>
      <c r="E29" s="46" t="s">
        <v>3701</v>
      </c>
      <c r="F29" s="46" t="s">
        <v>691</v>
      </c>
      <c r="I29" s="46">
        <v>1</v>
      </c>
      <c r="M29" s="46">
        <v>1</v>
      </c>
      <c r="Q29" s="46">
        <v>1</v>
      </c>
      <c r="S29" s="46">
        <v>1</v>
      </c>
      <c r="W29" s="46">
        <v>14</v>
      </c>
      <c r="X29" s="46">
        <v>15</v>
      </c>
      <c r="Y29" s="46">
        <v>18</v>
      </c>
      <c r="Z29" s="46">
        <v>6</v>
      </c>
      <c r="AA29" s="46">
        <v>6</v>
      </c>
      <c r="AB29" s="46">
        <v>7</v>
      </c>
      <c r="AD29" s="46">
        <v>1</v>
      </c>
      <c r="AE29" s="46">
        <v>1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J29" s="46">
        <v>1</v>
      </c>
      <c r="CC29" s="46">
        <v>1</v>
      </c>
    </row>
    <row r="30" spans="1:99">
      <c r="A30" s="46" t="s">
        <v>3702</v>
      </c>
      <c r="B30" s="46" t="s">
        <v>3703</v>
      </c>
      <c r="C30" s="46">
        <v>35</v>
      </c>
      <c r="D30" s="46" t="s">
        <v>3627</v>
      </c>
      <c r="E30" s="46" t="s">
        <v>3704</v>
      </c>
      <c r="F30" s="46" t="s">
        <v>455</v>
      </c>
      <c r="G30" s="46">
        <v>1</v>
      </c>
      <c r="M30" s="46">
        <v>1</v>
      </c>
      <c r="Q30" s="46">
        <v>1</v>
      </c>
      <c r="T30" s="46">
        <v>1</v>
      </c>
      <c r="W30" s="46">
        <v>16</v>
      </c>
      <c r="X30" s="46">
        <v>18</v>
      </c>
      <c r="Y30" s="46">
        <v>18</v>
      </c>
      <c r="Z30" s="46">
        <v>6</v>
      </c>
      <c r="AA30" s="46">
        <v>6</v>
      </c>
      <c r="AB30" s="46">
        <v>5</v>
      </c>
      <c r="AG30" s="46">
        <v>1</v>
      </c>
      <c r="AH30" s="46">
        <v>1</v>
      </c>
      <c r="AI30" s="46"/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J30" s="46">
        <v>1</v>
      </c>
      <c r="CC30" s="46">
        <v>1</v>
      </c>
      <c r="CI30" s="46">
        <v>1</v>
      </c>
    </row>
    <row r="31" spans="1:99">
      <c r="A31" s="46" t="s">
        <v>3705</v>
      </c>
      <c r="B31" s="46" t="s">
        <v>3706</v>
      </c>
      <c r="C31" s="46">
        <v>60</v>
      </c>
      <c r="D31" s="46" t="s">
        <v>414</v>
      </c>
      <c r="E31" s="46" t="s">
        <v>3707</v>
      </c>
      <c r="F31" s="46" t="s">
        <v>415</v>
      </c>
      <c r="H31" s="46">
        <v>1</v>
      </c>
      <c r="P31" s="46">
        <v>1</v>
      </c>
      <c r="S31" s="46">
        <v>1</v>
      </c>
      <c r="W31" s="46">
        <v>18</v>
      </c>
      <c r="X31" s="46">
        <v>18</v>
      </c>
      <c r="Y31" s="46">
        <v>25</v>
      </c>
      <c r="Z31" s="46">
        <v>1</v>
      </c>
      <c r="AA31" s="46">
        <v>1</v>
      </c>
      <c r="AB31" s="46">
        <v>0</v>
      </c>
      <c r="AH31" s="46">
        <v>1</v>
      </c>
      <c r="AK31" s="46">
        <v>1</v>
      </c>
      <c r="AT31" s="46">
        <v>1</v>
      </c>
      <c r="AW31" s="46">
        <v>1</v>
      </c>
      <c r="BA31" s="46">
        <v>1</v>
      </c>
      <c r="BJ31" s="46">
        <v>1</v>
      </c>
      <c r="CC31" s="46">
        <v>1</v>
      </c>
    </row>
    <row r="32" spans="1:99">
      <c r="A32" s="46" t="s">
        <v>3708</v>
      </c>
      <c r="B32" s="46" t="s">
        <v>3709</v>
      </c>
      <c r="C32" s="46">
        <v>59</v>
      </c>
      <c r="D32" s="46" t="s">
        <v>3653</v>
      </c>
      <c r="F32" s="46" t="s">
        <v>112</v>
      </c>
      <c r="H32" s="46">
        <v>1</v>
      </c>
      <c r="P32" s="46">
        <v>1</v>
      </c>
      <c r="T32" s="46">
        <v>1</v>
      </c>
      <c r="W32" s="46">
        <v>18</v>
      </c>
      <c r="X32" s="46">
        <v>18</v>
      </c>
      <c r="Y32" s="46">
        <v>20</v>
      </c>
      <c r="Z32" s="46">
        <v>10</v>
      </c>
      <c r="AA32" s="46">
        <v>10</v>
      </c>
      <c r="AB32" s="46">
        <v>8</v>
      </c>
      <c r="AE32" s="46">
        <v>1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J32" s="46">
        <v>1</v>
      </c>
      <c r="CC32" s="46">
        <v>1</v>
      </c>
    </row>
    <row r="33" spans="1:90">
      <c r="A33" s="46" t="s">
        <v>3710</v>
      </c>
      <c r="B33" s="46" t="s">
        <v>502</v>
      </c>
      <c r="C33" s="46">
        <v>60</v>
      </c>
      <c r="D33" s="46" t="s">
        <v>414</v>
      </c>
      <c r="F33" s="46" t="s">
        <v>444</v>
      </c>
      <c r="K33" s="46">
        <v>1</v>
      </c>
      <c r="P33" s="46">
        <v>1</v>
      </c>
      <c r="T33" s="46">
        <v>1</v>
      </c>
      <c r="W33" s="46">
        <v>16</v>
      </c>
      <c r="X33" s="46">
        <v>16</v>
      </c>
      <c r="Y33" s="46">
        <v>16</v>
      </c>
      <c r="Z33" s="46">
        <v>9</v>
      </c>
      <c r="AA33" s="46">
        <v>9</v>
      </c>
      <c r="AB33" s="46">
        <v>9</v>
      </c>
      <c r="AG33" s="46">
        <v>1</v>
      </c>
      <c r="AH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J33" s="46">
        <v>1</v>
      </c>
      <c r="CC33" s="46">
        <v>1</v>
      </c>
    </row>
    <row r="34" spans="1:90">
      <c r="A34" s="46" t="s">
        <v>3711</v>
      </c>
      <c r="B34" s="46" t="s">
        <v>3712</v>
      </c>
      <c r="C34" s="46">
        <v>70</v>
      </c>
      <c r="D34" s="46" t="s">
        <v>3653</v>
      </c>
      <c r="E34" s="46" t="s">
        <v>3713</v>
      </c>
      <c r="F34" s="46" t="s">
        <v>444</v>
      </c>
      <c r="H34" s="46">
        <v>1</v>
      </c>
      <c r="M34" s="46">
        <v>1</v>
      </c>
      <c r="R34" s="46">
        <v>1</v>
      </c>
      <c r="S34" s="46">
        <v>1</v>
      </c>
      <c r="W34" s="46">
        <v>14</v>
      </c>
      <c r="X34" s="46">
        <v>15</v>
      </c>
      <c r="Y34" s="46">
        <v>15</v>
      </c>
      <c r="Z34" s="46">
        <v>8</v>
      </c>
      <c r="AA34" s="46">
        <v>8</v>
      </c>
      <c r="AB34" s="46">
        <v>8</v>
      </c>
      <c r="AH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J34" s="46">
        <v>1</v>
      </c>
      <c r="CC34" s="46">
        <v>1</v>
      </c>
    </row>
    <row r="35" spans="1:90">
      <c r="A35" s="46" t="s">
        <v>3714</v>
      </c>
      <c r="B35" s="46" t="s">
        <v>3715</v>
      </c>
      <c r="C35" s="46">
        <v>44</v>
      </c>
      <c r="D35" s="46" t="s">
        <v>414</v>
      </c>
      <c r="E35" s="46" t="s">
        <v>3716</v>
      </c>
      <c r="F35" s="46" t="s">
        <v>399</v>
      </c>
      <c r="G35" s="46">
        <v>1</v>
      </c>
      <c r="M35" s="46">
        <v>1</v>
      </c>
      <c r="R35" s="46">
        <v>1</v>
      </c>
      <c r="T35" s="46">
        <v>1</v>
      </c>
      <c r="W35" s="46">
        <v>16</v>
      </c>
      <c r="X35" s="46">
        <v>18</v>
      </c>
      <c r="Y35" s="46">
        <v>18</v>
      </c>
      <c r="Z35" s="46">
        <v>9</v>
      </c>
      <c r="AA35" s="46">
        <v>9</v>
      </c>
      <c r="AB35" s="46">
        <v>3</v>
      </c>
      <c r="AE35" s="46">
        <v>1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W35" s="46">
        <v>1</v>
      </c>
      <c r="BA35" s="46">
        <v>1</v>
      </c>
      <c r="BJ35" s="46">
        <v>1</v>
      </c>
      <c r="CC35" s="46">
        <v>1</v>
      </c>
    </row>
    <row r="36" spans="1:90">
      <c r="A36" s="46" t="s">
        <v>3717</v>
      </c>
      <c r="B36" s="46" t="s">
        <v>3718</v>
      </c>
      <c r="C36" s="46">
        <v>21</v>
      </c>
      <c r="D36" s="46" t="s">
        <v>414</v>
      </c>
      <c r="E36" s="46" t="s">
        <v>3719</v>
      </c>
      <c r="F36" s="46" t="s">
        <v>951</v>
      </c>
      <c r="J36" s="46">
        <v>1</v>
      </c>
      <c r="M36" s="46">
        <v>1</v>
      </c>
      <c r="Q36" s="46">
        <v>1</v>
      </c>
      <c r="S36" s="46">
        <v>1</v>
      </c>
      <c r="W36" s="46">
        <v>14</v>
      </c>
      <c r="X36" s="46">
        <v>19</v>
      </c>
      <c r="Y36" s="46">
        <v>21</v>
      </c>
      <c r="Z36" s="46">
        <v>1</v>
      </c>
      <c r="AA36" s="46">
        <v>1</v>
      </c>
      <c r="AB36" s="46">
        <v>0</v>
      </c>
      <c r="AE36" s="46">
        <v>1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J36" s="46">
        <v>1</v>
      </c>
      <c r="CC36" s="46">
        <v>1</v>
      </c>
      <c r="CI36" s="46">
        <v>1</v>
      </c>
    </row>
    <row r="37" spans="1:90">
      <c r="A37" s="46" t="s">
        <v>3720</v>
      </c>
      <c r="B37" s="46" t="s">
        <v>3721</v>
      </c>
      <c r="C37" s="46">
        <v>21</v>
      </c>
      <c r="D37" s="46" t="s">
        <v>414</v>
      </c>
      <c r="E37" s="46" t="s">
        <v>3722</v>
      </c>
      <c r="F37" s="46" t="s">
        <v>145</v>
      </c>
      <c r="G37" s="46">
        <v>1</v>
      </c>
      <c r="M37" s="46">
        <v>1</v>
      </c>
      <c r="R37" s="46">
        <v>1</v>
      </c>
      <c r="T37" s="46">
        <v>1</v>
      </c>
      <c r="W37" s="46">
        <v>14</v>
      </c>
      <c r="X37" s="46">
        <v>18</v>
      </c>
      <c r="Y37" s="46">
        <v>20</v>
      </c>
      <c r="Z37" s="46">
        <v>1</v>
      </c>
      <c r="AA37" s="46">
        <v>1</v>
      </c>
      <c r="AB37" s="46">
        <v>0</v>
      </c>
      <c r="AE37" s="46">
        <v>1</v>
      </c>
      <c r="AF37" s="46">
        <v>1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J37" s="46">
        <v>1</v>
      </c>
      <c r="CC37" s="46">
        <v>1</v>
      </c>
      <c r="CL37" s="46">
        <v>1</v>
      </c>
    </row>
    <row r="38" spans="1:90">
      <c r="A38" s="46" t="s">
        <v>3723</v>
      </c>
      <c r="B38" s="46" t="s">
        <v>3724</v>
      </c>
      <c r="C38" s="46">
        <v>25</v>
      </c>
      <c r="D38" s="46" t="s">
        <v>3627</v>
      </c>
      <c r="F38" s="46" t="s">
        <v>145</v>
      </c>
      <c r="G38" s="46">
        <v>1</v>
      </c>
      <c r="M38" s="46">
        <v>1</v>
      </c>
      <c r="R38" s="46">
        <v>1</v>
      </c>
      <c r="T38" s="46">
        <v>1</v>
      </c>
      <c r="W38" s="46">
        <v>13</v>
      </c>
      <c r="X38" s="46">
        <v>14</v>
      </c>
      <c r="Y38" s="46">
        <v>17</v>
      </c>
      <c r="Z38" s="46">
        <v>4</v>
      </c>
      <c r="AA38" s="46">
        <v>2</v>
      </c>
      <c r="AB38" s="46">
        <v>2</v>
      </c>
      <c r="AE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J38" s="46">
        <v>1</v>
      </c>
      <c r="CC38" s="46">
        <v>1</v>
      </c>
      <c r="CL38" s="46">
        <v>1</v>
      </c>
    </row>
  </sheetData>
  <autoFilter ref="A3:CU38"/>
  <mergeCells count="2">
    <mergeCell ref="W1:AB1"/>
    <mergeCell ref="AC1:A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190" t="s">
        <v>551</v>
      </c>
      <c r="B3" s="69">
        <v>2</v>
      </c>
      <c r="C3" s="69">
        <v>0</v>
      </c>
      <c r="D3" s="69">
        <v>0</v>
      </c>
      <c r="E3" s="69">
        <f t="shared" ref="E3:E8" si="0">SUM(B3:D3)</f>
        <v>2</v>
      </c>
      <c r="F3" s="70">
        <v>0</v>
      </c>
      <c r="G3" s="70">
        <v>1</v>
      </c>
      <c r="H3" s="70">
        <v>0</v>
      </c>
      <c r="I3" s="70">
        <v>0</v>
      </c>
      <c r="J3" s="71">
        <f t="shared" ref="J3:J9" si="1">SUM(F3:I3)</f>
        <v>1</v>
      </c>
      <c r="K3" s="70">
        <v>1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1</v>
      </c>
      <c r="Q3" s="70">
        <v>0</v>
      </c>
      <c r="R3" s="70">
        <v>0</v>
      </c>
      <c r="S3" s="70">
        <v>0</v>
      </c>
      <c r="T3" s="71">
        <f t="shared" ref="T3:T8" si="3"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2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2</v>
      </c>
      <c r="AF3" s="73">
        <v>0</v>
      </c>
      <c r="AG3" s="73">
        <v>0</v>
      </c>
    </row>
    <row r="4" spans="1:33">
      <c r="A4" s="74" t="s">
        <v>3725</v>
      </c>
      <c r="B4" s="69">
        <v>11</v>
      </c>
      <c r="C4" s="69">
        <v>1</v>
      </c>
      <c r="D4" s="69">
        <v>0</v>
      </c>
      <c r="E4" s="69">
        <f t="shared" si="0"/>
        <v>12</v>
      </c>
      <c r="F4" s="70">
        <v>0</v>
      </c>
      <c r="G4" s="70">
        <v>4</v>
      </c>
      <c r="H4" s="70">
        <v>0</v>
      </c>
      <c r="I4" s="70">
        <v>0</v>
      </c>
      <c r="J4" s="71">
        <f t="shared" si="1"/>
        <v>4</v>
      </c>
      <c r="K4" s="70">
        <v>8</v>
      </c>
      <c r="L4" s="70">
        <v>0</v>
      </c>
      <c r="M4" s="70">
        <v>0</v>
      </c>
      <c r="N4" s="70">
        <v>0</v>
      </c>
      <c r="O4" s="70">
        <v>0</v>
      </c>
      <c r="P4" s="71">
        <f t="shared" si="2"/>
        <v>8</v>
      </c>
      <c r="Q4" s="70">
        <v>0</v>
      </c>
      <c r="R4" s="70">
        <v>0</v>
      </c>
      <c r="S4" s="70">
        <v>6</v>
      </c>
      <c r="T4" s="71">
        <f t="shared" si="3"/>
        <v>6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8</v>
      </c>
      <c r="AB4" s="73">
        <v>0</v>
      </c>
      <c r="AC4" s="73">
        <v>0</v>
      </c>
      <c r="AD4" s="73">
        <v>4</v>
      </c>
      <c r="AE4" s="186">
        <f t="shared" si="4"/>
        <v>12</v>
      </c>
      <c r="AF4" s="73">
        <v>0</v>
      </c>
      <c r="AG4" s="73">
        <v>0</v>
      </c>
    </row>
    <row r="5" spans="1:33">
      <c r="A5" s="77" t="s">
        <v>3726</v>
      </c>
      <c r="B5" s="69">
        <v>4</v>
      </c>
      <c r="C5" s="69">
        <v>0</v>
      </c>
      <c r="D5" s="69">
        <v>0</v>
      </c>
      <c r="E5" s="69">
        <f t="shared" si="0"/>
        <v>4</v>
      </c>
      <c r="F5" s="70">
        <v>0</v>
      </c>
      <c r="G5" s="70">
        <v>1</v>
      </c>
      <c r="H5" s="70">
        <v>0</v>
      </c>
      <c r="I5" s="70">
        <v>0</v>
      </c>
      <c r="J5" s="71">
        <f t="shared" si="1"/>
        <v>1</v>
      </c>
      <c r="K5" s="70">
        <v>3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3</v>
      </c>
      <c r="Q5" s="70">
        <v>0</v>
      </c>
      <c r="R5" s="70">
        <v>0</v>
      </c>
      <c r="S5" s="70">
        <v>0</v>
      </c>
      <c r="T5" s="71">
        <f t="shared" si="3"/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2</v>
      </c>
      <c r="AB5" s="73">
        <v>0</v>
      </c>
      <c r="AC5" s="73">
        <v>0</v>
      </c>
      <c r="AD5" s="73">
        <v>2</v>
      </c>
      <c r="AE5" s="186">
        <f t="shared" si="4"/>
        <v>4</v>
      </c>
      <c r="AF5" s="73">
        <v>0</v>
      </c>
      <c r="AG5" s="73">
        <v>0</v>
      </c>
    </row>
    <row r="6" spans="1:33">
      <c r="A6" s="77" t="s">
        <v>1637</v>
      </c>
      <c r="B6" s="69">
        <v>10</v>
      </c>
      <c r="C6" s="69">
        <v>0</v>
      </c>
      <c r="D6" s="69">
        <v>0</v>
      </c>
      <c r="E6" s="69">
        <f t="shared" si="0"/>
        <v>10</v>
      </c>
      <c r="F6" s="70">
        <v>0</v>
      </c>
      <c r="G6" s="70">
        <v>1</v>
      </c>
      <c r="H6" s="70">
        <v>0</v>
      </c>
      <c r="I6" s="70">
        <v>0</v>
      </c>
      <c r="J6" s="71">
        <f t="shared" si="1"/>
        <v>1</v>
      </c>
      <c r="K6" s="70">
        <v>8</v>
      </c>
      <c r="L6" s="70">
        <v>1</v>
      </c>
      <c r="M6" s="70">
        <v>0</v>
      </c>
      <c r="N6" s="70">
        <v>0</v>
      </c>
      <c r="O6" s="70">
        <v>0</v>
      </c>
      <c r="P6" s="71">
        <f t="shared" si="2"/>
        <v>9</v>
      </c>
      <c r="Q6" s="70">
        <v>0</v>
      </c>
      <c r="R6" s="70">
        <v>0</v>
      </c>
      <c r="S6" s="70">
        <v>2</v>
      </c>
      <c r="T6" s="71">
        <f t="shared" si="3"/>
        <v>2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3</v>
      </c>
      <c r="AB6" s="73">
        <v>0</v>
      </c>
      <c r="AC6" s="73">
        <v>0</v>
      </c>
      <c r="AD6" s="73">
        <v>7</v>
      </c>
      <c r="AE6" s="186">
        <f t="shared" si="4"/>
        <v>10</v>
      </c>
      <c r="AF6" s="73">
        <v>0</v>
      </c>
      <c r="AG6" s="73">
        <v>0</v>
      </c>
    </row>
    <row r="7" spans="1:33">
      <c r="A7" s="77" t="s">
        <v>3727</v>
      </c>
      <c r="B7" s="69">
        <v>4</v>
      </c>
      <c r="C7" s="69">
        <v>2</v>
      </c>
      <c r="D7" s="69">
        <v>0</v>
      </c>
      <c r="E7" s="69">
        <f t="shared" si="0"/>
        <v>6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5</v>
      </c>
      <c r="L7" s="70">
        <v>1</v>
      </c>
      <c r="M7" s="70">
        <v>0</v>
      </c>
      <c r="N7" s="70">
        <v>0</v>
      </c>
      <c r="O7" s="70">
        <v>0</v>
      </c>
      <c r="P7" s="71">
        <f t="shared" si="2"/>
        <v>6</v>
      </c>
      <c r="Q7" s="70">
        <v>0</v>
      </c>
      <c r="R7" s="70">
        <v>0</v>
      </c>
      <c r="S7" s="70">
        <v>0</v>
      </c>
      <c r="T7" s="71">
        <f t="shared" si="3"/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2</v>
      </c>
      <c r="AB7" s="73">
        <v>0</v>
      </c>
      <c r="AC7" s="73">
        <v>0</v>
      </c>
      <c r="AD7" s="73">
        <v>4</v>
      </c>
      <c r="AE7" s="186">
        <f t="shared" si="4"/>
        <v>6</v>
      </c>
      <c r="AF7" s="73">
        <v>0</v>
      </c>
      <c r="AG7" s="73">
        <v>0</v>
      </c>
    </row>
    <row r="8" spans="1:33">
      <c r="A8" s="191" t="s">
        <v>556</v>
      </c>
      <c r="B8" s="69">
        <v>1</v>
      </c>
      <c r="C8" s="69">
        <v>0</v>
      </c>
      <c r="D8" s="69">
        <v>0</v>
      </c>
      <c r="E8" s="69">
        <f t="shared" si="0"/>
        <v>1</v>
      </c>
      <c r="F8" s="70">
        <v>0</v>
      </c>
      <c r="G8" s="70">
        <v>0</v>
      </c>
      <c r="H8" s="70">
        <v>0</v>
      </c>
      <c r="I8" s="70">
        <v>0</v>
      </c>
      <c r="J8" s="71">
        <f t="shared" si="1"/>
        <v>0</v>
      </c>
      <c r="K8" s="70">
        <v>1</v>
      </c>
      <c r="L8" s="70">
        <v>0</v>
      </c>
      <c r="M8" s="70">
        <v>0</v>
      </c>
      <c r="N8" s="70">
        <v>0</v>
      </c>
      <c r="O8" s="70">
        <v>0</v>
      </c>
      <c r="P8" s="71">
        <f t="shared" si="2"/>
        <v>1</v>
      </c>
      <c r="Q8" s="70">
        <v>0</v>
      </c>
      <c r="R8" s="70">
        <v>0</v>
      </c>
      <c r="S8" s="70">
        <v>0</v>
      </c>
      <c r="T8" s="71">
        <f t="shared" si="3"/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/>
      <c r="AA8" s="73">
        <v>1</v>
      </c>
      <c r="AB8" s="73">
        <v>0</v>
      </c>
      <c r="AC8" s="73">
        <v>0</v>
      </c>
      <c r="AD8" s="73">
        <v>0</v>
      </c>
      <c r="AE8" s="186">
        <f t="shared" si="4"/>
        <v>1</v>
      </c>
      <c r="AF8" s="73">
        <v>0</v>
      </c>
      <c r="AG8" s="73">
        <v>0</v>
      </c>
    </row>
    <row r="9" spans="1:33">
      <c r="A9" s="69" t="s">
        <v>376</v>
      </c>
      <c r="B9" s="69">
        <f t="shared" ref="B9:I9" si="5">SUM(B3:B8)</f>
        <v>32</v>
      </c>
      <c r="C9" s="69">
        <f t="shared" si="5"/>
        <v>3</v>
      </c>
      <c r="D9" s="69">
        <f t="shared" si="5"/>
        <v>0</v>
      </c>
      <c r="E9" s="69">
        <f t="shared" si="5"/>
        <v>35</v>
      </c>
      <c r="F9" s="69">
        <f t="shared" si="5"/>
        <v>0</v>
      </c>
      <c r="G9" s="69">
        <f t="shared" si="5"/>
        <v>7</v>
      </c>
      <c r="H9" s="69">
        <f t="shared" si="5"/>
        <v>0</v>
      </c>
      <c r="I9" s="69">
        <f t="shared" si="5"/>
        <v>0</v>
      </c>
      <c r="J9" s="71">
        <f t="shared" si="1"/>
        <v>7</v>
      </c>
      <c r="K9" s="114">
        <f>SUM(K3:K8)</f>
        <v>26</v>
      </c>
      <c r="L9" s="114">
        <f>SUM(L3:L8)</f>
        <v>2</v>
      </c>
      <c r="M9" s="114">
        <f>SUM(M3:M8)</f>
        <v>0</v>
      </c>
      <c r="N9" s="114">
        <f>SUM(N3:N8)</f>
        <v>0</v>
      </c>
      <c r="O9" s="114">
        <f>SUM(O3:O8)</f>
        <v>0</v>
      </c>
      <c r="P9" s="71">
        <f>SUM(K9:N9)</f>
        <v>28</v>
      </c>
      <c r="Q9" s="114">
        <f t="shared" ref="Q9:Y9" si="6">SUM(Q3:Q8)</f>
        <v>0</v>
      </c>
      <c r="R9" s="114">
        <f t="shared" si="6"/>
        <v>0</v>
      </c>
      <c r="S9" s="114">
        <f t="shared" si="6"/>
        <v>8</v>
      </c>
      <c r="T9" s="71">
        <f t="shared" si="6"/>
        <v>8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114">
        <f>SUM(Z4:Z8)</f>
        <v>0</v>
      </c>
      <c r="AA9" s="73">
        <f t="shared" ref="AA9:AG9" si="7">SUM(AA3:AA8)</f>
        <v>18</v>
      </c>
      <c r="AB9" s="73">
        <f t="shared" si="7"/>
        <v>0</v>
      </c>
      <c r="AC9" s="73">
        <f t="shared" si="7"/>
        <v>0</v>
      </c>
      <c r="AD9" s="73">
        <f t="shared" si="7"/>
        <v>17</v>
      </c>
      <c r="AE9" s="73">
        <f t="shared" si="7"/>
        <v>35</v>
      </c>
      <c r="AF9" s="73">
        <f t="shared" si="7"/>
        <v>0</v>
      </c>
      <c r="AG9" s="73">
        <f t="shared" si="7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47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8.85546875" customWidth="1"/>
    <col min="2" max="2" width="18.7109375" customWidth="1"/>
    <col min="3" max="3" width="6.5703125" customWidth="1"/>
    <col min="6" max="6" width="9.7109375" customWidth="1"/>
    <col min="7" max="7" width="5" customWidth="1"/>
    <col min="8" max="8" width="5.140625" customWidth="1"/>
    <col min="9" max="9" width="5.85546875" customWidth="1"/>
    <col min="10" max="10" width="6.42578125" customWidth="1"/>
    <col min="11" max="11" width="7.42578125" customWidth="1"/>
    <col min="12" max="12" width="4.5703125" customWidth="1"/>
    <col min="13" max="13" width="5" customWidth="1"/>
    <col min="14" max="14" width="4.5703125" customWidth="1"/>
    <col min="15" max="15" width="4.85546875" customWidth="1"/>
    <col min="16" max="16" width="4.28515625" customWidth="1"/>
    <col min="17" max="17" width="6.5703125" customWidth="1"/>
    <col min="18" max="18" width="10.7109375" customWidth="1"/>
    <col min="19" max="19" width="5.5703125" customWidth="1"/>
    <col min="20" max="20" width="4.85546875" customWidth="1"/>
    <col min="21" max="21" width="3.85546875" customWidth="1"/>
    <col min="22" max="22" width="4.42578125" customWidth="1"/>
    <col min="23" max="23" width="9.42578125" customWidth="1"/>
    <col min="25" max="25" width="10.5703125" customWidth="1"/>
    <col min="26" max="26" width="7.28515625" customWidth="1"/>
    <col min="29" max="29" width="4.5703125" customWidth="1"/>
    <col min="30" max="30" width="5.42578125" customWidth="1"/>
    <col min="31" max="31" width="6" customWidth="1"/>
    <col min="32" max="32" width="8.28515625" customWidth="1"/>
    <col min="33" max="33" width="7.5703125" customWidth="1"/>
    <col min="34" max="34" width="5" customWidth="1"/>
    <col min="35" max="35" width="5.85546875" customWidth="1"/>
    <col min="36" max="36" width="6.140625" customWidth="1"/>
    <col min="37" max="37" width="4.5703125" customWidth="1"/>
    <col min="38" max="38" width="6.7109375" customWidth="1"/>
    <col min="39" max="39" width="10.85546875" customWidth="1"/>
    <col min="41" max="41" width="7.28515625" customWidth="1"/>
    <col min="42" max="42" width="8.140625" customWidth="1"/>
    <col min="46" max="46" width="7.7109375" customWidth="1"/>
    <col min="47" max="47" width="9.140625" customWidth="1"/>
    <col min="48" max="48" width="6.140625" customWidth="1"/>
    <col min="49" max="49" width="7.42578125" customWidth="1"/>
    <col min="50" max="50" width="7.7109375" customWidth="1"/>
    <col min="51" max="51" width="7.5703125" customWidth="1"/>
    <col min="52" max="52" width="4.140625" customWidth="1"/>
    <col min="53" max="53" width="5.140625" customWidth="1"/>
    <col min="54" max="54" width="5.85546875" customWidth="1"/>
    <col min="55" max="55" width="4.7109375" customWidth="1"/>
    <col min="56" max="56" width="8.5703125" customWidth="1"/>
    <col min="57" max="57" width="6.7109375" customWidth="1"/>
    <col min="60" max="60" width="7.7109375" customWidth="1"/>
    <col min="61" max="61" width="4.28515625" customWidth="1"/>
    <col min="62" max="62" width="7.7109375" customWidth="1"/>
    <col min="63" max="63" width="9.85546875" customWidth="1"/>
    <col min="65" max="65" width="6.7109375" customWidth="1"/>
    <col min="66" max="66" width="7" customWidth="1"/>
    <col min="67" max="67" width="11.7109375" customWidth="1"/>
    <col min="68" max="68" width="4.140625" customWidth="1"/>
    <col min="69" max="69" width="4.85546875" customWidth="1"/>
    <col min="70" max="70" width="8.28515625" customWidth="1"/>
    <col min="71" max="71" width="20.28515625" customWidth="1"/>
    <col min="72" max="72" width="7.140625" customWidth="1"/>
    <col min="73" max="73" width="8.28515625" customWidth="1"/>
    <col min="74" max="74" width="10.85546875" customWidth="1"/>
    <col min="77" max="77" width="4.5703125" customWidth="1"/>
    <col min="78" max="78" width="5" customWidth="1"/>
    <col min="79" max="79" width="11.85546875" customWidth="1"/>
    <col min="80" max="80" width="6" customWidth="1"/>
    <col min="84" max="84" width="5" customWidth="1"/>
    <col min="85" max="85" width="6.85546875" customWidth="1"/>
    <col min="86" max="86" width="10.28515625" customWidth="1"/>
  </cols>
  <sheetData>
    <row r="1" spans="1:98">
      <c r="A1" s="189" t="s">
        <v>3728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76" t="s">
        <v>19</v>
      </c>
      <c r="BU1" s="143"/>
      <c r="BV1" s="143"/>
      <c r="BW1" s="143"/>
      <c r="BX1" s="143"/>
      <c r="BY1" s="176" t="s">
        <v>20</v>
      </c>
      <c r="BZ1" s="143"/>
      <c r="CA1" s="143"/>
      <c r="CB1" s="176" t="s">
        <v>21</v>
      </c>
      <c r="CC1" s="143"/>
      <c r="CD1" s="143" t="s">
        <v>22</v>
      </c>
      <c r="CE1" s="176" t="s">
        <v>23</v>
      </c>
      <c r="CF1" s="143"/>
      <c r="CG1" s="143"/>
      <c r="CH1" s="143" t="s">
        <v>16</v>
      </c>
      <c r="CI1" s="143"/>
      <c r="CJ1" s="143"/>
      <c r="CK1" s="143"/>
      <c r="CL1" s="143" t="s">
        <v>24</v>
      </c>
      <c r="CM1" s="143"/>
      <c r="CN1" s="176" t="s">
        <v>25</v>
      </c>
      <c r="CO1" s="143"/>
      <c r="CP1" s="143"/>
      <c r="CQ1" s="143" t="s">
        <v>26</v>
      </c>
      <c r="CR1" s="143"/>
      <c r="CS1" s="143"/>
      <c r="CT1" s="143"/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 t="s">
        <v>893</v>
      </c>
      <c r="CQ2" s="147"/>
      <c r="CR2" s="147"/>
      <c r="CS2" s="147"/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80" t="s">
        <v>90</v>
      </c>
      <c r="BU3" s="180" t="s">
        <v>91</v>
      </c>
      <c r="BV3" s="180" t="s">
        <v>92</v>
      </c>
      <c r="BW3" s="180" t="s">
        <v>93</v>
      </c>
      <c r="BX3" s="180" t="s">
        <v>94</v>
      </c>
      <c r="BY3" s="180" t="s">
        <v>56</v>
      </c>
      <c r="BZ3" s="180" t="s">
        <v>73</v>
      </c>
      <c r="CA3" s="180" t="s">
        <v>22</v>
      </c>
      <c r="CB3" s="180" t="s">
        <v>56</v>
      </c>
      <c r="CC3" s="180" t="s">
        <v>73</v>
      </c>
      <c r="CD3" s="180" t="s">
        <v>1275</v>
      </c>
      <c r="CE3" s="180" t="s">
        <v>83</v>
      </c>
      <c r="CF3" s="180" t="s">
        <v>88</v>
      </c>
      <c r="CG3" s="180" t="s">
        <v>896</v>
      </c>
      <c r="CH3" s="180" t="s">
        <v>96</v>
      </c>
      <c r="CI3" s="180" t="s">
        <v>97</v>
      </c>
      <c r="CJ3" s="180" t="s">
        <v>98</v>
      </c>
      <c r="CK3" s="180" t="s">
        <v>1276</v>
      </c>
      <c r="CL3" s="180" t="s">
        <v>73</v>
      </c>
      <c r="CM3" s="180" t="s">
        <v>56</v>
      </c>
      <c r="CN3" s="180" t="s">
        <v>99</v>
      </c>
      <c r="CO3" s="180" t="s">
        <v>56</v>
      </c>
      <c r="CP3" s="147"/>
      <c r="CQ3" s="180" t="s">
        <v>100</v>
      </c>
      <c r="CR3" s="147"/>
      <c r="CS3" s="180" t="s">
        <v>101</v>
      </c>
      <c r="CT3" s="180" t="s">
        <v>102</v>
      </c>
    </row>
    <row r="4" spans="1:98">
      <c r="A4" s="46" t="s">
        <v>3729</v>
      </c>
      <c r="B4" s="46" t="s">
        <v>1315</v>
      </c>
      <c r="C4" s="46">
        <v>40</v>
      </c>
      <c r="D4" s="46" t="s">
        <v>3449</v>
      </c>
      <c r="E4" s="46" t="s">
        <v>3730</v>
      </c>
      <c r="F4" s="47" t="s">
        <v>415</v>
      </c>
      <c r="H4" s="46">
        <v>1</v>
      </c>
      <c r="N4" s="46">
        <v>1</v>
      </c>
      <c r="Q4" s="46">
        <v>1</v>
      </c>
      <c r="T4" s="46">
        <v>1</v>
      </c>
      <c r="W4" s="46">
        <v>16</v>
      </c>
      <c r="X4" s="46">
        <v>13</v>
      </c>
      <c r="Y4" s="46">
        <v>14</v>
      </c>
      <c r="Z4" s="46">
        <v>10</v>
      </c>
      <c r="AA4" s="46">
        <v>9</v>
      </c>
      <c r="AB4" s="46">
        <v>7</v>
      </c>
      <c r="AF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BN4" s="46">
        <v>1</v>
      </c>
      <c r="BO4" s="46" t="s">
        <v>3731</v>
      </c>
      <c r="BY4" s="46">
        <v>1</v>
      </c>
      <c r="CB4" s="46">
        <v>1</v>
      </c>
      <c r="CT4" s="46">
        <v>1</v>
      </c>
    </row>
    <row r="5" spans="1:98">
      <c r="A5" s="46" t="s">
        <v>3732</v>
      </c>
      <c r="B5" s="46" t="s">
        <v>3733</v>
      </c>
      <c r="C5" s="46">
        <v>80</v>
      </c>
      <c r="D5" s="46" t="s">
        <v>3449</v>
      </c>
      <c r="F5" s="47" t="s">
        <v>415</v>
      </c>
      <c r="H5" s="46">
        <v>1</v>
      </c>
      <c r="P5" s="46">
        <v>1</v>
      </c>
      <c r="S5" s="46">
        <v>1</v>
      </c>
      <c r="W5" s="46">
        <v>13</v>
      </c>
      <c r="X5" s="46">
        <v>16</v>
      </c>
      <c r="Y5" s="46">
        <v>17</v>
      </c>
      <c r="Z5" s="46">
        <v>11</v>
      </c>
      <c r="AA5" s="46">
        <v>10</v>
      </c>
      <c r="AB5" s="46">
        <v>1</v>
      </c>
      <c r="AC5" s="46">
        <v>1</v>
      </c>
      <c r="AI5" s="46">
        <v>1</v>
      </c>
      <c r="AM5" s="46">
        <v>1</v>
      </c>
      <c r="AT5" s="46">
        <v>1</v>
      </c>
      <c r="AW5" s="46">
        <v>1</v>
      </c>
      <c r="BA5" s="46">
        <v>1</v>
      </c>
      <c r="BJ5" s="46">
        <v>1</v>
      </c>
      <c r="BV5" s="46">
        <v>1</v>
      </c>
      <c r="BY5" s="46">
        <v>1</v>
      </c>
      <c r="CB5" s="46">
        <v>1</v>
      </c>
    </row>
    <row r="6" spans="1:98">
      <c r="A6" s="46" t="s">
        <v>3734</v>
      </c>
      <c r="B6" s="46" t="s">
        <v>3735</v>
      </c>
      <c r="C6" s="46">
        <v>50</v>
      </c>
      <c r="D6" s="46" t="s">
        <v>3449</v>
      </c>
      <c r="E6" s="46" t="s">
        <v>3736</v>
      </c>
      <c r="F6" s="47" t="s">
        <v>415</v>
      </c>
      <c r="I6" s="46">
        <v>1</v>
      </c>
      <c r="M6" s="46">
        <v>1</v>
      </c>
      <c r="R6" s="46">
        <v>1</v>
      </c>
      <c r="S6" s="46">
        <v>1</v>
      </c>
      <c r="W6" s="46">
        <v>15</v>
      </c>
      <c r="X6" s="46">
        <v>14</v>
      </c>
      <c r="Y6" s="46">
        <v>36</v>
      </c>
      <c r="Z6" s="46">
        <v>4</v>
      </c>
      <c r="AA6" s="46">
        <v>4</v>
      </c>
      <c r="AB6" s="46">
        <v>4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BV6" s="46">
        <v>1</v>
      </c>
      <c r="BY6" s="46">
        <v>1</v>
      </c>
      <c r="CB6" s="46">
        <v>1</v>
      </c>
    </row>
    <row r="7" spans="1:98">
      <c r="A7" s="46" t="s">
        <v>3737</v>
      </c>
      <c r="B7" s="46" t="s">
        <v>3738</v>
      </c>
      <c r="C7" s="46">
        <v>86</v>
      </c>
      <c r="D7" s="46" t="s">
        <v>3449</v>
      </c>
      <c r="F7" s="47" t="s">
        <v>415</v>
      </c>
      <c r="G7" s="46">
        <v>1</v>
      </c>
      <c r="P7" s="46">
        <v>1</v>
      </c>
      <c r="S7" s="46">
        <v>1</v>
      </c>
      <c r="W7" s="46">
        <v>18</v>
      </c>
      <c r="X7" s="46">
        <v>24</v>
      </c>
      <c r="Y7" s="46">
        <v>24</v>
      </c>
      <c r="Z7" s="46">
        <v>2</v>
      </c>
      <c r="AA7" s="46">
        <v>2</v>
      </c>
      <c r="AB7" s="46">
        <v>0</v>
      </c>
      <c r="AC7" s="46">
        <v>1</v>
      </c>
      <c r="AI7" s="46">
        <v>1</v>
      </c>
      <c r="AM7" s="46">
        <v>1</v>
      </c>
      <c r="AT7" s="46">
        <v>1</v>
      </c>
      <c r="AW7" s="46">
        <v>1</v>
      </c>
      <c r="BA7" s="46">
        <v>1</v>
      </c>
      <c r="BJ7" s="46">
        <v>1</v>
      </c>
      <c r="BV7" s="46">
        <v>1</v>
      </c>
      <c r="BY7" s="46">
        <v>1</v>
      </c>
      <c r="CB7" s="46">
        <v>1</v>
      </c>
    </row>
    <row r="8" spans="1:98">
      <c r="A8" s="46" t="s">
        <v>3739</v>
      </c>
      <c r="B8" s="46" t="s">
        <v>3740</v>
      </c>
      <c r="C8" s="46">
        <v>59</v>
      </c>
      <c r="D8" s="46" t="s">
        <v>3449</v>
      </c>
      <c r="E8" s="46" t="s">
        <v>3741</v>
      </c>
      <c r="F8" s="47" t="s">
        <v>455</v>
      </c>
      <c r="H8" s="46">
        <v>1</v>
      </c>
      <c r="P8" s="46">
        <v>1</v>
      </c>
      <c r="U8" s="46">
        <v>1</v>
      </c>
      <c r="W8" s="46">
        <v>14</v>
      </c>
      <c r="X8" s="46">
        <v>18</v>
      </c>
      <c r="Y8" s="46">
        <v>18</v>
      </c>
      <c r="Z8" s="46">
        <v>7</v>
      </c>
      <c r="AA8" s="46">
        <v>7</v>
      </c>
      <c r="AB8" s="46">
        <v>6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J8" s="46">
        <v>1</v>
      </c>
      <c r="BY8" s="46">
        <v>1</v>
      </c>
      <c r="CB8" s="46">
        <v>1</v>
      </c>
    </row>
    <row r="9" spans="1:98">
      <c r="A9" s="46" t="s">
        <v>3742</v>
      </c>
      <c r="B9" s="46" t="s">
        <v>3743</v>
      </c>
      <c r="C9" s="46">
        <v>72</v>
      </c>
      <c r="D9" s="46" t="s">
        <v>3449</v>
      </c>
      <c r="F9" s="47" t="s">
        <v>415</v>
      </c>
      <c r="I9" s="46">
        <v>1</v>
      </c>
      <c r="P9" s="46">
        <v>1</v>
      </c>
      <c r="S9" s="46">
        <v>1</v>
      </c>
      <c r="W9" s="46">
        <v>15</v>
      </c>
      <c r="X9" s="46">
        <v>18</v>
      </c>
      <c r="Y9" s="46">
        <v>19</v>
      </c>
      <c r="Z9" s="46">
        <v>4</v>
      </c>
      <c r="AA9" s="46">
        <v>4</v>
      </c>
      <c r="AB9" s="46">
        <v>4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J9" s="46">
        <v>1</v>
      </c>
      <c r="BV9" s="46">
        <v>1</v>
      </c>
      <c r="BY9" s="46">
        <v>1</v>
      </c>
      <c r="CB9" s="46">
        <v>1</v>
      </c>
    </row>
    <row r="10" spans="1:98">
      <c r="A10" s="46" t="s">
        <v>3744</v>
      </c>
      <c r="B10" s="46" t="s">
        <v>3745</v>
      </c>
      <c r="C10" s="46">
        <v>50</v>
      </c>
      <c r="D10" s="46" t="s">
        <v>3449</v>
      </c>
      <c r="F10" s="47" t="s">
        <v>691</v>
      </c>
      <c r="H10" s="46">
        <v>1</v>
      </c>
      <c r="O10" s="46">
        <v>1</v>
      </c>
      <c r="Q10" s="46">
        <v>1</v>
      </c>
      <c r="S10" s="46">
        <v>1</v>
      </c>
      <c r="W10" s="46">
        <v>16</v>
      </c>
      <c r="X10" s="46">
        <v>15</v>
      </c>
      <c r="Y10" s="46">
        <v>20</v>
      </c>
      <c r="Z10" s="46">
        <v>13</v>
      </c>
      <c r="AA10" s="46">
        <v>13</v>
      </c>
      <c r="AB10" s="46">
        <v>10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Y10" s="46">
        <v>1</v>
      </c>
      <c r="CB10" s="46">
        <v>1</v>
      </c>
    </row>
    <row r="11" spans="1:98">
      <c r="A11" s="46" t="s">
        <v>3746</v>
      </c>
      <c r="B11" s="46" t="s">
        <v>3747</v>
      </c>
      <c r="C11" s="46">
        <v>60</v>
      </c>
      <c r="D11" s="46" t="s">
        <v>3449</v>
      </c>
      <c r="F11" s="47" t="s">
        <v>415</v>
      </c>
      <c r="J11" s="46">
        <v>1</v>
      </c>
      <c r="N11" s="46">
        <v>1</v>
      </c>
      <c r="R11" s="46">
        <v>1</v>
      </c>
      <c r="S11" s="46">
        <v>1</v>
      </c>
      <c r="W11" s="46">
        <v>15</v>
      </c>
      <c r="X11" s="46">
        <v>18</v>
      </c>
      <c r="Y11" s="46">
        <v>18</v>
      </c>
      <c r="Z11" s="46">
        <v>12</v>
      </c>
      <c r="AA11" s="46">
        <v>11</v>
      </c>
      <c r="AB11" s="46">
        <v>8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Y11" s="46">
        <v>1</v>
      </c>
      <c r="CB11" s="46">
        <v>1</v>
      </c>
    </row>
    <row r="12" spans="1:98">
      <c r="A12" s="46" t="s">
        <v>3748</v>
      </c>
      <c r="B12" s="46" t="s">
        <v>3749</v>
      </c>
      <c r="C12" s="46">
        <v>53</v>
      </c>
      <c r="D12" s="46" t="s">
        <v>3750</v>
      </c>
      <c r="E12" s="46" t="s">
        <v>3751</v>
      </c>
      <c r="F12" s="47" t="s">
        <v>415</v>
      </c>
      <c r="G12" s="46">
        <v>1</v>
      </c>
      <c r="N12" s="46">
        <v>1</v>
      </c>
      <c r="Q12" s="46">
        <v>1</v>
      </c>
      <c r="R12" s="46"/>
      <c r="S12" s="46"/>
      <c r="T12" s="46">
        <v>1</v>
      </c>
      <c r="W12" s="46">
        <v>12</v>
      </c>
      <c r="X12" s="46">
        <v>14</v>
      </c>
      <c r="Y12" s="46">
        <v>15</v>
      </c>
      <c r="Z12" s="46">
        <v>12</v>
      </c>
      <c r="AA12" s="46">
        <v>12</v>
      </c>
      <c r="AB12" s="46">
        <v>8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J12" s="46">
        <v>1</v>
      </c>
      <c r="BY12" s="46">
        <v>1</v>
      </c>
      <c r="CB12" s="46">
        <v>1</v>
      </c>
    </row>
    <row r="13" spans="1:98">
      <c r="A13" s="46" t="s">
        <v>3752</v>
      </c>
      <c r="B13" s="46" t="s">
        <v>3753</v>
      </c>
      <c r="C13" s="46">
        <v>44</v>
      </c>
      <c r="D13" s="46" t="s">
        <v>3449</v>
      </c>
      <c r="E13" s="46" t="s">
        <v>3754</v>
      </c>
      <c r="F13" s="47" t="s">
        <v>415</v>
      </c>
      <c r="H13" s="46">
        <v>1</v>
      </c>
      <c r="P13" s="46">
        <v>1</v>
      </c>
      <c r="T13" s="46">
        <v>1</v>
      </c>
      <c r="W13" s="46">
        <v>15</v>
      </c>
      <c r="X13" s="46">
        <v>18</v>
      </c>
      <c r="Y13" s="46">
        <v>18</v>
      </c>
      <c r="Z13" s="46">
        <v>5</v>
      </c>
      <c r="AA13" s="46">
        <v>5</v>
      </c>
      <c r="AB13" s="46">
        <v>5</v>
      </c>
      <c r="AH13" s="46">
        <v>1</v>
      </c>
      <c r="AI13" s="46">
        <v>1</v>
      </c>
      <c r="AL13" s="46">
        <v>1</v>
      </c>
      <c r="AO13" s="46">
        <v>1</v>
      </c>
      <c r="AQ13" s="46" t="s">
        <v>3256</v>
      </c>
      <c r="AR13" s="46">
        <v>2014</v>
      </c>
      <c r="AT13" s="46">
        <v>1</v>
      </c>
      <c r="AW13" s="46">
        <v>1</v>
      </c>
      <c r="BA13" s="46">
        <v>1</v>
      </c>
      <c r="BJ13" s="46">
        <v>1</v>
      </c>
      <c r="BY13" s="46">
        <v>1</v>
      </c>
      <c r="CB13" s="46">
        <v>1</v>
      </c>
    </row>
    <row r="14" spans="1:98">
      <c r="A14" s="46" t="s">
        <v>3755</v>
      </c>
      <c r="B14" s="46" t="s">
        <v>3756</v>
      </c>
      <c r="C14" s="46">
        <v>67</v>
      </c>
      <c r="D14" s="46" t="s">
        <v>3449</v>
      </c>
      <c r="E14" s="46" t="s">
        <v>3757</v>
      </c>
      <c r="F14" s="47" t="s">
        <v>415</v>
      </c>
      <c r="H14" s="46">
        <v>1</v>
      </c>
      <c r="M14" s="46">
        <v>1</v>
      </c>
      <c r="Q14" s="46">
        <v>1</v>
      </c>
      <c r="T14" s="46">
        <v>1</v>
      </c>
      <c r="W14" s="46">
        <v>15</v>
      </c>
      <c r="X14" s="46">
        <v>17</v>
      </c>
      <c r="Y14" s="46">
        <v>20</v>
      </c>
      <c r="Z14" s="46">
        <v>11</v>
      </c>
      <c r="AA14" s="46">
        <v>10</v>
      </c>
      <c r="AB14" s="46">
        <v>9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J14" s="46">
        <v>1</v>
      </c>
      <c r="BY14" s="46">
        <v>1</v>
      </c>
      <c r="CB14" s="46">
        <v>1</v>
      </c>
    </row>
    <row r="15" spans="1:98">
      <c r="A15" s="46" t="s">
        <v>3758</v>
      </c>
      <c r="B15" s="46" t="s">
        <v>3759</v>
      </c>
      <c r="C15" s="46">
        <v>60</v>
      </c>
      <c r="D15" s="46" t="s">
        <v>3449</v>
      </c>
      <c r="F15" s="47" t="s">
        <v>415</v>
      </c>
      <c r="H15" s="46">
        <v>1</v>
      </c>
      <c r="N15" s="46">
        <v>1</v>
      </c>
      <c r="R15" s="46">
        <v>1</v>
      </c>
      <c r="T15" s="46">
        <v>1</v>
      </c>
      <c r="W15" s="46">
        <v>15</v>
      </c>
      <c r="X15" s="46">
        <v>20</v>
      </c>
      <c r="Y15" s="46">
        <v>21</v>
      </c>
      <c r="Z15" s="46">
        <v>11</v>
      </c>
      <c r="AA15" s="46">
        <v>8</v>
      </c>
      <c r="AB15" s="46">
        <v>8</v>
      </c>
      <c r="AC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J15" s="46">
        <v>1</v>
      </c>
      <c r="BY15" s="46">
        <v>1</v>
      </c>
      <c r="CB15" s="46">
        <v>1</v>
      </c>
    </row>
    <row r="16" spans="1:98">
      <c r="A16" s="46" t="s">
        <v>3760</v>
      </c>
      <c r="B16" s="46" t="s">
        <v>3761</v>
      </c>
      <c r="C16" s="46">
        <v>65</v>
      </c>
      <c r="D16" s="46" t="s">
        <v>3762</v>
      </c>
      <c r="F16" s="47" t="s">
        <v>415</v>
      </c>
      <c r="G16" s="46">
        <v>1</v>
      </c>
      <c r="P16" s="46">
        <v>1</v>
      </c>
      <c r="S16" s="46">
        <v>1</v>
      </c>
      <c r="W16" s="46">
        <v>15</v>
      </c>
      <c r="X16" s="46">
        <v>18</v>
      </c>
      <c r="Y16" s="46">
        <v>18</v>
      </c>
      <c r="Z16" s="46">
        <v>6</v>
      </c>
      <c r="AA16" s="46">
        <v>6</v>
      </c>
      <c r="AB16" s="46">
        <v>6</v>
      </c>
      <c r="AH16" s="46">
        <v>1</v>
      </c>
      <c r="AJ16" s="46">
        <v>1</v>
      </c>
      <c r="AL16" s="46">
        <v>1</v>
      </c>
      <c r="AO16" s="46">
        <v>1</v>
      </c>
      <c r="AQ16" s="46" t="s">
        <v>3256</v>
      </c>
      <c r="AR16" s="46">
        <v>2016</v>
      </c>
      <c r="AT16" s="46">
        <v>1</v>
      </c>
      <c r="AW16" s="46">
        <v>1</v>
      </c>
      <c r="BA16" s="46">
        <v>1</v>
      </c>
      <c r="BJ16" s="46">
        <v>1</v>
      </c>
      <c r="BY16" s="46">
        <v>1</v>
      </c>
      <c r="CB16" s="46">
        <v>1</v>
      </c>
    </row>
    <row r="17" spans="1:98">
      <c r="A17" s="46" t="s">
        <v>3763</v>
      </c>
      <c r="B17" s="46" t="s">
        <v>3764</v>
      </c>
      <c r="C17" s="46">
        <v>52</v>
      </c>
      <c r="D17" s="46" t="s">
        <v>3449</v>
      </c>
      <c r="E17" s="46" t="s">
        <v>3765</v>
      </c>
      <c r="F17" s="47" t="s">
        <v>107</v>
      </c>
      <c r="H17" s="46">
        <v>1</v>
      </c>
      <c r="N17" s="46">
        <v>1</v>
      </c>
      <c r="Q17" s="46">
        <v>1</v>
      </c>
      <c r="T17" s="46">
        <v>1</v>
      </c>
      <c r="W17" s="46">
        <v>15</v>
      </c>
      <c r="X17" s="46">
        <v>16</v>
      </c>
      <c r="Y17" s="46">
        <v>17</v>
      </c>
      <c r="Z17" s="46">
        <v>11</v>
      </c>
      <c r="AA17" s="46">
        <v>11</v>
      </c>
      <c r="AB17" s="46">
        <v>8</v>
      </c>
      <c r="AC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Y17" s="46">
        <v>1</v>
      </c>
      <c r="CB17" s="46">
        <v>1</v>
      </c>
    </row>
    <row r="18" spans="1:98">
      <c r="A18" s="46" t="s">
        <v>3766</v>
      </c>
      <c r="B18" s="46" t="s">
        <v>3767</v>
      </c>
      <c r="C18" s="46">
        <v>50</v>
      </c>
      <c r="D18" s="46" t="s">
        <v>3449</v>
      </c>
      <c r="F18" s="47" t="s">
        <v>415</v>
      </c>
      <c r="H18" s="46">
        <v>1</v>
      </c>
      <c r="N18" s="46">
        <v>1</v>
      </c>
      <c r="Q18" s="46">
        <v>1</v>
      </c>
      <c r="S18" s="46">
        <v>1</v>
      </c>
      <c r="W18" s="46">
        <v>14</v>
      </c>
      <c r="X18" s="46">
        <v>17</v>
      </c>
      <c r="Y18" s="46">
        <v>20</v>
      </c>
      <c r="Z18" s="46">
        <v>9</v>
      </c>
      <c r="AA18" s="46">
        <v>9</v>
      </c>
      <c r="AB18" s="46">
        <v>7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J18" s="46">
        <v>1</v>
      </c>
      <c r="BY18" s="46">
        <v>1</v>
      </c>
      <c r="CB18" s="46">
        <v>1</v>
      </c>
    </row>
    <row r="19" spans="1:98">
      <c r="A19" s="46" t="s">
        <v>3768</v>
      </c>
      <c r="B19" s="46" t="s">
        <v>3769</v>
      </c>
      <c r="C19" s="46">
        <v>60</v>
      </c>
      <c r="D19" s="46" t="s">
        <v>3449</v>
      </c>
      <c r="F19" s="47" t="s">
        <v>415</v>
      </c>
      <c r="K19" s="46">
        <v>1</v>
      </c>
      <c r="O19" s="46">
        <v>1</v>
      </c>
      <c r="U19" s="46">
        <v>1</v>
      </c>
      <c r="W19" s="46">
        <v>13</v>
      </c>
      <c r="X19" s="46">
        <v>18</v>
      </c>
      <c r="Y19" s="46">
        <v>20</v>
      </c>
      <c r="Z19" s="46">
        <v>6</v>
      </c>
      <c r="AA19" s="46">
        <v>6</v>
      </c>
      <c r="AB19" s="46">
        <v>5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J19" s="46">
        <v>1</v>
      </c>
      <c r="BY19" s="46">
        <v>1</v>
      </c>
      <c r="CB19" s="46">
        <v>1</v>
      </c>
    </row>
    <row r="20" spans="1:98">
      <c r="A20" s="46" t="s">
        <v>3770</v>
      </c>
      <c r="B20" s="46" t="s">
        <v>3771</v>
      </c>
      <c r="C20" s="46">
        <v>61</v>
      </c>
      <c r="D20" s="46" t="s">
        <v>3449</v>
      </c>
      <c r="F20" s="47" t="s">
        <v>415</v>
      </c>
      <c r="I20" s="46">
        <v>1</v>
      </c>
      <c r="N20" s="46"/>
      <c r="O20" s="46">
        <v>1</v>
      </c>
      <c r="T20" s="46">
        <v>1</v>
      </c>
      <c r="W20" s="46">
        <v>15</v>
      </c>
      <c r="X20" s="46">
        <v>18</v>
      </c>
      <c r="Y20" s="46">
        <v>18</v>
      </c>
      <c r="Z20" s="46">
        <v>3</v>
      </c>
      <c r="AA20" s="46">
        <v>3</v>
      </c>
      <c r="AB20" s="46">
        <v>1</v>
      </c>
      <c r="AC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J20" s="46">
        <v>1</v>
      </c>
      <c r="BV20" s="46">
        <v>1</v>
      </c>
      <c r="BY20" s="46">
        <v>1</v>
      </c>
      <c r="CB20" s="46">
        <v>1</v>
      </c>
    </row>
    <row r="21" spans="1:98">
      <c r="A21" s="46" t="s">
        <v>3772</v>
      </c>
      <c r="B21" s="46" t="s">
        <v>3773</v>
      </c>
      <c r="C21" s="46">
        <v>60</v>
      </c>
      <c r="D21" s="46" t="s">
        <v>3449</v>
      </c>
      <c r="E21" s="46" t="s">
        <v>3774</v>
      </c>
      <c r="F21" s="47" t="s">
        <v>415</v>
      </c>
      <c r="H21" s="46">
        <v>1</v>
      </c>
      <c r="N21" s="46">
        <v>1</v>
      </c>
      <c r="Q21" s="46">
        <v>1</v>
      </c>
      <c r="T21" s="46">
        <v>1</v>
      </c>
      <c r="W21" s="46">
        <v>14</v>
      </c>
      <c r="X21" s="46">
        <v>14</v>
      </c>
      <c r="Y21" s="46">
        <v>15</v>
      </c>
      <c r="Z21" s="46">
        <v>8</v>
      </c>
      <c r="AA21" s="46">
        <v>7</v>
      </c>
      <c r="AB21" s="46">
        <v>6</v>
      </c>
      <c r="AC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J21" s="46">
        <v>1</v>
      </c>
      <c r="BY21" s="46">
        <v>1</v>
      </c>
      <c r="CB21" s="46">
        <v>1</v>
      </c>
    </row>
    <row r="22" spans="1:98">
      <c r="A22" s="46" t="s">
        <v>3775</v>
      </c>
      <c r="B22" s="46" t="s">
        <v>3776</v>
      </c>
      <c r="C22" s="46">
        <v>80</v>
      </c>
      <c r="D22" s="46" t="s">
        <v>3449</v>
      </c>
      <c r="F22" s="47" t="s">
        <v>415</v>
      </c>
      <c r="G22" s="46">
        <v>1</v>
      </c>
      <c r="P22" s="46">
        <v>1</v>
      </c>
      <c r="S22" s="46">
        <v>1</v>
      </c>
      <c r="W22" s="46">
        <v>14</v>
      </c>
      <c r="X22" s="46">
        <v>15</v>
      </c>
      <c r="Y22" s="46">
        <v>16</v>
      </c>
      <c r="Z22" s="46">
        <v>16</v>
      </c>
      <c r="AA22" s="46">
        <v>13</v>
      </c>
      <c r="AB22" s="46">
        <v>9</v>
      </c>
      <c r="AC22" s="46">
        <v>1</v>
      </c>
      <c r="AI22" s="46">
        <v>1</v>
      </c>
      <c r="AM22" s="46">
        <v>1</v>
      </c>
      <c r="AT22" s="46">
        <v>1</v>
      </c>
      <c r="AW22" s="46">
        <v>1</v>
      </c>
      <c r="BA22" s="46">
        <v>1</v>
      </c>
      <c r="BJ22" s="46">
        <v>1</v>
      </c>
      <c r="BV22" s="46">
        <v>1</v>
      </c>
      <c r="BY22" s="46">
        <v>1</v>
      </c>
      <c r="CB22" s="46">
        <v>1</v>
      </c>
    </row>
    <row r="23" spans="1:98">
      <c r="A23" s="46" t="s">
        <v>3777</v>
      </c>
      <c r="B23" s="46" t="s">
        <v>3778</v>
      </c>
      <c r="C23" s="46">
        <v>84</v>
      </c>
      <c r="D23" s="46" t="s">
        <v>3449</v>
      </c>
      <c r="F23" s="47" t="s">
        <v>415</v>
      </c>
      <c r="H23" s="46">
        <v>1</v>
      </c>
      <c r="P23" s="46">
        <v>1</v>
      </c>
      <c r="S23" s="46">
        <v>1</v>
      </c>
      <c r="W23" s="46">
        <v>12</v>
      </c>
      <c r="X23" s="46">
        <v>12</v>
      </c>
      <c r="Y23" s="46">
        <v>22</v>
      </c>
      <c r="Z23" s="46">
        <v>13</v>
      </c>
      <c r="AA23" s="46">
        <v>11</v>
      </c>
      <c r="AB23" s="46">
        <v>6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J23" s="46">
        <v>1</v>
      </c>
      <c r="BV23" s="46">
        <v>1</v>
      </c>
      <c r="BY23" s="46">
        <v>1</v>
      </c>
      <c r="CB23" s="46">
        <v>1</v>
      </c>
    </row>
    <row r="24" spans="1:98">
      <c r="A24" s="46" t="s">
        <v>3779</v>
      </c>
      <c r="B24" s="46" t="s">
        <v>3780</v>
      </c>
      <c r="C24" s="46">
        <v>60</v>
      </c>
      <c r="D24" s="46" t="s">
        <v>3449</v>
      </c>
      <c r="E24" s="46" t="s">
        <v>3781</v>
      </c>
      <c r="F24" s="47" t="s">
        <v>415</v>
      </c>
      <c r="G24" s="46">
        <v>1</v>
      </c>
      <c r="O24" s="46">
        <v>1</v>
      </c>
      <c r="T24" s="46">
        <v>1</v>
      </c>
      <c r="W24" s="46">
        <v>14</v>
      </c>
      <c r="X24" s="46">
        <v>15</v>
      </c>
      <c r="Y24" s="46">
        <v>15</v>
      </c>
      <c r="Z24" s="46">
        <v>6</v>
      </c>
      <c r="AA24" s="46">
        <v>6</v>
      </c>
      <c r="AB24" s="46">
        <v>4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J24" s="46">
        <v>1</v>
      </c>
      <c r="BY24" s="46">
        <v>1</v>
      </c>
      <c r="CB24" s="46">
        <v>1</v>
      </c>
    </row>
    <row r="25" spans="1:98">
      <c r="A25" s="46" t="s">
        <v>3782</v>
      </c>
      <c r="B25" s="46" t="s">
        <v>3783</v>
      </c>
      <c r="C25" s="46">
        <v>70</v>
      </c>
      <c r="D25" s="46" t="s">
        <v>3449</v>
      </c>
      <c r="F25" s="47" t="s">
        <v>415</v>
      </c>
      <c r="G25" s="46">
        <v>1</v>
      </c>
      <c r="P25" s="46">
        <v>1</v>
      </c>
      <c r="S25" s="46">
        <v>1</v>
      </c>
      <c r="W25" s="46">
        <v>14</v>
      </c>
      <c r="X25" s="46">
        <v>15</v>
      </c>
      <c r="Y25" s="46">
        <v>15</v>
      </c>
      <c r="Z25" s="46">
        <v>9</v>
      </c>
      <c r="AA25" s="46">
        <v>6</v>
      </c>
      <c r="AB25" s="46">
        <v>6</v>
      </c>
      <c r="AC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J25" s="46">
        <v>1</v>
      </c>
      <c r="BY25" s="46">
        <v>1</v>
      </c>
      <c r="CB25" s="46">
        <v>1</v>
      </c>
    </row>
    <row r="26" spans="1:98">
      <c r="A26" s="46" t="s">
        <v>3784</v>
      </c>
      <c r="B26" s="46" t="s">
        <v>3785</v>
      </c>
      <c r="C26" s="46">
        <v>32</v>
      </c>
      <c r="D26" s="46" t="s">
        <v>3449</v>
      </c>
      <c r="E26" s="46" t="s">
        <v>3786</v>
      </c>
      <c r="F26" s="47" t="s">
        <v>415</v>
      </c>
      <c r="H26" s="46">
        <v>1</v>
      </c>
      <c r="N26" s="46">
        <v>1</v>
      </c>
      <c r="Q26" s="46">
        <v>1</v>
      </c>
      <c r="T26" s="46">
        <v>1</v>
      </c>
      <c r="W26" s="46">
        <v>14</v>
      </c>
      <c r="X26" s="46">
        <v>18</v>
      </c>
      <c r="Y26" s="46">
        <v>19</v>
      </c>
      <c r="Z26" s="46">
        <v>8</v>
      </c>
      <c r="AA26" s="46">
        <v>7</v>
      </c>
      <c r="AB26" s="46">
        <v>7</v>
      </c>
      <c r="AD26" s="46">
        <v>1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/>
      <c r="AX26" s="46">
        <v>1</v>
      </c>
      <c r="BA26" s="46">
        <v>1</v>
      </c>
      <c r="BK26" s="46">
        <v>1</v>
      </c>
      <c r="BN26" s="46">
        <v>1</v>
      </c>
      <c r="BO26" s="46" t="s">
        <v>3571</v>
      </c>
      <c r="BY26" s="46">
        <v>1</v>
      </c>
      <c r="CB26" s="46">
        <v>1</v>
      </c>
      <c r="CT26" s="46">
        <v>1</v>
      </c>
    </row>
    <row r="27" spans="1:98">
      <c r="A27" s="46" t="s">
        <v>3787</v>
      </c>
      <c r="B27" s="46" t="s">
        <v>2676</v>
      </c>
      <c r="C27" s="46">
        <v>26</v>
      </c>
      <c r="D27" s="46" t="s">
        <v>3449</v>
      </c>
      <c r="F27" s="47" t="s">
        <v>415</v>
      </c>
      <c r="H27" s="46">
        <v>1</v>
      </c>
      <c r="N27" s="46">
        <v>1</v>
      </c>
      <c r="Q27" s="46">
        <v>1</v>
      </c>
      <c r="T27" s="46">
        <v>1</v>
      </c>
      <c r="W27" s="46">
        <v>16</v>
      </c>
      <c r="X27" s="46">
        <v>15</v>
      </c>
      <c r="Y27" s="46">
        <v>20</v>
      </c>
      <c r="Z27" s="46">
        <v>2</v>
      </c>
      <c r="AA27" s="46">
        <v>2</v>
      </c>
      <c r="AB27" s="46">
        <v>2</v>
      </c>
      <c r="AE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/>
      <c r="AX27" s="46">
        <v>1</v>
      </c>
      <c r="BA27" s="46">
        <v>1</v>
      </c>
      <c r="BI27" s="46">
        <v>1</v>
      </c>
      <c r="BY27" s="46">
        <v>1</v>
      </c>
      <c r="CB27" s="46">
        <v>1</v>
      </c>
    </row>
    <row r="28" spans="1:98">
      <c r="A28" s="46" t="s">
        <v>3788</v>
      </c>
      <c r="B28" s="46" t="s">
        <v>3789</v>
      </c>
      <c r="C28" s="46">
        <v>35</v>
      </c>
      <c r="D28" s="46" t="s">
        <v>3449</v>
      </c>
      <c r="E28" s="46" t="s">
        <v>3790</v>
      </c>
      <c r="F28" s="47" t="s">
        <v>415</v>
      </c>
      <c r="G28" s="46">
        <v>1</v>
      </c>
      <c r="N28" s="46">
        <v>1</v>
      </c>
      <c r="Q28" s="46">
        <v>1</v>
      </c>
      <c r="U28" s="46">
        <v>1</v>
      </c>
      <c r="W28" s="46">
        <v>14</v>
      </c>
      <c r="X28" s="46">
        <v>18</v>
      </c>
      <c r="Y28" s="46">
        <v>20</v>
      </c>
      <c r="Z28" s="46">
        <v>4</v>
      </c>
      <c r="AA28" s="46">
        <v>4</v>
      </c>
      <c r="AB28" s="46">
        <v>4</v>
      </c>
      <c r="AC28" s="46">
        <v>1</v>
      </c>
      <c r="AJ28" s="46">
        <v>1</v>
      </c>
      <c r="AK28" s="46">
        <v>1</v>
      </c>
      <c r="AT28" s="46">
        <v>1</v>
      </c>
      <c r="AW28" s="46"/>
      <c r="AX28" s="46">
        <v>1</v>
      </c>
      <c r="BA28" s="46">
        <v>1</v>
      </c>
      <c r="BI28" s="46">
        <v>1</v>
      </c>
      <c r="BY28" s="46">
        <v>1</v>
      </c>
      <c r="CB28" s="46">
        <v>1</v>
      </c>
    </row>
    <row r="29" spans="1:98">
      <c r="A29" s="46" t="s">
        <v>3791</v>
      </c>
      <c r="B29" s="46" t="s">
        <v>3792</v>
      </c>
      <c r="C29" s="46">
        <v>44</v>
      </c>
      <c r="D29" s="46" t="s">
        <v>3449</v>
      </c>
      <c r="E29" s="46" t="s">
        <v>3793</v>
      </c>
      <c r="F29" s="47" t="s">
        <v>415</v>
      </c>
      <c r="I29" s="46">
        <v>1</v>
      </c>
      <c r="M29" s="46">
        <v>1</v>
      </c>
      <c r="Q29" s="46">
        <v>1</v>
      </c>
      <c r="U29" s="46">
        <v>1</v>
      </c>
      <c r="W29" s="46">
        <v>17</v>
      </c>
      <c r="X29" s="46">
        <v>19</v>
      </c>
      <c r="Y29" s="46">
        <v>19</v>
      </c>
      <c r="Z29" s="46">
        <v>6</v>
      </c>
      <c r="AA29" s="46">
        <v>4</v>
      </c>
      <c r="AB29" s="46">
        <v>4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Y29" s="46">
        <v>1</v>
      </c>
      <c r="CB29" s="46">
        <v>1</v>
      </c>
    </row>
    <row r="30" spans="1:98">
      <c r="A30" s="46" t="s">
        <v>3794</v>
      </c>
      <c r="B30" s="46" t="s">
        <v>3795</v>
      </c>
      <c r="C30" s="46">
        <v>42</v>
      </c>
      <c r="D30" s="46" t="s">
        <v>3449</v>
      </c>
      <c r="E30" s="46" t="s">
        <v>3796</v>
      </c>
      <c r="F30" s="47" t="s">
        <v>415</v>
      </c>
      <c r="G30" s="46">
        <v>1</v>
      </c>
      <c r="J30" s="46"/>
      <c r="M30" s="46"/>
      <c r="Q30" s="46">
        <v>1</v>
      </c>
      <c r="U30" s="46">
        <v>1</v>
      </c>
      <c r="W30" s="46">
        <v>17</v>
      </c>
      <c r="X30" s="46">
        <v>20</v>
      </c>
      <c r="Y30" s="46">
        <v>20</v>
      </c>
      <c r="Z30" s="46">
        <v>9</v>
      </c>
      <c r="AA30" s="46">
        <v>8</v>
      </c>
      <c r="AB30" s="46">
        <v>6</v>
      </c>
      <c r="AE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/>
      <c r="AX30" s="46">
        <v>1</v>
      </c>
      <c r="BA30" s="46">
        <v>1</v>
      </c>
      <c r="BI30" s="46">
        <v>1</v>
      </c>
      <c r="BY30" s="46">
        <v>1</v>
      </c>
      <c r="CB30" s="46">
        <v>1</v>
      </c>
    </row>
    <row r="31" spans="1:98">
      <c r="A31" s="46" t="s">
        <v>3797</v>
      </c>
      <c r="B31" s="46" t="s">
        <v>3798</v>
      </c>
      <c r="C31" s="46">
        <v>27</v>
      </c>
      <c r="D31" s="46" t="s">
        <v>3449</v>
      </c>
      <c r="F31" s="47" t="s">
        <v>415</v>
      </c>
      <c r="G31" s="46">
        <v>1</v>
      </c>
      <c r="N31" s="46">
        <v>1</v>
      </c>
      <c r="Q31" s="46">
        <v>1</v>
      </c>
      <c r="T31" s="46">
        <v>1</v>
      </c>
      <c r="W31" s="46">
        <v>12</v>
      </c>
      <c r="X31" s="46">
        <v>15</v>
      </c>
      <c r="Y31" s="46">
        <v>15</v>
      </c>
      <c r="Z31" s="46">
        <v>2</v>
      </c>
      <c r="AA31" s="46">
        <v>2</v>
      </c>
      <c r="AB31" s="46">
        <v>2</v>
      </c>
      <c r="AH31" s="46">
        <v>1</v>
      </c>
      <c r="AI31" s="46">
        <v>1</v>
      </c>
      <c r="AK31" s="46">
        <v>1</v>
      </c>
      <c r="AT31" s="46">
        <v>1</v>
      </c>
      <c r="AW31" s="46"/>
      <c r="AX31" s="46">
        <v>1</v>
      </c>
      <c r="BA31" s="46">
        <v>1</v>
      </c>
      <c r="BI31" s="46">
        <v>1</v>
      </c>
      <c r="BY31" s="46">
        <v>1</v>
      </c>
      <c r="CB31" s="46">
        <v>1</v>
      </c>
    </row>
    <row r="32" spans="1:98">
      <c r="A32" s="46" t="s">
        <v>3799</v>
      </c>
      <c r="B32" s="46" t="s">
        <v>3800</v>
      </c>
      <c r="C32" s="46">
        <v>47</v>
      </c>
      <c r="D32" s="46" t="s">
        <v>3801</v>
      </c>
      <c r="E32" s="46" t="s">
        <v>3802</v>
      </c>
      <c r="F32" s="47" t="s">
        <v>415</v>
      </c>
      <c r="J32" s="46">
        <v>1</v>
      </c>
      <c r="N32" s="46">
        <v>1</v>
      </c>
      <c r="Q32" s="46">
        <v>1</v>
      </c>
      <c r="T32" s="46">
        <v>1</v>
      </c>
      <c r="W32" s="46">
        <v>14</v>
      </c>
      <c r="X32" s="46">
        <v>18</v>
      </c>
      <c r="Y32" s="46">
        <v>20</v>
      </c>
      <c r="Z32" s="46">
        <v>12</v>
      </c>
      <c r="AA32" s="46">
        <v>11</v>
      </c>
      <c r="AB32" s="46">
        <v>9</v>
      </c>
      <c r="AF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Y32" s="46">
        <v>1</v>
      </c>
      <c r="CB32" s="46">
        <v>1</v>
      </c>
    </row>
    <row r="33" spans="1:94">
      <c r="A33" s="46" t="s">
        <v>3803</v>
      </c>
      <c r="B33" s="46" t="s">
        <v>3804</v>
      </c>
      <c r="C33" s="46">
        <v>43</v>
      </c>
      <c r="D33" s="46" t="s">
        <v>3449</v>
      </c>
      <c r="E33" s="46" t="s">
        <v>3805</v>
      </c>
      <c r="F33" s="47" t="s">
        <v>415</v>
      </c>
      <c r="H33" s="46">
        <v>1</v>
      </c>
      <c r="N33" s="46">
        <v>1</v>
      </c>
      <c r="R33" s="46">
        <v>1</v>
      </c>
      <c r="U33" s="46">
        <v>1</v>
      </c>
      <c r="W33" s="46">
        <v>18</v>
      </c>
      <c r="X33" s="46">
        <v>20</v>
      </c>
      <c r="Y33" s="46">
        <v>20</v>
      </c>
      <c r="Z33" s="46">
        <v>9</v>
      </c>
      <c r="AA33" s="46">
        <v>7</v>
      </c>
      <c r="AB33" s="46">
        <v>7</v>
      </c>
      <c r="AC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Y33" s="46">
        <v>1</v>
      </c>
      <c r="CB33" s="46">
        <v>1</v>
      </c>
    </row>
    <row r="34" spans="1:94">
      <c r="A34" s="46" t="s">
        <v>3806</v>
      </c>
      <c r="B34" s="46" t="s">
        <v>1348</v>
      </c>
      <c r="C34" s="46">
        <v>45</v>
      </c>
      <c r="D34" s="46" t="s">
        <v>3449</v>
      </c>
      <c r="E34" s="46" t="s">
        <v>3807</v>
      </c>
      <c r="F34" s="47" t="s">
        <v>415</v>
      </c>
      <c r="H34" s="46">
        <v>1</v>
      </c>
      <c r="N34" s="46">
        <v>1</v>
      </c>
      <c r="R34" s="46">
        <v>1</v>
      </c>
      <c r="S34" s="46">
        <v>1</v>
      </c>
      <c r="W34" s="46">
        <v>13</v>
      </c>
      <c r="X34" s="46">
        <v>13</v>
      </c>
      <c r="Y34" s="46">
        <v>13</v>
      </c>
      <c r="Z34" s="46">
        <v>8</v>
      </c>
      <c r="AA34" s="46">
        <v>8</v>
      </c>
      <c r="AB34" s="46">
        <v>7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Y34" s="46">
        <v>1</v>
      </c>
      <c r="CB34" s="46">
        <v>1</v>
      </c>
    </row>
    <row r="35" spans="1:94">
      <c r="A35" s="46" t="s">
        <v>3808</v>
      </c>
      <c r="B35" s="46" t="s">
        <v>3536</v>
      </c>
      <c r="C35" s="46">
        <v>31</v>
      </c>
      <c r="D35" s="46" t="s">
        <v>3449</v>
      </c>
      <c r="F35" s="47" t="s">
        <v>415</v>
      </c>
      <c r="I35" s="46">
        <v>1</v>
      </c>
      <c r="N35" s="46">
        <v>1</v>
      </c>
      <c r="R35" s="46">
        <v>1</v>
      </c>
      <c r="T35" s="46">
        <v>1</v>
      </c>
      <c r="W35" s="46">
        <v>15</v>
      </c>
      <c r="X35" s="46">
        <v>18</v>
      </c>
      <c r="Y35" s="46">
        <v>18</v>
      </c>
      <c r="Z35" s="46">
        <v>7</v>
      </c>
      <c r="AA35" s="46">
        <v>7</v>
      </c>
      <c r="AB35" s="46">
        <v>7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Y35" s="46">
        <v>1</v>
      </c>
      <c r="CB35" s="46">
        <v>1</v>
      </c>
    </row>
    <row r="36" spans="1:94">
      <c r="A36" s="46" t="s">
        <v>3809</v>
      </c>
      <c r="B36" s="46" t="s">
        <v>3810</v>
      </c>
      <c r="C36" s="46">
        <v>22</v>
      </c>
      <c r="D36" s="46" t="s">
        <v>3449</v>
      </c>
      <c r="F36" s="47" t="s">
        <v>415</v>
      </c>
      <c r="H36" s="46">
        <v>1</v>
      </c>
      <c r="N36" s="46">
        <v>1</v>
      </c>
      <c r="Q36" s="46">
        <v>1</v>
      </c>
      <c r="T36" s="46">
        <v>1</v>
      </c>
      <c r="W36" s="46">
        <v>11</v>
      </c>
      <c r="X36" s="46">
        <v>16</v>
      </c>
      <c r="Y36" s="46">
        <v>17</v>
      </c>
      <c r="Z36" s="46">
        <v>3</v>
      </c>
      <c r="AA36" s="46">
        <v>3</v>
      </c>
      <c r="AB36" s="46">
        <v>3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Y36" s="46">
        <v>1</v>
      </c>
      <c r="CB36" s="46">
        <v>1</v>
      </c>
    </row>
    <row r="37" spans="1:94">
      <c r="A37" s="46" t="s">
        <v>3811</v>
      </c>
      <c r="B37" s="46" t="s">
        <v>3812</v>
      </c>
      <c r="C37" s="46">
        <v>40</v>
      </c>
      <c r="D37" s="46" t="s">
        <v>3449</v>
      </c>
      <c r="E37" s="46" t="s">
        <v>3813</v>
      </c>
      <c r="F37" s="47" t="s">
        <v>415</v>
      </c>
      <c r="H37" s="46">
        <v>1</v>
      </c>
      <c r="N37" s="46">
        <v>1</v>
      </c>
      <c r="R37" s="46">
        <v>1</v>
      </c>
      <c r="T37" s="46">
        <v>1</v>
      </c>
      <c r="W37" s="46">
        <v>16</v>
      </c>
      <c r="X37" s="46">
        <v>18</v>
      </c>
      <c r="Y37" s="46">
        <v>20</v>
      </c>
      <c r="Z37" s="46">
        <v>16</v>
      </c>
      <c r="AA37" s="46">
        <v>14</v>
      </c>
      <c r="AB37" s="46">
        <v>5</v>
      </c>
      <c r="AC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  <c r="CB37" s="46">
        <v>1</v>
      </c>
    </row>
    <row r="38" spans="1:94">
      <c r="A38" s="46" t="s">
        <v>3814</v>
      </c>
      <c r="B38" s="46" t="s">
        <v>2905</v>
      </c>
      <c r="C38" s="46">
        <v>15</v>
      </c>
      <c r="D38" s="46" t="s">
        <v>3449</v>
      </c>
      <c r="E38" s="46" t="s">
        <v>3815</v>
      </c>
      <c r="F38" s="47" t="s">
        <v>415</v>
      </c>
      <c r="J38" s="46">
        <v>1</v>
      </c>
      <c r="L38" s="46">
        <v>1</v>
      </c>
      <c r="U38" s="46">
        <v>1</v>
      </c>
      <c r="W38" s="46">
        <v>13</v>
      </c>
      <c r="X38" s="46" t="s">
        <v>908</v>
      </c>
      <c r="Y38" s="46" t="s">
        <v>908</v>
      </c>
      <c r="Z38" s="46" t="s">
        <v>908</v>
      </c>
      <c r="AA38" s="46" t="s">
        <v>908</v>
      </c>
      <c r="AB38" s="46" t="s">
        <v>908</v>
      </c>
      <c r="AC38" s="46">
        <v>1</v>
      </c>
      <c r="AI38" s="46">
        <v>1</v>
      </c>
      <c r="AK38" s="46">
        <v>1</v>
      </c>
      <c r="AT38" s="46">
        <v>1</v>
      </c>
      <c r="AV38" s="46">
        <v>1</v>
      </c>
      <c r="AW38" s="46"/>
      <c r="BA38" s="46">
        <v>1</v>
      </c>
      <c r="BI38" s="46"/>
      <c r="BY38" s="46"/>
      <c r="BZ38" s="46">
        <v>1</v>
      </c>
      <c r="CA38" s="134">
        <v>45413</v>
      </c>
      <c r="CB38" s="46">
        <v>1</v>
      </c>
      <c r="CI38" s="46">
        <v>1</v>
      </c>
      <c r="CP38" s="46" t="s">
        <v>3816</v>
      </c>
    </row>
    <row r="39" spans="1:94">
      <c r="A39" s="46" t="s">
        <v>3817</v>
      </c>
      <c r="B39" s="46" t="s">
        <v>3818</v>
      </c>
      <c r="C39" s="46">
        <v>49</v>
      </c>
      <c r="D39" s="46" t="s">
        <v>3819</v>
      </c>
      <c r="E39" s="46" t="s">
        <v>3820</v>
      </c>
      <c r="F39" s="47" t="s">
        <v>415</v>
      </c>
      <c r="H39" s="46">
        <v>1</v>
      </c>
      <c r="N39" s="46">
        <v>1</v>
      </c>
      <c r="Q39" s="46">
        <v>1</v>
      </c>
      <c r="T39" s="46">
        <v>1</v>
      </c>
      <c r="W39" s="46">
        <v>16</v>
      </c>
      <c r="X39" s="46">
        <v>18</v>
      </c>
      <c r="Y39" s="46">
        <v>18</v>
      </c>
      <c r="Z39" s="46">
        <v>10</v>
      </c>
      <c r="AA39" s="46">
        <v>10</v>
      </c>
      <c r="AB39" s="46">
        <v>7</v>
      </c>
      <c r="AC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/>
      <c r="BJ39" s="46">
        <v>1</v>
      </c>
      <c r="BY39" s="46"/>
      <c r="BZ39" s="46">
        <v>1</v>
      </c>
      <c r="CA39" s="46">
        <v>2013</v>
      </c>
      <c r="CB39" s="46"/>
      <c r="CC39" s="46">
        <v>1</v>
      </c>
      <c r="CD39" s="46">
        <v>2020</v>
      </c>
      <c r="CF39" s="46">
        <v>1</v>
      </c>
      <c r="CH39" s="46">
        <v>1</v>
      </c>
    </row>
    <row r="40" spans="1:94">
      <c r="A40" s="46" t="s">
        <v>3821</v>
      </c>
      <c r="B40" s="46" t="s">
        <v>3822</v>
      </c>
      <c r="C40" s="46">
        <v>39</v>
      </c>
      <c r="D40" s="46" t="s">
        <v>3823</v>
      </c>
      <c r="F40" s="47" t="s">
        <v>415</v>
      </c>
      <c r="H40" s="46">
        <v>1</v>
      </c>
      <c r="N40" s="46">
        <v>1</v>
      </c>
      <c r="Q40" s="46">
        <v>1</v>
      </c>
      <c r="T40" s="46">
        <v>1</v>
      </c>
      <c r="W40" s="46">
        <v>14</v>
      </c>
      <c r="X40" s="46">
        <v>19</v>
      </c>
      <c r="Y40" s="46">
        <v>20</v>
      </c>
      <c r="Z40" s="46">
        <v>7</v>
      </c>
      <c r="AA40" s="46">
        <v>8</v>
      </c>
      <c r="AB40" s="46">
        <v>8</v>
      </c>
      <c r="AH40" s="46">
        <v>1</v>
      </c>
      <c r="AJ40" s="46">
        <v>1</v>
      </c>
      <c r="AK40" s="46">
        <v>1</v>
      </c>
      <c r="AT40" s="46">
        <v>1</v>
      </c>
      <c r="AW40" s="46">
        <v>1</v>
      </c>
      <c r="BA40" s="46">
        <v>1</v>
      </c>
      <c r="BI40" s="46">
        <v>1</v>
      </c>
      <c r="BY40" s="46">
        <v>1</v>
      </c>
      <c r="CB40" s="46"/>
      <c r="CC40" s="46">
        <v>1</v>
      </c>
      <c r="CD40" s="46" t="s">
        <v>3824</v>
      </c>
      <c r="CF40" s="46">
        <v>1</v>
      </c>
      <c r="CH40" s="46">
        <v>1</v>
      </c>
    </row>
    <row r="41" spans="1:94">
      <c r="A41" s="46" t="s">
        <v>3825</v>
      </c>
      <c r="B41" s="46" t="s">
        <v>3826</v>
      </c>
      <c r="C41" s="46">
        <v>60</v>
      </c>
      <c r="D41" s="46" t="s">
        <v>3449</v>
      </c>
      <c r="F41" s="47" t="s">
        <v>415</v>
      </c>
      <c r="K41" s="46">
        <v>1</v>
      </c>
      <c r="M41" s="46">
        <v>1</v>
      </c>
      <c r="Q41" s="46">
        <v>1</v>
      </c>
      <c r="T41" s="46">
        <v>1</v>
      </c>
      <c r="W41" s="46">
        <v>15</v>
      </c>
      <c r="X41" s="46">
        <v>16</v>
      </c>
      <c r="Y41" s="46">
        <v>17</v>
      </c>
      <c r="Z41" s="46">
        <v>9</v>
      </c>
      <c r="AA41" s="46">
        <v>9</v>
      </c>
      <c r="AB41" s="46">
        <v>7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I41" s="46"/>
      <c r="BK41" s="46">
        <v>1</v>
      </c>
      <c r="BN41" s="46">
        <v>1</v>
      </c>
      <c r="BO41" s="46" t="s">
        <v>3827</v>
      </c>
      <c r="BY41" s="46">
        <v>1</v>
      </c>
      <c r="CB41" s="46">
        <v>1</v>
      </c>
    </row>
    <row r="42" spans="1:94">
      <c r="A42" s="46" t="s">
        <v>3828</v>
      </c>
      <c r="B42" s="46" t="s">
        <v>3829</v>
      </c>
      <c r="C42" s="46">
        <v>30</v>
      </c>
      <c r="D42" s="46" t="s">
        <v>3449</v>
      </c>
      <c r="F42" s="47" t="s">
        <v>415</v>
      </c>
      <c r="H42" s="46">
        <v>1</v>
      </c>
      <c r="N42" s="46">
        <v>1</v>
      </c>
      <c r="Q42" s="46">
        <v>1</v>
      </c>
      <c r="S42" s="46">
        <v>1</v>
      </c>
      <c r="W42" s="46">
        <v>15</v>
      </c>
      <c r="X42" s="46">
        <v>16</v>
      </c>
      <c r="Y42" s="46">
        <v>16</v>
      </c>
      <c r="Z42" s="46">
        <v>10</v>
      </c>
      <c r="AA42" s="46">
        <v>10</v>
      </c>
      <c r="AB42" s="46">
        <v>9</v>
      </c>
      <c r="AH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/>
      <c r="BK42" s="46">
        <v>1</v>
      </c>
      <c r="BN42" s="46">
        <v>1</v>
      </c>
      <c r="BO42" s="46" t="s">
        <v>3827</v>
      </c>
      <c r="BV42" s="46">
        <v>1</v>
      </c>
      <c r="BY42" s="46">
        <v>1</v>
      </c>
      <c r="CB42" s="46">
        <v>1</v>
      </c>
    </row>
    <row r="43" spans="1:94">
      <c r="A43" s="46" t="s">
        <v>3830</v>
      </c>
      <c r="B43" s="46" t="s">
        <v>3831</v>
      </c>
      <c r="C43" s="46">
        <v>46</v>
      </c>
      <c r="D43" s="46" t="s">
        <v>3449</v>
      </c>
      <c r="E43" s="46" t="s">
        <v>3832</v>
      </c>
      <c r="F43" s="47" t="s">
        <v>415</v>
      </c>
      <c r="H43" s="46">
        <v>1</v>
      </c>
      <c r="P43" s="46">
        <v>1</v>
      </c>
      <c r="S43" s="46">
        <v>1</v>
      </c>
      <c r="W43" s="46">
        <v>15</v>
      </c>
      <c r="X43" s="46">
        <v>16</v>
      </c>
      <c r="Y43" s="46">
        <v>17</v>
      </c>
      <c r="Z43" s="46">
        <v>7</v>
      </c>
      <c r="AA43" s="46">
        <v>6</v>
      </c>
      <c r="AB43" s="46">
        <v>6</v>
      </c>
      <c r="AH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/>
      <c r="BB43" s="46">
        <v>1</v>
      </c>
      <c r="BF43" s="46">
        <v>1</v>
      </c>
      <c r="BI43" s="46"/>
      <c r="BK43" s="46">
        <v>1</v>
      </c>
      <c r="BN43" s="46">
        <v>1</v>
      </c>
      <c r="BO43" s="46" t="s">
        <v>3816</v>
      </c>
      <c r="BY43" s="46">
        <v>1</v>
      </c>
      <c r="CB43" s="46">
        <v>1</v>
      </c>
    </row>
    <row r="44" spans="1:94">
      <c r="A44" s="46" t="s">
        <v>3833</v>
      </c>
      <c r="B44" s="46" t="s">
        <v>3834</v>
      </c>
      <c r="C44" s="46">
        <v>78</v>
      </c>
      <c r="D44" s="46" t="s">
        <v>3449</v>
      </c>
      <c r="F44" s="47" t="s">
        <v>415</v>
      </c>
      <c r="H44" s="46">
        <v>1</v>
      </c>
      <c r="P44" s="46">
        <v>1</v>
      </c>
      <c r="S44" s="46">
        <v>1</v>
      </c>
      <c r="W44" s="46">
        <v>15</v>
      </c>
      <c r="X44" s="46">
        <v>16</v>
      </c>
      <c r="Y44" s="46">
        <v>16</v>
      </c>
      <c r="Z44" s="46">
        <v>8</v>
      </c>
      <c r="AA44" s="46">
        <v>6</v>
      </c>
      <c r="AB44" s="46">
        <v>4</v>
      </c>
      <c r="AE44" s="46">
        <v>1</v>
      </c>
      <c r="AH44" s="46">
        <v>1</v>
      </c>
      <c r="AI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/>
      <c r="BK44" s="46">
        <v>1</v>
      </c>
      <c r="BN44" s="46">
        <v>1</v>
      </c>
      <c r="BO44" s="46" t="s">
        <v>3816</v>
      </c>
      <c r="BV44" s="46">
        <v>1</v>
      </c>
      <c r="BY44" s="46">
        <v>1</v>
      </c>
      <c r="CB44" s="46">
        <v>1</v>
      </c>
    </row>
    <row r="45" spans="1:94">
      <c r="A45" s="46" t="s">
        <v>3835</v>
      </c>
      <c r="B45" s="46" t="s">
        <v>3836</v>
      </c>
      <c r="C45" s="46">
        <v>60</v>
      </c>
      <c r="D45" s="46" t="s">
        <v>3449</v>
      </c>
      <c r="F45" s="47" t="s">
        <v>415</v>
      </c>
      <c r="J45" s="46">
        <v>1</v>
      </c>
      <c r="N45" s="46">
        <v>1</v>
      </c>
      <c r="R45" s="46">
        <v>1</v>
      </c>
      <c r="T45" s="46">
        <v>1</v>
      </c>
      <c r="W45" s="46">
        <v>12</v>
      </c>
      <c r="X45" s="46">
        <v>14</v>
      </c>
      <c r="Y45" s="46">
        <v>14</v>
      </c>
      <c r="Z45" s="46">
        <v>9</v>
      </c>
      <c r="AA45" s="46">
        <v>9</v>
      </c>
      <c r="AB45" s="46">
        <v>7</v>
      </c>
      <c r="AE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/>
      <c r="BK45" s="46">
        <v>1</v>
      </c>
      <c r="BV45" s="46">
        <v>1</v>
      </c>
      <c r="BY45" s="46">
        <v>1</v>
      </c>
      <c r="CB45" s="46">
        <v>1</v>
      </c>
    </row>
    <row r="46" spans="1:94">
      <c r="A46" s="46" t="s">
        <v>3837</v>
      </c>
      <c r="B46" s="46" t="s">
        <v>3838</v>
      </c>
      <c r="C46" s="46">
        <v>32</v>
      </c>
      <c r="D46" s="46" t="s">
        <v>3839</v>
      </c>
      <c r="E46" s="46" t="s">
        <v>3840</v>
      </c>
      <c r="F46" s="47" t="s">
        <v>415</v>
      </c>
      <c r="H46" s="46">
        <v>1</v>
      </c>
      <c r="N46" s="46">
        <v>1</v>
      </c>
      <c r="Q46" s="46">
        <v>1</v>
      </c>
      <c r="U46" s="46">
        <v>1</v>
      </c>
      <c r="W46" s="46">
        <v>16</v>
      </c>
      <c r="X46" s="46">
        <v>17</v>
      </c>
      <c r="Y46" s="46">
        <v>18</v>
      </c>
      <c r="Z46" s="46">
        <v>5</v>
      </c>
      <c r="AA46" s="46">
        <v>5</v>
      </c>
      <c r="AB46" s="46">
        <v>5</v>
      </c>
      <c r="AC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/>
      <c r="BK46" s="46">
        <v>1</v>
      </c>
      <c r="BV46" s="46">
        <v>1</v>
      </c>
      <c r="BY46" s="46"/>
      <c r="BZ46" s="46">
        <v>1</v>
      </c>
      <c r="CA46" s="46">
        <v>2019</v>
      </c>
      <c r="CB46" s="46">
        <v>1</v>
      </c>
      <c r="CH46" s="46">
        <v>1</v>
      </c>
    </row>
    <row r="47" spans="1:94">
      <c r="F47" s="47"/>
      <c r="BI47" s="46"/>
    </row>
  </sheetData>
  <autoFilter ref="A3:CT46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192" t="s">
        <v>358</v>
      </c>
      <c r="C2" s="192" t="s">
        <v>359</v>
      </c>
      <c r="D2" s="192" t="s">
        <v>360</v>
      </c>
      <c r="E2" s="192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193" t="s">
        <v>96</v>
      </c>
      <c r="AB2" s="193" t="s">
        <v>97</v>
      </c>
      <c r="AC2" s="193" t="s">
        <v>98</v>
      </c>
      <c r="AD2" s="194" t="s">
        <v>360</v>
      </c>
      <c r="AE2" s="193" t="s">
        <v>369</v>
      </c>
      <c r="AF2" s="64" t="s">
        <v>365</v>
      </c>
      <c r="AG2" s="185" t="s">
        <v>3430</v>
      </c>
    </row>
    <row r="3" spans="1:33">
      <c r="A3" s="190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0</v>
      </c>
      <c r="H3" s="70">
        <v>0</v>
      </c>
      <c r="I3" s="70">
        <v>0</v>
      </c>
      <c r="J3" s="71">
        <f t="shared" ref="J3:J9" si="1">SUM(F3:I3)</f>
        <v>0</v>
      </c>
      <c r="K3" s="70">
        <v>0</v>
      </c>
      <c r="L3" s="70">
        <v>1</v>
      </c>
      <c r="M3" s="70">
        <v>0</v>
      </c>
      <c r="N3" s="70">
        <v>0</v>
      </c>
      <c r="O3" s="70">
        <v>0</v>
      </c>
      <c r="P3" s="71">
        <f t="shared" ref="P3:P9" si="2">SUM(K3:O3)</f>
        <v>1</v>
      </c>
      <c r="Q3" s="70">
        <v>0</v>
      </c>
      <c r="R3" s="70">
        <v>0</v>
      </c>
      <c r="S3" s="70">
        <v>0</v>
      </c>
      <c r="T3" s="71">
        <f t="shared" ref="T3:T8" si="3"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1</v>
      </c>
      <c r="AC3" s="73">
        <v>0</v>
      </c>
      <c r="AD3" s="73">
        <v>0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3841</v>
      </c>
      <c r="B4" s="69">
        <v>4</v>
      </c>
      <c r="C4" s="69">
        <v>0</v>
      </c>
      <c r="D4" s="69">
        <v>0</v>
      </c>
      <c r="E4" s="69">
        <f t="shared" si="0"/>
        <v>4</v>
      </c>
      <c r="F4" s="70">
        <v>0</v>
      </c>
      <c r="G4" s="70">
        <v>3</v>
      </c>
      <c r="H4" s="70">
        <v>0</v>
      </c>
      <c r="I4" s="70">
        <v>0</v>
      </c>
      <c r="J4" s="71">
        <f t="shared" si="1"/>
        <v>3</v>
      </c>
      <c r="K4" s="70">
        <v>0</v>
      </c>
      <c r="L4" s="70">
        <v>1</v>
      </c>
      <c r="M4" s="70">
        <v>0</v>
      </c>
      <c r="N4" s="70">
        <v>0</v>
      </c>
      <c r="O4" s="70">
        <v>0</v>
      </c>
      <c r="P4" s="71">
        <f t="shared" si="2"/>
        <v>1</v>
      </c>
      <c r="Q4" s="70">
        <v>0</v>
      </c>
      <c r="R4" s="70">
        <v>0</v>
      </c>
      <c r="S4" s="70">
        <v>1</v>
      </c>
      <c r="T4" s="71">
        <f t="shared" si="3"/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4</v>
      </c>
      <c r="AE4" s="186">
        <f t="shared" si="4"/>
        <v>4</v>
      </c>
      <c r="AF4" s="73">
        <v>0</v>
      </c>
      <c r="AG4" s="73">
        <v>0</v>
      </c>
    </row>
    <row r="5" spans="1:33">
      <c r="A5" s="77" t="s">
        <v>3842</v>
      </c>
      <c r="B5" s="69">
        <v>7</v>
      </c>
      <c r="C5" s="69">
        <v>0</v>
      </c>
      <c r="D5" s="69">
        <v>0</v>
      </c>
      <c r="E5" s="69">
        <f t="shared" si="0"/>
        <v>7</v>
      </c>
      <c r="F5" s="70">
        <v>0</v>
      </c>
      <c r="G5" s="70">
        <v>4</v>
      </c>
      <c r="H5" s="70">
        <v>0</v>
      </c>
      <c r="I5" s="70">
        <v>0</v>
      </c>
      <c r="J5" s="71">
        <f t="shared" si="1"/>
        <v>4</v>
      </c>
      <c r="K5" s="70">
        <v>0</v>
      </c>
      <c r="L5" s="70">
        <v>3</v>
      </c>
      <c r="M5" s="70">
        <v>0</v>
      </c>
      <c r="N5" s="70">
        <v>0</v>
      </c>
      <c r="O5" s="70">
        <v>0</v>
      </c>
      <c r="P5" s="71">
        <f t="shared" si="2"/>
        <v>3</v>
      </c>
      <c r="Q5" s="70">
        <v>0</v>
      </c>
      <c r="R5" s="70">
        <v>0</v>
      </c>
      <c r="S5" s="70">
        <v>1</v>
      </c>
      <c r="T5" s="71">
        <f t="shared" si="3"/>
        <v>1</v>
      </c>
      <c r="U5" s="75">
        <v>0</v>
      </c>
      <c r="V5" s="75">
        <v>0</v>
      </c>
      <c r="W5" s="75">
        <v>2</v>
      </c>
      <c r="X5" s="75">
        <v>0</v>
      </c>
      <c r="Y5" s="75">
        <v>0</v>
      </c>
      <c r="Z5" s="75"/>
      <c r="AA5" s="73">
        <v>2</v>
      </c>
      <c r="AB5" s="73">
        <v>0</v>
      </c>
      <c r="AC5" s="73">
        <v>0</v>
      </c>
      <c r="AD5" s="73">
        <v>5</v>
      </c>
      <c r="AE5" s="186">
        <f t="shared" si="4"/>
        <v>7</v>
      </c>
      <c r="AF5" s="73">
        <v>0</v>
      </c>
      <c r="AG5" s="73">
        <v>0</v>
      </c>
    </row>
    <row r="6" spans="1:33">
      <c r="A6" s="77" t="s">
        <v>1824</v>
      </c>
      <c r="B6" s="69">
        <v>10</v>
      </c>
      <c r="C6" s="69">
        <v>1</v>
      </c>
      <c r="D6" s="69">
        <v>0</v>
      </c>
      <c r="E6" s="69">
        <f t="shared" si="0"/>
        <v>11</v>
      </c>
      <c r="F6" s="70">
        <v>0</v>
      </c>
      <c r="G6" s="70">
        <v>5</v>
      </c>
      <c r="H6" s="70">
        <v>0</v>
      </c>
      <c r="I6" s="70">
        <v>0</v>
      </c>
      <c r="J6" s="71">
        <f t="shared" si="1"/>
        <v>5</v>
      </c>
      <c r="K6" s="70">
        <v>4</v>
      </c>
      <c r="L6" s="70">
        <v>2</v>
      </c>
      <c r="M6" s="70">
        <v>0</v>
      </c>
      <c r="N6" s="70">
        <v>0</v>
      </c>
      <c r="O6" s="70">
        <v>0</v>
      </c>
      <c r="P6" s="71">
        <f t="shared" si="2"/>
        <v>6</v>
      </c>
      <c r="Q6" s="70">
        <v>0</v>
      </c>
      <c r="R6" s="70">
        <v>0</v>
      </c>
      <c r="S6" s="70">
        <v>1</v>
      </c>
      <c r="T6" s="71">
        <f t="shared" si="3"/>
        <v>1</v>
      </c>
      <c r="U6" s="75">
        <v>0</v>
      </c>
      <c r="V6" s="75">
        <v>0</v>
      </c>
      <c r="W6" s="75">
        <v>1</v>
      </c>
      <c r="X6" s="75">
        <v>0</v>
      </c>
      <c r="Y6" s="75">
        <v>0</v>
      </c>
      <c r="Z6" s="75"/>
      <c r="AA6" s="73">
        <v>1</v>
      </c>
      <c r="AB6" s="73">
        <v>0</v>
      </c>
      <c r="AC6" s="73">
        <v>0</v>
      </c>
      <c r="AD6" s="73">
        <v>10</v>
      </c>
      <c r="AE6" s="186">
        <f t="shared" si="4"/>
        <v>11</v>
      </c>
      <c r="AF6" s="73">
        <v>0</v>
      </c>
      <c r="AG6" s="73">
        <v>0</v>
      </c>
    </row>
    <row r="7" spans="1:33">
      <c r="A7" s="77" t="s">
        <v>3843</v>
      </c>
      <c r="B7" s="69">
        <v>10</v>
      </c>
      <c r="C7" s="69">
        <v>0</v>
      </c>
      <c r="D7" s="69">
        <v>0</v>
      </c>
      <c r="E7" s="69">
        <f t="shared" si="0"/>
        <v>10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8</v>
      </c>
      <c r="L7" s="70">
        <v>2</v>
      </c>
      <c r="M7" s="70">
        <v>0</v>
      </c>
      <c r="N7" s="70">
        <v>0</v>
      </c>
      <c r="O7" s="70">
        <v>0</v>
      </c>
      <c r="P7" s="71">
        <f t="shared" si="2"/>
        <v>10</v>
      </c>
      <c r="Q7" s="70">
        <v>0</v>
      </c>
      <c r="R7" s="70">
        <v>0</v>
      </c>
      <c r="S7" s="70">
        <v>1</v>
      </c>
      <c r="T7" s="71">
        <f t="shared" si="3"/>
        <v>1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0</v>
      </c>
      <c r="AB7" s="73">
        <v>0</v>
      </c>
      <c r="AC7" s="73">
        <v>0</v>
      </c>
      <c r="AD7" s="73">
        <v>10</v>
      </c>
      <c r="AE7" s="186">
        <f t="shared" si="4"/>
        <v>10</v>
      </c>
      <c r="AF7" s="73">
        <v>0</v>
      </c>
      <c r="AG7" s="73">
        <v>0</v>
      </c>
    </row>
    <row r="8" spans="1:33">
      <c r="A8" s="191" t="s">
        <v>3844</v>
      </c>
      <c r="B8" s="69">
        <v>6</v>
      </c>
      <c r="C8" s="69">
        <v>1</v>
      </c>
      <c r="D8" s="69">
        <v>3</v>
      </c>
      <c r="E8" s="69">
        <f t="shared" si="0"/>
        <v>10</v>
      </c>
      <c r="F8" s="70">
        <v>0</v>
      </c>
      <c r="G8" s="70">
        <v>0</v>
      </c>
      <c r="H8" s="70">
        <v>0</v>
      </c>
      <c r="I8" s="70">
        <v>0</v>
      </c>
      <c r="J8" s="71">
        <f t="shared" si="1"/>
        <v>0</v>
      </c>
      <c r="K8" s="70">
        <v>9</v>
      </c>
      <c r="L8" s="70">
        <v>1</v>
      </c>
      <c r="M8" s="70">
        <v>0</v>
      </c>
      <c r="N8" s="70">
        <v>0</v>
      </c>
      <c r="O8" s="70">
        <v>0</v>
      </c>
      <c r="P8" s="71">
        <f t="shared" si="2"/>
        <v>10</v>
      </c>
      <c r="Q8" s="70">
        <v>0</v>
      </c>
      <c r="R8" s="70">
        <v>0</v>
      </c>
      <c r="S8" s="70">
        <v>7</v>
      </c>
      <c r="T8" s="71">
        <f t="shared" si="3"/>
        <v>7</v>
      </c>
      <c r="U8" s="75">
        <v>0</v>
      </c>
      <c r="V8" s="75">
        <v>0</v>
      </c>
      <c r="W8" s="75">
        <v>1</v>
      </c>
      <c r="X8" s="75">
        <v>0</v>
      </c>
      <c r="Y8" s="75">
        <v>0</v>
      </c>
      <c r="Z8" s="75"/>
      <c r="AA8" s="73">
        <v>0</v>
      </c>
      <c r="AB8" s="73">
        <v>0</v>
      </c>
      <c r="AC8" s="73">
        <v>0</v>
      </c>
      <c r="AD8" s="73">
        <v>10</v>
      </c>
      <c r="AE8" s="186">
        <f t="shared" si="4"/>
        <v>10</v>
      </c>
      <c r="AF8" s="73">
        <v>0</v>
      </c>
      <c r="AG8" s="73">
        <v>0</v>
      </c>
    </row>
    <row r="9" spans="1:33">
      <c r="A9" s="69" t="s">
        <v>376</v>
      </c>
      <c r="B9" s="69">
        <f t="shared" ref="B9:I9" si="5">SUM(B3:B8)</f>
        <v>38</v>
      </c>
      <c r="C9" s="69">
        <f t="shared" si="5"/>
        <v>2</v>
      </c>
      <c r="D9" s="69">
        <f t="shared" si="5"/>
        <v>3</v>
      </c>
      <c r="E9" s="69">
        <f t="shared" si="5"/>
        <v>43</v>
      </c>
      <c r="F9" s="69">
        <f t="shared" si="5"/>
        <v>0</v>
      </c>
      <c r="G9" s="69">
        <f t="shared" si="5"/>
        <v>12</v>
      </c>
      <c r="H9" s="69">
        <f t="shared" si="5"/>
        <v>0</v>
      </c>
      <c r="I9" s="69">
        <f t="shared" si="5"/>
        <v>0</v>
      </c>
      <c r="J9" s="71">
        <f t="shared" si="1"/>
        <v>12</v>
      </c>
      <c r="K9" s="114">
        <f>SUM(K3:K8)</f>
        <v>21</v>
      </c>
      <c r="L9" s="114">
        <f>SUM(L3:L8)</f>
        <v>10</v>
      </c>
      <c r="M9" s="114">
        <f>SUM(M3:M8)</f>
        <v>0</v>
      </c>
      <c r="N9" s="114">
        <f>SUM(N3:N8)</f>
        <v>0</v>
      </c>
      <c r="O9" s="114">
        <f>SUM(O3:O8)</f>
        <v>0</v>
      </c>
      <c r="P9" s="71">
        <f t="shared" si="2"/>
        <v>31</v>
      </c>
      <c r="Q9" s="114">
        <f t="shared" ref="Q9:Y9" si="6">SUM(Q3:Q8)</f>
        <v>0</v>
      </c>
      <c r="R9" s="114">
        <f t="shared" si="6"/>
        <v>0</v>
      </c>
      <c r="S9" s="114">
        <f t="shared" si="6"/>
        <v>11</v>
      </c>
      <c r="T9" s="71">
        <f t="shared" si="6"/>
        <v>11</v>
      </c>
      <c r="U9" s="114">
        <f t="shared" si="6"/>
        <v>0</v>
      </c>
      <c r="V9" s="114">
        <f t="shared" si="6"/>
        <v>0</v>
      </c>
      <c r="W9" s="114">
        <f t="shared" si="6"/>
        <v>4</v>
      </c>
      <c r="X9" s="114">
        <f t="shared" si="6"/>
        <v>0</v>
      </c>
      <c r="Y9" s="114">
        <f t="shared" si="6"/>
        <v>0</v>
      </c>
      <c r="Z9" s="114">
        <f>SUM(Z4:Z8)</f>
        <v>0</v>
      </c>
      <c r="AA9" s="73">
        <f t="shared" ref="AA9:AG9" si="7">SUM(AA3:AA8)</f>
        <v>3</v>
      </c>
      <c r="AB9" s="73">
        <f t="shared" si="7"/>
        <v>1</v>
      </c>
      <c r="AC9" s="73">
        <f t="shared" si="7"/>
        <v>0</v>
      </c>
      <c r="AD9" s="73">
        <f t="shared" si="7"/>
        <v>39</v>
      </c>
      <c r="AE9" s="73">
        <f t="shared" si="7"/>
        <v>43</v>
      </c>
      <c r="AF9" s="73">
        <f t="shared" si="7"/>
        <v>0</v>
      </c>
      <c r="AG9" s="73">
        <f t="shared" si="7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61"/>
      <c r="L1" s="484" t="s">
        <v>354</v>
      </c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4" t="s">
        <v>360</v>
      </c>
      <c r="K2" s="65" t="s">
        <v>361</v>
      </c>
      <c r="L2" s="64" t="s">
        <v>96</v>
      </c>
      <c r="M2" s="64" t="s">
        <v>84</v>
      </c>
      <c r="N2" s="64" t="s">
        <v>98</v>
      </c>
      <c r="O2" s="64" t="s">
        <v>38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3431</v>
      </c>
      <c r="B3" s="69">
        <v>1</v>
      </c>
      <c r="C3" s="69"/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0">
        <v>0</v>
      </c>
      <c r="K3" s="71">
        <f>SUM(F3:J3)</f>
        <v>1</v>
      </c>
      <c r="L3" s="70">
        <v>0</v>
      </c>
      <c r="M3" s="70">
        <v>0</v>
      </c>
      <c r="N3" s="70">
        <v>0</v>
      </c>
      <c r="O3" s="70">
        <v>0</v>
      </c>
      <c r="P3" s="71">
        <f>SUM(L3:O3)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3623</v>
      </c>
      <c r="B4" s="69">
        <v>1</v>
      </c>
      <c r="C4" s="69"/>
      <c r="D4" s="69">
        <v>0</v>
      </c>
      <c r="E4" s="69">
        <f>SUM(B4:D4)</f>
        <v>1</v>
      </c>
      <c r="F4" s="70">
        <v>0</v>
      </c>
      <c r="G4" s="70">
        <v>1</v>
      </c>
      <c r="H4" s="70">
        <v>0</v>
      </c>
      <c r="I4" s="70">
        <v>0</v>
      </c>
      <c r="J4" s="70">
        <v>0</v>
      </c>
      <c r="K4" s="71">
        <f>SUM(F4:J4)</f>
        <v>1</v>
      </c>
      <c r="L4" s="70">
        <v>0</v>
      </c>
      <c r="M4" s="70">
        <v>0</v>
      </c>
      <c r="N4" s="70">
        <v>0</v>
      </c>
      <c r="O4" s="70">
        <v>0</v>
      </c>
      <c r="P4" s="71">
        <f>SUM(L4:O4)</f>
        <v>0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1</v>
      </c>
      <c r="AE4" s="186">
        <f>SUM(AA4,AB4,AC4,AD4)</f>
        <v>1</v>
      </c>
      <c r="AF4" s="73">
        <v>0</v>
      </c>
      <c r="AG4" s="73">
        <v>0</v>
      </c>
    </row>
    <row r="5" spans="1:33">
      <c r="A5" s="77" t="s">
        <v>925</v>
      </c>
      <c r="B5" s="69">
        <v>1</v>
      </c>
      <c r="C5" s="69">
        <v>1</v>
      </c>
      <c r="D5" s="69">
        <v>0</v>
      </c>
      <c r="E5" s="69">
        <f>SUM(B5:D5)</f>
        <v>2</v>
      </c>
      <c r="F5" s="70">
        <v>0</v>
      </c>
      <c r="G5" s="70">
        <v>1</v>
      </c>
      <c r="H5" s="70">
        <v>0</v>
      </c>
      <c r="I5" s="70">
        <v>0</v>
      </c>
      <c r="J5" s="70">
        <v>0</v>
      </c>
      <c r="K5" s="71">
        <f>SUM(F5:J5)</f>
        <v>1</v>
      </c>
      <c r="L5" s="70">
        <v>0</v>
      </c>
      <c r="M5" s="70">
        <v>1</v>
      </c>
      <c r="N5" s="70">
        <v>0</v>
      </c>
      <c r="O5" s="70">
        <v>0</v>
      </c>
      <c r="P5" s="71">
        <f>SUM(L5:O5)</f>
        <v>1</v>
      </c>
      <c r="Q5" s="70">
        <v>0</v>
      </c>
      <c r="R5" s="70">
        <v>0</v>
      </c>
      <c r="S5" s="70">
        <v>1</v>
      </c>
      <c r="T5" s="71">
        <f>SUM(Q5:S5)</f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0</v>
      </c>
      <c r="AB5" s="73">
        <v>0</v>
      </c>
      <c r="AC5" s="73">
        <v>0</v>
      </c>
      <c r="AD5" s="73">
        <v>2</v>
      </c>
      <c r="AE5" s="186">
        <f>SUM(AA5,AB5,AC5,AD5)</f>
        <v>2</v>
      </c>
      <c r="AF5" s="73">
        <v>0</v>
      </c>
      <c r="AG5" s="73">
        <v>0</v>
      </c>
    </row>
    <row r="6" spans="1:33">
      <c r="A6" s="69" t="s">
        <v>376</v>
      </c>
      <c r="B6" s="69">
        <f t="shared" ref="B6:J6" si="0">SUM(B3:B5)</f>
        <v>3</v>
      </c>
      <c r="C6" s="69">
        <f t="shared" si="0"/>
        <v>1</v>
      </c>
      <c r="D6" s="69">
        <f t="shared" si="0"/>
        <v>0</v>
      </c>
      <c r="E6" s="69">
        <f t="shared" si="0"/>
        <v>4</v>
      </c>
      <c r="F6" s="69">
        <f t="shared" si="0"/>
        <v>0</v>
      </c>
      <c r="G6" s="69">
        <f t="shared" si="0"/>
        <v>3</v>
      </c>
      <c r="H6" s="69">
        <f t="shared" si="0"/>
        <v>0</v>
      </c>
      <c r="I6" s="69">
        <f t="shared" si="0"/>
        <v>0</v>
      </c>
      <c r="J6" s="69">
        <f t="shared" si="0"/>
        <v>0</v>
      </c>
      <c r="K6" s="71">
        <f>SUM(F6:I6)</f>
        <v>3</v>
      </c>
      <c r="L6" s="114">
        <f>SUM(L3:L5)</f>
        <v>0</v>
      </c>
      <c r="M6" s="114">
        <f>SUM(M3:M5)</f>
        <v>1</v>
      </c>
      <c r="N6" s="114">
        <f>SUM(N3:N5)</f>
        <v>0</v>
      </c>
      <c r="O6" s="114">
        <f>SUM(O3:O5)</f>
        <v>0</v>
      </c>
      <c r="P6" s="71">
        <f>SUM(L6:O6)</f>
        <v>1</v>
      </c>
      <c r="Q6" s="114">
        <f t="shared" ref="Q6:AG6" si="1">SUM(Q3:Q5)</f>
        <v>0</v>
      </c>
      <c r="R6" s="114">
        <f t="shared" si="1"/>
        <v>0</v>
      </c>
      <c r="S6" s="114">
        <f t="shared" si="1"/>
        <v>3</v>
      </c>
      <c r="T6" s="71">
        <f t="shared" si="1"/>
        <v>3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73">
        <f t="shared" si="1"/>
        <v>0</v>
      </c>
      <c r="AB6" s="73">
        <f t="shared" si="1"/>
        <v>0</v>
      </c>
      <c r="AC6" s="73">
        <f t="shared" si="1"/>
        <v>0</v>
      </c>
      <c r="AD6" s="73">
        <f t="shared" si="1"/>
        <v>4</v>
      </c>
      <c r="AE6" s="73">
        <f t="shared" si="1"/>
        <v>4</v>
      </c>
      <c r="AF6" s="73">
        <f t="shared" si="1"/>
        <v>0</v>
      </c>
      <c r="AG6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L1:P1"/>
    <mergeCell ref="Q1:T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36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9.28515625" customWidth="1"/>
    <col min="2" max="2" width="20.85546875" customWidth="1"/>
    <col min="3" max="3" width="6.5703125" customWidth="1"/>
    <col min="7" max="7" width="8.28515625" customWidth="1"/>
    <col min="8" max="8" width="5.7109375" customWidth="1"/>
    <col min="9" max="9" width="6" customWidth="1"/>
    <col min="10" max="10" width="6.28515625" customWidth="1"/>
    <col min="11" max="11" width="6" customWidth="1"/>
    <col min="12" max="12" width="5.42578125" customWidth="1"/>
    <col min="13" max="14" width="5.140625" customWidth="1"/>
    <col min="15" max="15" width="4.85546875" customWidth="1"/>
    <col min="16" max="16" width="5" customWidth="1"/>
    <col min="17" max="17" width="6.7109375" customWidth="1"/>
    <col min="18" max="18" width="8.140625" customWidth="1"/>
    <col min="19" max="19" width="6.140625" customWidth="1"/>
    <col min="20" max="20" width="5.42578125" customWidth="1"/>
    <col min="21" max="21" width="4.85546875" customWidth="1"/>
    <col min="22" max="22" width="5.140625" customWidth="1"/>
    <col min="23" max="23" width="9.5703125" customWidth="1"/>
    <col min="24" max="24" width="13.28515625" customWidth="1"/>
    <col min="25" max="25" width="10.85546875" customWidth="1"/>
    <col min="26" max="26" width="6.7109375" customWidth="1"/>
    <col min="27" max="27" width="11" customWidth="1"/>
    <col min="28" max="28" width="12.5703125" customWidth="1"/>
    <col min="29" max="29" width="5.28515625" customWidth="1"/>
    <col min="30" max="30" width="7" customWidth="1"/>
    <col min="31" max="31" width="7.28515625" customWidth="1"/>
    <col min="32" max="32" width="7.5703125" customWidth="1"/>
    <col min="33" max="33" width="7.42578125" customWidth="1"/>
    <col min="34" max="34" width="5.42578125" customWidth="1"/>
    <col min="35" max="35" width="5.85546875" customWidth="1"/>
    <col min="36" max="36" width="8.7109375" customWidth="1"/>
    <col min="37" max="37" width="5.5703125" customWidth="1"/>
    <col min="38" max="38" width="6.28515625" customWidth="1"/>
    <col min="39" max="39" width="10.7109375" customWidth="1"/>
    <col min="40" max="40" width="10.85546875" customWidth="1"/>
    <col min="41" max="41" width="7.140625" customWidth="1"/>
    <col min="42" max="42" width="8.5703125" customWidth="1"/>
    <col min="43" max="43" width="15.28515625" customWidth="1"/>
  </cols>
  <sheetData>
    <row r="1" spans="1:99">
      <c r="A1" s="189" t="s">
        <v>3845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3524</v>
      </c>
      <c r="B4" s="46" t="s">
        <v>3846</v>
      </c>
      <c r="C4" s="46">
        <v>46</v>
      </c>
      <c r="D4" s="46" t="s">
        <v>3847</v>
      </c>
      <c r="E4" s="46" t="s">
        <v>3848</v>
      </c>
      <c r="F4" s="46" t="s">
        <v>444</v>
      </c>
      <c r="H4" s="46">
        <v>1</v>
      </c>
      <c r="P4" s="46">
        <v>1</v>
      </c>
      <c r="Q4" s="46">
        <v>1</v>
      </c>
      <c r="T4" s="46">
        <v>1</v>
      </c>
      <c r="W4" s="46">
        <v>15</v>
      </c>
      <c r="X4" s="46">
        <v>22</v>
      </c>
      <c r="Y4" s="46">
        <v>22</v>
      </c>
      <c r="Z4" s="46">
        <v>10</v>
      </c>
      <c r="AA4" s="46">
        <v>10</v>
      </c>
      <c r="AB4" s="46">
        <v>9</v>
      </c>
      <c r="AD4" s="46">
        <v>1</v>
      </c>
      <c r="AE4" s="46">
        <v>1</v>
      </c>
      <c r="AF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L4" s="46">
        <v>1</v>
      </c>
      <c r="BN4" s="46">
        <v>1</v>
      </c>
      <c r="BO4" s="46" t="s">
        <v>3731</v>
      </c>
      <c r="BY4" s="46">
        <v>1</v>
      </c>
      <c r="BZ4" s="46">
        <v>1</v>
      </c>
      <c r="CC4" s="46">
        <v>1</v>
      </c>
    </row>
    <row r="5" spans="1:99">
      <c r="A5" s="46" t="s">
        <v>3527</v>
      </c>
      <c r="B5" s="46" t="s">
        <v>3849</v>
      </c>
      <c r="C5" s="46">
        <v>24</v>
      </c>
      <c r="D5" s="46" t="s">
        <v>3653</v>
      </c>
      <c r="E5" s="46" t="s">
        <v>3850</v>
      </c>
      <c r="F5" s="46" t="s">
        <v>2285</v>
      </c>
      <c r="I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16</v>
      </c>
      <c r="Y5" s="46">
        <v>17</v>
      </c>
      <c r="Z5" s="46">
        <v>4</v>
      </c>
      <c r="AA5" s="46">
        <v>4</v>
      </c>
      <c r="AB5" s="46">
        <v>4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</row>
    <row r="6" spans="1:99">
      <c r="A6" s="46" t="s">
        <v>3530</v>
      </c>
      <c r="B6" s="46" t="s">
        <v>3851</v>
      </c>
      <c r="C6" s="46">
        <v>31</v>
      </c>
      <c r="D6" s="46" t="s">
        <v>3852</v>
      </c>
      <c r="E6" s="46" t="s">
        <v>3853</v>
      </c>
      <c r="F6" s="46" t="s">
        <v>594</v>
      </c>
      <c r="H6" s="46">
        <v>1</v>
      </c>
      <c r="N6" s="46">
        <v>1</v>
      </c>
      <c r="Q6" s="46">
        <v>1</v>
      </c>
      <c r="T6" s="46">
        <v>1</v>
      </c>
      <c r="W6" s="46">
        <v>14</v>
      </c>
      <c r="X6" s="46">
        <v>18</v>
      </c>
      <c r="Y6" s="46">
        <v>19</v>
      </c>
      <c r="Z6" s="46">
        <v>6</v>
      </c>
      <c r="AA6" s="46">
        <v>6</v>
      </c>
      <c r="AB6" s="46">
        <v>6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</row>
    <row r="7" spans="1:99">
      <c r="A7" s="46" t="s">
        <v>3532</v>
      </c>
      <c r="B7" s="46" t="s">
        <v>3854</v>
      </c>
      <c r="C7" s="46">
        <v>29</v>
      </c>
      <c r="D7" s="46" t="s">
        <v>3855</v>
      </c>
      <c r="F7" s="46" t="s">
        <v>415</v>
      </c>
      <c r="G7" s="46">
        <v>1</v>
      </c>
      <c r="N7" s="46">
        <v>1</v>
      </c>
      <c r="Q7" s="46">
        <v>1</v>
      </c>
      <c r="T7" s="46">
        <v>1</v>
      </c>
      <c r="W7" s="46">
        <v>13</v>
      </c>
      <c r="X7" s="46">
        <v>16</v>
      </c>
      <c r="Y7" s="46">
        <v>16</v>
      </c>
      <c r="Z7" s="46">
        <v>5</v>
      </c>
      <c r="AA7" s="46">
        <v>5</v>
      </c>
      <c r="AB7" s="46">
        <v>5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</row>
    <row r="8" spans="1:99">
      <c r="A8" s="46" t="s">
        <v>3535</v>
      </c>
      <c r="B8" s="46" t="s">
        <v>3856</v>
      </c>
      <c r="C8" s="46">
        <v>38</v>
      </c>
      <c r="D8" s="46" t="s">
        <v>3852</v>
      </c>
      <c r="E8" s="46" t="s">
        <v>3857</v>
      </c>
      <c r="F8" s="46" t="s">
        <v>861</v>
      </c>
      <c r="H8" s="46">
        <v>1</v>
      </c>
      <c r="M8" s="46">
        <v>1</v>
      </c>
      <c r="Q8" s="46">
        <v>1</v>
      </c>
      <c r="T8" s="46">
        <v>1</v>
      </c>
      <c r="W8" s="46">
        <v>14</v>
      </c>
      <c r="X8" s="46">
        <v>17</v>
      </c>
      <c r="Y8" s="46">
        <v>17</v>
      </c>
      <c r="Z8" s="46">
        <v>9</v>
      </c>
      <c r="AA8" s="46">
        <v>7</v>
      </c>
      <c r="AB8" s="46">
        <v>7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H8" s="46">
        <v>1</v>
      </c>
      <c r="BN8" s="46">
        <v>1</v>
      </c>
      <c r="BO8" s="46" t="s">
        <v>3571</v>
      </c>
      <c r="BZ8" s="46">
        <v>1</v>
      </c>
      <c r="CC8" s="46">
        <v>1</v>
      </c>
    </row>
    <row r="9" spans="1:99">
      <c r="A9" s="46" t="s">
        <v>3399</v>
      </c>
      <c r="B9" s="46" t="s">
        <v>3858</v>
      </c>
      <c r="C9" s="46">
        <v>37</v>
      </c>
      <c r="D9" s="46" t="s">
        <v>3859</v>
      </c>
      <c r="F9" s="46" t="s">
        <v>415</v>
      </c>
      <c r="H9" s="46">
        <v>1</v>
      </c>
      <c r="N9" s="46">
        <v>1</v>
      </c>
      <c r="Q9" s="46">
        <v>1</v>
      </c>
      <c r="T9" s="46">
        <v>1</v>
      </c>
      <c r="W9" s="46">
        <v>15</v>
      </c>
      <c r="X9" s="46">
        <v>15</v>
      </c>
      <c r="Y9" s="46">
        <v>18</v>
      </c>
      <c r="Z9" s="46">
        <v>10</v>
      </c>
      <c r="AA9" s="46">
        <v>8</v>
      </c>
      <c r="AB9" s="46">
        <v>7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</row>
    <row r="10" spans="1:99">
      <c r="A10" s="46" t="s">
        <v>3403</v>
      </c>
      <c r="B10" s="46" t="s">
        <v>3860</v>
      </c>
      <c r="C10" s="46">
        <v>50</v>
      </c>
      <c r="D10" s="46" t="s">
        <v>3861</v>
      </c>
      <c r="E10" s="46" t="s">
        <v>3862</v>
      </c>
      <c r="F10" s="46" t="s">
        <v>112</v>
      </c>
      <c r="H10" s="46">
        <v>1</v>
      </c>
      <c r="N10" s="46">
        <v>1</v>
      </c>
      <c r="Q10" s="46">
        <v>1</v>
      </c>
      <c r="T10" s="46">
        <v>1</v>
      </c>
      <c r="W10" s="46">
        <v>16</v>
      </c>
      <c r="X10" s="46">
        <v>18</v>
      </c>
      <c r="Y10" s="46">
        <v>18</v>
      </c>
      <c r="Z10" s="46">
        <v>10</v>
      </c>
      <c r="AA10" s="46">
        <v>10</v>
      </c>
      <c r="AB10" s="46">
        <v>8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J10" s="46">
        <v>1</v>
      </c>
      <c r="BZ10" s="46">
        <v>1</v>
      </c>
      <c r="CC10" s="46">
        <v>1</v>
      </c>
    </row>
    <row r="11" spans="1:99">
      <c r="A11" s="46" t="s">
        <v>3406</v>
      </c>
      <c r="B11" s="46" t="s">
        <v>3863</v>
      </c>
      <c r="C11" s="46">
        <v>54</v>
      </c>
      <c r="D11" s="46" t="s">
        <v>3861</v>
      </c>
      <c r="E11" s="46" t="s">
        <v>3864</v>
      </c>
      <c r="F11" s="46" t="s">
        <v>415</v>
      </c>
      <c r="H11" s="46">
        <v>1</v>
      </c>
      <c r="N11" s="46">
        <v>1</v>
      </c>
      <c r="Q11" s="46">
        <v>1</v>
      </c>
      <c r="T11" s="46">
        <v>1</v>
      </c>
      <c r="W11" s="46" t="s">
        <v>908</v>
      </c>
      <c r="X11" s="46" t="s">
        <v>908</v>
      </c>
      <c r="Y11" s="46">
        <v>25</v>
      </c>
      <c r="Z11" s="46">
        <v>13</v>
      </c>
      <c r="AA11" s="46">
        <v>13</v>
      </c>
      <c r="AB11" s="46">
        <v>9</v>
      </c>
      <c r="AH11" s="46">
        <v>1</v>
      </c>
      <c r="AJ11" s="46">
        <v>1</v>
      </c>
      <c r="AK11" s="46">
        <v>1</v>
      </c>
      <c r="AT11" s="46">
        <v>1</v>
      </c>
      <c r="AX11" s="46">
        <v>1</v>
      </c>
      <c r="BA11" s="46">
        <v>1</v>
      </c>
      <c r="BJ11" s="46">
        <v>1</v>
      </c>
      <c r="BZ11" s="46">
        <v>1</v>
      </c>
      <c r="CC11" s="46">
        <v>1</v>
      </c>
    </row>
    <row r="12" spans="1:99">
      <c r="A12" s="46" t="s">
        <v>3410</v>
      </c>
      <c r="B12" s="46" t="s">
        <v>3865</v>
      </c>
      <c r="C12" s="46">
        <v>22</v>
      </c>
      <c r="D12" s="46" t="s">
        <v>3653</v>
      </c>
      <c r="F12" s="46" t="s">
        <v>415</v>
      </c>
      <c r="I12" s="46">
        <v>1</v>
      </c>
      <c r="N12" s="46">
        <v>1</v>
      </c>
      <c r="Q12" s="46">
        <v>1</v>
      </c>
      <c r="T12" s="46">
        <v>1</v>
      </c>
      <c r="W12" s="46">
        <v>13</v>
      </c>
      <c r="X12" s="46">
        <v>14</v>
      </c>
      <c r="Y12" s="46">
        <v>15</v>
      </c>
      <c r="Z12" s="46">
        <v>4</v>
      </c>
      <c r="AA12" s="46">
        <v>4</v>
      </c>
      <c r="AB12" s="46">
        <v>3</v>
      </c>
      <c r="AH12" s="46">
        <v>1</v>
      </c>
      <c r="AJ12" s="46">
        <v>1</v>
      </c>
      <c r="AK12" s="46">
        <v>1</v>
      </c>
      <c r="AT12" s="46">
        <v>1</v>
      </c>
      <c r="AX12" s="46">
        <v>1</v>
      </c>
      <c r="BA12" s="46">
        <v>1</v>
      </c>
      <c r="BI12" s="46">
        <v>1</v>
      </c>
      <c r="BZ12" s="46">
        <v>1</v>
      </c>
      <c r="CC12" s="46">
        <v>1</v>
      </c>
    </row>
    <row r="13" spans="1:99">
      <c r="A13" s="46" t="s">
        <v>3414</v>
      </c>
      <c r="B13" s="46" t="s">
        <v>3866</v>
      </c>
      <c r="C13" s="46">
        <v>44</v>
      </c>
      <c r="D13" s="46" t="s">
        <v>3653</v>
      </c>
      <c r="F13" s="46" t="s">
        <v>444</v>
      </c>
      <c r="H13" s="46">
        <v>1</v>
      </c>
      <c r="N13" s="46">
        <v>1</v>
      </c>
      <c r="R13" s="46">
        <v>1</v>
      </c>
      <c r="T13" s="46">
        <v>1</v>
      </c>
      <c r="W13" s="46" t="s">
        <v>908</v>
      </c>
      <c r="X13" s="46" t="s">
        <v>908</v>
      </c>
      <c r="Y13" s="46" t="s">
        <v>908</v>
      </c>
      <c r="Z13" s="46">
        <v>11</v>
      </c>
      <c r="AA13" s="46">
        <v>10</v>
      </c>
      <c r="AB13" s="46">
        <v>10</v>
      </c>
      <c r="AE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</row>
    <row r="14" spans="1:99">
      <c r="A14" s="46" t="s">
        <v>3419</v>
      </c>
      <c r="B14" s="46" t="s">
        <v>3867</v>
      </c>
      <c r="C14" s="46">
        <v>47</v>
      </c>
      <c r="D14" s="46" t="s">
        <v>3868</v>
      </c>
      <c r="F14" s="46" t="s">
        <v>3577</v>
      </c>
      <c r="H14" s="46">
        <v>1</v>
      </c>
      <c r="N14" s="46">
        <v>1</v>
      </c>
      <c r="Q14" s="46">
        <v>1</v>
      </c>
      <c r="S14" s="46">
        <v>1</v>
      </c>
      <c r="W14" s="46" t="s">
        <v>908</v>
      </c>
      <c r="X14" s="46">
        <v>17</v>
      </c>
      <c r="Y14" s="46">
        <v>17</v>
      </c>
      <c r="Z14" s="46">
        <v>13</v>
      </c>
      <c r="AA14" s="46">
        <v>11</v>
      </c>
      <c r="AB14" s="46">
        <v>11</v>
      </c>
      <c r="AE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W14" s="46">
        <v>1</v>
      </c>
      <c r="BZ14" s="46">
        <v>1</v>
      </c>
      <c r="CC14" s="46">
        <v>1</v>
      </c>
    </row>
    <row r="15" spans="1:99">
      <c r="A15" s="46" t="s">
        <v>3423</v>
      </c>
      <c r="B15" s="46" t="s">
        <v>3869</v>
      </c>
      <c r="C15" s="46">
        <v>49</v>
      </c>
      <c r="D15" s="46" t="s">
        <v>3861</v>
      </c>
      <c r="E15" s="46" t="s">
        <v>3870</v>
      </c>
      <c r="F15" s="46" t="s">
        <v>112</v>
      </c>
      <c r="H15" s="46">
        <v>1</v>
      </c>
      <c r="N15" s="46">
        <v>1</v>
      </c>
      <c r="Q15" s="46">
        <v>1</v>
      </c>
      <c r="T15" s="46">
        <v>1</v>
      </c>
      <c r="W15" s="46" t="s">
        <v>908</v>
      </c>
      <c r="X15" s="46">
        <v>17</v>
      </c>
      <c r="Y15" s="46">
        <v>18</v>
      </c>
      <c r="Z15" s="46">
        <v>5</v>
      </c>
      <c r="AA15" s="46">
        <v>5</v>
      </c>
      <c r="AB15" s="46">
        <v>5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J15" s="46">
        <v>1</v>
      </c>
      <c r="BW15" s="46">
        <v>1</v>
      </c>
      <c r="BZ15" s="46">
        <v>1</v>
      </c>
      <c r="CC15" s="46">
        <v>1</v>
      </c>
    </row>
    <row r="16" spans="1:99">
      <c r="A16" s="46" t="s">
        <v>3426</v>
      </c>
      <c r="B16" s="46" t="s">
        <v>3871</v>
      </c>
      <c r="C16" s="46">
        <v>49</v>
      </c>
      <c r="D16" s="46" t="s">
        <v>3872</v>
      </c>
      <c r="E16" s="46" t="s">
        <v>3873</v>
      </c>
      <c r="F16" s="46" t="s">
        <v>444</v>
      </c>
      <c r="H16" s="46">
        <v>1</v>
      </c>
      <c r="N16" s="46">
        <v>1</v>
      </c>
      <c r="Q16" s="46">
        <v>1</v>
      </c>
      <c r="T16" s="46">
        <v>1</v>
      </c>
      <c r="W16" s="46">
        <v>15</v>
      </c>
      <c r="X16" s="46">
        <v>16</v>
      </c>
      <c r="Y16" s="46">
        <v>18</v>
      </c>
      <c r="Z16" s="46">
        <v>15</v>
      </c>
      <c r="AA16" s="46">
        <v>10</v>
      </c>
      <c r="AB16" s="46">
        <v>7</v>
      </c>
      <c r="AD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W16" s="46">
        <v>1</v>
      </c>
      <c r="CA16" s="46">
        <v>1</v>
      </c>
      <c r="CB16" s="46" t="s">
        <v>908</v>
      </c>
      <c r="CC16" s="46">
        <v>1</v>
      </c>
    </row>
    <row r="17" spans="1:87">
      <c r="A17" s="46" t="s">
        <v>3874</v>
      </c>
      <c r="B17" s="46" t="s">
        <v>3875</v>
      </c>
      <c r="C17" s="46">
        <v>28</v>
      </c>
      <c r="D17" s="46" t="s">
        <v>3876</v>
      </c>
      <c r="F17" s="46" t="s">
        <v>112</v>
      </c>
      <c r="G17" s="46">
        <v>1</v>
      </c>
      <c r="N17" s="46">
        <v>1</v>
      </c>
      <c r="Q17" s="46">
        <v>1</v>
      </c>
      <c r="T17" s="46">
        <v>1</v>
      </c>
      <c r="W17" s="46">
        <v>15</v>
      </c>
      <c r="X17" s="46">
        <v>19</v>
      </c>
      <c r="Y17" s="46">
        <v>19</v>
      </c>
      <c r="Z17" s="46">
        <v>3</v>
      </c>
      <c r="AA17" s="46">
        <v>2</v>
      </c>
      <c r="AB17" s="46">
        <v>2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W17" s="46">
        <v>1</v>
      </c>
      <c r="BZ17" s="46">
        <v>1</v>
      </c>
      <c r="CC17" s="46">
        <v>1</v>
      </c>
    </row>
    <row r="18" spans="1:87">
      <c r="A18" s="46" t="s">
        <v>3877</v>
      </c>
      <c r="B18" s="46" t="s">
        <v>3878</v>
      </c>
      <c r="C18" s="46">
        <v>36</v>
      </c>
      <c r="D18" s="46" t="s">
        <v>3653</v>
      </c>
      <c r="F18" s="46" t="s">
        <v>181</v>
      </c>
      <c r="I18" s="46">
        <v>1</v>
      </c>
      <c r="M18" s="46">
        <v>1</v>
      </c>
      <c r="Q18" s="46">
        <v>1</v>
      </c>
      <c r="T18" s="46">
        <v>1</v>
      </c>
      <c r="W18" s="46">
        <v>12</v>
      </c>
      <c r="X18" s="46">
        <v>18</v>
      </c>
      <c r="Y18" s="46">
        <v>18</v>
      </c>
      <c r="Z18" s="46">
        <v>10</v>
      </c>
      <c r="AA18" s="46">
        <v>8</v>
      </c>
      <c r="AB18" s="46">
        <v>8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W18" s="46">
        <v>1</v>
      </c>
      <c r="BZ18" s="46">
        <v>1</v>
      </c>
      <c r="CC18" s="46">
        <v>1</v>
      </c>
    </row>
    <row r="19" spans="1:87">
      <c r="A19" s="46" t="s">
        <v>3879</v>
      </c>
      <c r="B19" s="46" t="s">
        <v>3880</v>
      </c>
      <c r="C19" s="46">
        <v>70</v>
      </c>
      <c r="D19" s="46" t="s">
        <v>3881</v>
      </c>
      <c r="E19" s="46" t="s">
        <v>3882</v>
      </c>
      <c r="F19" s="46" t="s">
        <v>415</v>
      </c>
      <c r="G19" s="46">
        <v>1</v>
      </c>
      <c r="N19" s="46">
        <v>1</v>
      </c>
      <c r="Q19" s="46">
        <v>1</v>
      </c>
      <c r="S19" s="46">
        <v>1</v>
      </c>
      <c r="W19" s="46">
        <v>18</v>
      </c>
      <c r="X19" s="46">
        <v>20</v>
      </c>
      <c r="Y19" s="46">
        <v>20</v>
      </c>
      <c r="Z19" s="46">
        <v>10</v>
      </c>
      <c r="AA19" s="46">
        <v>10</v>
      </c>
      <c r="AB19" s="46">
        <v>9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J19" s="46">
        <v>1</v>
      </c>
      <c r="BW19" s="46">
        <v>1</v>
      </c>
      <c r="BZ19" s="46">
        <v>1</v>
      </c>
      <c r="CC19" s="46">
        <v>1</v>
      </c>
    </row>
    <row r="20" spans="1:87">
      <c r="A20" s="46" t="s">
        <v>3883</v>
      </c>
      <c r="B20" s="46" t="s">
        <v>3884</v>
      </c>
      <c r="C20" s="46">
        <v>50</v>
      </c>
      <c r="D20" s="46" t="s">
        <v>3885</v>
      </c>
      <c r="F20" s="46" t="s">
        <v>433</v>
      </c>
      <c r="G20" s="46">
        <v>1</v>
      </c>
      <c r="O20" s="46">
        <v>1</v>
      </c>
      <c r="Q20" s="46">
        <v>1</v>
      </c>
      <c r="S20" s="46">
        <v>1</v>
      </c>
      <c r="W20" s="46" t="s">
        <v>908</v>
      </c>
      <c r="X20" s="46">
        <v>18</v>
      </c>
      <c r="Y20" s="46">
        <v>18</v>
      </c>
      <c r="Z20" s="46">
        <v>5</v>
      </c>
      <c r="AA20" s="46">
        <v>5</v>
      </c>
      <c r="AB20" s="46">
        <v>5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M20" s="46">
        <v>1</v>
      </c>
      <c r="BW20" s="46">
        <v>1</v>
      </c>
      <c r="BZ20" s="46">
        <v>1</v>
      </c>
      <c r="CC20" s="46">
        <v>1</v>
      </c>
    </row>
    <row r="21" spans="1:87">
      <c r="A21" s="46" t="s">
        <v>3886</v>
      </c>
      <c r="B21" s="46" t="s">
        <v>3887</v>
      </c>
      <c r="C21" s="46">
        <v>75</v>
      </c>
      <c r="D21" s="46" t="s">
        <v>3888</v>
      </c>
      <c r="F21" s="46" t="s">
        <v>415</v>
      </c>
      <c r="H21" s="46">
        <v>1</v>
      </c>
      <c r="M21" s="46">
        <v>1</v>
      </c>
      <c r="Q21" s="46">
        <v>1</v>
      </c>
      <c r="T21" s="46">
        <v>1</v>
      </c>
      <c r="W21" s="46">
        <v>16</v>
      </c>
      <c r="X21" s="46">
        <v>16</v>
      </c>
      <c r="Y21" s="46">
        <v>18</v>
      </c>
      <c r="Z21" s="46">
        <v>5</v>
      </c>
      <c r="AA21" s="46">
        <v>5</v>
      </c>
      <c r="AB21" s="46">
        <v>3</v>
      </c>
      <c r="AH21" s="46">
        <v>1</v>
      </c>
      <c r="AI21" s="46">
        <v>1</v>
      </c>
      <c r="AM21" s="46">
        <v>1</v>
      </c>
      <c r="AT21" s="46">
        <v>1</v>
      </c>
      <c r="AY21" s="46">
        <v>1</v>
      </c>
      <c r="BA21" s="46">
        <v>1</v>
      </c>
      <c r="BJ21" s="46">
        <v>1</v>
      </c>
      <c r="BW21" s="46">
        <v>1</v>
      </c>
      <c r="BZ21" s="46">
        <v>1</v>
      </c>
      <c r="CC21" s="46">
        <v>1</v>
      </c>
    </row>
    <row r="22" spans="1:87">
      <c r="A22" s="46" t="s">
        <v>3889</v>
      </c>
      <c r="B22" s="46" t="s">
        <v>3890</v>
      </c>
      <c r="C22" s="46">
        <v>36</v>
      </c>
      <c r="D22" s="46" t="s">
        <v>3852</v>
      </c>
      <c r="F22" s="46" t="s">
        <v>691</v>
      </c>
      <c r="I22" s="46">
        <v>1</v>
      </c>
      <c r="M22" s="46">
        <v>1</v>
      </c>
      <c r="R22" s="46">
        <v>1</v>
      </c>
      <c r="T22" s="46">
        <v>1</v>
      </c>
      <c r="W22" s="46">
        <v>14</v>
      </c>
      <c r="X22" s="46">
        <v>18</v>
      </c>
      <c r="Y22" s="46">
        <v>18</v>
      </c>
      <c r="Z22" s="46">
        <v>9</v>
      </c>
      <c r="AA22" s="46">
        <v>8</v>
      </c>
      <c r="AB22" s="46">
        <v>5</v>
      </c>
      <c r="AE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</row>
    <row r="23" spans="1:87">
      <c r="A23" s="46" t="s">
        <v>3891</v>
      </c>
      <c r="B23" s="46" t="s">
        <v>3892</v>
      </c>
      <c r="C23" s="46">
        <v>30</v>
      </c>
      <c r="D23" s="46" t="s">
        <v>3893</v>
      </c>
      <c r="F23" s="46" t="s">
        <v>415</v>
      </c>
      <c r="H23" s="46">
        <v>1</v>
      </c>
      <c r="N23" s="46">
        <v>1</v>
      </c>
      <c r="R23" s="46">
        <v>1</v>
      </c>
      <c r="T23" s="46">
        <v>1</v>
      </c>
      <c r="W23" s="46">
        <v>13</v>
      </c>
      <c r="X23" s="46">
        <v>16</v>
      </c>
      <c r="Y23" s="46">
        <v>17</v>
      </c>
      <c r="Z23" s="46">
        <v>8</v>
      </c>
      <c r="AA23" s="46">
        <v>6</v>
      </c>
      <c r="AB23" s="46">
        <v>6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M23" s="46">
        <v>1</v>
      </c>
      <c r="BW23" s="46">
        <v>1</v>
      </c>
      <c r="BZ23" s="46">
        <v>1</v>
      </c>
      <c r="CC23" s="46">
        <v>1</v>
      </c>
    </row>
    <row r="24" spans="1:87">
      <c r="A24" s="46" t="s">
        <v>3894</v>
      </c>
      <c r="B24" s="46" t="s">
        <v>2300</v>
      </c>
      <c r="C24" s="46">
        <v>23</v>
      </c>
      <c r="D24" s="46" t="s">
        <v>3895</v>
      </c>
      <c r="F24" s="46" t="s">
        <v>415</v>
      </c>
      <c r="H24" s="46">
        <v>1</v>
      </c>
      <c r="N24" s="46">
        <v>1</v>
      </c>
      <c r="Q24" s="46">
        <v>1</v>
      </c>
      <c r="T24" s="46">
        <v>1</v>
      </c>
      <c r="W24" s="46">
        <v>16</v>
      </c>
      <c r="X24" s="46">
        <v>18</v>
      </c>
      <c r="Y24" s="46">
        <v>19</v>
      </c>
      <c r="Z24" s="46">
        <v>1</v>
      </c>
      <c r="AA24" s="46">
        <v>1</v>
      </c>
      <c r="AB24" s="46">
        <v>1</v>
      </c>
      <c r="AE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W24" s="46">
        <v>1</v>
      </c>
      <c r="BZ24" s="46">
        <v>1</v>
      </c>
      <c r="CC24" s="46">
        <v>1</v>
      </c>
    </row>
    <row r="25" spans="1:87">
      <c r="A25" s="46" t="s">
        <v>3896</v>
      </c>
      <c r="B25" s="46" t="s">
        <v>3897</v>
      </c>
      <c r="C25" s="46">
        <v>20</v>
      </c>
      <c r="D25" s="46" t="s">
        <v>3898</v>
      </c>
      <c r="F25" s="46" t="s">
        <v>2285</v>
      </c>
      <c r="H25" s="46">
        <v>1</v>
      </c>
      <c r="N25" s="46">
        <v>1</v>
      </c>
      <c r="Q25" s="46">
        <v>1</v>
      </c>
      <c r="T25" s="46">
        <v>1</v>
      </c>
      <c r="W25" s="46">
        <v>15</v>
      </c>
      <c r="X25" s="46">
        <v>17</v>
      </c>
      <c r="Y25" s="46" t="s">
        <v>908</v>
      </c>
      <c r="Z25" s="46">
        <v>0</v>
      </c>
      <c r="AA25" s="46">
        <v>0</v>
      </c>
      <c r="AB25" s="46">
        <v>0</v>
      </c>
      <c r="AE25" s="46">
        <v>1</v>
      </c>
      <c r="AH25" s="46">
        <v>1</v>
      </c>
      <c r="AJ25" s="46">
        <v>1</v>
      </c>
      <c r="AM25" s="46">
        <v>1</v>
      </c>
      <c r="AT25" s="46">
        <v>1</v>
      </c>
      <c r="AW25" s="46">
        <v>1</v>
      </c>
      <c r="BA25" s="46">
        <v>1</v>
      </c>
      <c r="BI25" s="46">
        <v>1</v>
      </c>
      <c r="BW25" s="46">
        <v>1</v>
      </c>
      <c r="BZ25" s="46">
        <v>1</v>
      </c>
      <c r="CC25" s="46">
        <v>1</v>
      </c>
    </row>
    <row r="26" spans="1:87">
      <c r="A26" s="46" t="s">
        <v>3899</v>
      </c>
      <c r="B26" s="46" t="s">
        <v>3900</v>
      </c>
      <c r="C26" s="46">
        <v>24</v>
      </c>
      <c r="D26" s="46" t="s">
        <v>3901</v>
      </c>
      <c r="E26" s="46" t="s">
        <v>3902</v>
      </c>
      <c r="F26" s="46" t="s">
        <v>2285</v>
      </c>
      <c r="J26" s="46">
        <v>1</v>
      </c>
      <c r="N26" s="46">
        <v>1</v>
      </c>
      <c r="Q26" s="46">
        <v>1</v>
      </c>
      <c r="U26" s="46">
        <v>1</v>
      </c>
      <c r="W26" s="46">
        <v>13</v>
      </c>
      <c r="X26" s="46">
        <v>17</v>
      </c>
      <c r="Y26" s="46">
        <v>21</v>
      </c>
      <c r="Z26" s="46">
        <v>2</v>
      </c>
      <c r="AA26" s="46">
        <v>2</v>
      </c>
      <c r="AB26" s="46">
        <v>2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</row>
    <row r="27" spans="1:87">
      <c r="A27" s="46" t="s">
        <v>3903</v>
      </c>
      <c r="B27" s="46" t="s">
        <v>3904</v>
      </c>
      <c r="C27" s="46">
        <v>44</v>
      </c>
      <c r="D27" s="46" t="s">
        <v>3885</v>
      </c>
      <c r="F27" s="46" t="s">
        <v>415</v>
      </c>
      <c r="G27" s="46">
        <v>1</v>
      </c>
      <c r="O27" s="46">
        <v>1</v>
      </c>
      <c r="Q27" s="46">
        <v>1</v>
      </c>
      <c r="T27" s="46">
        <v>1</v>
      </c>
      <c r="W27" s="46">
        <v>16</v>
      </c>
      <c r="X27" s="46">
        <v>18</v>
      </c>
      <c r="Y27" s="46">
        <v>28</v>
      </c>
      <c r="Z27" s="46">
        <v>7</v>
      </c>
      <c r="AA27" s="46">
        <v>6</v>
      </c>
      <c r="AB27" s="46">
        <v>6</v>
      </c>
      <c r="AE27" s="46">
        <v>1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M27" s="46">
        <v>1</v>
      </c>
      <c r="BW27" s="46">
        <v>1</v>
      </c>
      <c r="BZ27" s="46">
        <v>1</v>
      </c>
      <c r="CC27" s="46">
        <v>1</v>
      </c>
      <c r="CI27" s="46">
        <v>1</v>
      </c>
    </row>
    <row r="28" spans="1:87">
      <c r="A28" s="46" t="s">
        <v>3905</v>
      </c>
      <c r="B28" s="46" t="s">
        <v>3906</v>
      </c>
      <c r="C28" s="46">
        <v>41</v>
      </c>
      <c r="D28" s="46" t="s">
        <v>3861</v>
      </c>
      <c r="E28" s="46" t="s">
        <v>3907</v>
      </c>
      <c r="F28" s="46" t="s">
        <v>415</v>
      </c>
      <c r="G28" s="46">
        <v>1</v>
      </c>
      <c r="N28" s="46">
        <v>1</v>
      </c>
      <c r="Q28" s="46">
        <v>1</v>
      </c>
      <c r="S28" s="46">
        <v>1</v>
      </c>
      <c r="W28" s="46">
        <v>14</v>
      </c>
      <c r="X28" s="46">
        <v>14</v>
      </c>
      <c r="Y28" s="46">
        <v>14</v>
      </c>
      <c r="Z28" s="46">
        <v>15</v>
      </c>
      <c r="AA28" s="46">
        <v>12</v>
      </c>
      <c r="AB28" s="46">
        <v>10</v>
      </c>
      <c r="AD28" s="46">
        <v>1</v>
      </c>
      <c r="AE28" s="46">
        <v>1</v>
      </c>
      <c r="AH28" s="46">
        <v>1</v>
      </c>
      <c r="AJ28" s="46">
        <v>1</v>
      </c>
      <c r="AK28" s="46">
        <v>1</v>
      </c>
      <c r="AT28" s="46">
        <v>1</v>
      </c>
      <c r="AZ28" s="46">
        <v>1</v>
      </c>
      <c r="BA28" s="46">
        <v>1</v>
      </c>
      <c r="BI28" s="46">
        <v>1</v>
      </c>
      <c r="BW28" s="46">
        <v>1</v>
      </c>
      <c r="CA28" s="46">
        <v>1</v>
      </c>
      <c r="CB28" s="46">
        <v>2023</v>
      </c>
      <c r="CC28" s="46">
        <v>1</v>
      </c>
    </row>
    <row r="29" spans="1:87">
      <c r="A29" s="46" t="s">
        <v>3908</v>
      </c>
      <c r="B29" s="46" t="s">
        <v>3909</v>
      </c>
      <c r="C29" s="46">
        <v>30</v>
      </c>
      <c r="D29" s="46" t="s">
        <v>3910</v>
      </c>
      <c r="F29" s="46" t="s">
        <v>415</v>
      </c>
      <c r="J29" s="46">
        <v>1</v>
      </c>
      <c r="N29" s="46">
        <v>1</v>
      </c>
      <c r="R29" s="46">
        <v>1</v>
      </c>
      <c r="T29" s="46">
        <v>1</v>
      </c>
      <c r="W29" s="46">
        <v>16</v>
      </c>
      <c r="X29" s="46">
        <v>18</v>
      </c>
      <c r="Y29" s="46">
        <v>18</v>
      </c>
      <c r="Z29" s="46">
        <v>5</v>
      </c>
      <c r="AA29" s="46">
        <v>5</v>
      </c>
      <c r="AB29" s="46">
        <v>4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W29" s="46">
        <v>1</v>
      </c>
      <c r="BZ29" s="46">
        <v>1</v>
      </c>
      <c r="CC29" s="46">
        <v>1</v>
      </c>
    </row>
    <row r="30" spans="1:87">
      <c r="A30" s="46" t="s">
        <v>3911</v>
      </c>
      <c r="B30" s="46" t="s">
        <v>3912</v>
      </c>
      <c r="C30" s="46">
        <v>30</v>
      </c>
      <c r="D30" s="46" t="s">
        <v>3913</v>
      </c>
      <c r="F30" s="46" t="s">
        <v>415</v>
      </c>
      <c r="J30" s="46">
        <v>1</v>
      </c>
      <c r="N30" s="46">
        <v>1</v>
      </c>
      <c r="R30" s="46">
        <v>1</v>
      </c>
      <c r="U30" s="46">
        <v>1</v>
      </c>
      <c r="W30" s="46">
        <v>14</v>
      </c>
      <c r="X30" s="46">
        <v>14</v>
      </c>
      <c r="Y30" s="46">
        <v>16</v>
      </c>
      <c r="Z30" s="46">
        <v>5</v>
      </c>
      <c r="AA30" s="46">
        <v>5</v>
      </c>
      <c r="AB30" s="46">
        <v>4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X30" s="46">
        <v>1</v>
      </c>
      <c r="BA30" s="46">
        <v>1</v>
      </c>
      <c r="BI30" s="46">
        <v>1</v>
      </c>
      <c r="BW30" s="46">
        <v>1</v>
      </c>
      <c r="BZ30" s="46">
        <v>1</v>
      </c>
      <c r="CC30" s="46">
        <v>1</v>
      </c>
    </row>
    <row r="31" spans="1:87">
      <c r="A31" s="46" t="s">
        <v>3914</v>
      </c>
      <c r="B31" s="46" t="s">
        <v>3915</v>
      </c>
      <c r="C31" s="46">
        <v>23</v>
      </c>
      <c r="D31" s="46" t="s">
        <v>3861</v>
      </c>
      <c r="E31" s="46" t="s">
        <v>3916</v>
      </c>
      <c r="F31" s="46" t="s">
        <v>415</v>
      </c>
      <c r="G31" s="46">
        <v>1</v>
      </c>
      <c r="L31" s="46">
        <v>1</v>
      </c>
      <c r="Q31" s="46">
        <v>1</v>
      </c>
      <c r="U31" s="46">
        <v>1</v>
      </c>
      <c r="W31" s="46">
        <v>14</v>
      </c>
      <c r="X31" s="46">
        <v>15</v>
      </c>
      <c r="Y31" s="46">
        <v>22</v>
      </c>
      <c r="Z31" s="46">
        <v>1</v>
      </c>
      <c r="AA31" s="46">
        <v>1</v>
      </c>
      <c r="AB31" s="46">
        <v>1</v>
      </c>
      <c r="AG31" s="46">
        <v>1</v>
      </c>
      <c r="AH31" s="46">
        <v>1</v>
      </c>
      <c r="AJ31" s="46">
        <v>1</v>
      </c>
      <c r="AK31" s="46">
        <v>1</v>
      </c>
      <c r="AT31" s="46">
        <v>1</v>
      </c>
      <c r="AY31" s="46">
        <v>1</v>
      </c>
      <c r="BA31" s="46">
        <v>1</v>
      </c>
      <c r="BI31" s="46">
        <v>1</v>
      </c>
      <c r="BW31" s="46">
        <v>1</v>
      </c>
      <c r="BZ31" s="46">
        <v>1</v>
      </c>
      <c r="CC31" s="46">
        <v>1</v>
      </c>
    </row>
    <row r="32" spans="1:87">
      <c r="A32" s="46" t="s">
        <v>3917</v>
      </c>
      <c r="B32" s="46" t="s">
        <v>3918</v>
      </c>
      <c r="C32" s="46">
        <v>30</v>
      </c>
      <c r="D32" s="46" t="s">
        <v>3653</v>
      </c>
      <c r="E32" s="46" t="s">
        <v>3919</v>
      </c>
      <c r="F32" s="46" t="s">
        <v>444</v>
      </c>
      <c r="I32" s="46">
        <v>1</v>
      </c>
      <c r="M32" s="46">
        <v>1</v>
      </c>
      <c r="R32" s="46">
        <v>1</v>
      </c>
      <c r="T32" s="46">
        <v>1</v>
      </c>
      <c r="W32" s="46">
        <v>14</v>
      </c>
      <c r="X32" s="46">
        <v>16</v>
      </c>
      <c r="Y32" s="46">
        <v>20</v>
      </c>
      <c r="Z32" s="46">
        <v>5</v>
      </c>
      <c r="AA32" s="46">
        <v>5</v>
      </c>
      <c r="AB32" s="46">
        <v>5</v>
      </c>
      <c r="AE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W32" s="46">
        <v>1</v>
      </c>
      <c r="BZ32" s="46">
        <v>1</v>
      </c>
      <c r="CC32" s="46">
        <v>1</v>
      </c>
    </row>
    <row r="33" spans="1:81">
      <c r="A33" s="46" t="s">
        <v>3920</v>
      </c>
      <c r="B33" s="46" t="s">
        <v>3921</v>
      </c>
      <c r="C33" s="46">
        <v>25</v>
      </c>
      <c r="D33" s="46" t="s">
        <v>3861</v>
      </c>
      <c r="E33" s="46" t="s">
        <v>3922</v>
      </c>
      <c r="F33" s="46" t="s">
        <v>415</v>
      </c>
      <c r="H33" s="46">
        <v>1</v>
      </c>
      <c r="N33" s="46">
        <v>1</v>
      </c>
      <c r="Q33" s="46">
        <v>1</v>
      </c>
      <c r="U33" s="46">
        <v>1</v>
      </c>
      <c r="W33" s="46">
        <v>13</v>
      </c>
      <c r="X33" s="46">
        <v>16</v>
      </c>
      <c r="Y33" s="46">
        <v>17</v>
      </c>
      <c r="Z33" s="46">
        <v>3</v>
      </c>
      <c r="AA33" s="46">
        <v>3</v>
      </c>
      <c r="AB33" s="46">
        <v>3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W33" s="46">
        <v>1</v>
      </c>
      <c r="BZ33" s="46">
        <v>1</v>
      </c>
      <c r="CC33" s="46">
        <v>1</v>
      </c>
    </row>
    <row r="34" spans="1:81">
      <c r="A34" s="46" t="s">
        <v>3923</v>
      </c>
      <c r="B34" s="46" t="s">
        <v>3924</v>
      </c>
      <c r="C34" s="46">
        <v>33</v>
      </c>
      <c r="D34" s="46" t="s">
        <v>3925</v>
      </c>
      <c r="E34" s="46" t="s">
        <v>3926</v>
      </c>
      <c r="F34" s="46" t="s">
        <v>444</v>
      </c>
      <c r="J34" s="46">
        <v>1</v>
      </c>
      <c r="N34" s="46">
        <v>1</v>
      </c>
      <c r="Q34" s="46">
        <v>1</v>
      </c>
      <c r="U34" s="46">
        <v>1</v>
      </c>
      <c r="W34" s="46">
        <v>15</v>
      </c>
      <c r="X34" s="46">
        <v>18</v>
      </c>
      <c r="Y34" s="46">
        <v>20</v>
      </c>
      <c r="Z34" s="46">
        <v>4</v>
      </c>
      <c r="AA34" s="46">
        <v>4</v>
      </c>
      <c r="AB34" s="46">
        <v>4</v>
      </c>
      <c r="AE34" s="46">
        <v>1</v>
      </c>
      <c r="AH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W34" s="46">
        <v>1</v>
      </c>
      <c r="BZ34" s="46">
        <v>1</v>
      </c>
      <c r="CC34" s="46">
        <v>1</v>
      </c>
    </row>
    <row r="35" spans="1:81">
      <c r="A35" s="46" t="s">
        <v>3927</v>
      </c>
      <c r="B35" s="46" t="s">
        <v>3928</v>
      </c>
      <c r="C35" s="46">
        <v>56</v>
      </c>
      <c r="D35" s="46" t="s">
        <v>3653</v>
      </c>
      <c r="F35" s="46" t="s">
        <v>433</v>
      </c>
      <c r="H35" s="46">
        <v>1</v>
      </c>
      <c r="N35" s="46">
        <v>1</v>
      </c>
      <c r="R35" s="46">
        <v>1</v>
      </c>
      <c r="S35" s="46">
        <v>1</v>
      </c>
      <c r="W35" s="46" t="s">
        <v>908</v>
      </c>
      <c r="X35" s="46" t="s">
        <v>908</v>
      </c>
      <c r="Y35" s="46">
        <v>26</v>
      </c>
      <c r="Z35" s="46">
        <v>8</v>
      </c>
      <c r="AA35" s="46">
        <v>8</v>
      </c>
      <c r="AB35" s="46">
        <v>8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/>
      <c r="BM35" s="46">
        <v>1</v>
      </c>
      <c r="BW35" s="46">
        <v>1</v>
      </c>
      <c r="BZ35" s="46">
        <v>1</v>
      </c>
      <c r="CC35" s="46">
        <v>1</v>
      </c>
    </row>
    <row r="36" spans="1:81">
      <c r="A36" s="46" t="s">
        <v>3929</v>
      </c>
      <c r="B36" s="46" t="s">
        <v>3930</v>
      </c>
      <c r="C36" s="46">
        <v>47</v>
      </c>
      <c r="D36" s="46" t="s">
        <v>3901</v>
      </c>
      <c r="E36" s="46" t="s">
        <v>3931</v>
      </c>
      <c r="F36" s="46" t="s">
        <v>415</v>
      </c>
      <c r="H36" s="46">
        <v>1</v>
      </c>
      <c r="M36" s="46">
        <v>1</v>
      </c>
      <c r="Q36" s="46">
        <v>1</v>
      </c>
      <c r="T36" s="46">
        <v>1</v>
      </c>
      <c r="W36" s="46">
        <v>15</v>
      </c>
      <c r="X36" s="46">
        <v>16</v>
      </c>
      <c r="Y36" s="46">
        <v>19</v>
      </c>
      <c r="Z36" s="46">
        <v>10</v>
      </c>
      <c r="AA36" s="46">
        <v>10</v>
      </c>
      <c r="AB36" s="46">
        <v>8</v>
      </c>
      <c r="AE36" s="46">
        <v>1</v>
      </c>
      <c r="AH36" s="46">
        <v>1</v>
      </c>
      <c r="AI36" s="46">
        <v>1</v>
      </c>
      <c r="AK36" s="46">
        <v>1</v>
      </c>
      <c r="AT36" s="46">
        <v>1</v>
      </c>
      <c r="AX36" s="46">
        <v>1</v>
      </c>
      <c r="BA36" s="46">
        <v>1</v>
      </c>
      <c r="BI36" s="46">
        <v>1</v>
      </c>
      <c r="BW36" s="46">
        <v>1</v>
      </c>
      <c r="BZ36" s="46">
        <v>1</v>
      </c>
      <c r="CC36" s="46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5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0.85546875" customWidth="1"/>
    <col min="3" max="3" width="7.28515625" customWidth="1"/>
  </cols>
  <sheetData>
    <row r="1" spans="1:99">
      <c r="A1" s="479" t="s">
        <v>3932</v>
      </c>
      <c r="B1" s="480"/>
      <c r="C1" s="479" t="s">
        <v>3933</v>
      </c>
      <c r="D1" s="481"/>
      <c r="E1" s="480"/>
      <c r="F1" s="1"/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>
      <c r="A4" s="46" t="s">
        <v>2417</v>
      </c>
      <c r="B4" s="46" t="s">
        <v>3934</v>
      </c>
      <c r="C4" s="46">
        <v>26</v>
      </c>
      <c r="D4" s="46" t="s">
        <v>3935</v>
      </c>
      <c r="F4" s="46" t="s">
        <v>1045</v>
      </c>
      <c r="I4" s="46">
        <v>1</v>
      </c>
      <c r="M4" s="46">
        <v>1</v>
      </c>
      <c r="Q4" s="46">
        <v>1</v>
      </c>
      <c r="T4" s="46">
        <v>1</v>
      </c>
      <c r="W4" s="46">
        <v>13</v>
      </c>
      <c r="X4" s="46">
        <v>15</v>
      </c>
      <c r="Y4" s="46">
        <v>15</v>
      </c>
      <c r="Z4" s="46">
        <v>4</v>
      </c>
      <c r="AA4" s="46">
        <v>4</v>
      </c>
      <c r="AB4" s="46">
        <v>4</v>
      </c>
      <c r="AD4" s="46">
        <v>1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J4" s="46">
        <v>1</v>
      </c>
      <c r="BW4" s="46">
        <v>1</v>
      </c>
      <c r="BZ4" s="46">
        <v>1</v>
      </c>
      <c r="CC4" s="46">
        <v>1</v>
      </c>
      <c r="CI4" s="46">
        <v>1</v>
      </c>
      <c r="CR4" s="46" t="s">
        <v>3936</v>
      </c>
    </row>
    <row r="5" spans="1:99">
      <c r="A5" s="46" t="s">
        <v>2421</v>
      </c>
      <c r="B5" s="46" t="s">
        <v>3937</v>
      </c>
      <c r="C5" s="46">
        <v>31</v>
      </c>
      <c r="D5" s="46" t="s">
        <v>3938</v>
      </c>
      <c r="F5" s="46" t="s">
        <v>122</v>
      </c>
      <c r="J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18</v>
      </c>
      <c r="Y5" s="46">
        <v>18</v>
      </c>
      <c r="Z5" s="46">
        <v>4</v>
      </c>
      <c r="AA5" s="46">
        <v>4</v>
      </c>
      <c r="AB5" s="46">
        <v>4</v>
      </c>
      <c r="AD5" s="46" t="s">
        <v>1739</v>
      </c>
      <c r="AM5" s="46">
        <v>1</v>
      </c>
      <c r="BZ5" s="46">
        <v>1</v>
      </c>
      <c r="CC5" s="46">
        <v>1</v>
      </c>
      <c r="CI5" s="46">
        <v>1</v>
      </c>
      <c r="CR5" s="46" t="s">
        <v>3939</v>
      </c>
    </row>
    <row r="6" spans="1:99">
      <c r="A6" s="46" t="s">
        <v>2425</v>
      </c>
      <c r="B6" s="46" t="s">
        <v>3940</v>
      </c>
      <c r="C6" s="46">
        <v>27</v>
      </c>
      <c r="D6" s="46" t="s">
        <v>3938</v>
      </c>
      <c r="E6" s="46" t="s">
        <v>3941</v>
      </c>
      <c r="F6" s="46" t="s">
        <v>1045</v>
      </c>
      <c r="M6" s="46">
        <v>1</v>
      </c>
      <c r="T6" s="46">
        <v>1</v>
      </c>
      <c r="W6" s="46">
        <v>15</v>
      </c>
      <c r="X6" s="46">
        <v>18</v>
      </c>
      <c r="Y6" s="46">
        <v>19</v>
      </c>
      <c r="AB6" s="46">
        <v>2</v>
      </c>
      <c r="AD6" s="46" t="s">
        <v>1739</v>
      </c>
      <c r="AM6" s="46">
        <v>1</v>
      </c>
      <c r="AT6" s="46">
        <v>1</v>
      </c>
      <c r="BA6" s="46">
        <v>1</v>
      </c>
      <c r="CI6" s="46">
        <v>1</v>
      </c>
      <c r="CR6" s="46" t="s">
        <v>3936</v>
      </c>
    </row>
    <row r="7" spans="1:99">
      <c r="A7" s="46" t="s">
        <v>2427</v>
      </c>
      <c r="B7" s="46" t="s">
        <v>3942</v>
      </c>
      <c r="C7" s="46">
        <v>19</v>
      </c>
      <c r="D7" s="46" t="s">
        <v>3943</v>
      </c>
      <c r="E7" s="46" t="s">
        <v>3944</v>
      </c>
      <c r="F7" s="46" t="s">
        <v>3945</v>
      </c>
      <c r="H7" s="46">
        <v>1</v>
      </c>
      <c r="M7" s="46">
        <v>1</v>
      </c>
      <c r="Q7" s="46">
        <v>1</v>
      </c>
      <c r="T7" s="46">
        <v>1</v>
      </c>
      <c r="W7" s="46">
        <v>13</v>
      </c>
      <c r="X7" s="46">
        <v>17</v>
      </c>
      <c r="Y7" s="46">
        <v>18</v>
      </c>
      <c r="Z7" s="46">
        <v>1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J7" s="46" t="s">
        <v>1739</v>
      </c>
      <c r="BZ7" s="46">
        <v>1</v>
      </c>
      <c r="CI7" s="46">
        <v>1</v>
      </c>
      <c r="CR7" s="46" t="s">
        <v>3939</v>
      </c>
    </row>
    <row r="8" spans="1:99">
      <c r="A8" s="46" t="s">
        <v>2430</v>
      </c>
      <c r="B8" s="46" t="s">
        <v>3946</v>
      </c>
      <c r="C8" s="46">
        <v>27</v>
      </c>
      <c r="D8" s="46" t="s">
        <v>3947</v>
      </c>
      <c r="E8" s="46" t="s">
        <v>3948</v>
      </c>
      <c r="F8" s="46" t="s">
        <v>1045</v>
      </c>
      <c r="J8" s="46">
        <v>1</v>
      </c>
      <c r="M8" s="46">
        <v>1</v>
      </c>
      <c r="Q8" s="46">
        <v>1</v>
      </c>
      <c r="T8" s="46">
        <v>1</v>
      </c>
      <c r="W8" s="46">
        <v>12</v>
      </c>
      <c r="X8" s="46">
        <v>17</v>
      </c>
      <c r="Y8" s="46">
        <v>19</v>
      </c>
      <c r="Z8" s="46">
        <v>3</v>
      </c>
      <c r="AA8" s="46">
        <v>2</v>
      </c>
      <c r="AB8" s="46">
        <v>2</v>
      </c>
      <c r="AD8" s="46" t="s">
        <v>1739</v>
      </c>
      <c r="AK8" s="46">
        <v>1</v>
      </c>
      <c r="BA8" s="46">
        <v>1</v>
      </c>
      <c r="BZ8" s="46">
        <v>1</v>
      </c>
      <c r="CI8" s="46">
        <v>1</v>
      </c>
      <c r="CR8" s="46" t="s">
        <v>3939</v>
      </c>
    </row>
    <row r="9" spans="1:99">
      <c r="A9" s="46" t="s">
        <v>2433</v>
      </c>
      <c r="B9" s="46" t="s">
        <v>3949</v>
      </c>
      <c r="C9" s="46">
        <v>44</v>
      </c>
      <c r="D9" s="46" t="s">
        <v>3950</v>
      </c>
      <c r="E9" s="46" t="s">
        <v>3951</v>
      </c>
      <c r="F9" s="46" t="s">
        <v>3952</v>
      </c>
      <c r="I9" s="46">
        <v>1</v>
      </c>
      <c r="L9" s="46">
        <v>1</v>
      </c>
      <c r="S9" s="46">
        <v>1</v>
      </c>
      <c r="W9" s="46">
        <v>15</v>
      </c>
      <c r="X9" s="46">
        <v>20</v>
      </c>
      <c r="Y9" s="46">
        <v>20</v>
      </c>
      <c r="Z9" s="46">
        <v>6</v>
      </c>
      <c r="AA9" s="46">
        <v>6</v>
      </c>
      <c r="AB9" s="46">
        <v>3</v>
      </c>
      <c r="AD9" s="46">
        <v>1</v>
      </c>
      <c r="AJ9" s="46">
        <v>1</v>
      </c>
      <c r="AK9" s="46">
        <v>1</v>
      </c>
      <c r="AT9" s="46">
        <v>1</v>
      </c>
      <c r="AW9" s="46">
        <v>1</v>
      </c>
      <c r="BB9" s="46">
        <v>1</v>
      </c>
      <c r="BF9" s="46">
        <v>1</v>
      </c>
      <c r="BH9" s="46">
        <v>1</v>
      </c>
      <c r="BV9" s="46">
        <v>1</v>
      </c>
      <c r="BW9" s="46">
        <v>1</v>
      </c>
      <c r="CA9" s="46">
        <v>1</v>
      </c>
      <c r="CC9" s="46">
        <v>1</v>
      </c>
      <c r="CL9" s="46">
        <v>1</v>
      </c>
      <c r="CR9" s="46" t="s">
        <v>3953</v>
      </c>
    </row>
    <row r="10" spans="1:99">
      <c r="A10" s="46" t="s">
        <v>2436</v>
      </c>
      <c r="B10" s="46" t="s">
        <v>3954</v>
      </c>
      <c r="C10" s="46">
        <v>28</v>
      </c>
      <c r="D10" s="46" t="s">
        <v>3955</v>
      </c>
      <c r="E10" s="46" t="s">
        <v>3956</v>
      </c>
      <c r="F10" s="46" t="s">
        <v>145</v>
      </c>
      <c r="G10" s="46">
        <v>1</v>
      </c>
      <c r="M10" s="46">
        <v>1</v>
      </c>
      <c r="Q10" s="46">
        <v>1</v>
      </c>
      <c r="T10" s="46">
        <v>1</v>
      </c>
      <c r="W10" s="46">
        <v>16</v>
      </c>
      <c r="X10" s="46">
        <v>19</v>
      </c>
      <c r="Y10" s="46">
        <v>20</v>
      </c>
      <c r="Z10" s="46">
        <v>4</v>
      </c>
      <c r="AA10" s="46">
        <v>4</v>
      </c>
      <c r="AB10" s="46">
        <v>4</v>
      </c>
      <c r="AD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H10" s="46">
        <v>1</v>
      </c>
      <c r="BV10" s="46">
        <v>1</v>
      </c>
      <c r="BW10" s="46">
        <v>1</v>
      </c>
      <c r="BZ10" s="46">
        <v>1</v>
      </c>
      <c r="CL10" s="46">
        <v>1</v>
      </c>
    </row>
    <row r="11" spans="1:99">
      <c r="A11" s="46" t="s">
        <v>2440</v>
      </c>
      <c r="B11" s="46" t="s">
        <v>3957</v>
      </c>
      <c r="C11" s="46">
        <v>27</v>
      </c>
      <c r="D11" s="46" t="s">
        <v>3958</v>
      </c>
      <c r="F11" s="46" t="s">
        <v>662</v>
      </c>
      <c r="J11" s="46">
        <v>1</v>
      </c>
      <c r="M11" s="46">
        <v>1</v>
      </c>
      <c r="Q11" s="46">
        <v>1</v>
      </c>
      <c r="T11" s="46">
        <v>1</v>
      </c>
      <c r="W11" s="46">
        <v>15</v>
      </c>
      <c r="X11" s="46">
        <v>15</v>
      </c>
      <c r="Y11" s="46">
        <v>19</v>
      </c>
      <c r="Z11" s="46">
        <v>4</v>
      </c>
      <c r="AA11" s="46">
        <v>4</v>
      </c>
      <c r="AB11" s="46">
        <v>4</v>
      </c>
      <c r="AD11" s="46">
        <v>1</v>
      </c>
      <c r="AG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  <c r="CR11" s="46" t="s">
        <v>3936</v>
      </c>
    </row>
    <row r="12" spans="1:99">
      <c r="A12" s="46" t="s">
        <v>3959</v>
      </c>
      <c r="B12" s="46" t="s">
        <v>3960</v>
      </c>
      <c r="C12" s="46">
        <v>33</v>
      </c>
      <c r="D12" s="46" t="s">
        <v>3935</v>
      </c>
      <c r="F12" s="46" t="s">
        <v>330</v>
      </c>
      <c r="J12" s="46">
        <v>1</v>
      </c>
      <c r="M12" s="46">
        <v>1</v>
      </c>
      <c r="R12" s="46">
        <v>1</v>
      </c>
      <c r="T12" s="46">
        <v>1</v>
      </c>
      <c r="W12" s="46">
        <v>13</v>
      </c>
      <c r="X12" s="46">
        <v>14</v>
      </c>
      <c r="Y12" s="46">
        <v>15</v>
      </c>
      <c r="Z12" s="46">
        <v>6</v>
      </c>
      <c r="AA12" s="46">
        <v>5</v>
      </c>
      <c r="AB12" s="46">
        <v>5</v>
      </c>
      <c r="AD12" s="46">
        <v>1</v>
      </c>
      <c r="AE12" s="46">
        <v>1</v>
      </c>
      <c r="AG12" s="46">
        <v>1</v>
      </c>
      <c r="AH12" s="46">
        <v>1</v>
      </c>
      <c r="AI12" s="46">
        <v>1</v>
      </c>
      <c r="AL12" s="46">
        <v>1</v>
      </c>
      <c r="AQ12" s="46" t="s">
        <v>736</v>
      </c>
      <c r="AR12" s="46" t="s">
        <v>3961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I12" s="46">
        <v>1</v>
      </c>
      <c r="CR12" s="46" t="s">
        <v>3936</v>
      </c>
    </row>
    <row r="13" spans="1:99">
      <c r="A13" s="46" t="s">
        <v>3962</v>
      </c>
      <c r="B13" s="46" t="s">
        <v>3963</v>
      </c>
      <c r="C13" s="46">
        <v>37</v>
      </c>
      <c r="D13" s="46" t="s">
        <v>3935</v>
      </c>
      <c r="F13" s="46" t="s">
        <v>2070</v>
      </c>
      <c r="G13" s="46">
        <v>1</v>
      </c>
      <c r="M13" s="46">
        <v>1</v>
      </c>
      <c r="U13" s="46">
        <v>1</v>
      </c>
      <c r="W13" s="46">
        <v>11</v>
      </c>
      <c r="X13" s="46">
        <v>16</v>
      </c>
      <c r="Y13" s="46">
        <v>17</v>
      </c>
      <c r="Z13" s="46">
        <v>5</v>
      </c>
      <c r="AB13" s="46">
        <v>4</v>
      </c>
      <c r="AD13" s="46">
        <v>1</v>
      </c>
      <c r="AH13" s="46">
        <v>1</v>
      </c>
      <c r="AI13" s="46">
        <v>1</v>
      </c>
      <c r="AK13" s="46">
        <v>1</v>
      </c>
      <c r="AT13" s="46">
        <v>1</v>
      </c>
      <c r="BA13" s="46">
        <v>1</v>
      </c>
      <c r="BI13" s="46">
        <v>1</v>
      </c>
      <c r="CC13" s="46">
        <v>1</v>
      </c>
      <c r="CI13" s="46">
        <v>1</v>
      </c>
      <c r="CR13" s="46" t="s">
        <v>3936</v>
      </c>
    </row>
    <row r="14" spans="1:99">
      <c r="A14" s="46" t="s">
        <v>3964</v>
      </c>
      <c r="B14" s="46" t="s">
        <v>3965</v>
      </c>
      <c r="C14" s="46">
        <v>30</v>
      </c>
      <c r="D14" s="46" t="s">
        <v>3966</v>
      </c>
      <c r="F14" s="46" t="s">
        <v>112</v>
      </c>
      <c r="I14" s="46">
        <v>1</v>
      </c>
      <c r="M14" s="46">
        <v>1</v>
      </c>
      <c r="T14" s="46">
        <v>1</v>
      </c>
      <c r="W14" s="46">
        <v>15</v>
      </c>
      <c r="X14" s="46">
        <v>16</v>
      </c>
      <c r="Y14" s="46">
        <v>18</v>
      </c>
      <c r="Z14" s="46">
        <v>5</v>
      </c>
      <c r="AB14" s="46">
        <v>4</v>
      </c>
      <c r="AC14" s="46">
        <v>1</v>
      </c>
      <c r="AI14" s="46">
        <v>1</v>
      </c>
      <c r="AM14" s="46">
        <v>1</v>
      </c>
      <c r="BI14" s="46">
        <v>1</v>
      </c>
      <c r="BZ14" s="46">
        <v>1</v>
      </c>
      <c r="CI14" s="46">
        <v>1</v>
      </c>
      <c r="CR14" s="46" t="s">
        <v>3936</v>
      </c>
    </row>
    <row r="15" spans="1:99">
      <c r="A15" s="46" t="s">
        <v>3967</v>
      </c>
      <c r="B15" s="46" t="s">
        <v>3968</v>
      </c>
      <c r="C15" s="46">
        <v>46</v>
      </c>
      <c r="D15" s="46" t="s">
        <v>3958</v>
      </c>
      <c r="F15" s="46" t="s">
        <v>3969</v>
      </c>
      <c r="G15" s="46">
        <v>1</v>
      </c>
      <c r="M15" s="46">
        <v>1</v>
      </c>
      <c r="Q15" s="46">
        <v>1</v>
      </c>
      <c r="T15" s="46">
        <v>1</v>
      </c>
      <c r="W15" s="46">
        <v>16</v>
      </c>
      <c r="X15" s="46">
        <v>20</v>
      </c>
      <c r="Y15" s="46">
        <v>21</v>
      </c>
      <c r="Z15" s="46">
        <v>8</v>
      </c>
      <c r="AA15" s="46">
        <v>8</v>
      </c>
      <c r="AB15" s="46">
        <v>7</v>
      </c>
      <c r="AD15" s="46">
        <v>1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  <c r="CR15" s="46" t="s">
        <v>3936</v>
      </c>
    </row>
    <row r="16" spans="1:99">
      <c r="A16" s="46" t="s">
        <v>3970</v>
      </c>
      <c r="B16" s="46" t="s">
        <v>3971</v>
      </c>
      <c r="C16" s="46">
        <v>50</v>
      </c>
      <c r="D16" s="46" t="s">
        <v>3972</v>
      </c>
      <c r="E16" s="46" t="s">
        <v>3973</v>
      </c>
      <c r="F16" s="46" t="s">
        <v>107</v>
      </c>
      <c r="H16" s="46">
        <v>1</v>
      </c>
      <c r="O16" s="46">
        <v>1</v>
      </c>
      <c r="R16" s="46">
        <v>1</v>
      </c>
      <c r="T16" s="46">
        <v>1</v>
      </c>
      <c r="W16" s="46">
        <v>15</v>
      </c>
      <c r="X16" s="46">
        <v>20</v>
      </c>
      <c r="Y16" s="46">
        <v>21</v>
      </c>
      <c r="Z16" s="46">
        <v>7</v>
      </c>
      <c r="AA16" s="46">
        <v>7</v>
      </c>
      <c r="AB16" s="46">
        <v>7</v>
      </c>
      <c r="AE16" s="46">
        <v>1</v>
      </c>
      <c r="AG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R16" s="46" t="s">
        <v>3936</v>
      </c>
    </row>
    <row r="17" spans="1:96">
      <c r="A17" s="46" t="s">
        <v>3974</v>
      </c>
      <c r="B17" s="46" t="s">
        <v>3975</v>
      </c>
      <c r="C17" s="46">
        <v>50</v>
      </c>
      <c r="D17" s="46" t="s">
        <v>3950</v>
      </c>
      <c r="E17" s="46" t="s">
        <v>3976</v>
      </c>
      <c r="F17" s="46" t="s">
        <v>112</v>
      </c>
      <c r="I17" s="46">
        <v>1</v>
      </c>
      <c r="P17" s="46">
        <v>1</v>
      </c>
      <c r="R17" s="46">
        <v>1</v>
      </c>
      <c r="U17" s="46">
        <v>1</v>
      </c>
      <c r="W17" s="46">
        <v>14</v>
      </c>
      <c r="X17" s="46">
        <v>17</v>
      </c>
      <c r="Y17" s="46">
        <v>18</v>
      </c>
      <c r="Z17" s="46">
        <v>4</v>
      </c>
      <c r="AA17" s="46">
        <v>4</v>
      </c>
      <c r="AB17" s="46">
        <v>4</v>
      </c>
      <c r="AC17" s="46">
        <v>1</v>
      </c>
      <c r="AJ17" s="46">
        <v>1</v>
      </c>
      <c r="AL17" s="46">
        <v>1</v>
      </c>
      <c r="AQ17" s="46" t="s">
        <v>736</v>
      </c>
      <c r="AR17" s="134">
        <v>45352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I17" s="46">
        <v>1</v>
      </c>
      <c r="CR17" s="46" t="s">
        <v>3936</v>
      </c>
    </row>
    <row r="18" spans="1:96">
      <c r="A18" s="46" t="s">
        <v>3977</v>
      </c>
      <c r="B18" s="46" t="s">
        <v>3978</v>
      </c>
      <c r="C18" s="46">
        <v>22</v>
      </c>
      <c r="D18" s="46" t="s">
        <v>3979</v>
      </c>
      <c r="E18" s="46" t="s">
        <v>3980</v>
      </c>
      <c r="F18" s="46" t="s">
        <v>107</v>
      </c>
      <c r="I18" s="46">
        <v>1</v>
      </c>
      <c r="O18" s="46">
        <v>1</v>
      </c>
      <c r="Q18" s="46">
        <v>1</v>
      </c>
      <c r="U18" s="46">
        <v>1</v>
      </c>
      <c r="W18" s="46">
        <v>16</v>
      </c>
      <c r="X18" s="46">
        <v>19</v>
      </c>
      <c r="Y18" s="46">
        <v>22</v>
      </c>
      <c r="Z18" s="46">
        <v>1</v>
      </c>
      <c r="AA18" s="46">
        <v>1</v>
      </c>
      <c r="AB18" s="46">
        <v>1</v>
      </c>
      <c r="AC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I18" s="46">
        <v>1</v>
      </c>
      <c r="CR18" s="46" t="s">
        <v>3936</v>
      </c>
    </row>
    <row r="19" spans="1:96">
      <c r="A19" s="46" t="s">
        <v>3981</v>
      </c>
      <c r="B19" s="46" t="s">
        <v>3982</v>
      </c>
      <c r="C19" s="46">
        <v>24</v>
      </c>
      <c r="D19" s="46" t="s">
        <v>3950</v>
      </c>
      <c r="F19" s="46" t="s">
        <v>1045</v>
      </c>
      <c r="G19" s="46">
        <v>1</v>
      </c>
      <c r="M19" s="46">
        <v>1</v>
      </c>
      <c r="Q19" s="46">
        <v>1</v>
      </c>
      <c r="U19" s="46">
        <v>1</v>
      </c>
      <c r="W19" s="46">
        <v>12</v>
      </c>
      <c r="X19" s="46">
        <v>18</v>
      </c>
      <c r="Y19" s="46">
        <v>18</v>
      </c>
      <c r="Z19" s="46">
        <v>3</v>
      </c>
      <c r="AA19" s="46">
        <v>3</v>
      </c>
      <c r="AB19" s="46">
        <v>3</v>
      </c>
      <c r="AD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I19" s="46">
        <v>1</v>
      </c>
      <c r="CR19" s="46" t="s">
        <v>3936</v>
      </c>
    </row>
    <row r="20" spans="1:96">
      <c r="A20" s="46" t="s">
        <v>3983</v>
      </c>
      <c r="B20" s="46" t="s">
        <v>3984</v>
      </c>
      <c r="C20" s="46">
        <v>25</v>
      </c>
      <c r="D20" s="46" t="s">
        <v>3985</v>
      </c>
      <c r="E20" s="46" t="s">
        <v>3986</v>
      </c>
      <c r="F20" s="46" t="s">
        <v>1045</v>
      </c>
      <c r="J20" s="46">
        <v>1</v>
      </c>
      <c r="M20" s="46">
        <v>1</v>
      </c>
      <c r="Q20" s="46">
        <v>1</v>
      </c>
      <c r="T20" s="46">
        <v>1</v>
      </c>
      <c r="W20" s="46">
        <v>15</v>
      </c>
      <c r="X20" s="46">
        <v>17</v>
      </c>
      <c r="Y20" s="46">
        <v>23</v>
      </c>
      <c r="Z20" s="46">
        <v>2</v>
      </c>
      <c r="AA20" s="46">
        <v>2</v>
      </c>
      <c r="AB20" s="46">
        <v>1</v>
      </c>
      <c r="AD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I20" s="46">
        <v>1</v>
      </c>
      <c r="CR20" s="46" t="s">
        <v>3936</v>
      </c>
    </row>
    <row r="21" spans="1:96">
      <c r="A21" s="46" t="s">
        <v>3987</v>
      </c>
      <c r="B21" s="46" t="s">
        <v>3988</v>
      </c>
      <c r="C21" s="46">
        <v>43</v>
      </c>
      <c r="D21" s="46" t="s">
        <v>3966</v>
      </c>
      <c r="E21" s="46" t="s">
        <v>3989</v>
      </c>
      <c r="F21" s="46" t="s">
        <v>112</v>
      </c>
      <c r="G21" s="46">
        <v>1</v>
      </c>
      <c r="M21" s="46">
        <v>1</v>
      </c>
      <c r="Q21" s="46">
        <v>1</v>
      </c>
      <c r="T21" s="46">
        <v>1</v>
      </c>
      <c r="W21" s="46">
        <v>15</v>
      </c>
      <c r="X21" s="46">
        <v>17</v>
      </c>
      <c r="Y21" s="46">
        <v>22</v>
      </c>
      <c r="Z21" s="46">
        <v>5</v>
      </c>
      <c r="AA21" s="46">
        <v>5</v>
      </c>
      <c r="AB21" s="46">
        <v>5</v>
      </c>
      <c r="AD21" s="46">
        <v>1</v>
      </c>
      <c r="AE21" s="46">
        <v>1</v>
      </c>
      <c r="AG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 t="s">
        <v>930</v>
      </c>
      <c r="BW21" s="46">
        <v>1</v>
      </c>
      <c r="BZ21" s="46">
        <v>1</v>
      </c>
      <c r="CI21" s="46">
        <v>1</v>
      </c>
      <c r="CR21" s="46" t="s">
        <v>3307</v>
      </c>
    </row>
    <row r="22" spans="1:96">
      <c r="A22" s="46" t="s">
        <v>3990</v>
      </c>
      <c r="B22" s="46" t="s">
        <v>3991</v>
      </c>
      <c r="C22" s="46">
        <v>27</v>
      </c>
      <c r="D22" s="46" t="s">
        <v>3950</v>
      </c>
      <c r="E22" s="46" t="s">
        <v>3992</v>
      </c>
      <c r="F22" s="46" t="s">
        <v>107</v>
      </c>
      <c r="I22" s="46">
        <v>1</v>
      </c>
      <c r="M22" s="46">
        <v>1</v>
      </c>
      <c r="Q22" s="46">
        <v>1</v>
      </c>
      <c r="U22" s="46">
        <v>1</v>
      </c>
      <c r="W22" s="46">
        <v>16</v>
      </c>
      <c r="X22" s="46">
        <v>21</v>
      </c>
      <c r="Y22" s="46">
        <v>21</v>
      </c>
      <c r="Z22" s="46">
        <v>2</v>
      </c>
      <c r="AA22" s="46">
        <v>2</v>
      </c>
      <c r="AB22" s="46">
        <v>2</v>
      </c>
      <c r="AD22" s="46">
        <v>1</v>
      </c>
      <c r="AG22" s="46">
        <v>1</v>
      </c>
      <c r="AH22" s="46">
        <v>1</v>
      </c>
      <c r="AI22" s="46">
        <v>1</v>
      </c>
      <c r="AM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I22" s="46">
        <v>1</v>
      </c>
      <c r="CR22" s="46" t="s">
        <v>3936</v>
      </c>
    </row>
    <row r="23" spans="1:96">
      <c r="A23" s="46" t="s">
        <v>3993</v>
      </c>
      <c r="B23" s="46" t="s">
        <v>3994</v>
      </c>
      <c r="C23" s="46">
        <v>38</v>
      </c>
      <c r="D23" s="46" t="s">
        <v>3950</v>
      </c>
      <c r="E23" s="46" t="s">
        <v>3995</v>
      </c>
      <c r="F23" s="46" t="s">
        <v>107</v>
      </c>
      <c r="G23" s="46">
        <v>1</v>
      </c>
      <c r="O23" s="46">
        <v>1</v>
      </c>
      <c r="R23" s="46">
        <v>1</v>
      </c>
      <c r="T23" s="46">
        <v>1</v>
      </c>
      <c r="W23" s="46">
        <v>13</v>
      </c>
      <c r="X23" s="46">
        <v>18</v>
      </c>
      <c r="Y23" s="46">
        <v>20</v>
      </c>
      <c r="Z23" s="46">
        <v>2</v>
      </c>
      <c r="AA23" s="46">
        <v>1</v>
      </c>
      <c r="AB23" s="46">
        <v>1</v>
      </c>
      <c r="AD23" s="46">
        <v>1</v>
      </c>
      <c r="AE23" s="46">
        <v>1</v>
      </c>
      <c r="AG23" s="46">
        <v>1</v>
      </c>
      <c r="AH23" s="46">
        <v>1</v>
      </c>
      <c r="AJ23" s="46">
        <v>1</v>
      </c>
      <c r="AL23" s="46">
        <v>1</v>
      </c>
      <c r="AQ23" s="46" t="s">
        <v>736</v>
      </c>
      <c r="AR23" s="50">
        <v>45323</v>
      </c>
      <c r="AT23" s="46">
        <v>1</v>
      </c>
      <c r="AZ23" s="46">
        <v>1</v>
      </c>
      <c r="BA23" s="46">
        <v>1</v>
      </c>
      <c r="BI23" s="46">
        <v>1</v>
      </c>
      <c r="BZ23" s="46">
        <v>1</v>
      </c>
      <c r="CI23" s="46">
        <v>1</v>
      </c>
      <c r="CR23" s="46" t="s">
        <v>3936</v>
      </c>
    </row>
    <row r="24" spans="1:96">
      <c r="A24" s="46" t="s">
        <v>3996</v>
      </c>
      <c r="B24" s="46" t="s">
        <v>3997</v>
      </c>
      <c r="C24" s="46">
        <v>50</v>
      </c>
      <c r="D24" s="46" t="s">
        <v>3950</v>
      </c>
      <c r="F24" s="46" t="s">
        <v>107</v>
      </c>
      <c r="I24" s="46">
        <v>1</v>
      </c>
      <c r="O24" s="46">
        <v>1</v>
      </c>
      <c r="R24" s="46">
        <v>1</v>
      </c>
      <c r="S24" s="46">
        <v>1</v>
      </c>
      <c r="Y24" s="46">
        <v>14</v>
      </c>
      <c r="Z24" s="46">
        <v>8</v>
      </c>
      <c r="AA24" s="46">
        <v>8</v>
      </c>
      <c r="AB24" s="46">
        <v>7</v>
      </c>
      <c r="AD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 t="s">
        <v>3998</v>
      </c>
      <c r="BZ24" s="46">
        <v>1</v>
      </c>
      <c r="CC24" s="46">
        <v>1</v>
      </c>
      <c r="CI24" s="46">
        <v>1</v>
      </c>
      <c r="CR24" s="46" t="s">
        <v>3936</v>
      </c>
    </row>
    <row r="25" spans="1:96">
      <c r="A25" s="46" t="s">
        <v>3999</v>
      </c>
      <c r="B25" s="46" t="s">
        <v>4000</v>
      </c>
      <c r="C25" s="46">
        <v>64</v>
      </c>
      <c r="D25" s="46" t="s">
        <v>3955</v>
      </c>
      <c r="F25" s="46" t="s">
        <v>1045</v>
      </c>
      <c r="J25" s="46">
        <v>1</v>
      </c>
      <c r="M25" s="46">
        <v>1</v>
      </c>
      <c r="Q25" s="46">
        <v>1</v>
      </c>
      <c r="S25" s="46">
        <v>1</v>
      </c>
      <c r="W25" s="46">
        <v>15</v>
      </c>
      <c r="X25" s="46">
        <v>15</v>
      </c>
      <c r="Y25" s="46">
        <v>16</v>
      </c>
      <c r="Z25" s="46">
        <v>12</v>
      </c>
      <c r="AA25" s="46">
        <v>11</v>
      </c>
      <c r="AB25" s="46">
        <v>11</v>
      </c>
      <c r="AD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J25" s="46">
        <v>1</v>
      </c>
      <c r="BW25" s="46">
        <v>1</v>
      </c>
      <c r="BZ25" s="46">
        <v>1</v>
      </c>
      <c r="CC25" s="46">
        <v>1</v>
      </c>
      <c r="CI25" s="46">
        <v>1</v>
      </c>
      <c r="CR25" s="46" t="s">
        <v>3936</v>
      </c>
    </row>
    <row r="26" spans="1:96">
      <c r="A26" s="46" t="s">
        <v>4001</v>
      </c>
      <c r="B26" s="46" t="s">
        <v>4002</v>
      </c>
      <c r="C26" s="46">
        <v>39</v>
      </c>
      <c r="D26" s="46" t="s">
        <v>4003</v>
      </c>
      <c r="E26" s="46" t="s">
        <v>4004</v>
      </c>
      <c r="F26" s="46" t="s">
        <v>107</v>
      </c>
      <c r="G26" s="46">
        <v>1</v>
      </c>
      <c r="O26" s="46">
        <v>1</v>
      </c>
      <c r="T26" s="46">
        <v>1</v>
      </c>
      <c r="W26" s="46">
        <v>13</v>
      </c>
      <c r="X26" s="46">
        <v>14</v>
      </c>
      <c r="Y26" s="46">
        <v>14</v>
      </c>
      <c r="Z26" s="46">
        <v>7</v>
      </c>
      <c r="AA26" s="46">
        <v>7</v>
      </c>
      <c r="AB26" s="46">
        <v>7</v>
      </c>
      <c r="AC26" s="46">
        <v>1</v>
      </c>
      <c r="AL26" s="46">
        <v>1</v>
      </c>
      <c r="AO26" s="46">
        <v>1</v>
      </c>
      <c r="AT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R26" s="46" t="s">
        <v>3936</v>
      </c>
    </row>
    <row r="27" spans="1:96">
      <c r="A27" s="46" t="s">
        <v>4005</v>
      </c>
      <c r="B27" s="46" t="s">
        <v>4006</v>
      </c>
      <c r="C27" s="46">
        <v>25</v>
      </c>
      <c r="D27" s="46" t="s">
        <v>3979</v>
      </c>
      <c r="F27" s="46" t="s">
        <v>112</v>
      </c>
      <c r="H27" s="46">
        <v>1</v>
      </c>
      <c r="M27" s="46">
        <v>1</v>
      </c>
      <c r="T27" s="46">
        <v>1</v>
      </c>
      <c r="W27" s="46">
        <v>15</v>
      </c>
      <c r="X27" s="46">
        <v>15</v>
      </c>
      <c r="Y27" s="46">
        <v>17</v>
      </c>
      <c r="Z27" s="46">
        <v>2</v>
      </c>
      <c r="AA27" s="46">
        <v>2</v>
      </c>
      <c r="AB27" s="46">
        <v>2</v>
      </c>
      <c r="AD27" s="46">
        <v>1</v>
      </c>
      <c r="AH27" s="46">
        <v>1</v>
      </c>
      <c r="AK27" s="46">
        <v>1</v>
      </c>
      <c r="BA27" s="46">
        <v>1</v>
      </c>
      <c r="BI27" s="46">
        <v>1</v>
      </c>
      <c r="CI27" s="46">
        <v>1</v>
      </c>
      <c r="CR27" s="46" t="s">
        <v>3936</v>
      </c>
    </row>
    <row r="28" spans="1:96">
      <c r="A28" s="46" t="s">
        <v>4007</v>
      </c>
      <c r="B28" s="46" t="s">
        <v>4008</v>
      </c>
      <c r="C28" s="46">
        <v>19</v>
      </c>
      <c r="D28" s="46" t="s">
        <v>3938</v>
      </c>
      <c r="E28" s="46" t="s">
        <v>4009</v>
      </c>
      <c r="F28" s="46" t="s">
        <v>112</v>
      </c>
      <c r="J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14</v>
      </c>
      <c r="Z28" s="46">
        <v>1</v>
      </c>
      <c r="AD28" s="46">
        <v>1</v>
      </c>
      <c r="AE28" s="46">
        <v>1</v>
      </c>
      <c r="AG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W28" s="46">
        <v>1</v>
      </c>
      <c r="BZ28" s="46">
        <v>1</v>
      </c>
      <c r="CC28" s="46">
        <v>1</v>
      </c>
      <c r="CI28" s="46">
        <v>1</v>
      </c>
      <c r="CR28" s="46" t="s">
        <v>3936</v>
      </c>
    </row>
    <row r="29" spans="1:96">
      <c r="A29" s="46" t="s">
        <v>4010</v>
      </c>
      <c r="B29" s="46" t="s">
        <v>4011</v>
      </c>
      <c r="C29" s="46">
        <v>28</v>
      </c>
      <c r="D29" s="46" t="s">
        <v>3950</v>
      </c>
      <c r="E29" s="46" t="s">
        <v>4012</v>
      </c>
      <c r="F29" s="46" t="s">
        <v>2523</v>
      </c>
      <c r="H29" s="46">
        <v>1</v>
      </c>
      <c r="M29" s="46">
        <v>1</v>
      </c>
      <c r="Q29" s="46">
        <v>1</v>
      </c>
      <c r="V29" s="46">
        <v>1</v>
      </c>
      <c r="W29" s="46">
        <v>16</v>
      </c>
      <c r="X29" s="46">
        <v>24</v>
      </c>
      <c r="Y29" s="46">
        <v>25</v>
      </c>
      <c r="Z29" s="46">
        <v>2</v>
      </c>
      <c r="AA29" s="46">
        <v>2</v>
      </c>
      <c r="AB29" s="46">
        <v>2</v>
      </c>
      <c r="AD29" s="46">
        <v>1</v>
      </c>
      <c r="AH29" s="46">
        <v>1</v>
      </c>
      <c r="AJ29" s="46">
        <v>1</v>
      </c>
      <c r="AK29" s="46">
        <v>1</v>
      </c>
      <c r="AT29" s="46">
        <v>1</v>
      </c>
      <c r="AV29" s="46">
        <v>1</v>
      </c>
      <c r="BA29" s="46">
        <v>1</v>
      </c>
      <c r="BI29" s="46">
        <v>1</v>
      </c>
      <c r="BZ29" s="46">
        <v>1</v>
      </c>
      <c r="CC29" s="46">
        <v>1</v>
      </c>
      <c r="CI29" s="46">
        <v>1</v>
      </c>
      <c r="CR29" s="46" t="s">
        <v>3936</v>
      </c>
    </row>
    <row r="30" spans="1:96">
      <c r="A30" s="46" t="s">
        <v>4013</v>
      </c>
      <c r="B30" s="46" t="s">
        <v>4014</v>
      </c>
      <c r="C30" s="46">
        <v>28</v>
      </c>
      <c r="D30" s="46" t="s">
        <v>4015</v>
      </c>
      <c r="E30" s="46" t="s">
        <v>4016</v>
      </c>
      <c r="F30" s="46" t="s">
        <v>145</v>
      </c>
      <c r="G30" s="46">
        <v>1</v>
      </c>
      <c r="M30" s="46">
        <v>1</v>
      </c>
      <c r="R30" s="46">
        <v>1</v>
      </c>
      <c r="T30" s="46">
        <v>1</v>
      </c>
      <c r="W30" s="46">
        <v>16</v>
      </c>
      <c r="X30" s="46">
        <v>18</v>
      </c>
      <c r="Y30" s="46">
        <v>22</v>
      </c>
      <c r="Z30" s="46">
        <v>2</v>
      </c>
      <c r="AA30" s="46">
        <v>2</v>
      </c>
      <c r="AB30" s="46">
        <v>2</v>
      </c>
      <c r="AE30" s="46">
        <v>1</v>
      </c>
      <c r="AH30" s="46">
        <v>1</v>
      </c>
      <c r="AJ30" s="46">
        <v>1</v>
      </c>
      <c r="AK30" s="46">
        <v>1</v>
      </c>
      <c r="AT30" s="46">
        <v>1</v>
      </c>
      <c r="AV30" s="46">
        <v>1</v>
      </c>
      <c r="BA30" s="46">
        <v>1</v>
      </c>
      <c r="BI30" s="46">
        <v>1</v>
      </c>
      <c r="BZ30" s="46">
        <v>1</v>
      </c>
      <c r="CC30" s="46">
        <v>1</v>
      </c>
      <c r="CI30" s="46">
        <v>1</v>
      </c>
      <c r="CR30" s="46" t="s">
        <v>3936</v>
      </c>
    </row>
    <row r="31" spans="1:96">
      <c r="A31" s="46" t="s">
        <v>4017</v>
      </c>
      <c r="B31" s="46" t="s">
        <v>4018</v>
      </c>
      <c r="C31" s="46">
        <v>28</v>
      </c>
      <c r="D31" s="46" t="s">
        <v>3938</v>
      </c>
      <c r="E31" s="46" t="s">
        <v>4019</v>
      </c>
      <c r="F31" s="46" t="s">
        <v>972</v>
      </c>
      <c r="I31" s="46">
        <v>1</v>
      </c>
      <c r="O31" s="46">
        <v>1</v>
      </c>
      <c r="Q31" s="46">
        <v>1</v>
      </c>
      <c r="T31" s="46">
        <v>1</v>
      </c>
      <c r="W31" s="46">
        <v>15</v>
      </c>
      <c r="X31" s="46">
        <v>20</v>
      </c>
      <c r="Y31" s="46">
        <v>20</v>
      </c>
      <c r="Z31" s="46">
        <v>2</v>
      </c>
      <c r="AA31" s="46">
        <v>2</v>
      </c>
      <c r="AB31" s="46">
        <v>2</v>
      </c>
      <c r="AC31" s="46">
        <v>1</v>
      </c>
      <c r="AI31" s="46">
        <v>1</v>
      </c>
      <c r="AK31" s="46">
        <v>1</v>
      </c>
      <c r="AT31" s="46">
        <v>1</v>
      </c>
      <c r="AX31" s="46">
        <v>1</v>
      </c>
      <c r="BA31" s="46">
        <v>1</v>
      </c>
      <c r="BI31" s="46">
        <v>1</v>
      </c>
      <c r="BZ31" s="46">
        <v>1</v>
      </c>
      <c r="CC31" s="46">
        <v>1</v>
      </c>
      <c r="CI31" s="46">
        <v>1</v>
      </c>
      <c r="CR31" s="46" t="s">
        <v>3936</v>
      </c>
    </row>
    <row r="32" spans="1:96">
      <c r="A32" s="46" t="s">
        <v>4020</v>
      </c>
      <c r="B32" s="46" t="s">
        <v>4021</v>
      </c>
      <c r="C32" s="46">
        <v>59</v>
      </c>
      <c r="D32" s="46" t="s">
        <v>4022</v>
      </c>
      <c r="F32" s="46" t="s">
        <v>972</v>
      </c>
      <c r="H32" s="46">
        <v>1</v>
      </c>
      <c r="M32" s="46">
        <v>1</v>
      </c>
      <c r="Q32" s="46">
        <v>1</v>
      </c>
      <c r="S32" s="46">
        <v>1</v>
      </c>
      <c r="W32" s="46">
        <v>15</v>
      </c>
      <c r="X32" s="46">
        <v>16</v>
      </c>
      <c r="Y32" s="46">
        <v>16</v>
      </c>
      <c r="Z32" s="46">
        <v>8</v>
      </c>
      <c r="AA32" s="46">
        <v>7</v>
      </c>
      <c r="AB32" s="46">
        <v>7</v>
      </c>
      <c r="AE32" s="46">
        <v>1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J32" s="46">
        <v>1</v>
      </c>
      <c r="BZ32" s="46">
        <v>1</v>
      </c>
      <c r="CC32" s="46">
        <v>1</v>
      </c>
      <c r="CL32" s="46">
        <v>3</v>
      </c>
      <c r="CR32" s="46" t="s">
        <v>3936</v>
      </c>
    </row>
    <row r="33" spans="1:96">
      <c r="A33" s="46" t="s">
        <v>4023</v>
      </c>
      <c r="B33" s="46" t="s">
        <v>4024</v>
      </c>
      <c r="C33" s="46">
        <v>35</v>
      </c>
      <c r="D33" s="46" t="s">
        <v>3966</v>
      </c>
      <c r="E33" s="46" t="s">
        <v>4025</v>
      </c>
      <c r="F33" s="46" t="s">
        <v>112</v>
      </c>
      <c r="J33" s="46">
        <v>1</v>
      </c>
      <c r="M33" s="46">
        <v>1</v>
      </c>
      <c r="Q33" s="46">
        <v>1</v>
      </c>
      <c r="U33" s="46">
        <v>1</v>
      </c>
      <c r="W33" s="46">
        <v>16</v>
      </c>
      <c r="X33" s="46">
        <v>17</v>
      </c>
      <c r="Y33" s="46">
        <v>18</v>
      </c>
      <c r="Z33" s="46">
        <v>6</v>
      </c>
      <c r="AA33" s="46">
        <v>6</v>
      </c>
      <c r="AB33" s="46">
        <v>6</v>
      </c>
      <c r="AE33" s="46">
        <v>1</v>
      </c>
      <c r="AG33" s="46">
        <v>1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B33" s="46">
        <v>1</v>
      </c>
      <c r="BF33" s="46">
        <v>1</v>
      </c>
      <c r="BI33" s="46">
        <v>1</v>
      </c>
      <c r="BZ33" s="46">
        <v>1</v>
      </c>
      <c r="CC33" s="46">
        <v>1</v>
      </c>
      <c r="CI33" s="46">
        <v>1</v>
      </c>
      <c r="CR33" s="46" t="s">
        <v>3936</v>
      </c>
    </row>
    <row r="34" spans="1:96">
      <c r="A34" s="46" t="s">
        <v>4026</v>
      </c>
      <c r="B34" s="46" t="s">
        <v>4027</v>
      </c>
      <c r="C34" s="46">
        <v>44</v>
      </c>
      <c r="D34" s="46" t="s">
        <v>4028</v>
      </c>
      <c r="F34" s="46" t="s">
        <v>112</v>
      </c>
      <c r="I34" s="46">
        <v>1</v>
      </c>
      <c r="M34" s="46">
        <v>1</v>
      </c>
      <c r="T34" s="46">
        <v>1</v>
      </c>
      <c r="W34" s="46">
        <v>14</v>
      </c>
      <c r="X34" s="46">
        <v>16</v>
      </c>
      <c r="Y34" s="46">
        <v>17</v>
      </c>
      <c r="Z34" s="46">
        <v>14</v>
      </c>
      <c r="AB34" s="46">
        <v>11</v>
      </c>
      <c r="AH34" s="46">
        <v>1</v>
      </c>
      <c r="AK34" s="46">
        <v>1</v>
      </c>
      <c r="BB34" s="46">
        <v>1</v>
      </c>
      <c r="BI34" s="46">
        <v>1</v>
      </c>
      <c r="BZ34" s="46">
        <v>1</v>
      </c>
      <c r="CC34" s="46">
        <v>1</v>
      </c>
      <c r="CI34" s="46">
        <v>1</v>
      </c>
      <c r="CR34" s="46" t="s">
        <v>3936</v>
      </c>
    </row>
    <row r="35" spans="1:96">
      <c r="A35" s="46" t="s">
        <v>4029</v>
      </c>
      <c r="B35" s="46" t="s">
        <v>4030</v>
      </c>
      <c r="C35" s="46">
        <v>46</v>
      </c>
      <c r="D35" s="46" t="s">
        <v>3938</v>
      </c>
      <c r="F35" s="46" t="s">
        <v>972</v>
      </c>
      <c r="H35" s="46">
        <v>1</v>
      </c>
      <c r="M35" s="46">
        <v>1</v>
      </c>
      <c r="R35" s="46">
        <v>1</v>
      </c>
      <c r="S35" s="46">
        <v>1</v>
      </c>
      <c r="W35" s="46">
        <v>12</v>
      </c>
      <c r="X35" s="46">
        <v>17</v>
      </c>
      <c r="Y35" s="46">
        <v>20</v>
      </c>
      <c r="Z35" s="46">
        <v>5</v>
      </c>
      <c r="AA35" s="46">
        <v>5</v>
      </c>
      <c r="AB35" s="46">
        <v>5</v>
      </c>
      <c r="AE35" s="46">
        <v>1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W35" s="46">
        <v>1</v>
      </c>
      <c r="BZ35" s="46">
        <v>1</v>
      </c>
      <c r="CC35" s="46">
        <v>1</v>
      </c>
      <c r="CI35" s="46">
        <v>1</v>
      </c>
      <c r="CR35" s="46" t="s">
        <v>3936</v>
      </c>
    </row>
    <row r="36" spans="1:96">
      <c r="A36" s="46" t="s">
        <v>4031</v>
      </c>
      <c r="B36" s="46" t="s">
        <v>4032</v>
      </c>
      <c r="C36" s="46">
        <v>42</v>
      </c>
      <c r="D36" s="46" t="s">
        <v>3950</v>
      </c>
      <c r="E36" s="46" t="s">
        <v>4033</v>
      </c>
      <c r="F36" s="46" t="s">
        <v>3969</v>
      </c>
      <c r="G36" s="46">
        <v>1</v>
      </c>
      <c r="O36" s="46">
        <v>1</v>
      </c>
      <c r="R36" s="46">
        <v>1</v>
      </c>
      <c r="T36" s="46">
        <v>1</v>
      </c>
      <c r="W36" s="46">
        <v>16</v>
      </c>
      <c r="X36" s="46">
        <v>18</v>
      </c>
      <c r="Y36" s="46">
        <v>19</v>
      </c>
      <c r="Z36" s="46">
        <v>4</v>
      </c>
      <c r="AA36" s="46">
        <v>4</v>
      </c>
      <c r="AB36" s="46">
        <v>4</v>
      </c>
      <c r="AG36" s="46">
        <v>1</v>
      </c>
      <c r="AH36" s="46">
        <v>1</v>
      </c>
      <c r="AJ36" s="46">
        <v>1</v>
      </c>
      <c r="AK36" s="46">
        <v>1</v>
      </c>
      <c r="AT36" s="46">
        <v>1</v>
      </c>
      <c r="AX36" s="46">
        <v>1</v>
      </c>
      <c r="BA36" s="46">
        <v>1</v>
      </c>
      <c r="BI36" s="46">
        <v>1</v>
      </c>
      <c r="BZ36" s="46">
        <v>1</v>
      </c>
      <c r="CC36" s="46">
        <v>1</v>
      </c>
      <c r="CI36" s="46">
        <v>1</v>
      </c>
      <c r="CR36" s="46" t="s">
        <v>3936</v>
      </c>
    </row>
    <row r="37" spans="1:96">
      <c r="A37" s="46" t="s">
        <v>4034</v>
      </c>
      <c r="B37" s="46" t="s">
        <v>4035</v>
      </c>
      <c r="C37" s="46">
        <v>19</v>
      </c>
      <c r="D37" s="46" t="s">
        <v>3935</v>
      </c>
      <c r="E37" s="46" t="s">
        <v>4036</v>
      </c>
      <c r="F37" s="46" t="s">
        <v>173</v>
      </c>
      <c r="J37" s="46">
        <v>1</v>
      </c>
      <c r="N37" s="46">
        <v>1</v>
      </c>
      <c r="Q37" s="46">
        <v>1</v>
      </c>
      <c r="U37" s="46">
        <v>1</v>
      </c>
      <c r="W37" s="46">
        <v>15</v>
      </c>
      <c r="X37" s="46">
        <v>16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Z37" s="46">
        <v>1</v>
      </c>
      <c r="CR37" s="46" t="s">
        <v>3936</v>
      </c>
    </row>
    <row r="38" spans="1:96">
      <c r="A38" s="46" t="s">
        <v>4037</v>
      </c>
      <c r="B38" s="46" t="s">
        <v>4038</v>
      </c>
      <c r="C38" s="46">
        <v>38</v>
      </c>
      <c r="D38" s="46" t="s">
        <v>3950</v>
      </c>
      <c r="E38" s="46" t="s">
        <v>4039</v>
      </c>
      <c r="F38" s="46" t="s">
        <v>1045</v>
      </c>
      <c r="G38" s="46">
        <v>1</v>
      </c>
      <c r="M38" s="46">
        <v>1</v>
      </c>
      <c r="R38" s="46">
        <v>1</v>
      </c>
      <c r="S38" s="46">
        <v>1</v>
      </c>
      <c r="W38" s="46">
        <v>16</v>
      </c>
      <c r="X38" s="46">
        <v>17</v>
      </c>
      <c r="Y38" s="46">
        <v>17</v>
      </c>
      <c r="Z38" s="46">
        <v>6</v>
      </c>
      <c r="AA38" s="46">
        <v>6</v>
      </c>
      <c r="AB38" s="46">
        <v>6</v>
      </c>
      <c r="AG38" s="46">
        <v>1</v>
      </c>
      <c r="AH38" s="46">
        <v>1</v>
      </c>
      <c r="AI38" s="46">
        <v>1</v>
      </c>
      <c r="AK38" s="46">
        <v>1</v>
      </c>
      <c r="AT38" s="46">
        <v>1</v>
      </c>
      <c r="AV38" s="46">
        <v>1</v>
      </c>
      <c r="BB38" s="46">
        <v>1</v>
      </c>
      <c r="BF38" s="46">
        <v>1</v>
      </c>
      <c r="BI38" s="46">
        <v>1</v>
      </c>
      <c r="BZ38" s="46">
        <v>1</v>
      </c>
      <c r="CC38" s="46">
        <v>1</v>
      </c>
      <c r="CR38" s="46" t="s">
        <v>3936</v>
      </c>
    </row>
    <row r="39" spans="1:96">
      <c r="A39" s="46" t="s">
        <v>4040</v>
      </c>
      <c r="B39" s="46" t="s">
        <v>4041</v>
      </c>
      <c r="C39" s="46">
        <v>45</v>
      </c>
      <c r="D39" s="46" t="s">
        <v>4042</v>
      </c>
      <c r="E39" s="46" t="s">
        <v>4043</v>
      </c>
      <c r="F39" s="46" t="s">
        <v>145</v>
      </c>
      <c r="G39" s="46">
        <v>1</v>
      </c>
      <c r="M39" s="46">
        <v>1</v>
      </c>
      <c r="R39" s="46">
        <v>1</v>
      </c>
      <c r="T39" s="46">
        <v>1</v>
      </c>
      <c r="W39" s="46">
        <v>14</v>
      </c>
      <c r="X39" s="46">
        <v>18</v>
      </c>
      <c r="Y39" s="46">
        <v>18</v>
      </c>
      <c r="Z39" s="46">
        <v>7</v>
      </c>
      <c r="AA39" s="46">
        <v>7</v>
      </c>
      <c r="AB39" s="46">
        <v>7</v>
      </c>
      <c r="AE39" s="46">
        <v>1</v>
      </c>
      <c r="AH39" s="46">
        <v>1</v>
      </c>
      <c r="AJ39" s="46">
        <v>1</v>
      </c>
      <c r="AK39" s="46">
        <v>1</v>
      </c>
      <c r="AT39" s="46">
        <v>1</v>
      </c>
      <c r="AW39" s="46">
        <v>1</v>
      </c>
      <c r="BB39" s="46">
        <v>1</v>
      </c>
      <c r="BF39" s="46">
        <v>1</v>
      </c>
      <c r="BI39" s="46">
        <v>1</v>
      </c>
      <c r="BZ39" s="46">
        <v>1</v>
      </c>
      <c r="CC39" s="46">
        <v>1</v>
      </c>
      <c r="CI39" s="46">
        <v>1</v>
      </c>
      <c r="CR39" s="46" t="s">
        <v>3936</v>
      </c>
    </row>
    <row r="40" spans="1:96">
      <c r="A40" s="46" t="s">
        <v>4044</v>
      </c>
      <c r="B40" s="46" t="s">
        <v>4045</v>
      </c>
      <c r="C40" s="46">
        <v>48</v>
      </c>
      <c r="D40" s="46" t="s">
        <v>4046</v>
      </c>
      <c r="E40" s="46" t="s">
        <v>4047</v>
      </c>
      <c r="F40" s="46" t="s">
        <v>145</v>
      </c>
      <c r="G40" s="46">
        <v>1</v>
      </c>
      <c r="M40" s="46">
        <v>1</v>
      </c>
      <c r="R40" s="46">
        <v>1</v>
      </c>
      <c r="T40" s="46">
        <v>1</v>
      </c>
      <c r="W40" s="46">
        <v>14</v>
      </c>
      <c r="X40" s="46">
        <v>14</v>
      </c>
      <c r="Y40" s="46">
        <v>14</v>
      </c>
      <c r="Z40" s="46">
        <v>11</v>
      </c>
      <c r="AA40" s="46">
        <v>11</v>
      </c>
      <c r="AB40" s="46">
        <v>11</v>
      </c>
      <c r="AE40" s="46">
        <v>1</v>
      </c>
      <c r="AI40" s="46">
        <v>1</v>
      </c>
      <c r="AK40" s="46">
        <v>1</v>
      </c>
      <c r="AT40" s="46">
        <v>1</v>
      </c>
      <c r="AX40" s="46">
        <v>1</v>
      </c>
      <c r="BA40" s="46">
        <v>1</v>
      </c>
      <c r="BI40" s="46">
        <v>1</v>
      </c>
      <c r="BZ40" s="46">
        <v>1</v>
      </c>
      <c r="CC40" s="46">
        <v>1</v>
      </c>
      <c r="CI40" s="46">
        <v>1</v>
      </c>
      <c r="CR40" s="46" t="s">
        <v>3936</v>
      </c>
    </row>
    <row r="41" spans="1:96">
      <c r="A41" s="46" t="s">
        <v>4048</v>
      </c>
      <c r="B41" s="46" t="s">
        <v>4049</v>
      </c>
      <c r="C41" s="46">
        <v>46</v>
      </c>
      <c r="D41" s="46" t="s">
        <v>3979</v>
      </c>
      <c r="E41" s="46" t="s">
        <v>4050</v>
      </c>
      <c r="F41" s="46" t="s">
        <v>477</v>
      </c>
      <c r="I41" s="46">
        <v>1</v>
      </c>
      <c r="M41" s="46">
        <v>1</v>
      </c>
      <c r="Q41" s="46">
        <v>1</v>
      </c>
      <c r="T41" s="46">
        <v>1</v>
      </c>
      <c r="W41" s="46">
        <v>14</v>
      </c>
      <c r="X41" s="46">
        <v>18</v>
      </c>
      <c r="Y41" s="46">
        <v>20</v>
      </c>
      <c r="Z41" s="46">
        <v>6</v>
      </c>
      <c r="AA41" s="46">
        <v>6</v>
      </c>
      <c r="AB41" s="46">
        <v>6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B41" s="46">
        <v>1</v>
      </c>
      <c r="BF41" s="46">
        <v>1</v>
      </c>
      <c r="BI41" s="46">
        <v>1</v>
      </c>
      <c r="BZ41" s="46">
        <v>1</v>
      </c>
      <c r="CC41" s="46">
        <v>1</v>
      </c>
      <c r="CI41" s="46">
        <v>1</v>
      </c>
      <c r="CR41" s="46" t="s">
        <v>3936</v>
      </c>
    </row>
    <row r="42" spans="1:96">
      <c r="A42" s="46" t="s">
        <v>4051</v>
      </c>
      <c r="B42" s="46" t="s">
        <v>4052</v>
      </c>
      <c r="C42" s="46">
        <v>51</v>
      </c>
      <c r="D42" s="46" t="s">
        <v>4053</v>
      </c>
      <c r="F42" s="46" t="s">
        <v>122</v>
      </c>
      <c r="H42" s="46">
        <v>1</v>
      </c>
      <c r="O42" s="46">
        <v>1</v>
      </c>
      <c r="R42" s="46">
        <v>1</v>
      </c>
      <c r="S42" s="46">
        <v>1</v>
      </c>
      <c r="W42" s="46">
        <v>13</v>
      </c>
      <c r="X42" s="46">
        <v>15</v>
      </c>
      <c r="Y42" s="46">
        <v>17</v>
      </c>
      <c r="Z42" s="46">
        <v>11</v>
      </c>
      <c r="AA42" s="46">
        <v>11</v>
      </c>
      <c r="AB42" s="46">
        <v>11</v>
      </c>
      <c r="AH42" s="46">
        <v>1</v>
      </c>
      <c r="AI42" s="46">
        <v>1</v>
      </c>
      <c r="AM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R42" s="46" t="s">
        <v>3936</v>
      </c>
    </row>
    <row r="43" spans="1:96">
      <c r="A43" s="46" t="s">
        <v>4054</v>
      </c>
      <c r="B43" s="46" t="s">
        <v>4055</v>
      </c>
      <c r="C43" s="46">
        <v>80</v>
      </c>
      <c r="D43" s="46" t="s">
        <v>3950</v>
      </c>
      <c r="F43" s="46" t="s">
        <v>107</v>
      </c>
      <c r="G43" s="46">
        <v>1</v>
      </c>
      <c r="O43" s="46">
        <v>1</v>
      </c>
      <c r="R43" s="46">
        <v>1</v>
      </c>
      <c r="T43" s="46">
        <v>1</v>
      </c>
      <c r="X43" s="46">
        <v>15</v>
      </c>
      <c r="Y43" s="46">
        <v>15</v>
      </c>
      <c r="Z43" s="46">
        <v>4</v>
      </c>
      <c r="AA43" s="46">
        <v>4</v>
      </c>
      <c r="AB43" s="46">
        <v>2</v>
      </c>
      <c r="AH43" s="46">
        <v>1</v>
      </c>
      <c r="AK43" s="46">
        <v>1</v>
      </c>
      <c r="AU43" s="46">
        <v>1</v>
      </c>
      <c r="AW43" s="46">
        <v>1</v>
      </c>
      <c r="BA43" s="46">
        <v>1</v>
      </c>
      <c r="BI43" s="46">
        <v>1</v>
      </c>
      <c r="BZ43" s="46">
        <v>1</v>
      </c>
      <c r="CC43" s="46">
        <v>1</v>
      </c>
      <c r="CI43" s="46">
        <v>1</v>
      </c>
      <c r="CR43" s="46" t="s">
        <v>3936</v>
      </c>
    </row>
    <row r="44" spans="1:96">
      <c r="A44" s="46" t="s">
        <v>4056</v>
      </c>
      <c r="B44" s="46" t="s">
        <v>4057</v>
      </c>
      <c r="C44" s="46">
        <v>46</v>
      </c>
      <c r="D44" s="46" t="s">
        <v>3958</v>
      </c>
      <c r="E44" s="46" t="s">
        <v>4058</v>
      </c>
      <c r="F44" s="46" t="s">
        <v>112</v>
      </c>
      <c r="H44" s="46">
        <v>1</v>
      </c>
      <c r="M44" s="46">
        <v>1</v>
      </c>
      <c r="R44" s="46">
        <v>1</v>
      </c>
      <c r="S44" s="46">
        <v>1</v>
      </c>
      <c r="X44" s="46">
        <v>18</v>
      </c>
      <c r="Z44" s="46">
        <v>11</v>
      </c>
      <c r="AA44" s="46">
        <v>11</v>
      </c>
      <c r="AB44" s="46">
        <v>9</v>
      </c>
      <c r="AG44" s="46">
        <v>1</v>
      </c>
      <c r="AH44" s="46">
        <v>1</v>
      </c>
      <c r="AJ44" s="46">
        <v>1</v>
      </c>
      <c r="AM44" s="46">
        <v>1</v>
      </c>
      <c r="AT44" s="46">
        <v>1</v>
      </c>
      <c r="AW44" s="46">
        <v>1</v>
      </c>
      <c r="BA44" s="46">
        <v>1</v>
      </c>
      <c r="BI44" s="46">
        <v>1</v>
      </c>
      <c r="BZ44" s="46">
        <v>1</v>
      </c>
      <c r="CC44" s="46">
        <v>1</v>
      </c>
      <c r="CI44" s="46">
        <v>1</v>
      </c>
      <c r="CR44" s="46" t="s">
        <v>3936</v>
      </c>
    </row>
    <row r="45" spans="1:96">
      <c r="A45" s="46" t="s">
        <v>4059</v>
      </c>
      <c r="B45" s="46" t="s">
        <v>4060</v>
      </c>
      <c r="C45" s="46">
        <v>36</v>
      </c>
      <c r="D45" s="46" t="s">
        <v>4061</v>
      </c>
      <c r="F45" s="46" t="s">
        <v>972</v>
      </c>
      <c r="H45" s="46">
        <v>1</v>
      </c>
      <c r="M45" s="46">
        <v>1</v>
      </c>
      <c r="Q45" s="46">
        <v>1</v>
      </c>
      <c r="S45" s="46">
        <v>1</v>
      </c>
      <c r="W45" s="46">
        <v>16</v>
      </c>
      <c r="X45" s="46">
        <v>25</v>
      </c>
      <c r="Y45" s="46">
        <v>26</v>
      </c>
      <c r="Z45" s="46">
        <v>4</v>
      </c>
      <c r="AA45" s="46">
        <v>4</v>
      </c>
      <c r="AB45" s="46">
        <v>4</v>
      </c>
      <c r="AE45" s="46">
        <v>1</v>
      </c>
      <c r="AG45" s="46">
        <v>1</v>
      </c>
      <c r="AH45" s="46">
        <v>1</v>
      </c>
      <c r="AJ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Z45" s="46">
        <v>1</v>
      </c>
      <c r="CC45" s="46">
        <v>1</v>
      </c>
      <c r="CI45" s="46">
        <v>1</v>
      </c>
      <c r="CR45" s="46" t="s">
        <v>3936</v>
      </c>
    </row>
    <row r="46" spans="1:96">
      <c r="A46" s="46" t="s">
        <v>4062</v>
      </c>
      <c r="B46" s="46" t="s">
        <v>4063</v>
      </c>
      <c r="C46" s="46">
        <v>38</v>
      </c>
      <c r="D46" s="46" t="s">
        <v>3950</v>
      </c>
      <c r="E46" s="46" t="s">
        <v>4064</v>
      </c>
      <c r="F46" s="46" t="s">
        <v>122</v>
      </c>
      <c r="I46" s="46">
        <v>1</v>
      </c>
      <c r="M46" s="46">
        <v>1</v>
      </c>
      <c r="R46" s="46">
        <v>1</v>
      </c>
      <c r="S46" s="46">
        <v>1</v>
      </c>
      <c r="W46" s="46">
        <v>13</v>
      </c>
      <c r="X46" s="46">
        <v>13</v>
      </c>
      <c r="Y46" s="46">
        <v>14</v>
      </c>
      <c r="Z46" s="46">
        <v>7</v>
      </c>
      <c r="AA46" s="46">
        <v>7</v>
      </c>
      <c r="AB46" s="46">
        <v>6</v>
      </c>
      <c r="AE46" s="46">
        <v>1</v>
      </c>
      <c r="AG46" s="46">
        <v>1</v>
      </c>
      <c r="AH46" s="46">
        <v>1</v>
      </c>
      <c r="AI46" s="46">
        <v>1</v>
      </c>
      <c r="AK46" s="46">
        <v>1</v>
      </c>
      <c r="AT46" s="46">
        <v>1</v>
      </c>
      <c r="AX46" s="46">
        <v>1</v>
      </c>
      <c r="BA46" s="46">
        <v>1</v>
      </c>
      <c r="BI46" s="46">
        <v>1</v>
      </c>
      <c r="BZ46" s="46">
        <v>1</v>
      </c>
      <c r="CC46" s="46">
        <v>1</v>
      </c>
      <c r="CI46" s="46">
        <v>1</v>
      </c>
      <c r="CR46" s="46" t="s">
        <v>3936</v>
      </c>
    </row>
    <row r="47" spans="1:96">
      <c r="A47" s="46" t="s">
        <v>4065</v>
      </c>
      <c r="B47" s="46" t="s">
        <v>4066</v>
      </c>
      <c r="C47" s="46">
        <v>37</v>
      </c>
      <c r="D47" s="46" t="s">
        <v>3985</v>
      </c>
      <c r="E47" s="46" t="s">
        <v>4067</v>
      </c>
      <c r="F47" s="46" t="s">
        <v>1125</v>
      </c>
      <c r="H47" s="46">
        <v>1</v>
      </c>
      <c r="M47" s="46">
        <v>1</v>
      </c>
      <c r="Q47" s="46">
        <v>1</v>
      </c>
      <c r="T47" s="46">
        <v>1</v>
      </c>
      <c r="W47" s="46">
        <v>16</v>
      </c>
      <c r="X47" s="46">
        <v>16</v>
      </c>
      <c r="Y47" s="46">
        <v>16</v>
      </c>
      <c r="Z47" s="46">
        <v>6</v>
      </c>
      <c r="AA47" s="46">
        <v>6</v>
      </c>
      <c r="AB47" s="46">
        <v>6</v>
      </c>
      <c r="AE47" s="46">
        <v>1</v>
      </c>
      <c r="AG47" s="46">
        <v>1</v>
      </c>
      <c r="AH47" s="46">
        <v>1</v>
      </c>
      <c r="AJ47" s="46">
        <v>1</v>
      </c>
      <c r="AK47" s="46">
        <v>1</v>
      </c>
      <c r="AT47" s="46">
        <v>1</v>
      </c>
      <c r="AX47" s="46">
        <v>1</v>
      </c>
      <c r="BI47" s="46">
        <v>1</v>
      </c>
      <c r="CI47" s="46">
        <v>1</v>
      </c>
      <c r="CR47" s="46" t="s">
        <v>3936</v>
      </c>
    </row>
    <row r="48" spans="1:96">
      <c r="A48" s="46" t="s">
        <v>4068</v>
      </c>
      <c r="B48" s="46" t="s">
        <v>4069</v>
      </c>
      <c r="C48" s="46">
        <v>54</v>
      </c>
      <c r="D48" s="46" t="s">
        <v>3938</v>
      </c>
      <c r="E48" s="46" t="s">
        <v>4070</v>
      </c>
      <c r="F48" s="46" t="s">
        <v>145</v>
      </c>
      <c r="J48" s="46">
        <v>1</v>
      </c>
      <c r="O48" s="46">
        <v>1</v>
      </c>
      <c r="Q48" s="46">
        <v>1</v>
      </c>
      <c r="S48" s="46">
        <v>1</v>
      </c>
      <c r="W48" s="46">
        <v>17</v>
      </c>
      <c r="X48" s="46">
        <v>16</v>
      </c>
      <c r="Y48" s="46">
        <v>19</v>
      </c>
      <c r="Z48" s="46">
        <v>10</v>
      </c>
      <c r="AA48" s="46">
        <v>10</v>
      </c>
      <c r="AB48" s="46">
        <v>7</v>
      </c>
      <c r="AG48" s="46">
        <v>1</v>
      </c>
      <c r="AH48" s="46">
        <v>1</v>
      </c>
      <c r="AI48" s="46">
        <v>1</v>
      </c>
      <c r="AK48" s="46">
        <v>1</v>
      </c>
      <c r="AT48" s="46">
        <v>1</v>
      </c>
      <c r="AX48" s="46">
        <v>1</v>
      </c>
      <c r="BA48" s="46">
        <v>1</v>
      </c>
      <c r="BJ48" s="46">
        <v>1</v>
      </c>
      <c r="BZ48" s="46">
        <v>1</v>
      </c>
      <c r="CC48" s="46">
        <v>1</v>
      </c>
      <c r="CR48" s="46" t="s">
        <v>3936</v>
      </c>
    </row>
    <row r="49" spans="1:96">
      <c r="A49" s="46" t="s">
        <v>4071</v>
      </c>
      <c r="B49" s="46" t="s">
        <v>4072</v>
      </c>
      <c r="C49" s="46">
        <v>18</v>
      </c>
      <c r="D49" s="46" t="s">
        <v>3966</v>
      </c>
      <c r="E49" s="46" t="s">
        <v>4073</v>
      </c>
      <c r="F49" s="46" t="s">
        <v>1045</v>
      </c>
      <c r="J49" s="46">
        <v>1</v>
      </c>
      <c r="M49" s="46">
        <v>1</v>
      </c>
      <c r="Q49" s="46">
        <v>1</v>
      </c>
      <c r="T49" s="46">
        <v>1</v>
      </c>
      <c r="W49" s="46">
        <v>14</v>
      </c>
      <c r="X49" s="46">
        <v>15</v>
      </c>
      <c r="Y49" s="46">
        <v>16</v>
      </c>
      <c r="Z49" s="46">
        <v>1</v>
      </c>
      <c r="AA49" s="46">
        <v>1</v>
      </c>
      <c r="AB49" s="46">
        <v>1</v>
      </c>
      <c r="AC49" s="46">
        <v>1</v>
      </c>
      <c r="AJ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Z49" s="46">
        <v>1</v>
      </c>
      <c r="CC49" s="46">
        <v>1</v>
      </c>
      <c r="CI49" s="46">
        <v>1</v>
      </c>
      <c r="CR49" s="46" t="s">
        <v>3936</v>
      </c>
    </row>
    <row r="50" spans="1:96">
      <c r="A50" s="46" t="s">
        <v>4074</v>
      </c>
      <c r="B50" s="46" t="s">
        <v>4075</v>
      </c>
      <c r="C50" s="46">
        <v>70</v>
      </c>
      <c r="D50" s="46" t="s">
        <v>3950</v>
      </c>
      <c r="E50" s="46" t="s">
        <v>4076</v>
      </c>
      <c r="F50" s="46" t="s">
        <v>112</v>
      </c>
      <c r="I50" s="46">
        <v>1</v>
      </c>
      <c r="P50" s="46">
        <v>1</v>
      </c>
      <c r="R50" s="46">
        <v>1</v>
      </c>
      <c r="T50" s="46">
        <v>1</v>
      </c>
      <c r="W50" s="46">
        <v>17</v>
      </c>
      <c r="Y50" s="46">
        <v>19</v>
      </c>
      <c r="Z50" s="46">
        <v>12</v>
      </c>
      <c r="AA50" s="46">
        <v>11</v>
      </c>
      <c r="AB50" s="46">
        <v>11</v>
      </c>
      <c r="AC50" s="46">
        <v>1</v>
      </c>
      <c r="AJ50" s="46">
        <v>1</v>
      </c>
      <c r="AK50" s="46">
        <v>1</v>
      </c>
      <c r="AT50" s="46">
        <v>1</v>
      </c>
      <c r="AX50" s="46">
        <v>1</v>
      </c>
      <c r="BA50" s="46">
        <v>1</v>
      </c>
      <c r="BJ50" s="46">
        <v>1</v>
      </c>
      <c r="BZ50" s="46">
        <v>1</v>
      </c>
      <c r="CC50" s="46">
        <v>1</v>
      </c>
      <c r="CI50" s="46">
        <v>1</v>
      </c>
      <c r="CR50" s="46" t="s">
        <v>3936</v>
      </c>
    </row>
    <row r="51" spans="1:96">
      <c r="A51" s="46" t="s">
        <v>4077</v>
      </c>
      <c r="B51" s="46" t="s">
        <v>4078</v>
      </c>
      <c r="C51" s="46">
        <v>48</v>
      </c>
      <c r="D51" s="46" t="s">
        <v>3938</v>
      </c>
      <c r="E51" s="46" t="s">
        <v>4079</v>
      </c>
      <c r="F51" s="46" t="s">
        <v>145</v>
      </c>
      <c r="G51" s="46">
        <v>1</v>
      </c>
      <c r="M51" s="46">
        <v>1</v>
      </c>
      <c r="R51" s="46">
        <v>1</v>
      </c>
      <c r="T51" s="46">
        <v>1</v>
      </c>
      <c r="W51" s="46">
        <v>15</v>
      </c>
      <c r="X51" s="46">
        <v>18</v>
      </c>
      <c r="Y51" s="46">
        <v>19</v>
      </c>
      <c r="Z51" s="46">
        <v>7</v>
      </c>
      <c r="AA51" s="46">
        <v>7</v>
      </c>
      <c r="AB51" s="46">
        <v>6</v>
      </c>
      <c r="AE51" s="46">
        <v>1</v>
      </c>
      <c r="AG51" s="46">
        <v>1</v>
      </c>
      <c r="AH51" s="46">
        <v>1</v>
      </c>
      <c r="AI51" s="46">
        <v>1</v>
      </c>
      <c r="AK51" s="46">
        <v>1</v>
      </c>
      <c r="AT51" s="46">
        <v>1</v>
      </c>
      <c r="AW51" s="46">
        <v>1</v>
      </c>
      <c r="BA51" s="46">
        <v>1</v>
      </c>
      <c r="BJ51" s="46">
        <v>1</v>
      </c>
      <c r="BZ51" s="46">
        <v>1</v>
      </c>
      <c r="CC51" s="46">
        <v>1</v>
      </c>
      <c r="CR51" s="46" t="s">
        <v>3936</v>
      </c>
    </row>
    <row r="52" spans="1:96">
      <c r="A52" s="46" t="s">
        <v>4080</v>
      </c>
      <c r="B52" s="46" t="s">
        <v>4081</v>
      </c>
      <c r="C52" s="46">
        <v>38</v>
      </c>
      <c r="D52" s="46" t="s">
        <v>3950</v>
      </c>
      <c r="F52" s="46" t="s">
        <v>4082</v>
      </c>
      <c r="J52" s="46">
        <v>1</v>
      </c>
      <c r="O52" s="46">
        <v>1</v>
      </c>
      <c r="R52" s="46">
        <v>1</v>
      </c>
      <c r="T52" s="46">
        <v>1</v>
      </c>
      <c r="X52" s="46">
        <v>15</v>
      </c>
      <c r="Y52" s="46">
        <v>15</v>
      </c>
      <c r="Z52" s="46">
        <v>6</v>
      </c>
      <c r="AA52" s="46">
        <v>6</v>
      </c>
      <c r="AB52" s="46">
        <v>6</v>
      </c>
      <c r="AE52" s="46">
        <v>1</v>
      </c>
      <c r="AG52" s="46">
        <v>1</v>
      </c>
      <c r="AH52" s="46">
        <v>1</v>
      </c>
      <c r="AJ52" s="46">
        <v>1</v>
      </c>
      <c r="AK52" s="46">
        <v>1</v>
      </c>
      <c r="AT52" s="46">
        <v>1</v>
      </c>
      <c r="AY52" s="46">
        <v>1</v>
      </c>
      <c r="BA52" s="46">
        <v>1</v>
      </c>
      <c r="BI52" s="46">
        <v>1</v>
      </c>
      <c r="BZ52" s="46">
        <v>1</v>
      </c>
      <c r="CC52" s="46">
        <v>1</v>
      </c>
      <c r="CI52" s="46">
        <v>1</v>
      </c>
      <c r="CR52" s="46" t="s">
        <v>3936</v>
      </c>
    </row>
    <row r="53" spans="1:96">
      <c r="A53" s="46" t="s">
        <v>4083</v>
      </c>
      <c r="B53" s="46" t="s">
        <v>4084</v>
      </c>
      <c r="C53" s="46">
        <v>71</v>
      </c>
      <c r="D53" s="46" t="s">
        <v>3958</v>
      </c>
      <c r="F53" s="46" t="s">
        <v>145</v>
      </c>
      <c r="J53" s="46">
        <v>1</v>
      </c>
      <c r="P53" s="46">
        <v>1</v>
      </c>
      <c r="Q53" s="46">
        <v>1</v>
      </c>
      <c r="S53" s="46">
        <v>1</v>
      </c>
      <c r="W53" s="46">
        <v>18</v>
      </c>
      <c r="X53" s="46">
        <v>20</v>
      </c>
      <c r="Y53" s="46">
        <v>23</v>
      </c>
      <c r="Z53" s="46">
        <v>8</v>
      </c>
      <c r="AA53" s="46">
        <v>8</v>
      </c>
      <c r="AB53" s="46">
        <v>7</v>
      </c>
      <c r="AH53" s="46">
        <v>1</v>
      </c>
      <c r="AI53" s="46">
        <v>1</v>
      </c>
      <c r="AK53" s="46">
        <v>1</v>
      </c>
      <c r="AT53" s="46">
        <v>1</v>
      </c>
      <c r="AW53" s="46">
        <v>1</v>
      </c>
      <c r="BA53" s="46">
        <v>1</v>
      </c>
      <c r="BJ53" s="46">
        <v>1</v>
      </c>
      <c r="BW53" s="46">
        <v>1</v>
      </c>
      <c r="BZ53" s="46">
        <v>1</v>
      </c>
      <c r="CC53" s="46">
        <v>1</v>
      </c>
      <c r="CI53" s="46">
        <v>1</v>
      </c>
      <c r="CR53" s="46" t="s">
        <v>3936</v>
      </c>
    </row>
    <row r="54" spans="1:96">
      <c r="A54" s="46" t="s">
        <v>4085</v>
      </c>
      <c r="B54" s="46" t="s">
        <v>4086</v>
      </c>
      <c r="C54" s="46">
        <v>38</v>
      </c>
      <c r="D54" s="46" t="s">
        <v>3966</v>
      </c>
      <c r="F54" s="46" t="s">
        <v>1045</v>
      </c>
      <c r="J54" s="46">
        <v>1</v>
      </c>
      <c r="M54" s="46">
        <v>1</v>
      </c>
      <c r="Q54" s="46">
        <v>1</v>
      </c>
      <c r="S54" s="46">
        <v>1</v>
      </c>
      <c r="W54" s="46">
        <v>15</v>
      </c>
      <c r="X54" s="46">
        <v>17</v>
      </c>
      <c r="Y54" s="46">
        <v>17</v>
      </c>
      <c r="Z54" s="46">
        <v>8</v>
      </c>
      <c r="AA54" s="46">
        <v>8</v>
      </c>
      <c r="AB54" s="46">
        <v>6</v>
      </c>
      <c r="AH54" s="46">
        <v>1</v>
      </c>
      <c r="AJ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Z54" s="46">
        <v>1</v>
      </c>
      <c r="CC54" s="46">
        <v>1</v>
      </c>
      <c r="CI54" s="46">
        <v>1</v>
      </c>
      <c r="CR54" s="46" t="s">
        <v>3936</v>
      </c>
    </row>
  </sheetData>
  <autoFilter ref="A3:CU54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"/>
  <sheetViews>
    <sheetView workbookViewId="0"/>
  </sheetViews>
  <sheetFormatPr defaultColWidth="14.42578125" defaultRowHeight="15" customHeight="1"/>
  <sheetData>
    <row r="1" spans="1:31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62" t="s">
        <v>356</v>
      </c>
    </row>
    <row r="2" spans="1:31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</row>
    <row r="3" spans="1:31">
      <c r="A3" s="68" t="s">
        <v>4087</v>
      </c>
      <c r="B3" s="69">
        <v>4</v>
      </c>
      <c r="C3" s="69">
        <v>0</v>
      </c>
      <c r="D3" s="69">
        <v>0</v>
      </c>
      <c r="E3" s="69">
        <f t="shared" ref="E3:E8" si="0">SUM(B3:D3)</f>
        <v>4</v>
      </c>
      <c r="F3" s="70">
        <v>0</v>
      </c>
      <c r="G3" s="70">
        <v>3</v>
      </c>
      <c r="H3" s="70">
        <v>1</v>
      </c>
      <c r="I3" s="70">
        <v>0</v>
      </c>
      <c r="J3" s="71">
        <f t="shared" ref="J3:J9" si="1">SUM(F3:I3)</f>
        <v>4</v>
      </c>
      <c r="K3" s="70">
        <v>0</v>
      </c>
      <c r="L3" s="70">
        <v>0</v>
      </c>
      <c r="M3" s="70">
        <v>0</v>
      </c>
      <c r="N3" s="70">
        <v>1</v>
      </c>
      <c r="O3" s="71">
        <f t="shared" ref="O3:O9" si="2">SUM(K3:N3)</f>
        <v>1</v>
      </c>
      <c r="P3" s="70">
        <v>0</v>
      </c>
      <c r="Q3" s="70">
        <v>0</v>
      </c>
      <c r="R3" s="70">
        <v>1</v>
      </c>
      <c r="S3" s="71">
        <f t="shared" ref="S3:S8" si="3">SUM(P3:R3)</f>
        <v>1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/>
      <c r="Z3" s="73">
        <v>3</v>
      </c>
      <c r="AA3" s="73">
        <v>0</v>
      </c>
      <c r="AB3" s="73">
        <v>0</v>
      </c>
      <c r="AC3" s="73">
        <v>1</v>
      </c>
      <c r="AD3" s="170">
        <f t="shared" ref="AD3:AD8" si="4">SUM(Z3:AC3)</f>
        <v>4</v>
      </c>
      <c r="AE3" s="73">
        <v>0</v>
      </c>
    </row>
    <row r="4" spans="1:31">
      <c r="A4" s="74" t="s">
        <v>4088</v>
      </c>
      <c r="B4" s="69">
        <v>11</v>
      </c>
      <c r="C4" s="69">
        <v>0</v>
      </c>
      <c r="D4" s="69">
        <v>3</v>
      </c>
      <c r="E4" s="69">
        <f t="shared" si="0"/>
        <v>14</v>
      </c>
      <c r="F4" s="70">
        <v>1</v>
      </c>
      <c r="G4" s="70">
        <v>10</v>
      </c>
      <c r="H4" s="70">
        <v>0</v>
      </c>
      <c r="I4" s="70">
        <v>0</v>
      </c>
      <c r="J4" s="71">
        <f t="shared" si="1"/>
        <v>11</v>
      </c>
      <c r="K4" s="70">
        <v>1</v>
      </c>
      <c r="L4" s="70">
        <v>0</v>
      </c>
      <c r="M4" s="70">
        <v>0</v>
      </c>
      <c r="N4" s="70">
        <v>2</v>
      </c>
      <c r="O4" s="71">
        <f t="shared" si="2"/>
        <v>3</v>
      </c>
      <c r="P4" s="70">
        <v>1</v>
      </c>
      <c r="Q4" s="70">
        <v>0</v>
      </c>
      <c r="R4" s="70">
        <v>5</v>
      </c>
      <c r="S4" s="71">
        <f t="shared" si="3"/>
        <v>6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/>
      <c r="Z4" s="73">
        <v>13</v>
      </c>
      <c r="AA4" s="73">
        <v>0</v>
      </c>
      <c r="AB4" s="73">
        <v>0</v>
      </c>
      <c r="AC4" s="73">
        <v>1</v>
      </c>
      <c r="AD4" s="170">
        <f t="shared" si="4"/>
        <v>14</v>
      </c>
      <c r="AE4" s="73">
        <v>0</v>
      </c>
    </row>
    <row r="5" spans="1:31">
      <c r="A5" s="77" t="s">
        <v>553</v>
      </c>
      <c r="B5" s="69">
        <v>8</v>
      </c>
      <c r="C5" s="69">
        <v>3</v>
      </c>
      <c r="D5" s="69">
        <v>1</v>
      </c>
      <c r="E5" s="69">
        <f t="shared" si="0"/>
        <v>12</v>
      </c>
      <c r="F5" s="70">
        <v>0</v>
      </c>
      <c r="G5" s="70">
        <v>11</v>
      </c>
      <c r="H5" s="70">
        <v>0</v>
      </c>
      <c r="I5" s="70">
        <v>0</v>
      </c>
      <c r="J5" s="71">
        <f t="shared" si="1"/>
        <v>11</v>
      </c>
      <c r="K5" s="70">
        <v>0</v>
      </c>
      <c r="L5" s="70">
        <v>0</v>
      </c>
      <c r="M5" s="70">
        <v>0</v>
      </c>
      <c r="N5" s="70">
        <v>1</v>
      </c>
      <c r="O5" s="71">
        <f t="shared" si="2"/>
        <v>1</v>
      </c>
      <c r="P5" s="70">
        <v>0</v>
      </c>
      <c r="Q5" s="70">
        <v>0</v>
      </c>
      <c r="R5" s="70">
        <v>0</v>
      </c>
      <c r="S5" s="71">
        <f t="shared" si="3"/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/>
      <c r="Z5" s="73">
        <v>11</v>
      </c>
      <c r="AA5" s="73">
        <v>0</v>
      </c>
      <c r="AB5" s="73">
        <v>0</v>
      </c>
      <c r="AC5" s="73">
        <v>1</v>
      </c>
      <c r="AD5" s="170">
        <f t="shared" si="4"/>
        <v>12</v>
      </c>
      <c r="AE5" s="73">
        <v>0</v>
      </c>
    </row>
    <row r="6" spans="1:31">
      <c r="A6" s="77" t="s">
        <v>775</v>
      </c>
      <c r="B6" s="69">
        <v>12</v>
      </c>
      <c r="C6" s="69">
        <v>1</v>
      </c>
      <c r="D6" s="69">
        <v>1</v>
      </c>
      <c r="E6" s="69">
        <f t="shared" si="0"/>
        <v>14</v>
      </c>
      <c r="F6" s="70">
        <v>1</v>
      </c>
      <c r="G6" s="70">
        <v>10</v>
      </c>
      <c r="H6" s="70">
        <v>0</v>
      </c>
      <c r="I6" s="70">
        <v>0</v>
      </c>
      <c r="J6" s="71">
        <f t="shared" si="1"/>
        <v>11</v>
      </c>
      <c r="K6" s="70">
        <v>1</v>
      </c>
      <c r="L6" s="70">
        <v>0</v>
      </c>
      <c r="M6" s="70">
        <v>0</v>
      </c>
      <c r="N6" s="70">
        <v>2</v>
      </c>
      <c r="O6" s="71">
        <f t="shared" si="2"/>
        <v>3</v>
      </c>
      <c r="P6" s="70">
        <v>1</v>
      </c>
      <c r="Q6" s="70">
        <v>0</v>
      </c>
      <c r="R6" s="70">
        <v>3</v>
      </c>
      <c r="S6" s="71">
        <f t="shared" si="3"/>
        <v>4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/>
      <c r="Z6" s="73">
        <v>12</v>
      </c>
      <c r="AA6" s="73">
        <v>0</v>
      </c>
      <c r="AB6" s="73">
        <v>0</v>
      </c>
      <c r="AC6" s="73">
        <v>2</v>
      </c>
      <c r="AD6" s="170">
        <f t="shared" si="4"/>
        <v>14</v>
      </c>
      <c r="AE6" s="73">
        <v>0</v>
      </c>
    </row>
    <row r="7" spans="1:31">
      <c r="A7" s="77" t="s">
        <v>1272</v>
      </c>
      <c r="B7" s="69">
        <v>2</v>
      </c>
      <c r="C7" s="69">
        <v>0</v>
      </c>
      <c r="D7" s="69">
        <v>1</v>
      </c>
      <c r="E7" s="69">
        <f t="shared" si="0"/>
        <v>3</v>
      </c>
      <c r="F7" s="70">
        <v>0</v>
      </c>
      <c r="G7" s="70">
        <v>1</v>
      </c>
      <c r="H7" s="70">
        <v>0</v>
      </c>
      <c r="I7" s="70">
        <v>0</v>
      </c>
      <c r="J7" s="71">
        <f t="shared" si="1"/>
        <v>1</v>
      </c>
      <c r="K7" s="70">
        <v>2</v>
      </c>
      <c r="L7" s="70">
        <v>0</v>
      </c>
      <c r="M7" s="70">
        <v>0</v>
      </c>
      <c r="N7" s="70">
        <v>0</v>
      </c>
      <c r="O7" s="71">
        <f t="shared" si="2"/>
        <v>2</v>
      </c>
      <c r="P7" s="70">
        <v>0</v>
      </c>
      <c r="Q7" s="70">
        <v>0</v>
      </c>
      <c r="R7" s="70">
        <v>0</v>
      </c>
      <c r="S7" s="71">
        <f t="shared" si="3"/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/>
      <c r="Z7" s="73">
        <v>0</v>
      </c>
      <c r="AA7" s="73">
        <v>0</v>
      </c>
      <c r="AB7" s="73">
        <v>0</v>
      </c>
      <c r="AC7" s="73">
        <v>3</v>
      </c>
      <c r="AD7" s="170">
        <f t="shared" si="4"/>
        <v>3</v>
      </c>
      <c r="AE7" s="73">
        <v>0</v>
      </c>
    </row>
    <row r="8" spans="1:31">
      <c r="A8" s="78" t="s">
        <v>1825</v>
      </c>
      <c r="B8" s="79">
        <v>4</v>
      </c>
      <c r="C8" s="79">
        <v>0</v>
      </c>
      <c r="D8" s="79">
        <v>0</v>
      </c>
      <c r="E8" s="69">
        <f t="shared" si="0"/>
        <v>4</v>
      </c>
      <c r="F8" s="80">
        <v>0</v>
      </c>
      <c r="G8" s="80">
        <v>1</v>
      </c>
      <c r="H8" s="80">
        <v>0</v>
      </c>
      <c r="I8" s="80">
        <v>0</v>
      </c>
      <c r="J8" s="71">
        <f t="shared" si="1"/>
        <v>1</v>
      </c>
      <c r="K8" s="80">
        <v>3</v>
      </c>
      <c r="L8" s="80">
        <v>0</v>
      </c>
      <c r="M8" s="80">
        <v>0</v>
      </c>
      <c r="N8" s="80">
        <v>0</v>
      </c>
      <c r="O8" s="71">
        <f t="shared" si="2"/>
        <v>3</v>
      </c>
      <c r="P8" s="80">
        <v>0</v>
      </c>
      <c r="Q8" s="80">
        <v>0</v>
      </c>
      <c r="R8" s="80">
        <v>2</v>
      </c>
      <c r="S8" s="71">
        <f t="shared" si="3"/>
        <v>2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/>
      <c r="Z8" s="82">
        <v>4</v>
      </c>
      <c r="AA8" s="82">
        <v>0</v>
      </c>
      <c r="AB8" s="82">
        <v>0</v>
      </c>
      <c r="AC8" s="82">
        <v>0</v>
      </c>
      <c r="AD8" s="170">
        <f t="shared" si="4"/>
        <v>4</v>
      </c>
      <c r="AE8" s="82">
        <v>0</v>
      </c>
    </row>
    <row r="9" spans="1:31">
      <c r="A9" s="69" t="s">
        <v>376</v>
      </c>
      <c r="B9" s="69">
        <f t="shared" ref="B9:I9" si="5">SUM(B3:B8)</f>
        <v>41</v>
      </c>
      <c r="C9" s="69">
        <f t="shared" si="5"/>
        <v>4</v>
      </c>
      <c r="D9" s="69">
        <f t="shared" si="5"/>
        <v>6</v>
      </c>
      <c r="E9" s="69">
        <f t="shared" si="5"/>
        <v>51</v>
      </c>
      <c r="F9" s="69">
        <f t="shared" si="5"/>
        <v>2</v>
      </c>
      <c r="G9" s="69">
        <f t="shared" si="5"/>
        <v>36</v>
      </c>
      <c r="H9" s="69">
        <f t="shared" si="5"/>
        <v>1</v>
      </c>
      <c r="I9" s="69">
        <f t="shared" si="5"/>
        <v>0</v>
      </c>
      <c r="J9" s="71">
        <f t="shared" si="1"/>
        <v>39</v>
      </c>
      <c r="K9" s="114">
        <f>SUM(K3:K8)</f>
        <v>7</v>
      </c>
      <c r="L9" s="114">
        <f>SUM(L3:L8)</f>
        <v>0</v>
      </c>
      <c r="M9" s="114">
        <f>SUM(M3:M8)</f>
        <v>0</v>
      </c>
      <c r="N9" s="114">
        <f>SUM(N3:N8)</f>
        <v>6</v>
      </c>
      <c r="O9" s="71">
        <f t="shared" si="2"/>
        <v>13</v>
      </c>
      <c r="P9" s="114">
        <f t="shared" ref="P9:AE9" si="6">SUM(P3:P8)</f>
        <v>2</v>
      </c>
      <c r="Q9" s="114">
        <f t="shared" si="6"/>
        <v>0</v>
      </c>
      <c r="R9" s="114">
        <f t="shared" si="6"/>
        <v>11</v>
      </c>
      <c r="S9" s="71">
        <f t="shared" si="6"/>
        <v>13</v>
      </c>
      <c r="T9" s="114">
        <f t="shared" si="6"/>
        <v>0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73">
        <f t="shared" si="6"/>
        <v>43</v>
      </c>
      <c r="AA9" s="73">
        <f t="shared" si="6"/>
        <v>0</v>
      </c>
      <c r="AB9" s="73">
        <f t="shared" si="6"/>
        <v>0</v>
      </c>
      <c r="AC9" s="73">
        <f t="shared" si="6"/>
        <v>8</v>
      </c>
      <c r="AD9" s="73">
        <f t="shared" si="6"/>
        <v>51</v>
      </c>
      <c r="AE9" s="73">
        <f t="shared" si="6"/>
        <v>0</v>
      </c>
    </row>
  </sheetData>
  <mergeCells count="7">
    <mergeCell ref="T1:Y1"/>
    <mergeCell ref="Z1:AD1"/>
    <mergeCell ref="A1:A2"/>
    <mergeCell ref="B1:E1"/>
    <mergeCell ref="F1:H1"/>
    <mergeCell ref="K1:O1"/>
    <mergeCell ref="P1:S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U4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2" max="2" width="19" customWidth="1"/>
  </cols>
  <sheetData>
    <row r="1" spans="1:99">
      <c r="A1" s="479" t="s">
        <v>4089</v>
      </c>
      <c r="B1" s="480"/>
      <c r="C1" s="479" t="s">
        <v>4090</v>
      </c>
      <c r="D1" s="481"/>
      <c r="E1" s="480"/>
      <c r="F1" s="195" t="s">
        <v>4091</v>
      </c>
      <c r="G1" s="482" t="s">
        <v>2</v>
      </c>
      <c r="H1" s="468"/>
      <c r="I1" s="468"/>
      <c r="J1" s="468"/>
      <c r="K1" s="469"/>
      <c r="L1" s="462" t="s">
        <v>3</v>
      </c>
      <c r="M1" s="456"/>
      <c r="N1" s="456"/>
      <c r="O1" s="456"/>
      <c r="P1" s="461"/>
      <c r="Q1" s="483" t="s">
        <v>4</v>
      </c>
      <c r="R1" s="461"/>
      <c r="S1" s="462" t="s">
        <v>5</v>
      </c>
      <c r="T1" s="456"/>
      <c r="U1" s="456"/>
      <c r="V1" s="461"/>
      <c r="W1" s="463" t="s">
        <v>6</v>
      </c>
      <c r="X1" s="456"/>
      <c r="Y1" s="456"/>
      <c r="Z1" s="456"/>
      <c r="AA1" s="456"/>
      <c r="AB1" s="464"/>
      <c r="AC1" s="460" t="s">
        <v>7</v>
      </c>
      <c r="AD1" s="456"/>
      <c r="AE1" s="456"/>
      <c r="AF1" s="456"/>
      <c r="AG1" s="456"/>
      <c r="AH1" s="461"/>
      <c r="AI1" s="463" t="s">
        <v>8</v>
      </c>
      <c r="AJ1" s="461"/>
      <c r="AK1" s="462" t="s">
        <v>9</v>
      </c>
      <c r="AL1" s="456"/>
      <c r="AM1" s="461"/>
      <c r="AN1" s="460" t="s">
        <v>10</v>
      </c>
      <c r="AO1" s="456"/>
      <c r="AP1" s="461"/>
      <c r="AQ1" s="462" t="s">
        <v>11</v>
      </c>
      <c r="AR1" s="456"/>
      <c r="AS1" s="456"/>
      <c r="AT1" s="463" t="s">
        <v>12</v>
      </c>
      <c r="AU1" s="464"/>
      <c r="AV1" s="460" t="s">
        <v>13</v>
      </c>
      <c r="AW1" s="456"/>
      <c r="AX1" s="456"/>
      <c r="AY1" s="456"/>
      <c r="AZ1" s="461"/>
      <c r="BA1" s="503" t="s">
        <v>14</v>
      </c>
      <c r="BB1" s="468"/>
      <c r="BC1" s="468"/>
      <c r="BD1" s="468"/>
      <c r="BE1" s="468"/>
      <c r="BF1" s="468"/>
      <c r="BG1" s="469"/>
      <c r="BH1" s="472" t="s">
        <v>16</v>
      </c>
      <c r="BI1" s="473"/>
      <c r="BJ1" s="473"/>
      <c r="BK1" s="473"/>
      <c r="BL1" s="473"/>
      <c r="BM1" s="474"/>
      <c r="BN1" s="455" t="s">
        <v>17</v>
      </c>
      <c r="BO1" s="456"/>
      <c r="BP1" s="461"/>
      <c r="BQ1" s="475" t="s">
        <v>18</v>
      </c>
      <c r="BR1" s="476"/>
      <c r="BS1" s="3"/>
      <c r="BT1" s="3"/>
      <c r="BU1" s="475" t="s">
        <v>19</v>
      </c>
      <c r="BV1" s="473"/>
      <c r="BW1" s="473"/>
      <c r="BX1" s="473"/>
      <c r="BY1" s="473"/>
      <c r="BZ1" s="463" t="s">
        <v>20</v>
      </c>
      <c r="CA1" s="456"/>
      <c r="CB1" s="461"/>
      <c r="CC1" s="465" t="s">
        <v>21</v>
      </c>
      <c r="CD1" s="466"/>
      <c r="CE1" s="4" t="s">
        <v>22</v>
      </c>
      <c r="CF1" s="465" t="s">
        <v>23</v>
      </c>
      <c r="CG1" s="468"/>
      <c r="CH1" s="469"/>
      <c r="CI1" s="463" t="s">
        <v>16</v>
      </c>
      <c r="CJ1" s="456"/>
      <c r="CK1" s="464"/>
      <c r="CL1" s="124"/>
      <c r="CM1" s="455" t="s">
        <v>24</v>
      </c>
      <c r="CN1" s="456"/>
      <c r="CO1" s="457" t="s">
        <v>25</v>
      </c>
      <c r="CP1" s="456"/>
      <c r="CQ1" s="5"/>
      <c r="CR1" s="6" t="s">
        <v>26</v>
      </c>
      <c r="CS1" s="7"/>
      <c r="CT1" s="8"/>
      <c r="CU1" s="9"/>
    </row>
    <row r="2" spans="1:99">
      <c r="A2" s="89"/>
      <c r="B2" s="10"/>
      <c r="C2" s="10"/>
      <c r="D2" s="10"/>
      <c r="E2" s="10"/>
      <c r="F2" s="11"/>
      <c r="G2" s="90"/>
      <c r="H2" s="91"/>
      <c r="I2" s="91"/>
      <c r="J2" s="91"/>
      <c r="K2" s="92"/>
      <c r="L2" s="93"/>
      <c r="M2" s="94"/>
      <c r="N2" s="94"/>
      <c r="O2" s="94"/>
      <c r="P2" s="95"/>
      <c r="Q2" s="96"/>
      <c r="R2" s="97"/>
      <c r="S2" s="93"/>
      <c r="T2" s="94"/>
      <c r="U2" s="94"/>
      <c r="V2" s="94"/>
      <c r="W2" s="98"/>
      <c r="X2" s="99"/>
      <c r="Y2" s="99"/>
      <c r="Z2" s="99"/>
      <c r="AA2" s="99"/>
      <c r="AB2" s="100"/>
      <c r="AC2" s="101"/>
      <c r="AD2" s="102"/>
      <c r="AE2" s="102"/>
      <c r="AF2" s="102"/>
      <c r="AG2" s="102"/>
      <c r="AH2" s="103"/>
      <c r="AI2" s="101"/>
      <c r="AJ2" s="103"/>
      <c r="AK2" s="93"/>
      <c r="AL2" s="94"/>
      <c r="AM2" s="95"/>
      <c r="AN2" s="101"/>
      <c r="AO2" s="102"/>
      <c r="AP2" s="103"/>
      <c r="AQ2" s="93"/>
      <c r="AR2" s="94"/>
      <c r="AS2" s="94"/>
      <c r="AT2" s="98"/>
      <c r="AU2" s="100"/>
      <c r="AV2" s="101"/>
      <c r="AW2" s="102"/>
      <c r="AX2" s="102"/>
      <c r="AY2" s="102"/>
      <c r="AZ2" s="103"/>
      <c r="BA2" s="102"/>
      <c r="BB2" s="102"/>
      <c r="BC2" s="102"/>
      <c r="BD2" s="102"/>
      <c r="BE2" s="103"/>
      <c r="BF2" s="496" t="s">
        <v>15</v>
      </c>
      <c r="BG2" s="495"/>
      <c r="BH2" s="489" t="s">
        <v>78</v>
      </c>
      <c r="BI2" s="480"/>
      <c r="BJ2" s="502" t="s">
        <v>354</v>
      </c>
      <c r="BK2" s="481"/>
      <c r="BL2" s="481"/>
      <c r="BM2" s="480"/>
      <c r="BN2" s="102"/>
      <c r="BO2" s="102"/>
      <c r="BP2" s="102"/>
      <c r="BQ2" s="2"/>
      <c r="BR2" s="3"/>
      <c r="BS2" s="3"/>
      <c r="BT2" s="3"/>
      <c r="BU2" s="2"/>
      <c r="BV2" s="3"/>
      <c r="BW2" s="3"/>
      <c r="BX2" s="3"/>
      <c r="BY2" s="3"/>
      <c r="BZ2" s="102"/>
      <c r="CA2" s="102"/>
      <c r="CB2" s="103"/>
      <c r="CC2" s="102"/>
      <c r="CD2" s="102"/>
      <c r="CE2" s="102"/>
      <c r="CF2" s="102"/>
      <c r="CG2" s="102"/>
      <c r="CH2" s="102"/>
      <c r="CI2" s="101"/>
      <c r="CJ2" s="102"/>
      <c r="CK2" s="102"/>
      <c r="CL2" s="102"/>
      <c r="CM2" s="100"/>
      <c r="CN2" s="102"/>
      <c r="CO2" s="96"/>
      <c r="CP2" s="105"/>
      <c r="CQ2" s="105" t="s">
        <v>893</v>
      </c>
      <c r="CR2" s="106"/>
      <c r="CS2" s="107"/>
      <c r="CT2" s="8"/>
      <c r="CU2" s="8"/>
    </row>
    <row r="3" spans="1:99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5" t="s">
        <v>38</v>
      </c>
      <c r="L3" s="16" t="s">
        <v>39</v>
      </c>
      <c r="M3" s="10" t="s">
        <v>40</v>
      </c>
      <c r="N3" s="10" t="s">
        <v>41</v>
      </c>
      <c r="O3" s="10" t="s">
        <v>42</v>
      </c>
      <c r="P3" s="17" t="s">
        <v>43</v>
      </c>
      <c r="Q3" s="18" t="s">
        <v>44</v>
      </c>
      <c r="R3" s="19" t="s">
        <v>45</v>
      </c>
      <c r="S3" s="16" t="s">
        <v>46</v>
      </c>
      <c r="T3" s="10" t="s">
        <v>47</v>
      </c>
      <c r="U3" s="10" t="s">
        <v>48</v>
      </c>
      <c r="V3" s="11" t="s">
        <v>49</v>
      </c>
      <c r="W3" s="20" t="s">
        <v>50</v>
      </c>
      <c r="X3" s="21" t="s">
        <v>51</v>
      </c>
      <c r="Y3" s="21" t="s">
        <v>52</v>
      </c>
      <c r="Z3" s="21" t="s">
        <v>53</v>
      </c>
      <c r="AA3" s="21" t="s">
        <v>54</v>
      </c>
      <c r="AB3" s="22" t="s">
        <v>55</v>
      </c>
      <c r="AC3" s="20" t="s">
        <v>56</v>
      </c>
      <c r="AD3" s="21" t="s">
        <v>57</v>
      </c>
      <c r="AE3" s="21" t="s">
        <v>58</v>
      </c>
      <c r="AF3" s="21" t="s">
        <v>59</v>
      </c>
      <c r="AG3" s="21" t="s">
        <v>60</v>
      </c>
      <c r="AH3" s="23" t="s">
        <v>61</v>
      </c>
      <c r="AI3" s="24" t="s">
        <v>62</v>
      </c>
      <c r="AJ3" s="25" t="s">
        <v>63</v>
      </c>
      <c r="AK3" s="16" t="s">
        <v>64</v>
      </c>
      <c r="AL3" s="10" t="s">
        <v>65</v>
      </c>
      <c r="AM3" s="26" t="s">
        <v>66</v>
      </c>
      <c r="AN3" s="20" t="s">
        <v>67</v>
      </c>
      <c r="AO3" s="21" t="s">
        <v>68</v>
      </c>
      <c r="AP3" s="23" t="s">
        <v>69</v>
      </c>
      <c r="AQ3" s="20" t="s">
        <v>70</v>
      </c>
      <c r="AR3" s="21" t="s">
        <v>71</v>
      </c>
      <c r="AS3" s="22" t="s">
        <v>72</v>
      </c>
      <c r="AT3" s="20" t="s">
        <v>56</v>
      </c>
      <c r="AU3" s="22" t="s">
        <v>73</v>
      </c>
      <c r="AV3" s="20" t="s">
        <v>46</v>
      </c>
      <c r="AW3" s="42" t="s">
        <v>895</v>
      </c>
      <c r="AX3" s="27" t="s">
        <v>75</v>
      </c>
      <c r="AY3" s="27" t="s">
        <v>76</v>
      </c>
      <c r="AZ3" s="23" t="s">
        <v>77</v>
      </c>
      <c r="BA3" s="28" t="s">
        <v>56</v>
      </c>
      <c r="BB3" s="29" t="s">
        <v>78</v>
      </c>
      <c r="BC3" s="29" t="s">
        <v>79</v>
      </c>
      <c r="BD3" s="29" t="s">
        <v>80</v>
      </c>
      <c r="BE3" s="30" t="s">
        <v>38</v>
      </c>
      <c r="BF3" s="31" t="s">
        <v>81</v>
      </c>
      <c r="BG3" s="32" t="s">
        <v>82</v>
      </c>
      <c r="BH3" s="33" t="s">
        <v>83</v>
      </c>
      <c r="BI3" s="29" t="s">
        <v>81</v>
      </c>
      <c r="BJ3" s="111" t="s">
        <v>96</v>
      </c>
      <c r="BK3" s="29" t="s">
        <v>84</v>
      </c>
      <c r="BL3" s="29" t="s">
        <v>85</v>
      </c>
      <c r="BM3" s="29" t="s">
        <v>86</v>
      </c>
      <c r="BN3" s="21" t="s">
        <v>73</v>
      </c>
      <c r="BO3" s="34" t="s">
        <v>87</v>
      </c>
      <c r="BP3" s="22" t="s">
        <v>56</v>
      </c>
      <c r="BQ3" s="35" t="s">
        <v>83</v>
      </c>
      <c r="BR3" s="36" t="s">
        <v>88</v>
      </c>
      <c r="BS3" s="37" t="s">
        <v>89</v>
      </c>
      <c r="BT3" s="37"/>
      <c r="BU3" s="35" t="s">
        <v>90</v>
      </c>
      <c r="BV3" s="38" t="s">
        <v>91</v>
      </c>
      <c r="BW3" s="38" t="s">
        <v>92</v>
      </c>
      <c r="BX3" s="38" t="s">
        <v>93</v>
      </c>
      <c r="BY3" s="39" t="s">
        <v>94</v>
      </c>
      <c r="BZ3" s="40" t="s">
        <v>56</v>
      </c>
      <c r="CA3" s="40" t="s">
        <v>73</v>
      </c>
      <c r="CB3" s="41" t="s">
        <v>22</v>
      </c>
      <c r="CC3" s="40" t="s">
        <v>56</v>
      </c>
      <c r="CD3" s="29" t="s">
        <v>73</v>
      </c>
      <c r="CE3" s="111" t="s">
        <v>1275</v>
      </c>
      <c r="CF3" s="29" t="s">
        <v>83</v>
      </c>
      <c r="CG3" s="29" t="s">
        <v>88</v>
      </c>
      <c r="CH3" s="29" t="s">
        <v>896</v>
      </c>
      <c r="CI3" s="126" t="s">
        <v>96</v>
      </c>
      <c r="CJ3" s="127" t="s">
        <v>97</v>
      </c>
      <c r="CK3" s="128" t="s">
        <v>98</v>
      </c>
      <c r="CL3" s="127" t="s">
        <v>1276</v>
      </c>
      <c r="CM3" s="21" t="s">
        <v>73</v>
      </c>
      <c r="CN3" s="22" t="s">
        <v>56</v>
      </c>
      <c r="CO3" s="20" t="s">
        <v>99</v>
      </c>
      <c r="CP3" s="22" t="s">
        <v>56</v>
      </c>
      <c r="CQ3" s="43"/>
      <c r="CR3" s="458" t="s">
        <v>100</v>
      </c>
      <c r="CS3" s="459"/>
      <c r="CT3" s="167" t="s">
        <v>101</v>
      </c>
      <c r="CU3" s="45" t="s">
        <v>102</v>
      </c>
    </row>
    <row r="4" spans="1:99">
      <c r="A4" s="46" t="s">
        <v>4092</v>
      </c>
      <c r="B4" s="46" t="s">
        <v>4093</v>
      </c>
      <c r="C4" s="46">
        <v>50</v>
      </c>
      <c r="D4" s="46" t="s">
        <v>2625</v>
      </c>
      <c r="E4" s="46" t="s">
        <v>4094</v>
      </c>
      <c r="F4" s="46" t="s">
        <v>112</v>
      </c>
      <c r="G4" s="46">
        <v>1</v>
      </c>
      <c r="P4" s="46">
        <v>1</v>
      </c>
      <c r="R4" s="46">
        <v>1</v>
      </c>
      <c r="T4" s="46">
        <v>1</v>
      </c>
      <c r="W4" s="46">
        <v>16</v>
      </c>
      <c r="X4" s="46">
        <v>18</v>
      </c>
      <c r="Y4" s="46">
        <v>20</v>
      </c>
      <c r="Z4" s="46">
        <v>9</v>
      </c>
      <c r="AA4" s="46">
        <v>9</v>
      </c>
      <c r="AB4" s="46">
        <v>1</v>
      </c>
      <c r="AE4" s="46">
        <v>1</v>
      </c>
      <c r="AG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J4" s="46">
        <v>1</v>
      </c>
      <c r="BP4" s="46">
        <v>1</v>
      </c>
      <c r="CA4" s="46">
        <v>1</v>
      </c>
      <c r="CI4" s="46">
        <v>1</v>
      </c>
      <c r="CN4" s="46">
        <v>1</v>
      </c>
      <c r="CU4" s="196">
        <v>46392</v>
      </c>
    </row>
    <row r="5" spans="1:99">
      <c r="A5" s="46" t="s">
        <v>4095</v>
      </c>
      <c r="B5" s="46" t="s">
        <v>4096</v>
      </c>
      <c r="C5" s="46">
        <v>39</v>
      </c>
      <c r="D5" s="46" t="s">
        <v>1373</v>
      </c>
      <c r="E5" s="46" t="s">
        <v>4097</v>
      </c>
      <c r="F5" s="46" t="s">
        <v>112</v>
      </c>
      <c r="G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17</v>
      </c>
      <c r="Y5" s="46">
        <v>19</v>
      </c>
      <c r="Z5" s="46">
        <v>6</v>
      </c>
      <c r="AA5" s="46">
        <v>6</v>
      </c>
      <c r="AB5" s="46">
        <v>3</v>
      </c>
      <c r="AE5" s="46">
        <v>1</v>
      </c>
      <c r="AG5" s="46">
        <v>1</v>
      </c>
      <c r="AH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W5" s="46">
        <v>1</v>
      </c>
      <c r="BZ5" s="46">
        <v>1</v>
      </c>
      <c r="CI5" s="46">
        <v>1</v>
      </c>
      <c r="CU5" s="196">
        <v>46392</v>
      </c>
    </row>
    <row r="6" spans="1:99">
      <c r="A6" s="46" t="s">
        <v>4098</v>
      </c>
      <c r="B6" s="46" t="s">
        <v>4099</v>
      </c>
      <c r="C6" s="46">
        <v>22</v>
      </c>
      <c r="D6" s="46" t="s">
        <v>4100</v>
      </c>
      <c r="F6" s="46" t="s">
        <v>112</v>
      </c>
      <c r="H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17</v>
      </c>
      <c r="Y6" s="46">
        <v>18</v>
      </c>
      <c r="Z6" s="46">
        <v>4</v>
      </c>
      <c r="AA6" s="46">
        <v>4</v>
      </c>
      <c r="AB6" s="46">
        <v>4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W6" s="46">
        <v>1</v>
      </c>
      <c r="BA6" s="46">
        <v>1</v>
      </c>
      <c r="BI6" s="46">
        <v>1</v>
      </c>
      <c r="BP6" s="46">
        <v>1</v>
      </c>
      <c r="BW6" s="46">
        <v>1</v>
      </c>
      <c r="BZ6" s="46">
        <v>1</v>
      </c>
      <c r="CI6" s="46">
        <v>1</v>
      </c>
      <c r="CN6" s="46">
        <v>1</v>
      </c>
      <c r="CU6" s="196">
        <v>46392</v>
      </c>
    </row>
    <row r="7" spans="1:99">
      <c r="A7" s="46" t="s">
        <v>4101</v>
      </c>
      <c r="B7" s="46" t="s">
        <v>4102</v>
      </c>
      <c r="C7" s="46">
        <v>64</v>
      </c>
      <c r="D7" s="46" t="s">
        <v>4103</v>
      </c>
      <c r="F7" s="46" t="s">
        <v>112</v>
      </c>
      <c r="P7" s="46">
        <v>1</v>
      </c>
      <c r="S7" s="46">
        <v>1</v>
      </c>
      <c r="W7" s="46">
        <v>15</v>
      </c>
      <c r="X7" s="46">
        <v>17</v>
      </c>
      <c r="Y7" s="46">
        <v>18</v>
      </c>
      <c r="Z7" s="46">
        <v>1</v>
      </c>
      <c r="AA7" s="46">
        <v>0</v>
      </c>
      <c r="AB7" s="46">
        <v>0</v>
      </c>
      <c r="AE7" s="46">
        <v>1</v>
      </c>
      <c r="AK7" s="46">
        <v>1</v>
      </c>
      <c r="AT7" s="46">
        <v>1</v>
      </c>
      <c r="BA7" s="46">
        <v>1</v>
      </c>
      <c r="BJ7" s="46">
        <v>1</v>
      </c>
      <c r="BP7" s="46">
        <v>1</v>
      </c>
      <c r="BZ7" s="46">
        <v>1</v>
      </c>
      <c r="CI7" s="46">
        <v>1</v>
      </c>
      <c r="CN7" s="46">
        <v>1</v>
      </c>
      <c r="CU7" s="196">
        <v>46392</v>
      </c>
    </row>
    <row r="8" spans="1:99">
      <c r="A8" s="46" t="s">
        <v>4104</v>
      </c>
      <c r="B8" s="46" t="s">
        <v>4105</v>
      </c>
      <c r="C8" s="46">
        <v>53</v>
      </c>
      <c r="D8" s="46" t="s">
        <v>4106</v>
      </c>
      <c r="E8" s="46" t="s">
        <v>4107</v>
      </c>
      <c r="F8" s="46" t="s">
        <v>112</v>
      </c>
      <c r="G8" s="46">
        <v>1</v>
      </c>
      <c r="O8" s="46">
        <v>1</v>
      </c>
      <c r="R8" s="46">
        <v>1</v>
      </c>
      <c r="U8" s="46">
        <v>1</v>
      </c>
      <c r="W8" s="46">
        <v>18</v>
      </c>
      <c r="X8" s="46">
        <v>23</v>
      </c>
      <c r="Y8" s="46">
        <v>23</v>
      </c>
      <c r="Z8" s="46">
        <v>3</v>
      </c>
      <c r="AA8" s="46">
        <v>3</v>
      </c>
      <c r="AB8" s="46">
        <v>3</v>
      </c>
      <c r="AD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P8" s="46">
        <v>1</v>
      </c>
      <c r="BW8" s="46">
        <v>1</v>
      </c>
      <c r="BZ8" s="46">
        <v>1</v>
      </c>
      <c r="CI8" s="46">
        <v>1</v>
      </c>
      <c r="CN8" s="46">
        <v>1</v>
      </c>
      <c r="CU8" s="196">
        <v>46392</v>
      </c>
    </row>
    <row r="9" spans="1:99">
      <c r="A9" s="46" t="s">
        <v>4108</v>
      </c>
      <c r="B9" s="46" t="s">
        <v>4109</v>
      </c>
      <c r="C9" s="46">
        <v>19</v>
      </c>
      <c r="D9" s="46" t="s">
        <v>4110</v>
      </c>
      <c r="E9" s="46" t="s">
        <v>4111</v>
      </c>
      <c r="F9" s="46" t="s">
        <v>112</v>
      </c>
      <c r="H9" s="46">
        <v>1</v>
      </c>
      <c r="N9" s="46">
        <v>1</v>
      </c>
      <c r="Q9" s="46">
        <v>1</v>
      </c>
      <c r="T9" s="46">
        <v>1</v>
      </c>
      <c r="W9" s="46">
        <v>14</v>
      </c>
      <c r="X9" s="46">
        <v>15</v>
      </c>
      <c r="Z9" s="46">
        <v>1</v>
      </c>
      <c r="AA9" s="46">
        <v>0</v>
      </c>
      <c r="AB9" s="46">
        <v>0</v>
      </c>
      <c r="AE9" s="46">
        <v>1</v>
      </c>
      <c r="AG9" s="46">
        <v>1</v>
      </c>
      <c r="AH9" s="46">
        <v>1</v>
      </c>
      <c r="AM9" s="46">
        <v>1</v>
      </c>
      <c r="AT9" s="46">
        <v>1</v>
      </c>
      <c r="AW9" s="46">
        <v>1</v>
      </c>
      <c r="BA9" s="46">
        <v>1</v>
      </c>
      <c r="BH9" s="46" t="s">
        <v>362</v>
      </c>
    </row>
    <row r="10" spans="1:99">
      <c r="A10" s="46" t="s">
        <v>4112</v>
      </c>
      <c r="B10" s="46" t="s">
        <v>4113</v>
      </c>
      <c r="C10" s="46">
        <v>54</v>
      </c>
      <c r="D10" s="46" t="s">
        <v>4114</v>
      </c>
      <c r="E10" s="46" t="s">
        <v>4115</v>
      </c>
      <c r="F10" s="46" t="s">
        <v>112</v>
      </c>
      <c r="G10" s="46">
        <v>1</v>
      </c>
      <c r="M10" s="46">
        <v>1</v>
      </c>
      <c r="R10" s="46">
        <v>1</v>
      </c>
      <c r="T10" s="46">
        <v>1</v>
      </c>
      <c r="W10" s="46">
        <v>12</v>
      </c>
      <c r="X10" s="46">
        <v>16</v>
      </c>
      <c r="Y10" s="46">
        <v>22</v>
      </c>
      <c r="Z10" s="46">
        <v>5</v>
      </c>
      <c r="AA10" s="46">
        <v>5</v>
      </c>
      <c r="AB10" s="46">
        <v>5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J10" s="46">
        <v>1</v>
      </c>
      <c r="BP10" s="46">
        <v>1</v>
      </c>
      <c r="BZ10" s="46">
        <v>1</v>
      </c>
      <c r="CI10" s="46">
        <v>1</v>
      </c>
      <c r="CU10" s="196">
        <v>46392</v>
      </c>
    </row>
    <row r="11" spans="1:99">
      <c r="A11" s="46" t="s">
        <v>4116</v>
      </c>
      <c r="B11" s="46" t="s">
        <v>4117</v>
      </c>
      <c r="C11" s="46">
        <v>24</v>
      </c>
      <c r="D11" s="46" t="s">
        <v>2625</v>
      </c>
      <c r="F11" s="46" t="s">
        <v>4118</v>
      </c>
      <c r="H11" s="46">
        <v>1</v>
      </c>
      <c r="M11" s="46">
        <v>1</v>
      </c>
      <c r="Q11" s="46">
        <v>1</v>
      </c>
      <c r="T11" s="46">
        <v>1</v>
      </c>
      <c r="W11" s="46">
        <v>15</v>
      </c>
      <c r="X11" s="46">
        <v>18</v>
      </c>
      <c r="Y11" s="46">
        <v>18</v>
      </c>
      <c r="Z11" s="46">
        <v>3</v>
      </c>
      <c r="AA11" s="46">
        <v>3</v>
      </c>
      <c r="AB11" s="46">
        <v>3</v>
      </c>
      <c r="AE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P11" s="46">
        <v>1</v>
      </c>
      <c r="BZ11" s="46">
        <v>1</v>
      </c>
      <c r="CI11" s="46">
        <v>1</v>
      </c>
      <c r="CU11" s="196">
        <v>46392</v>
      </c>
    </row>
    <row r="12" spans="1:99">
      <c r="A12" s="46" t="s">
        <v>4119</v>
      </c>
      <c r="B12" s="46" t="s">
        <v>4120</v>
      </c>
      <c r="C12" s="46">
        <v>24</v>
      </c>
      <c r="D12" s="46" t="s">
        <v>1373</v>
      </c>
      <c r="E12" s="46" t="s">
        <v>4121</v>
      </c>
      <c r="F12" s="46" t="s">
        <v>112</v>
      </c>
      <c r="I12" s="46">
        <v>1</v>
      </c>
      <c r="M12" s="46">
        <v>1</v>
      </c>
      <c r="R12" s="46">
        <v>1</v>
      </c>
      <c r="T12" s="46">
        <v>1</v>
      </c>
      <c r="W12" s="46">
        <v>14</v>
      </c>
      <c r="X12" s="46">
        <v>16</v>
      </c>
      <c r="Y12" s="46">
        <v>16</v>
      </c>
      <c r="Z12" s="46">
        <v>2</v>
      </c>
      <c r="AA12" s="46">
        <v>2</v>
      </c>
      <c r="AB12" s="46">
        <v>2</v>
      </c>
      <c r="AE12" s="46">
        <v>1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W12" s="46">
        <v>1</v>
      </c>
      <c r="BZ12" s="46">
        <v>1</v>
      </c>
      <c r="CI12" s="46">
        <v>1</v>
      </c>
      <c r="CU12" s="196">
        <v>46392</v>
      </c>
    </row>
    <row r="13" spans="1:99">
      <c r="A13" s="46" t="s">
        <v>4122</v>
      </c>
      <c r="B13" s="46" t="s">
        <v>4123</v>
      </c>
      <c r="C13" s="46">
        <v>23</v>
      </c>
      <c r="D13" s="46" t="s">
        <v>1373</v>
      </c>
      <c r="E13" s="46" t="s">
        <v>4124</v>
      </c>
      <c r="F13" s="46" t="s">
        <v>112</v>
      </c>
      <c r="I13" s="46">
        <v>1</v>
      </c>
      <c r="O13" s="46">
        <v>1</v>
      </c>
      <c r="Q13" s="46">
        <v>1</v>
      </c>
      <c r="T13" s="46">
        <v>1</v>
      </c>
      <c r="W13" s="46">
        <v>10</v>
      </c>
      <c r="X13" s="46">
        <v>14</v>
      </c>
      <c r="Y13" s="46">
        <v>15</v>
      </c>
      <c r="Z13" s="46">
        <v>1</v>
      </c>
      <c r="AA13" s="46">
        <v>1</v>
      </c>
      <c r="AB13" s="46">
        <v>1</v>
      </c>
      <c r="AE13" s="46">
        <v>1</v>
      </c>
      <c r="AG13" s="46">
        <v>1</v>
      </c>
      <c r="AH13" s="46">
        <v>1</v>
      </c>
      <c r="AI13" s="46">
        <v>1</v>
      </c>
      <c r="AK13" s="46">
        <v>1</v>
      </c>
      <c r="AT13" s="46">
        <v>1</v>
      </c>
      <c r="AX13" s="46">
        <v>1</v>
      </c>
      <c r="BA13" s="46">
        <v>1</v>
      </c>
      <c r="BI13" s="46">
        <v>1</v>
      </c>
      <c r="BW13" s="46">
        <v>1</v>
      </c>
      <c r="BZ13" s="46">
        <v>1</v>
      </c>
      <c r="CI13" s="46">
        <v>1</v>
      </c>
      <c r="CN13" s="46">
        <v>1</v>
      </c>
      <c r="CU13" s="196">
        <v>46392</v>
      </c>
    </row>
    <row r="14" spans="1:99">
      <c r="A14" s="46" t="s">
        <v>4125</v>
      </c>
      <c r="B14" s="46" t="s">
        <v>4126</v>
      </c>
      <c r="C14" s="46">
        <v>34</v>
      </c>
      <c r="D14" s="46" t="s">
        <v>4127</v>
      </c>
      <c r="E14" s="46" t="s">
        <v>4128</v>
      </c>
      <c r="F14" s="46" t="s">
        <v>112</v>
      </c>
      <c r="H14" s="46">
        <v>1</v>
      </c>
      <c r="O14" s="46">
        <v>1</v>
      </c>
      <c r="R14" s="46">
        <v>1</v>
      </c>
      <c r="U14" s="46">
        <v>1</v>
      </c>
      <c r="W14" s="46">
        <v>15</v>
      </c>
      <c r="X14" s="46">
        <v>20</v>
      </c>
      <c r="Y14" s="46">
        <v>25</v>
      </c>
      <c r="Z14" s="46">
        <v>2</v>
      </c>
      <c r="AA14" s="46">
        <v>2</v>
      </c>
      <c r="AB14" s="46">
        <v>2</v>
      </c>
      <c r="AG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W14" s="46">
        <v>1</v>
      </c>
      <c r="BZ14" s="46">
        <v>1</v>
      </c>
      <c r="CI14" s="46">
        <v>1</v>
      </c>
      <c r="CU14" s="196">
        <v>46392</v>
      </c>
    </row>
    <row r="15" spans="1:99">
      <c r="A15" s="46" t="s">
        <v>4129</v>
      </c>
      <c r="B15" s="46" t="s">
        <v>4130</v>
      </c>
      <c r="C15" s="46">
        <v>51</v>
      </c>
      <c r="D15" s="46" t="s">
        <v>4131</v>
      </c>
      <c r="E15" s="46" t="s">
        <v>4132</v>
      </c>
      <c r="F15" s="46" t="s">
        <v>112</v>
      </c>
      <c r="I15" s="46">
        <v>1</v>
      </c>
      <c r="M15" s="46">
        <v>1</v>
      </c>
      <c r="R15" s="46">
        <v>1</v>
      </c>
      <c r="T15" s="46">
        <v>1</v>
      </c>
      <c r="W15" s="46">
        <v>14</v>
      </c>
      <c r="X15" s="46">
        <v>16</v>
      </c>
      <c r="Y15" s="46">
        <v>17</v>
      </c>
      <c r="Z15" s="46">
        <v>5</v>
      </c>
      <c r="AA15" s="46">
        <v>5</v>
      </c>
      <c r="AB15" s="46">
        <v>5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J15" s="46">
        <v>1</v>
      </c>
      <c r="BZ15" s="46">
        <v>1</v>
      </c>
      <c r="CI15" s="46">
        <v>1</v>
      </c>
      <c r="CU15" s="196">
        <v>46392</v>
      </c>
    </row>
    <row r="16" spans="1:99">
      <c r="A16" s="46" t="s">
        <v>4133</v>
      </c>
      <c r="B16" s="46" t="s">
        <v>4134</v>
      </c>
      <c r="C16" s="46">
        <v>20</v>
      </c>
      <c r="D16" s="46" t="s">
        <v>4135</v>
      </c>
      <c r="E16" s="46" t="s">
        <v>4136</v>
      </c>
      <c r="F16" s="46" t="s">
        <v>112</v>
      </c>
      <c r="J16" s="46">
        <v>1</v>
      </c>
      <c r="O16" s="46">
        <v>1</v>
      </c>
      <c r="Q16" s="46">
        <v>1</v>
      </c>
      <c r="T16" s="46">
        <v>1</v>
      </c>
      <c r="W16" s="46">
        <v>14</v>
      </c>
      <c r="X16" s="46">
        <v>15</v>
      </c>
      <c r="Y16" s="46">
        <v>19</v>
      </c>
      <c r="Z16" s="46">
        <v>1</v>
      </c>
      <c r="AA16" s="46">
        <v>1</v>
      </c>
      <c r="AB16" s="46">
        <v>1</v>
      </c>
      <c r="AD16" s="46">
        <v>1</v>
      </c>
      <c r="AE16" s="46">
        <v>1</v>
      </c>
      <c r="AJ16" s="46">
        <v>1</v>
      </c>
      <c r="AL16" s="46">
        <v>1</v>
      </c>
      <c r="AT16" s="46">
        <v>1</v>
      </c>
      <c r="AY16" s="46">
        <v>1</v>
      </c>
      <c r="BA16" s="46">
        <v>1</v>
      </c>
      <c r="BI16" s="46">
        <v>1</v>
      </c>
      <c r="BW16" s="46">
        <v>1</v>
      </c>
      <c r="BZ16" s="46">
        <v>1</v>
      </c>
      <c r="CI16" s="46">
        <v>1</v>
      </c>
      <c r="CU16" s="196">
        <v>46392</v>
      </c>
    </row>
    <row r="17" spans="1:99">
      <c r="A17" s="46" t="s">
        <v>4137</v>
      </c>
      <c r="B17" s="46" t="s">
        <v>4138</v>
      </c>
      <c r="C17" s="46">
        <v>29</v>
      </c>
      <c r="D17" s="46" t="s">
        <v>4139</v>
      </c>
      <c r="E17" s="46" t="s">
        <v>4140</v>
      </c>
      <c r="F17" s="46" t="s">
        <v>112</v>
      </c>
      <c r="H17" s="46">
        <v>1</v>
      </c>
      <c r="M17" s="46">
        <v>1</v>
      </c>
      <c r="Q17" s="46">
        <v>1</v>
      </c>
      <c r="V17" s="46">
        <v>1</v>
      </c>
      <c r="W17" s="46">
        <v>14</v>
      </c>
      <c r="X17" s="46">
        <v>17</v>
      </c>
      <c r="Y17" s="46">
        <v>25</v>
      </c>
      <c r="Z17" s="46">
        <v>2</v>
      </c>
      <c r="AA17" s="46">
        <v>2</v>
      </c>
      <c r="AB17" s="46">
        <v>2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W17" s="46">
        <v>1</v>
      </c>
      <c r="BZ17" s="46">
        <v>1</v>
      </c>
      <c r="CI17" s="46">
        <v>1</v>
      </c>
      <c r="CU17" s="196">
        <v>46392</v>
      </c>
    </row>
    <row r="18" spans="1:99">
      <c r="A18" s="46" t="s">
        <v>4141</v>
      </c>
      <c r="B18" s="46" t="s">
        <v>4142</v>
      </c>
      <c r="C18" s="46">
        <v>30</v>
      </c>
      <c r="D18" s="46" t="s">
        <v>1388</v>
      </c>
      <c r="F18" s="46" t="s">
        <v>112</v>
      </c>
      <c r="G18" s="46">
        <v>1</v>
      </c>
      <c r="M18" s="46">
        <v>1</v>
      </c>
      <c r="Q18" s="46">
        <v>1</v>
      </c>
      <c r="S18" s="46">
        <v>1</v>
      </c>
      <c r="W18" s="46">
        <v>15</v>
      </c>
      <c r="X18" s="46">
        <v>10</v>
      </c>
      <c r="Y18" s="46">
        <v>18</v>
      </c>
      <c r="Z18" s="46">
        <v>5</v>
      </c>
      <c r="AA18" s="46">
        <v>5</v>
      </c>
      <c r="AB18" s="46">
        <v>5</v>
      </c>
      <c r="AE18" s="46">
        <v>1</v>
      </c>
      <c r="AH18" s="46">
        <v>1</v>
      </c>
      <c r="AJ18" s="46">
        <v>1</v>
      </c>
      <c r="AM18" s="46">
        <v>1</v>
      </c>
      <c r="AT18" s="46">
        <v>1</v>
      </c>
      <c r="AW18" s="46">
        <v>1</v>
      </c>
      <c r="BA18" s="46">
        <v>1</v>
      </c>
      <c r="BI18" s="46">
        <v>1</v>
      </c>
      <c r="BW18" s="46">
        <v>1</v>
      </c>
      <c r="BZ18" s="46">
        <v>1</v>
      </c>
      <c r="CI18" s="46">
        <v>1</v>
      </c>
      <c r="CU18" s="196">
        <v>46392</v>
      </c>
    </row>
    <row r="19" spans="1:99">
      <c r="A19" s="46" t="s">
        <v>4143</v>
      </c>
      <c r="B19" s="46" t="s">
        <v>4144</v>
      </c>
      <c r="C19" s="46">
        <v>21</v>
      </c>
      <c r="D19" s="46" t="s">
        <v>4145</v>
      </c>
      <c r="E19" s="46" t="s">
        <v>4146</v>
      </c>
      <c r="F19" s="46" t="s">
        <v>662</v>
      </c>
      <c r="H19" s="46">
        <v>1</v>
      </c>
      <c r="M19" s="46">
        <v>1</v>
      </c>
      <c r="Q19" s="46">
        <v>1</v>
      </c>
      <c r="T19" s="46">
        <v>1</v>
      </c>
      <c r="W19" s="46">
        <v>16</v>
      </c>
      <c r="X19" s="46">
        <v>18</v>
      </c>
      <c r="Y19" s="46">
        <v>20</v>
      </c>
      <c r="Z19" s="46">
        <v>1</v>
      </c>
      <c r="AA19" s="46">
        <v>1</v>
      </c>
      <c r="AB19" s="46">
        <v>1</v>
      </c>
      <c r="AE19" s="46">
        <v>1</v>
      </c>
      <c r="AG19" s="46">
        <v>1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L19" s="46">
        <v>1</v>
      </c>
      <c r="CU19" s="196">
        <v>46392</v>
      </c>
    </row>
    <row r="20" spans="1:99">
      <c r="A20" s="46" t="s">
        <v>4147</v>
      </c>
      <c r="B20" s="46" t="s">
        <v>4148</v>
      </c>
      <c r="C20" s="46">
        <v>47</v>
      </c>
      <c r="D20" s="46" t="s">
        <v>1373</v>
      </c>
      <c r="E20" s="46" t="s">
        <v>4149</v>
      </c>
      <c r="F20" s="46" t="s">
        <v>112</v>
      </c>
      <c r="H20" s="46">
        <v>1</v>
      </c>
      <c r="M20" s="46">
        <v>1</v>
      </c>
      <c r="R20" s="46">
        <v>1</v>
      </c>
      <c r="T20" s="46">
        <v>1</v>
      </c>
      <c r="W20" s="46">
        <v>15</v>
      </c>
      <c r="Y20" s="46">
        <v>27</v>
      </c>
      <c r="Z20" s="46">
        <v>5</v>
      </c>
      <c r="AA20" s="46">
        <v>5</v>
      </c>
      <c r="AB20" s="46">
        <v>3</v>
      </c>
      <c r="AC20" s="46">
        <v>1</v>
      </c>
      <c r="AI20" s="46">
        <v>1</v>
      </c>
      <c r="AL20" s="46">
        <v>1</v>
      </c>
      <c r="AT20" s="46">
        <v>1</v>
      </c>
      <c r="AX20" s="46">
        <v>1</v>
      </c>
      <c r="BA20" s="46">
        <v>1</v>
      </c>
      <c r="BH20" s="46">
        <v>1</v>
      </c>
      <c r="BV20" s="46">
        <v>1</v>
      </c>
      <c r="BW20" s="46">
        <v>1</v>
      </c>
      <c r="BZ20" s="46">
        <v>1</v>
      </c>
      <c r="CI20" s="46">
        <v>1</v>
      </c>
      <c r="CU20" s="196">
        <v>46392</v>
      </c>
    </row>
    <row r="21" spans="1:99">
      <c r="A21" s="46" t="s">
        <v>4150</v>
      </c>
      <c r="B21" s="46" t="s">
        <v>4151</v>
      </c>
      <c r="C21" s="46">
        <v>25</v>
      </c>
      <c r="D21" s="46" t="s">
        <v>4152</v>
      </c>
      <c r="E21" s="46" t="s">
        <v>4153</v>
      </c>
      <c r="F21" s="46" t="s">
        <v>112</v>
      </c>
      <c r="H21" s="46">
        <v>1</v>
      </c>
      <c r="M21" s="46">
        <v>1</v>
      </c>
      <c r="Q21" s="46">
        <v>1</v>
      </c>
      <c r="U21" s="46">
        <v>1</v>
      </c>
      <c r="W21" s="46">
        <v>14</v>
      </c>
      <c r="X21" s="46">
        <v>18</v>
      </c>
      <c r="Y21" s="46">
        <v>19</v>
      </c>
      <c r="Z21" s="46">
        <v>3</v>
      </c>
      <c r="AA21" s="46">
        <v>3</v>
      </c>
      <c r="AB21" s="46">
        <v>3</v>
      </c>
      <c r="AE21" s="46">
        <v>1</v>
      </c>
      <c r="AJ21" s="46">
        <v>1</v>
      </c>
      <c r="AL21" s="46">
        <v>1</v>
      </c>
      <c r="AT21" s="46">
        <v>1</v>
      </c>
      <c r="AW21" s="46">
        <v>1</v>
      </c>
      <c r="BE21" s="46">
        <v>1</v>
      </c>
      <c r="BI21" s="46">
        <v>1</v>
      </c>
      <c r="BV21" s="46">
        <v>1</v>
      </c>
      <c r="BW21" s="46">
        <v>1</v>
      </c>
      <c r="BZ21" s="46">
        <v>1</v>
      </c>
      <c r="CI21" s="46">
        <v>1</v>
      </c>
      <c r="CU21" s="196">
        <v>45662</v>
      </c>
    </row>
    <row r="22" spans="1:99">
      <c r="A22" s="46" t="s">
        <v>4154</v>
      </c>
      <c r="B22" s="46" t="s">
        <v>4155</v>
      </c>
      <c r="C22" s="46">
        <v>35</v>
      </c>
      <c r="D22" s="46" t="s">
        <v>1373</v>
      </c>
      <c r="E22" s="46" t="s">
        <v>4156</v>
      </c>
      <c r="F22" s="46" t="s">
        <v>112</v>
      </c>
      <c r="H22" s="46">
        <v>1</v>
      </c>
      <c r="O22" s="46">
        <v>1</v>
      </c>
      <c r="Q22" s="46">
        <v>1</v>
      </c>
      <c r="U22" s="46">
        <v>1</v>
      </c>
      <c r="W22" s="46">
        <v>15</v>
      </c>
      <c r="X22" s="46">
        <v>18</v>
      </c>
      <c r="Y22" s="46">
        <v>19</v>
      </c>
      <c r="Z22" s="46">
        <v>4</v>
      </c>
      <c r="AA22" s="46">
        <v>4</v>
      </c>
      <c r="AB22" s="46">
        <v>4</v>
      </c>
      <c r="AE22" s="46">
        <v>1</v>
      </c>
      <c r="AG22" s="46">
        <v>1</v>
      </c>
      <c r="AH22" s="46">
        <v>1</v>
      </c>
      <c r="AJ22" s="46">
        <v>1</v>
      </c>
      <c r="AL22" s="46">
        <v>1</v>
      </c>
      <c r="AT22" s="46">
        <v>1</v>
      </c>
      <c r="AW22" s="46">
        <v>1</v>
      </c>
      <c r="BE22" s="46">
        <v>1</v>
      </c>
      <c r="BI22" s="46">
        <v>1</v>
      </c>
      <c r="BV22" s="46">
        <v>1</v>
      </c>
      <c r="BW22" s="46">
        <v>1</v>
      </c>
      <c r="BZ22" s="46">
        <v>1</v>
      </c>
      <c r="CI22" s="46">
        <v>1</v>
      </c>
      <c r="CU22" s="196">
        <v>45662</v>
      </c>
    </row>
    <row r="23" spans="1:99">
      <c r="A23" s="46" t="s">
        <v>4157</v>
      </c>
      <c r="B23" s="46" t="s">
        <v>4158</v>
      </c>
      <c r="C23" s="46">
        <v>25</v>
      </c>
      <c r="D23" s="46" t="s">
        <v>4159</v>
      </c>
      <c r="E23" s="46" t="s">
        <v>4160</v>
      </c>
      <c r="F23" s="46" t="s">
        <v>112</v>
      </c>
      <c r="G23" s="46">
        <v>1</v>
      </c>
      <c r="O23" s="46">
        <v>1</v>
      </c>
      <c r="Q23" s="46">
        <v>1</v>
      </c>
      <c r="T23" s="46">
        <v>1</v>
      </c>
      <c r="W23" s="46">
        <v>13</v>
      </c>
      <c r="X23" s="46">
        <v>20</v>
      </c>
      <c r="Y23" s="46">
        <v>22</v>
      </c>
      <c r="Z23" s="46">
        <v>2</v>
      </c>
      <c r="AA23" s="46">
        <v>2</v>
      </c>
      <c r="AB23" s="46">
        <v>2</v>
      </c>
      <c r="AE23" s="46">
        <v>1</v>
      </c>
      <c r="AJ23" s="46">
        <v>1</v>
      </c>
      <c r="AL23" s="46">
        <v>1</v>
      </c>
      <c r="AT23" s="46">
        <v>1</v>
      </c>
      <c r="AX23" s="46">
        <v>1</v>
      </c>
      <c r="BB23" s="46">
        <v>1</v>
      </c>
      <c r="BI23" s="46">
        <v>1</v>
      </c>
      <c r="BV23" s="46">
        <v>1</v>
      </c>
      <c r="BW23" s="46">
        <v>1</v>
      </c>
      <c r="BZ23" s="46">
        <v>1</v>
      </c>
      <c r="CC23" s="46">
        <v>1</v>
      </c>
      <c r="CI23" s="46">
        <v>1</v>
      </c>
      <c r="CU23" s="196">
        <v>45662</v>
      </c>
    </row>
    <row r="24" spans="1:99">
      <c r="A24" s="46" t="s">
        <v>4161</v>
      </c>
      <c r="B24" s="46" t="s">
        <v>4162</v>
      </c>
      <c r="C24" s="46">
        <v>26</v>
      </c>
      <c r="D24" s="46" t="s">
        <v>4163</v>
      </c>
      <c r="E24" s="46" t="s">
        <v>4164</v>
      </c>
      <c r="F24" s="46" t="s">
        <v>112</v>
      </c>
      <c r="J24" s="46">
        <v>1</v>
      </c>
      <c r="L24" s="46">
        <v>1</v>
      </c>
      <c r="V24" s="46">
        <v>1</v>
      </c>
      <c r="W24" s="46">
        <v>15</v>
      </c>
      <c r="X24" s="46">
        <v>17</v>
      </c>
      <c r="AE24" s="46">
        <v>1</v>
      </c>
      <c r="AJ24" s="46">
        <v>1</v>
      </c>
      <c r="AL24" s="46">
        <v>1</v>
      </c>
      <c r="AT24" s="46">
        <v>1</v>
      </c>
      <c r="AW24" s="46">
        <v>1</v>
      </c>
      <c r="BB24" s="46">
        <v>1</v>
      </c>
      <c r="BG24" s="46">
        <v>1</v>
      </c>
      <c r="BI24" s="46">
        <v>1</v>
      </c>
      <c r="BV24" s="46">
        <v>1</v>
      </c>
      <c r="BW24" s="46">
        <v>1</v>
      </c>
      <c r="BZ24" s="46">
        <v>1</v>
      </c>
      <c r="CC24" s="46">
        <v>1</v>
      </c>
      <c r="CI24" s="46">
        <v>1</v>
      </c>
      <c r="CU24" s="196">
        <v>45662</v>
      </c>
    </row>
    <row r="25" spans="1:99">
      <c r="A25" s="46" t="s">
        <v>4165</v>
      </c>
      <c r="B25" s="46" t="s">
        <v>4166</v>
      </c>
      <c r="C25" s="46">
        <v>45</v>
      </c>
      <c r="D25" s="46" t="s">
        <v>4167</v>
      </c>
      <c r="E25" s="46" t="s">
        <v>4168</v>
      </c>
      <c r="F25" s="46" t="s">
        <v>112</v>
      </c>
      <c r="H25" s="46">
        <v>1</v>
      </c>
      <c r="M25" s="46">
        <v>1</v>
      </c>
      <c r="R25" s="46">
        <v>1</v>
      </c>
      <c r="T25" s="46">
        <v>1</v>
      </c>
      <c r="X25" s="46">
        <v>17</v>
      </c>
      <c r="Y25" s="46">
        <v>20</v>
      </c>
      <c r="Z25" s="46">
        <v>7</v>
      </c>
      <c r="AA25" s="46">
        <v>7</v>
      </c>
      <c r="AB25" s="46">
        <v>7</v>
      </c>
      <c r="AH25" s="46">
        <v>1</v>
      </c>
      <c r="AI25" s="46">
        <v>1</v>
      </c>
      <c r="AL25" s="46">
        <v>1</v>
      </c>
      <c r="AO25" s="46">
        <v>1</v>
      </c>
      <c r="AT25" s="46">
        <v>1</v>
      </c>
      <c r="AW25" s="46">
        <v>1</v>
      </c>
      <c r="BB25" s="46">
        <v>1</v>
      </c>
      <c r="BG25" s="46">
        <v>1</v>
      </c>
      <c r="BI25" s="46">
        <v>1</v>
      </c>
      <c r="BV25" s="46">
        <v>1</v>
      </c>
      <c r="BW25" s="46">
        <v>1</v>
      </c>
      <c r="BZ25" s="46">
        <v>1</v>
      </c>
      <c r="CC25" s="46">
        <v>1</v>
      </c>
      <c r="CI25" s="46">
        <v>1</v>
      </c>
      <c r="CU25" s="196">
        <v>45662</v>
      </c>
    </row>
    <row r="26" spans="1:99">
      <c r="A26" s="46" t="s">
        <v>4169</v>
      </c>
      <c r="B26" s="46" t="s">
        <v>1101</v>
      </c>
      <c r="C26" s="46">
        <v>48</v>
      </c>
      <c r="D26" s="46" t="s">
        <v>4170</v>
      </c>
      <c r="E26" s="46" t="s">
        <v>4171</v>
      </c>
      <c r="F26" s="46" t="s">
        <v>112</v>
      </c>
      <c r="H26" s="46">
        <v>1</v>
      </c>
      <c r="O26" s="46">
        <v>1</v>
      </c>
      <c r="Q26" s="46">
        <v>1</v>
      </c>
      <c r="T26" s="46">
        <v>1</v>
      </c>
      <c r="W26" s="46">
        <v>14</v>
      </c>
      <c r="X26" s="46">
        <v>14</v>
      </c>
      <c r="Y26" s="46">
        <v>15</v>
      </c>
      <c r="Z26" s="46">
        <v>8</v>
      </c>
      <c r="AA26" s="46">
        <v>12</v>
      </c>
      <c r="AB26" s="46">
        <v>4</v>
      </c>
      <c r="AG26" s="46">
        <v>1</v>
      </c>
      <c r="AH26" s="46">
        <v>1</v>
      </c>
      <c r="AI26" s="46">
        <v>1</v>
      </c>
      <c r="AL26" s="46">
        <v>1</v>
      </c>
      <c r="AQ26" s="46" t="s">
        <v>736</v>
      </c>
      <c r="AT26" s="46">
        <v>1</v>
      </c>
      <c r="AW26" s="46">
        <v>1</v>
      </c>
      <c r="BB26" s="46">
        <v>1</v>
      </c>
      <c r="BG26" s="46">
        <v>1</v>
      </c>
      <c r="BI26" s="46">
        <v>1</v>
      </c>
      <c r="BV26" s="46">
        <v>1</v>
      </c>
      <c r="BW26" s="46">
        <v>1</v>
      </c>
      <c r="BZ26" s="46">
        <v>1</v>
      </c>
      <c r="CC26" s="46">
        <v>1</v>
      </c>
      <c r="CI26" s="46">
        <v>1</v>
      </c>
      <c r="CU26" s="196">
        <v>45662</v>
      </c>
    </row>
    <row r="27" spans="1:99">
      <c r="A27" s="46" t="s">
        <v>4172</v>
      </c>
      <c r="B27" s="46" t="s">
        <v>4173</v>
      </c>
      <c r="C27" s="46">
        <v>38</v>
      </c>
      <c r="D27" s="46" t="s">
        <v>2786</v>
      </c>
      <c r="E27" s="46" t="s">
        <v>4174</v>
      </c>
      <c r="F27" s="46" t="s">
        <v>112</v>
      </c>
      <c r="H27" s="46">
        <v>1</v>
      </c>
      <c r="M27" s="46">
        <v>1</v>
      </c>
      <c r="R27" s="46">
        <v>1</v>
      </c>
      <c r="U27" s="46">
        <v>1</v>
      </c>
      <c r="W27" s="46">
        <v>15</v>
      </c>
      <c r="X27" s="46">
        <v>20</v>
      </c>
      <c r="Y27" s="46">
        <v>22</v>
      </c>
      <c r="Z27" s="46">
        <v>3</v>
      </c>
      <c r="AA27" s="46">
        <v>3</v>
      </c>
      <c r="AB27" s="46">
        <v>2</v>
      </c>
      <c r="AD27" s="46">
        <v>1</v>
      </c>
      <c r="AJ27" s="46">
        <v>1</v>
      </c>
      <c r="AL27" s="46">
        <v>1</v>
      </c>
      <c r="AQ27" s="46" t="s">
        <v>736</v>
      </c>
      <c r="AT27" s="46">
        <v>1</v>
      </c>
      <c r="AW27" s="46">
        <v>1</v>
      </c>
      <c r="BB27" s="46">
        <v>1</v>
      </c>
      <c r="BG27" s="46">
        <v>1</v>
      </c>
      <c r="BI27" s="46">
        <v>1</v>
      </c>
      <c r="BV27" s="46">
        <v>1</v>
      </c>
      <c r="BW27" s="46">
        <v>1</v>
      </c>
      <c r="BZ27" s="46">
        <v>1</v>
      </c>
      <c r="CI27" s="46">
        <v>1</v>
      </c>
      <c r="CU27" s="196">
        <v>45662</v>
      </c>
    </row>
    <row r="28" spans="1:99">
      <c r="A28" s="46" t="s">
        <v>4175</v>
      </c>
      <c r="B28" s="46" t="s">
        <v>4176</v>
      </c>
      <c r="C28" s="46">
        <v>50</v>
      </c>
      <c r="D28" s="46" t="s">
        <v>4177</v>
      </c>
      <c r="E28" s="46" t="s">
        <v>4178</v>
      </c>
      <c r="F28" s="46" t="s">
        <v>112</v>
      </c>
      <c r="J28" s="46">
        <v>1</v>
      </c>
      <c r="P28" s="46">
        <v>1</v>
      </c>
      <c r="R28" s="46">
        <v>1</v>
      </c>
      <c r="T28" s="46">
        <v>1</v>
      </c>
      <c r="W28" s="46">
        <v>15</v>
      </c>
      <c r="X28" s="46">
        <v>18</v>
      </c>
      <c r="Y28" s="46">
        <v>18</v>
      </c>
      <c r="Z28" s="46">
        <v>5</v>
      </c>
      <c r="AA28" s="46">
        <v>5</v>
      </c>
      <c r="AB28" s="46">
        <v>4</v>
      </c>
      <c r="AH28" s="46">
        <v>1</v>
      </c>
      <c r="AJ28" s="46">
        <v>1</v>
      </c>
      <c r="AL28" s="46">
        <v>1</v>
      </c>
      <c r="AQ28" s="46" t="s">
        <v>736</v>
      </c>
      <c r="AT28" s="46">
        <v>1</v>
      </c>
      <c r="AW28" s="46">
        <v>1</v>
      </c>
      <c r="BB28" s="46">
        <v>1</v>
      </c>
      <c r="BG28" s="46">
        <v>1</v>
      </c>
      <c r="BJ28" s="46">
        <v>1</v>
      </c>
      <c r="BV28" s="46">
        <v>1</v>
      </c>
      <c r="BW28" s="46">
        <v>1</v>
      </c>
      <c r="BZ28" s="46">
        <v>1</v>
      </c>
      <c r="CI28" s="46">
        <v>1</v>
      </c>
      <c r="CU28" s="196">
        <v>45662</v>
      </c>
    </row>
    <row r="29" spans="1:99">
      <c r="A29" s="46" t="s">
        <v>4179</v>
      </c>
      <c r="B29" s="46" t="s">
        <v>4180</v>
      </c>
      <c r="C29" s="46">
        <v>53</v>
      </c>
      <c r="D29" s="46" t="s">
        <v>4181</v>
      </c>
      <c r="E29" s="46" t="s">
        <v>4182</v>
      </c>
      <c r="F29" s="46" t="s">
        <v>112</v>
      </c>
      <c r="I29" s="46">
        <v>1</v>
      </c>
      <c r="O29" s="46">
        <v>1</v>
      </c>
      <c r="R29" s="46">
        <v>1</v>
      </c>
      <c r="U29" s="46">
        <v>1</v>
      </c>
      <c r="W29" s="46">
        <v>19</v>
      </c>
      <c r="X29" s="46">
        <v>19</v>
      </c>
      <c r="Y29" s="46">
        <v>22</v>
      </c>
      <c r="Z29" s="46">
        <v>10</v>
      </c>
      <c r="AA29" s="46">
        <v>10</v>
      </c>
      <c r="AB29" s="46">
        <v>7</v>
      </c>
      <c r="AH29" s="46">
        <v>1</v>
      </c>
      <c r="AI29" s="46">
        <v>1</v>
      </c>
      <c r="AL29" s="46">
        <v>1</v>
      </c>
      <c r="AT29" s="46">
        <v>1</v>
      </c>
      <c r="AW29" s="46">
        <v>1</v>
      </c>
      <c r="BB29" s="46">
        <v>1</v>
      </c>
      <c r="BG29" s="46">
        <v>1</v>
      </c>
      <c r="BJ29" s="46">
        <v>1</v>
      </c>
      <c r="BV29" s="46" t="s">
        <v>4183</v>
      </c>
      <c r="BZ29" s="46">
        <v>1</v>
      </c>
      <c r="CI29" s="46">
        <v>1</v>
      </c>
      <c r="CU29" s="196">
        <v>45662</v>
      </c>
    </row>
    <row r="30" spans="1:99">
      <c r="A30" s="46" t="s">
        <v>4184</v>
      </c>
      <c r="B30" s="46" t="s">
        <v>4185</v>
      </c>
      <c r="C30" s="46">
        <v>43</v>
      </c>
      <c r="D30" s="46" t="s">
        <v>4186</v>
      </c>
      <c r="E30" s="46" t="s">
        <v>4187</v>
      </c>
      <c r="F30" s="46" t="s">
        <v>112</v>
      </c>
      <c r="J30" s="46">
        <v>1</v>
      </c>
      <c r="M30" s="46">
        <v>1</v>
      </c>
      <c r="R30" s="46">
        <v>1</v>
      </c>
      <c r="U30" s="46">
        <v>1</v>
      </c>
      <c r="W30" s="46">
        <v>14</v>
      </c>
      <c r="X30" s="46">
        <v>18</v>
      </c>
      <c r="Y30" s="46">
        <v>19</v>
      </c>
      <c r="Z30" s="46">
        <v>10</v>
      </c>
      <c r="AA30" s="46">
        <v>10</v>
      </c>
      <c r="AB30" s="46">
        <v>10</v>
      </c>
      <c r="AE30" s="46">
        <v>1</v>
      </c>
      <c r="AI30" s="46">
        <v>1</v>
      </c>
      <c r="AL30" s="46">
        <v>1</v>
      </c>
      <c r="AO30" s="46">
        <v>1</v>
      </c>
      <c r="AT30" s="46">
        <v>1</v>
      </c>
      <c r="AW30" s="46">
        <v>1</v>
      </c>
      <c r="BB30" s="46">
        <v>1</v>
      </c>
      <c r="BG30" s="46">
        <v>1</v>
      </c>
      <c r="BH30" s="46">
        <v>1</v>
      </c>
      <c r="BV30" s="46">
        <v>1</v>
      </c>
      <c r="BW30" s="46">
        <v>1</v>
      </c>
      <c r="BZ30" s="46">
        <v>1</v>
      </c>
      <c r="CI30" s="46">
        <v>1</v>
      </c>
      <c r="CU30" s="196">
        <v>45662</v>
      </c>
    </row>
    <row r="31" spans="1:99">
      <c r="A31" s="46" t="s">
        <v>4188</v>
      </c>
      <c r="B31" s="46" t="s">
        <v>4189</v>
      </c>
      <c r="C31" s="46">
        <v>45</v>
      </c>
      <c r="D31" s="46" t="s">
        <v>4190</v>
      </c>
      <c r="E31" s="46" t="s">
        <v>4191</v>
      </c>
      <c r="F31" s="46" t="s">
        <v>112</v>
      </c>
      <c r="H31" s="46">
        <v>1</v>
      </c>
      <c r="M31" s="46">
        <v>1</v>
      </c>
      <c r="R31" s="46">
        <v>1</v>
      </c>
      <c r="T31" s="46">
        <v>1</v>
      </c>
      <c r="W31" s="46">
        <v>15</v>
      </c>
      <c r="X31" s="46">
        <v>17</v>
      </c>
      <c r="Y31" s="46">
        <v>19</v>
      </c>
      <c r="Z31" s="46">
        <v>10</v>
      </c>
      <c r="AA31" s="46">
        <v>10</v>
      </c>
      <c r="AB31" s="46">
        <v>8</v>
      </c>
      <c r="AH31" s="46">
        <v>1</v>
      </c>
      <c r="AI31" s="46">
        <v>1</v>
      </c>
      <c r="AM31" s="46">
        <v>1</v>
      </c>
      <c r="AT31" s="46">
        <v>1</v>
      </c>
      <c r="AW31" s="46">
        <v>1</v>
      </c>
      <c r="BA31" s="46">
        <v>1</v>
      </c>
      <c r="BK31" s="46">
        <v>1</v>
      </c>
      <c r="BS31" s="46">
        <v>1</v>
      </c>
      <c r="BW31" s="46">
        <v>1</v>
      </c>
      <c r="BZ31" s="46">
        <v>1</v>
      </c>
      <c r="CI31" s="46">
        <v>1</v>
      </c>
      <c r="CU31" s="196">
        <v>45297</v>
      </c>
    </row>
    <row r="32" spans="1:99">
      <c r="A32" s="46" t="s">
        <v>4192</v>
      </c>
      <c r="B32" s="46" t="s">
        <v>4193</v>
      </c>
      <c r="C32" s="46">
        <v>33</v>
      </c>
      <c r="D32" s="46" t="s">
        <v>2947</v>
      </c>
      <c r="E32" s="46" t="s">
        <v>4194</v>
      </c>
      <c r="F32" s="46" t="s">
        <v>4195</v>
      </c>
      <c r="J32" s="46">
        <v>1</v>
      </c>
      <c r="M32" s="46">
        <v>1</v>
      </c>
      <c r="R32" s="46">
        <v>1</v>
      </c>
      <c r="U32" s="46">
        <v>1</v>
      </c>
      <c r="W32" s="46">
        <v>16</v>
      </c>
      <c r="X32" s="46">
        <v>17</v>
      </c>
      <c r="Y32" s="46">
        <v>17</v>
      </c>
      <c r="Z32" s="46">
        <v>4</v>
      </c>
      <c r="AA32" s="46">
        <v>4</v>
      </c>
      <c r="AB32" s="46">
        <v>4</v>
      </c>
      <c r="AE32" s="46">
        <v>1</v>
      </c>
      <c r="AJ32" s="46">
        <v>1</v>
      </c>
      <c r="AL32" s="46">
        <v>1</v>
      </c>
      <c r="AQ32" s="46" t="s">
        <v>736</v>
      </c>
      <c r="AT32" s="46">
        <v>1</v>
      </c>
      <c r="AW32" s="46">
        <v>1</v>
      </c>
      <c r="BB32" s="46">
        <v>1</v>
      </c>
      <c r="BG32" s="46">
        <v>1</v>
      </c>
      <c r="BI32" s="46">
        <v>1</v>
      </c>
      <c r="BV32" s="46">
        <v>1</v>
      </c>
      <c r="BW32" s="46">
        <v>1</v>
      </c>
      <c r="BZ32" s="46">
        <v>1</v>
      </c>
      <c r="CI32" s="46">
        <v>1</v>
      </c>
      <c r="CU32" s="196">
        <v>46392</v>
      </c>
    </row>
    <row r="33" spans="1:99">
      <c r="A33" s="46" t="s">
        <v>4196</v>
      </c>
      <c r="B33" s="46" t="s">
        <v>4197</v>
      </c>
      <c r="C33" s="46">
        <v>27</v>
      </c>
      <c r="D33" s="46" t="s">
        <v>4198</v>
      </c>
      <c r="E33" s="46" t="s">
        <v>4199</v>
      </c>
      <c r="F33" s="46" t="s">
        <v>122</v>
      </c>
      <c r="G33" s="46">
        <v>1</v>
      </c>
      <c r="L33" s="46">
        <v>1</v>
      </c>
      <c r="U33" s="46">
        <v>1</v>
      </c>
      <c r="W33" s="46">
        <v>13</v>
      </c>
      <c r="X33" s="46">
        <v>13</v>
      </c>
      <c r="Y33" s="46">
        <v>18</v>
      </c>
      <c r="Z33" s="46">
        <v>4</v>
      </c>
      <c r="AA33" s="46">
        <v>2</v>
      </c>
      <c r="AB33" s="46">
        <v>2</v>
      </c>
      <c r="AD33" s="46">
        <v>1</v>
      </c>
      <c r="AE33" s="46">
        <v>1</v>
      </c>
      <c r="AJ33" s="46">
        <v>1</v>
      </c>
      <c r="AL33" s="46">
        <v>1</v>
      </c>
      <c r="AO33" s="46">
        <v>1</v>
      </c>
      <c r="AT33" s="46">
        <v>1</v>
      </c>
      <c r="AZ33" s="46">
        <v>1</v>
      </c>
      <c r="BB33" s="46">
        <v>1</v>
      </c>
      <c r="BG33" s="46">
        <v>1</v>
      </c>
      <c r="BH33" s="46">
        <v>1</v>
      </c>
      <c r="BV33" s="46">
        <v>1</v>
      </c>
      <c r="BW33" s="46">
        <v>1</v>
      </c>
      <c r="BZ33" s="46">
        <v>1</v>
      </c>
      <c r="CI33" s="46">
        <v>1</v>
      </c>
      <c r="CN33" s="46">
        <v>1</v>
      </c>
      <c r="CU33" s="196">
        <v>45662</v>
      </c>
    </row>
    <row r="34" spans="1:99">
      <c r="A34" s="46" t="s">
        <v>4200</v>
      </c>
      <c r="B34" s="46" t="s">
        <v>4201</v>
      </c>
      <c r="C34" s="46">
        <v>25</v>
      </c>
      <c r="D34" s="46" t="s">
        <v>4202</v>
      </c>
      <c r="E34" s="46" t="s">
        <v>4203</v>
      </c>
      <c r="F34" s="46" t="s">
        <v>112</v>
      </c>
      <c r="H34" s="46">
        <v>1</v>
      </c>
      <c r="M34" s="46">
        <v>1</v>
      </c>
      <c r="Q34" s="46">
        <v>1</v>
      </c>
      <c r="T34" s="46">
        <v>1</v>
      </c>
      <c r="W34" s="46">
        <v>15</v>
      </c>
      <c r="X34" s="46">
        <v>18</v>
      </c>
      <c r="Y34" s="46">
        <v>19</v>
      </c>
      <c r="Z34" s="46">
        <v>3</v>
      </c>
      <c r="AA34" s="46">
        <v>3</v>
      </c>
      <c r="AB34" s="46">
        <v>3</v>
      </c>
      <c r="AE34" s="46">
        <v>1</v>
      </c>
      <c r="AG34" s="46">
        <v>1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W34" s="46">
        <v>1</v>
      </c>
      <c r="BZ34" s="46">
        <v>1</v>
      </c>
      <c r="CI34" s="46">
        <v>1</v>
      </c>
      <c r="CU34" s="196">
        <v>45662</v>
      </c>
    </row>
    <row r="35" spans="1:99">
      <c r="A35" s="46" t="s">
        <v>4204</v>
      </c>
      <c r="B35" s="46" t="s">
        <v>4205</v>
      </c>
      <c r="C35" s="46">
        <v>37</v>
      </c>
      <c r="D35" s="46" t="s">
        <v>4206</v>
      </c>
      <c r="E35" s="46" t="s">
        <v>4207</v>
      </c>
      <c r="F35" s="46" t="s">
        <v>112</v>
      </c>
      <c r="H35" s="46">
        <v>1</v>
      </c>
      <c r="O35" s="46">
        <v>1</v>
      </c>
      <c r="Q35" s="46">
        <v>1</v>
      </c>
      <c r="U35" s="46">
        <v>1</v>
      </c>
      <c r="W35" s="46">
        <v>16</v>
      </c>
      <c r="X35" s="46">
        <v>20</v>
      </c>
      <c r="Y35" s="46">
        <v>20</v>
      </c>
      <c r="Z35" s="46">
        <v>3</v>
      </c>
      <c r="AA35" s="46">
        <v>3</v>
      </c>
      <c r="AB35" s="46">
        <v>1</v>
      </c>
      <c r="AD35" s="46">
        <v>1</v>
      </c>
      <c r="AE35" s="46">
        <v>1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X35" s="46">
        <v>1</v>
      </c>
      <c r="BI35" s="46">
        <v>1</v>
      </c>
      <c r="BX35" s="46" t="s">
        <v>952</v>
      </c>
      <c r="BZ35" s="46">
        <v>1</v>
      </c>
      <c r="CI35" s="46">
        <v>1</v>
      </c>
      <c r="CU35" s="196">
        <v>45663</v>
      </c>
    </row>
    <row r="36" spans="1:99">
      <c r="A36" s="46" t="s">
        <v>4208</v>
      </c>
      <c r="B36" s="46" t="s">
        <v>4209</v>
      </c>
      <c r="C36" s="46">
        <v>39</v>
      </c>
      <c r="D36" s="46" t="s">
        <v>4190</v>
      </c>
      <c r="E36" s="46" t="s">
        <v>4210</v>
      </c>
      <c r="F36" s="46" t="s">
        <v>112</v>
      </c>
      <c r="H36" s="46">
        <v>1</v>
      </c>
      <c r="M36" s="46">
        <v>1</v>
      </c>
      <c r="Q36" s="46">
        <v>1</v>
      </c>
      <c r="T36" s="46">
        <v>1</v>
      </c>
      <c r="W36" s="46">
        <v>13</v>
      </c>
      <c r="X36" s="46">
        <v>14</v>
      </c>
      <c r="Y36" s="46">
        <v>14</v>
      </c>
      <c r="Z36" s="46">
        <v>6</v>
      </c>
      <c r="AA36" s="46">
        <v>6</v>
      </c>
      <c r="AB36" s="46">
        <v>6</v>
      </c>
      <c r="AE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W36" s="46">
        <v>1</v>
      </c>
      <c r="BZ36" s="46">
        <v>1</v>
      </c>
      <c r="CI36" s="46">
        <v>1</v>
      </c>
      <c r="CU36" s="196">
        <v>46392</v>
      </c>
    </row>
    <row r="37" spans="1:99">
      <c r="A37" s="46" t="s">
        <v>4211</v>
      </c>
      <c r="B37" s="46" t="s">
        <v>4212</v>
      </c>
      <c r="C37" s="46">
        <v>20</v>
      </c>
      <c r="D37" s="46" t="s">
        <v>4103</v>
      </c>
      <c r="E37" s="46" t="s">
        <v>4213</v>
      </c>
      <c r="F37" s="46" t="s">
        <v>112</v>
      </c>
      <c r="I37" s="46">
        <v>1</v>
      </c>
      <c r="M37" s="46">
        <v>1</v>
      </c>
      <c r="Q37" s="46">
        <v>1</v>
      </c>
      <c r="T37" s="46">
        <v>1</v>
      </c>
      <c r="W37" s="46">
        <v>15</v>
      </c>
      <c r="X37" s="46">
        <v>18</v>
      </c>
      <c r="Y37" s="46">
        <v>19</v>
      </c>
      <c r="Z37" s="46">
        <v>1</v>
      </c>
      <c r="AA37" s="46">
        <v>1</v>
      </c>
      <c r="AB37" s="46">
        <v>1</v>
      </c>
      <c r="AE37" s="46">
        <v>1</v>
      </c>
      <c r="AG37" s="46">
        <v>1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Z37" s="46">
        <v>1</v>
      </c>
      <c r="CI37" s="46">
        <v>1</v>
      </c>
      <c r="CU37" s="196">
        <v>46392</v>
      </c>
    </row>
    <row r="38" spans="1:99">
      <c r="A38" s="46" t="s">
        <v>4214</v>
      </c>
      <c r="B38" s="46" t="s">
        <v>4215</v>
      </c>
      <c r="C38" s="46">
        <v>27</v>
      </c>
      <c r="D38" s="46" t="s">
        <v>4131</v>
      </c>
      <c r="E38" s="46" t="s">
        <v>4216</v>
      </c>
      <c r="F38" s="46" t="s">
        <v>112</v>
      </c>
      <c r="G38" s="46">
        <v>1</v>
      </c>
      <c r="M38" s="46">
        <v>1</v>
      </c>
      <c r="Q38" s="46">
        <v>1</v>
      </c>
      <c r="U38" s="46">
        <v>1</v>
      </c>
      <c r="W38" s="46">
        <v>15</v>
      </c>
      <c r="X38" s="46">
        <v>16</v>
      </c>
      <c r="Y38" s="46">
        <v>16</v>
      </c>
      <c r="Z38" s="46">
        <v>2</v>
      </c>
      <c r="AA38" s="46">
        <v>2</v>
      </c>
      <c r="AB38" s="46">
        <v>2</v>
      </c>
      <c r="AE38" s="46">
        <v>1</v>
      </c>
      <c r="AG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W38" s="46">
        <v>1</v>
      </c>
      <c r="BZ38" s="46">
        <v>1</v>
      </c>
      <c r="CI38" s="46">
        <v>1</v>
      </c>
      <c r="CU38" s="196">
        <v>46392</v>
      </c>
    </row>
    <row r="39" spans="1:99">
      <c r="A39" s="46" t="s">
        <v>4217</v>
      </c>
      <c r="B39" s="46" t="s">
        <v>4218</v>
      </c>
      <c r="C39" s="46">
        <v>27</v>
      </c>
      <c r="D39" s="46" t="s">
        <v>4100</v>
      </c>
      <c r="E39" s="46" t="s">
        <v>4219</v>
      </c>
      <c r="F39" s="46" t="s">
        <v>112</v>
      </c>
      <c r="H39" s="46">
        <v>1</v>
      </c>
      <c r="O39" s="46">
        <v>1</v>
      </c>
      <c r="Q39" s="46">
        <v>1</v>
      </c>
      <c r="T39" s="46">
        <v>1</v>
      </c>
      <c r="W39" s="46">
        <v>16</v>
      </c>
      <c r="X39" s="46">
        <v>16</v>
      </c>
      <c r="Y39" s="46">
        <v>20</v>
      </c>
      <c r="Z39" s="46">
        <v>3</v>
      </c>
      <c r="AA39" s="46">
        <v>3</v>
      </c>
      <c r="AB39" s="46">
        <v>3</v>
      </c>
      <c r="AG39" s="46">
        <v>1</v>
      </c>
      <c r="AH39" s="46">
        <v>1</v>
      </c>
      <c r="AJ39" s="46">
        <v>1</v>
      </c>
      <c r="AK39" s="46">
        <v>1</v>
      </c>
      <c r="AT39" s="46">
        <v>1</v>
      </c>
      <c r="AX39" s="46">
        <v>1</v>
      </c>
      <c r="BA39" s="46">
        <v>1</v>
      </c>
      <c r="BI39" s="46">
        <v>1</v>
      </c>
      <c r="BW39" s="46">
        <v>1</v>
      </c>
      <c r="BZ39" s="46">
        <v>1</v>
      </c>
      <c r="CI39" s="46">
        <v>1</v>
      </c>
      <c r="CU39" s="196">
        <v>46392</v>
      </c>
    </row>
    <row r="40" spans="1:99">
      <c r="A40" s="46" t="s">
        <v>4220</v>
      </c>
      <c r="B40" s="46" t="s">
        <v>4221</v>
      </c>
      <c r="C40" s="46">
        <v>24</v>
      </c>
      <c r="D40" s="46" t="s">
        <v>4222</v>
      </c>
      <c r="E40" s="46" t="s">
        <v>4223</v>
      </c>
      <c r="F40" s="46" t="s">
        <v>112</v>
      </c>
      <c r="I40" s="46">
        <v>1</v>
      </c>
      <c r="M40" s="46">
        <v>1</v>
      </c>
      <c r="Q40" s="46">
        <v>1</v>
      </c>
      <c r="T40" s="46">
        <v>1</v>
      </c>
      <c r="W40" s="46">
        <v>16</v>
      </c>
      <c r="X40" s="46">
        <v>17</v>
      </c>
      <c r="AE40" s="46">
        <v>1</v>
      </c>
      <c r="AG40" s="46">
        <v>1</v>
      </c>
      <c r="AH40" s="46">
        <v>1</v>
      </c>
      <c r="AI40" s="46">
        <v>1</v>
      </c>
      <c r="AM40" s="46">
        <v>1</v>
      </c>
      <c r="AT40" s="46">
        <v>1</v>
      </c>
      <c r="AW40" s="46">
        <v>1</v>
      </c>
      <c r="BA40" s="46">
        <v>1</v>
      </c>
      <c r="BH40" s="46">
        <v>1</v>
      </c>
      <c r="CJ40" s="46">
        <v>1</v>
      </c>
      <c r="CU40" s="196">
        <v>45662</v>
      </c>
    </row>
  </sheetData>
  <autoFilter ref="A3:CU40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9"/>
  <sheetViews>
    <sheetView workbookViewId="0"/>
  </sheetViews>
  <sheetFormatPr defaultColWidth="14.42578125" defaultRowHeight="15" customHeight="1"/>
  <sheetData>
    <row r="1" spans="1:32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182" t="s">
        <v>356</v>
      </c>
      <c r="AF1" s="183"/>
    </row>
    <row r="2" spans="1:32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  <c r="AF2" s="185" t="s">
        <v>3430</v>
      </c>
    </row>
    <row r="3" spans="1:32">
      <c r="A3" s="68" t="s">
        <v>1361</v>
      </c>
      <c r="B3" s="69">
        <v>0</v>
      </c>
      <c r="C3" s="69">
        <v>0</v>
      </c>
      <c r="D3" s="69">
        <v>1</v>
      </c>
      <c r="E3" s="69">
        <f t="shared" ref="E3:E8" si="0">SUM(B3:D3)</f>
        <v>1</v>
      </c>
      <c r="F3" s="70">
        <v>0</v>
      </c>
      <c r="G3" s="70">
        <v>0</v>
      </c>
      <c r="H3" s="70">
        <v>1</v>
      </c>
      <c r="I3" s="70">
        <v>0</v>
      </c>
      <c r="J3" s="71">
        <f t="shared" ref="J3:J9" si="1">SUM(F3:I3)</f>
        <v>1</v>
      </c>
      <c r="K3" s="70">
        <v>0</v>
      </c>
      <c r="L3" s="70">
        <v>0</v>
      </c>
      <c r="M3" s="70">
        <v>0</v>
      </c>
      <c r="N3" s="70">
        <v>0</v>
      </c>
      <c r="O3" s="71">
        <f t="shared" ref="O3:O9" si="2">SUM(K3:N3)</f>
        <v>0</v>
      </c>
      <c r="P3" s="70">
        <v>0</v>
      </c>
      <c r="Q3" s="70">
        <v>0</v>
      </c>
      <c r="R3" s="70">
        <v>0</v>
      </c>
      <c r="S3" s="71">
        <f t="shared" ref="S3:S8" si="3">SUM(P3:R3)</f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/>
      <c r="Z3" s="73">
        <v>0</v>
      </c>
      <c r="AA3" s="73">
        <v>0</v>
      </c>
      <c r="AB3" s="73">
        <v>0</v>
      </c>
      <c r="AC3" s="73">
        <v>1</v>
      </c>
      <c r="AD3" s="186">
        <f t="shared" ref="AD3:AD8" si="4">SUM(O3,Z3,AA3,AB3,AC3)</f>
        <v>1</v>
      </c>
      <c r="AE3" s="73">
        <v>0</v>
      </c>
      <c r="AF3" s="73">
        <v>0</v>
      </c>
    </row>
    <row r="4" spans="1:32">
      <c r="A4" s="74" t="s">
        <v>4224</v>
      </c>
      <c r="B4" s="69">
        <v>10</v>
      </c>
      <c r="C4" s="69">
        <v>5</v>
      </c>
      <c r="D4" s="69">
        <v>2</v>
      </c>
      <c r="E4" s="69">
        <f t="shared" si="0"/>
        <v>17</v>
      </c>
      <c r="F4" s="70">
        <v>2</v>
      </c>
      <c r="G4" s="70">
        <v>12</v>
      </c>
      <c r="H4" s="70">
        <v>0</v>
      </c>
      <c r="I4" s="70">
        <v>3</v>
      </c>
      <c r="J4" s="71">
        <f t="shared" si="1"/>
        <v>17</v>
      </c>
      <c r="K4" s="70">
        <v>0</v>
      </c>
      <c r="L4" s="70">
        <v>0</v>
      </c>
      <c r="M4" s="70">
        <v>0</v>
      </c>
      <c r="N4" s="70">
        <v>0</v>
      </c>
      <c r="O4" s="71">
        <f t="shared" si="2"/>
        <v>0</v>
      </c>
      <c r="P4" s="70">
        <v>5</v>
      </c>
      <c r="Q4" s="70">
        <v>0</v>
      </c>
      <c r="R4" s="70">
        <v>12</v>
      </c>
      <c r="S4" s="71">
        <f t="shared" si="3"/>
        <v>17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/>
      <c r="Z4" s="73">
        <v>15</v>
      </c>
      <c r="AA4" s="73">
        <v>1</v>
      </c>
      <c r="AB4" s="73"/>
      <c r="AC4" s="73">
        <v>1</v>
      </c>
      <c r="AD4" s="186">
        <f t="shared" si="4"/>
        <v>17</v>
      </c>
      <c r="AE4" s="73">
        <v>0</v>
      </c>
      <c r="AF4" s="73">
        <v>1</v>
      </c>
    </row>
    <row r="5" spans="1:32">
      <c r="A5" s="77" t="s">
        <v>1363</v>
      </c>
      <c r="B5" s="69">
        <v>4</v>
      </c>
      <c r="C5" s="69">
        <v>3</v>
      </c>
      <c r="D5" s="69">
        <v>0</v>
      </c>
      <c r="E5" s="69">
        <f t="shared" si="0"/>
        <v>7</v>
      </c>
      <c r="F5" s="70">
        <v>0</v>
      </c>
      <c r="G5" s="70">
        <v>2</v>
      </c>
      <c r="H5" s="70">
        <v>0</v>
      </c>
      <c r="I5" s="70">
        <v>5</v>
      </c>
      <c r="J5" s="71">
        <f t="shared" si="1"/>
        <v>7</v>
      </c>
      <c r="K5" s="70">
        <v>0</v>
      </c>
      <c r="L5" s="70">
        <v>0</v>
      </c>
      <c r="M5" s="70">
        <v>0</v>
      </c>
      <c r="N5" s="70">
        <v>0</v>
      </c>
      <c r="O5" s="71">
        <f t="shared" si="2"/>
        <v>0</v>
      </c>
      <c r="P5" s="70">
        <v>3</v>
      </c>
      <c r="Q5" s="70">
        <v>0</v>
      </c>
      <c r="R5" s="70">
        <v>4</v>
      </c>
      <c r="S5" s="71">
        <f t="shared" si="3"/>
        <v>7</v>
      </c>
      <c r="T5" s="75">
        <v>0</v>
      </c>
      <c r="U5" s="75">
        <v>0</v>
      </c>
      <c r="V5" s="75">
        <v>0</v>
      </c>
      <c r="W5" s="75">
        <v>0</v>
      </c>
      <c r="X5" s="75">
        <v>1</v>
      </c>
      <c r="Y5" s="75"/>
      <c r="Z5" s="73">
        <v>7</v>
      </c>
      <c r="AA5" s="73">
        <v>0</v>
      </c>
      <c r="AB5" s="73">
        <v>0</v>
      </c>
      <c r="AC5" s="73">
        <v>0</v>
      </c>
      <c r="AD5" s="186">
        <f t="shared" si="4"/>
        <v>7</v>
      </c>
      <c r="AE5" s="73">
        <v>0</v>
      </c>
      <c r="AF5" s="73">
        <v>0</v>
      </c>
    </row>
    <row r="6" spans="1:32">
      <c r="A6" s="77" t="s">
        <v>4225</v>
      </c>
      <c r="B6" s="69">
        <v>1</v>
      </c>
      <c r="C6" s="69">
        <v>5</v>
      </c>
      <c r="D6" s="69">
        <v>1</v>
      </c>
      <c r="E6" s="69">
        <f t="shared" si="0"/>
        <v>7</v>
      </c>
      <c r="F6" s="70">
        <v>2</v>
      </c>
      <c r="G6" s="70">
        <v>0</v>
      </c>
      <c r="H6" s="70">
        <v>0</v>
      </c>
      <c r="I6" s="70">
        <v>2</v>
      </c>
      <c r="J6" s="71">
        <f t="shared" si="1"/>
        <v>4</v>
      </c>
      <c r="K6" s="70">
        <v>2</v>
      </c>
      <c r="L6" s="70">
        <v>1</v>
      </c>
      <c r="M6" s="70">
        <v>0</v>
      </c>
      <c r="N6" s="70">
        <v>0</v>
      </c>
      <c r="O6" s="71">
        <f t="shared" si="2"/>
        <v>3</v>
      </c>
      <c r="P6" s="70">
        <v>4</v>
      </c>
      <c r="Q6" s="70">
        <v>0</v>
      </c>
      <c r="R6" s="70">
        <v>7</v>
      </c>
      <c r="S6" s="71">
        <f t="shared" si="3"/>
        <v>11</v>
      </c>
      <c r="T6" s="75">
        <v>0</v>
      </c>
      <c r="U6" s="75">
        <v>0</v>
      </c>
      <c r="V6" s="75">
        <v>0</v>
      </c>
      <c r="W6" s="75">
        <v>1</v>
      </c>
      <c r="X6" s="75">
        <v>0</v>
      </c>
      <c r="Y6" s="75"/>
      <c r="Z6" s="73">
        <v>5</v>
      </c>
      <c r="AA6" s="73">
        <v>1</v>
      </c>
      <c r="AB6" s="73">
        <v>0</v>
      </c>
      <c r="AC6" s="73">
        <v>1</v>
      </c>
      <c r="AD6" s="186">
        <f t="shared" si="4"/>
        <v>10</v>
      </c>
      <c r="AE6" s="73">
        <v>0</v>
      </c>
      <c r="AF6" s="73">
        <v>1</v>
      </c>
    </row>
    <row r="7" spans="1:32">
      <c r="A7" s="77" t="s">
        <v>776</v>
      </c>
      <c r="B7" s="69">
        <v>3</v>
      </c>
      <c r="C7" s="69">
        <v>1</v>
      </c>
      <c r="D7" s="69">
        <v>0</v>
      </c>
      <c r="E7" s="69">
        <f t="shared" si="0"/>
        <v>4</v>
      </c>
      <c r="F7" s="70">
        <v>0</v>
      </c>
      <c r="G7" s="70">
        <v>1</v>
      </c>
      <c r="H7" s="70">
        <v>0</v>
      </c>
      <c r="I7" s="70">
        <v>1</v>
      </c>
      <c r="J7" s="71">
        <f t="shared" si="1"/>
        <v>2</v>
      </c>
      <c r="K7" s="70">
        <v>3</v>
      </c>
      <c r="L7" s="70">
        <v>0</v>
      </c>
      <c r="M7" s="70">
        <v>0</v>
      </c>
      <c r="N7" s="70">
        <v>0</v>
      </c>
      <c r="O7" s="71">
        <f t="shared" si="2"/>
        <v>3</v>
      </c>
      <c r="P7" s="70">
        <v>0</v>
      </c>
      <c r="Q7" s="70">
        <v>0</v>
      </c>
      <c r="R7" s="70">
        <v>0</v>
      </c>
      <c r="S7" s="71">
        <f t="shared" si="3"/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/>
      <c r="Z7" s="73">
        <v>4</v>
      </c>
      <c r="AA7" s="73">
        <v>0</v>
      </c>
      <c r="AB7" s="73">
        <v>0</v>
      </c>
      <c r="AC7" s="73">
        <v>0</v>
      </c>
      <c r="AD7" s="186">
        <f t="shared" si="4"/>
        <v>7</v>
      </c>
      <c r="AE7" s="73">
        <v>0</v>
      </c>
      <c r="AF7" s="73">
        <v>0</v>
      </c>
    </row>
    <row r="8" spans="1:32">
      <c r="A8" s="78" t="s">
        <v>556</v>
      </c>
      <c r="B8" s="79">
        <v>1</v>
      </c>
      <c r="C8" s="79">
        <v>0</v>
      </c>
      <c r="D8" s="79">
        <v>0</v>
      </c>
      <c r="E8" s="69">
        <f t="shared" si="0"/>
        <v>1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1</v>
      </c>
      <c r="L8" s="80">
        <v>0</v>
      </c>
      <c r="M8" s="80">
        <v>0</v>
      </c>
      <c r="N8" s="80">
        <v>0</v>
      </c>
      <c r="O8" s="71">
        <f t="shared" si="2"/>
        <v>1</v>
      </c>
      <c r="P8" s="80">
        <v>0</v>
      </c>
      <c r="Q8" s="80">
        <v>0</v>
      </c>
      <c r="R8" s="80">
        <v>0</v>
      </c>
      <c r="S8" s="71">
        <f t="shared" si="3"/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/>
      <c r="Z8" s="82">
        <v>0</v>
      </c>
      <c r="AA8" s="82">
        <v>0</v>
      </c>
      <c r="AB8" s="82">
        <v>0</v>
      </c>
      <c r="AC8" s="82">
        <v>0</v>
      </c>
      <c r="AD8" s="186">
        <f t="shared" si="4"/>
        <v>1</v>
      </c>
      <c r="AE8" s="82">
        <v>0</v>
      </c>
      <c r="AF8" s="82">
        <v>0</v>
      </c>
    </row>
    <row r="9" spans="1:32">
      <c r="A9" s="69" t="s">
        <v>376</v>
      </c>
      <c r="B9" s="69">
        <f t="shared" ref="B9:I9" si="5">SUM(B3:B8)</f>
        <v>19</v>
      </c>
      <c r="C9" s="69">
        <f t="shared" si="5"/>
        <v>14</v>
      </c>
      <c r="D9" s="69">
        <f t="shared" si="5"/>
        <v>4</v>
      </c>
      <c r="E9" s="69">
        <f t="shared" si="5"/>
        <v>37</v>
      </c>
      <c r="F9" s="69">
        <f t="shared" si="5"/>
        <v>4</v>
      </c>
      <c r="G9" s="69">
        <f t="shared" si="5"/>
        <v>15</v>
      </c>
      <c r="H9" s="69">
        <f t="shared" si="5"/>
        <v>1</v>
      </c>
      <c r="I9" s="69">
        <f t="shared" si="5"/>
        <v>11</v>
      </c>
      <c r="J9" s="71">
        <f t="shared" si="1"/>
        <v>31</v>
      </c>
      <c r="K9" s="114">
        <f>SUM(K3:K8)</f>
        <v>6</v>
      </c>
      <c r="L9" s="114">
        <f>SUM(L3:L8)</f>
        <v>1</v>
      </c>
      <c r="M9" s="114">
        <f>SUM(M3:M8)</f>
        <v>0</v>
      </c>
      <c r="N9" s="114">
        <f>SUM(N3:N8)</f>
        <v>0</v>
      </c>
      <c r="O9" s="71">
        <f t="shared" si="2"/>
        <v>7</v>
      </c>
      <c r="P9" s="114">
        <f t="shared" ref="P9:AF9" si="6">SUM(P3:P8)</f>
        <v>12</v>
      </c>
      <c r="Q9" s="114">
        <f t="shared" si="6"/>
        <v>0</v>
      </c>
      <c r="R9" s="114">
        <f t="shared" si="6"/>
        <v>23</v>
      </c>
      <c r="S9" s="71">
        <f t="shared" si="6"/>
        <v>35</v>
      </c>
      <c r="T9" s="114">
        <f t="shared" si="6"/>
        <v>0</v>
      </c>
      <c r="U9" s="114">
        <f t="shared" si="6"/>
        <v>0</v>
      </c>
      <c r="V9" s="114">
        <f t="shared" si="6"/>
        <v>0</v>
      </c>
      <c r="W9" s="114">
        <f t="shared" si="6"/>
        <v>1</v>
      </c>
      <c r="X9" s="114">
        <f t="shared" si="6"/>
        <v>1</v>
      </c>
      <c r="Y9" s="114">
        <f t="shared" si="6"/>
        <v>0</v>
      </c>
      <c r="Z9" s="73">
        <f t="shared" si="6"/>
        <v>31</v>
      </c>
      <c r="AA9" s="73">
        <f t="shared" si="6"/>
        <v>2</v>
      </c>
      <c r="AB9" s="73">
        <f t="shared" si="6"/>
        <v>0</v>
      </c>
      <c r="AC9" s="73">
        <f t="shared" si="6"/>
        <v>3</v>
      </c>
      <c r="AD9" s="73">
        <f t="shared" si="6"/>
        <v>43</v>
      </c>
      <c r="AE9" s="73">
        <f t="shared" si="6"/>
        <v>0</v>
      </c>
      <c r="AF9" s="73">
        <f t="shared" si="6"/>
        <v>2</v>
      </c>
    </row>
  </sheetData>
  <mergeCells count="7">
    <mergeCell ref="T1:Y1"/>
    <mergeCell ref="Z1:AD1"/>
    <mergeCell ref="A1:A2"/>
    <mergeCell ref="B1:E1"/>
    <mergeCell ref="F1:H1"/>
    <mergeCell ref="K1:O1"/>
    <mergeCell ref="P1:S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27"/>
  <sheetViews>
    <sheetView workbookViewId="0">
      <pane xSplit="5" ySplit="15" topLeftCell="F16" activePane="bottomRight" state="frozen"/>
      <selection pane="topRight" activeCell="F1" sqref="F1"/>
      <selection pane="bottomLeft" activeCell="A16" sqref="A16"/>
      <selection pane="bottomRight" activeCell="F16" sqref="F16"/>
    </sheetView>
  </sheetViews>
  <sheetFormatPr defaultColWidth="14.42578125" defaultRowHeight="15" customHeight="1"/>
  <cols>
    <col min="1" max="1" width="10.140625" customWidth="1"/>
    <col min="2" max="2" width="19.85546875" customWidth="1"/>
    <col min="3" max="3" width="10" customWidth="1"/>
    <col min="5" max="5" width="18.140625" customWidth="1"/>
  </cols>
  <sheetData>
    <row r="1" spans="1:99">
      <c r="A1" s="525" t="s">
        <v>4226</v>
      </c>
      <c r="B1" s="480"/>
      <c r="C1" s="526" t="s">
        <v>4227</v>
      </c>
      <c r="D1" s="481"/>
      <c r="E1" s="480"/>
      <c r="F1" s="198" t="s">
        <v>4228</v>
      </c>
      <c r="G1" s="527" t="s">
        <v>2</v>
      </c>
      <c r="H1" s="468"/>
      <c r="I1" s="468"/>
      <c r="J1" s="468"/>
      <c r="K1" s="469"/>
      <c r="L1" s="524" t="s">
        <v>3</v>
      </c>
      <c r="M1" s="456"/>
      <c r="N1" s="456"/>
      <c r="O1" s="456"/>
      <c r="P1" s="461"/>
      <c r="Q1" s="511" t="s">
        <v>4</v>
      </c>
      <c r="R1" s="461"/>
      <c r="S1" s="524" t="s">
        <v>5</v>
      </c>
      <c r="T1" s="456"/>
      <c r="U1" s="456"/>
      <c r="V1" s="461"/>
      <c r="W1" s="511" t="s">
        <v>6</v>
      </c>
      <c r="X1" s="456"/>
      <c r="Y1" s="456"/>
      <c r="Z1" s="456"/>
      <c r="AA1" s="456"/>
      <c r="AB1" s="461"/>
      <c r="AC1" s="512" t="s">
        <v>7</v>
      </c>
      <c r="AD1" s="456"/>
      <c r="AE1" s="456"/>
      <c r="AF1" s="456"/>
      <c r="AG1" s="456"/>
      <c r="AH1" s="461"/>
      <c r="AI1" s="511" t="s">
        <v>8</v>
      </c>
      <c r="AJ1" s="461"/>
      <c r="AK1" s="524" t="s">
        <v>9</v>
      </c>
      <c r="AL1" s="456"/>
      <c r="AM1" s="461"/>
      <c r="AN1" s="512" t="s">
        <v>10</v>
      </c>
      <c r="AO1" s="456"/>
      <c r="AP1" s="461"/>
      <c r="AQ1" s="524" t="s">
        <v>11</v>
      </c>
      <c r="AR1" s="456"/>
      <c r="AS1" s="461"/>
      <c r="AT1" s="511" t="s">
        <v>12</v>
      </c>
      <c r="AU1" s="461"/>
      <c r="AV1" s="512" t="s">
        <v>13</v>
      </c>
      <c r="AW1" s="456"/>
      <c r="AX1" s="456"/>
      <c r="AY1" s="456"/>
      <c r="AZ1" s="461"/>
      <c r="BA1" s="520" t="s">
        <v>14</v>
      </c>
      <c r="BB1" s="468"/>
      <c r="BC1" s="468"/>
      <c r="BD1" s="468"/>
      <c r="BE1" s="468"/>
      <c r="BF1" s="468"/>
      <c r="BG1" s="469"/>
      <c r="BH1" s="511" t="s">
        <v>16</v>
      </c>
      <c r="BI1" s="456"/>
      <c r="BJ1" s="456"/>
      <c r="BK1" s="456"/>
      <c r="BL1" s="456"/>
      <c r="BM1" s="521"/>
      <c r="BN1" s="512" t="s">
        <v>17</v>
      </c>
      <c r="BO1" s="456"/>
      <c r="BP1" s="461"/>
      <c r="BQ1" s="522" t="s">
        <v>18</v>
      </c>
      <c r="BR1" s="469"/>
      <c r="BS1" s="199"/>
      <c r="BT1" s="200"/>
      <c r="BU1" s="522" t="s">
        <v>19</v>
      </c>
      <c r="BV1" s="468"/>
      <c r="BW1" s="468"/>
      <c r="BX1" s="468"/>
      <c r="BY1" s="469"/>
      <c r="BZ1" s="511" t="s">
        <v>20</v>
      </c>
      <c r="CA1" s="456"/>
      <c r="CB1" s="461"/>
      <c r="CC1" s="523" t="s">
        <v>21</v>
      </c>
      <c r="CD1" s="468"/>
      <c r="CE1" s="201" t="s">
        <v>22</v>
      </c>
      <c r="CF1" s="523" t="s">
        <v>23</v>
      </c>
      <c r="CG1" s="468"/>
      <c r="CH1" s="469"/>
      <c r="CI1" s="511" t="s">
        <v>16</v>
      </c>
      <c r="CJ1" s="456"/>
      <c r="CK1" s="456"/>
      <c r="CL1" s="202"/>
      <c r="CM1" s="512" t="s">
        <v>24</v>
      </c>
      <c r="CN1" s="461"/>
      <c r="CO1" s="512" t="s">
        <v>25</v>
      </c>
      <c r="CP1" s="456"/>
      <c r="CQ1" s="203"/>
      <c r="CR1" s="204" t="s">
        <v>26</v>
      </c>
      <c r="CS1" s="203"/>
      <c r="CT1" s="205"/>
      <c r="CU1" s="206"/>
    </row>
    <row r="2" spans="1:99">
      <c r="A2" s="177"/>
      <c r="B2" s="147"/>
      <c r="C2" s="147"/>
      <c r="D2" s="147"/>
      <c r="E2" s="147"/>
      <c r="F2" s="207"/>
      <c r="G2" s="205"/>
      <c r="H2" s="205"/>
      <c r="I2" s="205"/>
      <c r="J2" s="205"/>
      <c r="K2" s="208"/>
      <c r="L2" s="209"/>
      <c r="M2" s="209"/>
      <c r="N2" s="209"/>
      <c r="O2" s="209"/>
      <c r="P2" s="210"/>
      <c r="Q2" s="211"/>
      <c r="R2" s="207"/>
      <c r="S2" s="209"/>
      <c r="T2" s="209"/>
      <c r="U2" s="209"/>
      <c r="V2" s="210"/>
      <c r="W2" s="212"/>
      <c r="X2" s="212"/>
      <c r="Y2" s="212"/>
      <c r="Z2" s="212"/>
      <c r="AA2" s="212"/>
      <c r="AB2" s="210"/>
      <c r="AC2" s="209"/>
      <c r="AD2" s="209"/>
      <c r="AE2" s="209"/>
      <c r="AF2" s="209"/>
      <c r="AG2" s="209"/>
      <c r="AH2" s="210"/>
      <c r="AI2" s="209"/>
      <c r="AJ2" s="210"/>
      <c r="AK2" s="209"/>
      <c r="AL2" s="209"/>
      <c r="AM2" s="210"/>
      <c r="AN2" s="209"/>
      <c r="AO2" s="209"/>
      <c r="AP2" s="210"/>
      <c r="AQ2" s="209"/>
      <c r="AR2" s="209"/>
      <c r="AS2" s="210"/>
      <c r="AT2" s="212"/>
      <c r="AU2" s="210"/>
      <c r="AV2" s="209"/>
      <c r="AW2" s="209"/>
      <c r="AX2" s="209"/>
      <c r="AY2" s="209"/>
      <c r="AZ2" s="210"/>
      <c r="BA2" s="213"/>
      <c r="BB2" s="213"/>
      <c r="BC2" s="213"/>
      <c r="BD2" s="213"/>
      <c r="BE2" s="214"/>
      <c r="BF2" s="515" t="s">
        <v>15</v>
      </c>
      <c r="BG2" s="516"/>
      <c r="BH2" s="517" t="s">
        <v>78</v>
      </c>
      <c r="BI2" s="516"/>
      <c r="BJ2" s="518" t="s">
        <v>354</v>
      </c>
      <c r="BK2" s="519"/>
      <c r="BL2" s="519"/>
      <c r="BM2" s="516"/>
      <c r="BN2" s="209"/>
      <c r="BO2" s="209"/>
      <c r="BP2" s="210"/>
      <c r="BQ2" s="215"/>
      <c r="BR2" s="215"/>
      <c r="BS2" s="215"/>
      <c r="BT2" s="216"/>
      <c r="BU2" s="215"/>
      <c r="BV2" s="215"/>
      <c r="BW2" s="215"/>
      <c r="BX2" s="215"/>
      <c r="BY2" s="215"/>
      <c r="BZ2" s="213"/>
      <c r="CA2" s="213"/>
      <c r="CB2" s="214"/>
      <c r="CC2" s="213"/>
      <c r="CD2" s="213"/>
      <c r="CE2" s="213"/>
      <c r="CF2" s="213"/>
      <c r="CG2" s="213"/>
      <c r="CH2" s="214"/>
      <c r="CI2" s="209"/>
      <c r="CJ2" s="209"/>
      <c r="CK2" s="209"/>
      <c r="CL2" s="212"/>
      <c r="CM2" s="209"/>
      <c r="CN2" s="210"/>
      <c r="CO2" s="211"/>
      <c r="CP2" s="211"/>
      <c r="CQ2" s="217" t="s">
        <v>893</v>
      </c>
      <c r="CR2" s="212"/>
      <c r="CS2" s="211"/>
      <c r="CT2" s="218"/>
      <c r="CU2" s="218"/>
    </row>
    <row r="3" spans="1:99">
      <c r="A3" s="219" t="s">
        <v>28</v>
      </c>
      <c r="B3" s="220" t="s">
        <v>29</v>
      </c>
      <c r="C3" s="220" t="s">
        <v>30</v>
      </c>
      <c r="D3" s="220" t="s">
        <v>31</v>
      </c>
      <c r="E3" s="220" t="s">
        <v>32</v>
      </c>
      <c r="F3" s="221" t="s">
        <v>33</v>
      </c>
      <c r="G3" s="220" t="s">
        <v>34</v>
      </c>
      <c r="H3" s="220" t="s">
        <v>35</v>
      </c>
      <c r="I3" s="220" t="s">
        <v>36</v>
      </c>
      <c r="J3" s="221" t="s">
        <v>37</v>
      </c>
      <c r="K3" s="221" t="s">
        <v>38</v>
      </c>
      <c r="L3" s="220" t="s">
        <v>39</v>
      </c>
      <c r="M3" s="220" t="s">
        <v>40</v>
      </c>
      <c r="N3" s="220" t="s">
        <v>41</v>
      </c>
      <c r="O3" s="220" t="s">
        <v>42</v>
      </c>
      <c r="P3" s="221" t="s">
        <v>43</v>
      </c>
      <c r="Q3" s="222" t="s">
        <v>44</v>
      </c>
      <c r="R3" s="221" t="s">
        <v>45</v>
      </c>
      <c r="S3" s="220" t="s">
        <v>46</v>
      </c>
      <c r="T3" s="220" t="s">
        <v>47</v>
      </c>
      <c r="U3" s="220" t="s">
        <v>48</v>
      </c>
      <c r="V3" s="221" t="s">
        <v>49</v>
      </c>
      <c r="W3" s="223" t="s">
        <v>50</v>
      </c>
      <c r="X3" s="223" t="s">
        <v>51</v>
      </c>
      <c r="Y3" s="223" t="s">
        <v>52</v>
      </c>
      <c r="Z3" s="223" t="s">
        <v>53</v>
      </c>
      <c r="AA3" s="223" t="s">
        <v>54</v>
      </c>
      <c r="AB3" s="224" t="s">
        <v>55</v>
      </c>
      <c r="AC3" s="223" t="s">
        <v>56</v>
      </c>
      <c r="AD3" s="223" t="s">
        <v>57</v>
      </c>
      <c r="AE3" s="223" t="s">
        <v>58</v>
      </c>
      <c r="AF3" s="223" t="s">
        <v>59</v>
      </c>
      <c r="AG3" s="223" t="s">
        <v>60</v>
      </c>
      <c r="AH3" s="224" t="s">
        <v>61</v>
      </c>
      <c r="AI3" s="225" t="s">
        <v>62</v>
      </c>
      <c r="AJ3" s="224" t="s">
        <v>63</v>
      </c>
      <c r="AK3" s="220" t="s">
        <v>64</v>
      </c>
      <c r="AL3" s="220" t="s">
        <v>65</v>
      </c>
      <c r="AM3" s="221" t="s">
        <v>66</v>
      </c>
      <c r="AN3" s="223" t="s">
        <v>67</v>
      </c>
      <c r="AO3" s="223" t="s">
        <v>68</v>
      </c>
      <c r="AP3" s="224" t="s">
        <v>69</v>
      </c>
      <c r="AQ3" s="223" t="s">
        <v>70</v>
      </c>
      <c r="AR3" s="223" t="s">
        <v>71</v>
      </c>
      <c r="AS3" s="224" t="s">
        <v>72</v>
      </c>
      <c r="AT3" s="223" t="s">
        <v>56</v>
      </c>
      <c r="AU3" s="224" t="s">
        <v>73</v>
      </c>
      <c r="AV3" s="223" t="s">
        <v>46</v>
      </c>
      <c r="AW3" s="223" t="s">
        <v>895</v>
      </c>
      <c r="AX3" s="226" t="s">
        <v>75</v>
      </c>
      <c r="AY3" s="226" t="s">
        <v>76</v>
      </c>
      <c r="AZ3" s="224" t="s">
        <v>77</v>
      </c>
      <c r="BA3" s="223" t="s">
        <v>56</v>
      </c>
      <c r="BB3" s="223" t="s">
        <v>78</v>
      </c>
      <c r="BC3" s="223" t="s">
        <v>79</v>
      </c>
      <c r="BD3" s="223" t="s">
        <v>80</v>
      </c>
      <c r="BE3" s="224" t="s">
        <v>38</v>
      </c>
      <c r="BF3" s="227" t="s">
        <v>81</v>
      </c>
      <c r="BG3" s="224" t="s">
        <v>82</v>
      </c>
      <c r="BH3" s="223" t="s">
        <v>83</v>
      </c>
      <c r="BI3" s="223" t="s">
        <v>81</v>
      </c>
      <c r="BJ3" s="223" t="s">
        <v>96</v>
      </c>
      <c r="BK3" s="223" t="s">
        <v>84</v>
      </c>
      <c r="BL3" s="223" t="s">
        <v>85</v>
      </c>
      <c r="BM3" s="223" t="s">
        <v>86</v>
      </c>
      <c r="BN3" s="223" t="s">
        <v>73</v>
      </c>
      <c r="BO3" s="223" t="s">
        <v>87</v>
      </c>
      <c r="BP3" s="224" t="s">
        <v>56</v>
      </c>
      <c r="BQ3" s="223" t="s">
        <v>83</v>
      </c>
      <c r="BR3" s="225" t="s">
        <v>88</v>
      </c>
      <c r="BS3" s="225" t="s">
        <v>89</v>
      </c>
      <c r="BT3" s="208"/>
      <c r="BU3" s="223" t="s">
        <v>90</v>
      </c>
      <c r="BV3" s="223" t="s">
        <v>91</v>
      </c>
      <c r="BW3" s="223" t="s">
        <v>92</v>
      </c>
      <c r="BX3" s="223" t="s">
        <v>93</v>
      </c>
      <c r="BY3" s="224" t="s">
        <v>94</v>
      </c>
      <c r="BZ3" s="225" t="s">
        <v>56</v>
      </c>
      <c r="CA3" s="225" t="s">
        <v>73</v>
      </c>
      <c r="CB3" s="224" t="s">
        <v>22</v>
      </c>
      <c r="CC3" s="223" t="s">
        <v>56</v>
      </c>
      <c r="CD3" s="223" t="s">
        <v>73</v>
      </c>
      <c r="CE3" s="223" t="s">
        <v>1275</v>
      </c>
      <c r="CF3" s="223" t="s">
        <v>83</v>
      </c>
      <c r="CG3" s="223" t="s">
        <v>88</v>
      </c>
      <c r="CH3" s="224" t="s">
        <v>896</v>
      </c>
      <c r="CI3" s="228" t="s">
        <v>96</v>
      </c>
      <c r="CJ3" s="228" t="s">
        <v>97</v>
      </c>
      <c r="CK3" s="228" t="s">
        <v>98</v>
      </c>
      <c r="CL3" s="228" t="s">
        <v>1276</v>
      </c>
      <c r="CM3" s="223" t="s">
        <v>73</v>
      </c>
      <c r="CN3" s="224" t="s">
        <v>56</v>
      </c>
      <c r="CO3" s="223" t="s">
        <v>99</v>
      </c>
      <c r="CP3" s="225" t="s">
        <v>56</v>
      </c>
      <c r="CQ3" s="208"/>
      <c r="CR3" s="513" t="s">
        <v>100</v>
      </c>
      <c r="CS3" s="514"/>
      <c r="CT3" s="229" t="s">
        <v>101</v>
      </c>
      <c r="CU3" s="230" t="s">
        <v>102</v>
      </c>
    </row>
    <row r="4" spans="1:99">
      <c r="A4" s="46" t="s">
        <v>4229</v>
      </c>
      <c r="B4" s="46" t="s">
        <v>4230</v>
      </c>
      <c r="C4" s="46">
        <v>23</v>
      </c>
      <c r="D4" s="46" t="s">
        <v>4231</v>
      </c>
      <c r="E4" s="46" t="s">
        <v>4232</v>
      </c>
      <c r="F4" s="46" t="s">
        <v>4233</v>
      </c>
      <c r="H4" s="46">
        <v>1</v>
      </c>
      <c r="M4" s="46">
        <v>1</v>
      </c>
      <c r="O4" s="46">
        <v>1</v>
      </c>
      <c r="R4" s="46">
        <v>1</v>
      </c>
      <c r="U4" s="46">
        <v>1</v>
      </c>
      <c r="W4" s="46">
        <v>18</v>
      </c>
      <c r="X4" s="46">
        <v>0</v>
      </c>
      <c r="Y4" s="46">
        <v>0</v>
      </c>
      <c r="Z4" s="46">
        <v>1</v>
      </c>
      <c r="AA4" s="46">
        <v>0</v>
      </c>
      <c r="AB4" s="46">
        <v>0</v>
      </c>
      <c r="AE4" s="46">
        <v>1</v>
      </c>
      <c r="AF4" s="46">
        <v>1</v>
      </c>
      <c r="AG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W4" s="46">
        <v>1</v>
      </c>
      <c r="BZ4" s="46">
        <v>1</v>
      </c>
      <c r="CC4" s="46">
        <v>1</v>
      </c>
      <c r="CI4" s="46">
        <v>1</v>
      </c>
      <c r="CP4" s="46">
        <v>1</v>
      </c>
      <c r="CU4" s="46" t="s">
        <v>4234</v>
      </c>
    </row>
    <row r="5" spans="1:99">
      <c r="A5" s="46" t="s">
        <v>4235</v>
      </c>
      <c r="B5" s="46" t="s">
        <v>4236</v>
      </c>
      <c r="C5" s="46">
        <v>35</v>
      </c>
      <c r="D5" s="46" t="s">
        <v>4231</v>
      </c>
      <c r="E5" s="46" t="s">
        <v>4237</v>
      </c>
      <c r="F5" s="46" t="s">
        <v>477</v>
      </c>
      <c r="H5" s="46">
        <v>1</v>
      </c>
      <c r="N5" s="46">
        <v>1</v>
      </c>
      <c r="R5" s="46">
        <v>1</v>
      </c>
      <c r="U5" s="46">
        <v>1</v>
      </c>
      <c r="W5" s="46">
        <v>14</v>
      </c>
      <c r="X5" s="46">
        <v>19</v>
      </c>
      <c r="Y5" s="46">
        <v>20</v>
      </c>
      <c r="Z5" s="46">
        <v>4</v>
      </c>
      <c r="AA5" s="46">
        <v>4</v>
      </c>
      <c r="AB5" s="46">
        <v>4</v>
      </c>
      <c r="AC5" s="46">
        <v>1</v>
      </c>
      <c r="AJ5" s="46">
        <v>1</v>
      </c>
      <c r="AL5" s="46">
        <v>1</v>
      </c>
      <c r="AO5" s="46">
        <v>1</v>
      </c>
      <c r="AS5" s="46">
        <v>1</v>
      </c>
      <c r="AT5" s="46">
        <v>1</v>
      </c>
      <c r="AX5" s="46">
        <v>1</v>
      </c>
      <c r="BB5" s="46">
        <v>1</v>
      </c>
      <c r="BF5" s="46">
        <v>1</v>
      </c>
      <c r="BI5" s="46" t="s">
        <v>4238</v>
      </c>
      <c r="CA5" s="46">
        <v>1</v>
      </c>
      <c r="CB5" s="46">
        <v>2022</v>
      </c>
      <c r="CC5" s="46">
        <v>1</v>
      </c>
      <c r="CI5" s="46">
        <v>1</v>
      </c>
      <c r="CP5" s="46">
        <v>1</v>
      </c>
      <c r="CU5" s="46" t="s">
        <v>4239</v>
      </c>
    </row>
    <row r="6" spans="1:99">
      <c r="A6" s="46" t="s">
        <v>4240</v>
      </c>
      <c r="B6" s="46" t="s">
        <v>4241</v>
      </c>
      <c r="C6" s="46">
        <v>75</v>
      </c>
      <c r="D6" s="46" t="s">
        <v>4242</v>
      </c>
      <c r="E6" s="46" t="s">
        <v>4243</v>
      </c>
      <c r="F6" s="46" t="s">
        <v>594</v>
      </c>
      <c r="J6" s="46">
        <v>1</v>
      </c>
      <c r="O6" s="46">
        <v>1</v>
      </c>
      <c r="R6" s="46">
        <v>1</v>
      </c>
      <c r="T6" s="46">
        <v>1</v>
      </c>
      <c r="W6" s="46">
        <v>14</v>
      </c>
      <c r="X6" s="46">
        <v>16</v>
      </c>
      <c r="Y6" s="46">
        <v>18</v>
      </c>
      <c r="Z6" s="46">
        <v>9</v>
      </c>
      <c r="AA6" s="46">
        <v>9</v>
      </c>
      <c r="AB6" s="46">
        <v>6</v>
      </c>
      <c r="AC6" s="46">
        <v>1</v>
      </c>
      <c r="AI6" s="46">
        <v>1</v>
      </c>
      <c r="AK6" s="46">
        <v>1</v>
      </c>
      <c r="AT6" s="46">
        <v>1</v>
      </c>
      <c r="AX6" s="46">
        <v>1</v>
      </c>
      <c r="BA6" s="46">
        <v>1</v>
      </c>
      <c r="BJ6" s="46">
        <v>1</v>
      </c>
      <c r="BZ6" s="46">
        <v>1</v>
      </c>
      <c r="CC6" s="46">
        <v>1</v>
      </c>
      <c r="CP6" s="46">
        <v>1</v>
      </c>
      <c r="CU6" s="46" t="s">
        <v>4234</v>
      </c>
    </row>
    <row r="7" spans="1:99">
      <c r="A7" s="46" t="s">
        <v>4244</v>
      </c>
      <c r="B7" s="46" t="s">
        <v>4245</v>
      </c>
      <c r="C7" s="46">
        <v>46</v>
      </c>
      <c r="D7" s="46" t="s">
        <v>3173</v>
      </c>
      <c r="E7" s="46" t="s">
        <v>4246</v>
      </c>
      <c r="F7" s="46" t="s">
        <v>162</v>
      </c>
      <c r="J7" s="46">
        <v>1</v>
      </c>
      <c r="O7" s="46">
        <v>1</v>
      </c>
      <c r="R7" s="46">
        <v>1</v>
      </c>
      <c r="S7" s="46">
        <v>1</v>
      </c>
      <c r="W7" s="46">
        <v>16</v>
      </c>
      <c r="X7" s="46">
        <v>17</v>
      </c>
      <c r="Y7" s="46">
        <v>18</v>
      </c>
      <c r="Z7" s="46">
        <v>9</v>
      </c>
      <c r="AA7" s="46">
        <v>7</v>
      </c>
      <c r="AB7" s="46">
        <v>7</v>
      </c>
      <c r="AE7" s="46">
        <v>1</v>
      </c>
      <c r="AJ7" s="46">
        <v>1</v>
      </c>
      <c r="AL7" s="46">
        <v>1</v>
      </c>
      <c r="AO7" s="46">
        <v>1</v>
      </c>
      <c r="AT7" s="46">
        <v>1</v>
      </c>
      <c r="AW7" s="46">
        <v>1</v>
      </c>
      <c r="BE7" s="46">
        <v>1</v>
      </c>
      <c r="BG7" s="46">
        <v>1</v>
      </c>
      <c r="BM7" s="46" t="s">
        <v>4247</v>
      </c>
      <c r="BW7" s="46">
        <v>1</v>
      </c>
      <c r="BZ7" s="46">
        <v>1</v>
      </c>
      <c r="CC7" s="46">
        <v>1</v>
      </c>
      <c r="CI7" s="46">
        <v>1</v>
      </c>
      <c r="CP7" s="46">
        <v>1</v>
      </c>
    </row>
    <row r="8" spans="1:99">
      <c r="A8" s="46" t="s">
        <v>4248</v>
      </c>
      <c r="B8" s="46" t="s">
        <v>4249</v>
      </c>
      <c r="C8" s="46">
        <v>50</v>
      </c>
      <c r="D8" s="46" t="s">
        <v>4250</v>
      </c>
      <c r="E8" s="46" t="s">
        <v>4251</v>
      </c>
      <c r="F8" s="46" t="s">
        <v>2506</v>
      </c>
      <c r="H8" s="46">
        <v>1</v>
      </c>
      <c r="P8" s="46">
        <v>1</v>
      </c>
      <c r="R8" s="46">
        <v>1</v>
      </c>
      <c r="T8" s="46">
        <v>1</v>
      </c>
      <c r="W8" s="46">
        <v>11</v>
      </c>
      <c r="X8" s="46">
        <v>15</v>
      </c>
      <c r="Y8" s="46">
        <v>15</v>
      </c>
      <c r="Z8" s="46">
        <v>4</v>
      </c>
      <c r="AA8" s="46">
        <v>4</v>
      </c>
      <c r="AB8" s="46">
        <v>4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X8" s="46">
        <v>1</v>
      </c>
      <c r="BB8" s="46">
        <v>1</v>
      </c>
      <c r="BF8" s="46">
        <v>1</v>
      </c>
      <c r="BI8" s="46">
        <v>1</v>
      </c>
      <c r="BZ8" s="46">
        <v>1</v>
      </c>
      <c r="CC8" s="46">
        <v>1</v>
      </c>
      <c r="CI8" s="46">
        <v>1</v>
      </c>
      <c r="CP8" s="46">
        <v>1</v>
      </c>
      <c r="CU8" s="46" t="s">
        <v>4234</v>
      </c>
    </row>
    <row r="9" spans="1:99">
      <c r="A9" s="46" t="s">
        <v>4252</v>
      </c>
      <c r="B9" s="46" t="s">
        <v>4253</v>
      </c>
      <c r="C9" s="46">
        <v>32</v>
      </c>
      <c r="D9" s="46" t="s">
        <v>4254</v>
      </c>
      <c r="E9" s="46" t="s">
        <v>4255</v>
      </c>
      <c r="F9" s="46" t="s">
        <v>162</v>
      </c>
      <c r="J9" s="46">
        <v>1</v>
      </c>
      <c r="L9" s="46">
        <v>1</v>
      </c>
      <c r="Q9" s="46">
        <v>1</v>
      </c>
      <c r="U9" s="46">
        <v>1</v>
      </c>
      <c r="W9" s="46">
        <v>14</v>
      </c>
      <c r="X9" s="46">
        <v>24</v>
      </c>
      <c r="Y9" s="46">
        <v>0</v>
      </c>
      <c r="Z9" s="46">
        <v>0</v>
      </c>
      <c r="AA9" s="46">
        <v>0</v>
      </c>
      <c r="AB9" s="46">
        <v>0</v>
      </c>
      <c r="AG9" s="46">
        <v>1</v>
      </c>
      <c r="AI9" s="46">
        <v>1</v>
      </c>
      <c r="AL9" s="46">
        <v>1</v>
      </c>
      <c r="AS9" s="46">
        <v>1</v>
      </c>
      <c r="AT9" s="46">
        <v>1</v>
      </c>
      <c r="AW9" s="46">
        <v>1</v>
      </c>
      <c r="BA9" s="46">
        <v>1</v>
      </c>
      <c r="BH9" s="46">
        <v>1</v>
      </c>
      <c r="BV9" s="46">
        <v>1</v>
      </c>
      <c r="BW9" s="46">
        <v>1</v>
      </c>
      <c r="BZ9" s="46">
        <v>1</v>
      </c>
      <c r="CC9" s="46">
        <v>1</v>
      </c>
      <c r="CI9" s="46">
        <v>1</v>
      </c>
      <c r="CP9" s="46">
        <v>1</v>
      </c>
      <c r="CU9" s="46" t="s">
        <v>4239</v>
      </c>
    </row>
    <row r="10" spans="1:99">
      <c r="A10" s="46" t="s">
        <v>4256</v>
      </c>
      <c r="B10" s="46" t="s">
        <v>4257</v>
      </c>
      <c r="C10" s="46">
        <v>26</v>
      </c>
      <c r="D10" s="46" t="s">
        <v>4250</v>
      </c>
      <c r="E10" s="46" t="s">
        <v>191</v>
      </c>
      <c r="F10" s="46" t="s">
        <v>2675</v>
      </c>
      <c r="J10" s="46">
        <v>1</v>
      </c>
      <c r="O10" s="46">
        <v>1</v>
      </c>
      <c r="R10" s="46">
        <v>1</v>
      </c>
      <c r="T10" s="46">
        <v>1</v>
      </c>
      <c r="W10" s="46">
        <v>14</v>
      </c>
      <c r="X10" s="46">
        <v>16</v>
      </c>
      <c r="Y10" s="46">
        <v>19</v>
      </c>
      <c r="Z10" s="46">
        <v>2</v>
      </c>
      <c r="AA10" s="46">
        <v>2</v>
      </c>
      <c r="AB10" s="46">
        <v>2</v>
      </c>
      <c r="AC10" s="46">
        <v>1</v>
      </c>
      <c r="AI10" s="46">
        <v>1</v>
      </c>
      <c r="AL10" s="46">
        <v>1</v>
      </c>
      <c r="AS10" s="46">
        <v>1</v>
      </c>
      <c r="AT10" s="46">
        <v>1</v>
      </c>
      <c r="AY10" s="46">
        <v>1</v>
      </c>
      <c r="BB10" s="46">
        <v>1</v>
      </c>
      <c r="BG10" s="46">
        <v>1</v>
      </c>
      <c r="BI10" s="46">
        <v>1</v>
      </c>
      <c r="BW10" s="46">
        <v>1</v>
      </c>
      <c r="BZ10" s="46">
        <v>1</v>
      </c>
      <c r="CC10" s="46">
        <v>1</v>
      </c>
      <c r="CI10" s="46">
        <v>1</v>
      </c>
      <c r="CP10" s="46">
        <v>1</v>
      </c>
      <c r="CU10" s="168">
        <v>45627</v>
      </c>
    </row>
    <row r="11" spans="1:99">
      <c r="A11" s="46" t="s">
        <v>4258</v>
      </c>
      <c r="B11" s="46" t="s">
        <v>4259</v>
      </c>
      <c r="C11" s="46">
        <v>19</v>
      </c>
      <c r="D11" s="46" t="s">
        <v>4260</v>
      </c>
      <c r="E11" s="46" t="s">
        <v>4261</v>
      </c>
      <c r="F11" s="46" t="s">
        <v>162</v>
      </c>
      <c r="H11" s="46">
        <v>1</v>
      </c>
      <c r="M11" s="46">
        <v>1</v>
      </c>
      <c r="Q11" s="46">
        <v>1</v>
      </c>
      <c r="T11" s="46">
        <v>1</v>
      </c>
      <c r="W11" s="46">
        <v>15</v>
      </c>
      <c r="X11" s="46">
        <v>18</v>
      </c>
      <c r="Y11" s="46">
        <v>18</v>
      </c>
      <c r="Z11" s="46">
        <v>1</v>
      </c>
      <c r="AA11" s="46">
        <v>1</v>
      </c>
      <c r="AB11" s="46">
        <v>1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  <c r="CP11" s="46">
        <v>1</v>
      </c>
      <c r="CU11" s="46" t="s">
        <v>4234</v>
      </c>
    </row>
    <row r="12" spans="1:99">
      <c r="A12" s="46" t="s">
        <v>4262</v>
      </c>
      <c r="B12" s="46" t="s">
        <v>4263</v>
      </c>
      <c r="C12" s="46">
        <v>41</v>
      </c>
      <c r="D12" s="46" t="s">
        <v>4264</v>
      </c>
      <c r="E12" s="46" t="s">
        <v>4265</v>
      </c>
      <c r="F12" s="46" t="s">
        <v>2523</v>
      </c>
      <c r="I12" s="46">
        <v>1</v>
      </c>
      <c r="M12" s="46">
        <v>1</v>
      </c>
      <c r="Q12" s="46">
        <v>1</v>
      </c>
      <c r="T12" s="46">
        <v>1</v>
      </c>
      <c r="W12" s="46">
        <v>15</v>
      </c>
      <c r="X12" s="46">
        <v>16</v>
      </c>
      <c r="Y12" s="46">
        <v>18</v>
      </c>
      <c r="Z12" s="46">
        <v>7</v>
      </c>
      <c r="AA12" s="46">
        <v>7</v>
      </c>
      <c r="AB12" s="46">
        <v>7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P12" s="46">
        <v>1</v>
      </c>
      <c r="CU12" s="46" t="s">
        <v>4266</v>
      </c>
    </row>
    <row r="13" spans="1:99">
      <c r="A13" s="46" t="s">
        <v>4267</v>
      </c>
      <c r="B13" s="46" t="s">
        <v>3652</v>
      </c>
      <c r="C13" s="46">
        <v>32</v>
      </c>
      <c r="D13" s="46" t="s">
        <v>4268</v>
      </c>
      <c r="E13" s="46" t="s">
        <v>4269</v>
      </c>
      <c r="F13" s="46" t="s">
        <v>594</v>
      </c>
      <c r="J13" s="46">
        <v>1</v>
      </c>
      <c r="M13" s="46">
        <v>1</v>
      </c>
      <c r="Q13" s="46">
        <v>1</v>
      </c>
      <c r="T13" s="46">
        <v>1</v>
      </c>
      <c r="W13" s="46">
        <v>16</v>
      </c>
      <c r="X13" s="46">
        <v>19</v>
      </c>
      <c r="Y13" s="46">
        <v>20</v>
      </c>
      <c r="Z13" s="46">
        <v>2</v>
      </c>
      <c r="AA13" s="46">
        <v>2</v>
      </c>
      <c r="AB13" s="46">
        <v>1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Z13" s="46">
        <v>1</v>
      </c>
      <c r="BA13" s="46">
        <v>1</v>
      </c>
      <c r="BI13" s="46">
        <v>1</v>
      </c>
      <c r="BZ13" s="46">
        <v>1</v>
      </c>
      <c r="CC13" s="46">
        <v>1</v>
      </c>
      <c r="CP13" s="46">
        <v>1</v>
      </c>
      <c r="CU13" s="46" t="s">
        <v>4234</v>
      </c>
    </row>
    <row r="14" spans="1:99">
      <c r="A14" s="46" t="s">
        <v>4270</v>
      </c>
      <c r="B14" s="46" t="s">
        <v>4271</v>
      </c>
      <c r="C14" s="46">
        <v>27</v>
      </c>
      <c r="D14" s="46" t="s">
        <v>4272</v>
      </c>
      <c r="E14" s="46" t="s">
        <v>4273</v>
      </c>
      <c r="F14" s="46" t="s">
        <v>218</v>
      </c>
      <c r="H14" s="46">
        <v>1</v>
      </c>
      <c r="M14" s="46">
        <v>1</v>
      </c>
      <c r="Q14" s="46">
        <v>1</v>
      </c>
      <c r="T14" s="46">
        <v>1</v>
      </c>
      <c r="W14" s="46">
        <v>12</v>
      </c>
      <c r="X14" s="46">
        <v>17</v>
      </c>
      <c r="Y14" s="46">
        <v>18</v>
      </c>
      <c r="Z14" s="46">
        <v>2</v>
      </c>
      <c r="AA14" s="46">
        <v>2</v>
      </c>
      <c r="AB14" s="46">
        <v>2</v>
      </c>
      <c r="AD14" s="46">
        <v>1</v>
      </c>
      <c r="AE14" s="46">
        <v>1</v>
      </c>
      <c r="AG14" s="46">
        <v>1</v>
      </c>
      <c r="AH14" s="46">
        <v>1</v>
      </c>
      <c r="AI14" s="46">
        <v>1</v>
      </c>
      <c r="AK14" s="46">
        <v>1</v>
      </c>
      <c r="AT14" s="46">
        <v>1</v>
      </c>
      <c r="AY14" s="46">
        <v>1</v>
      </c>
      <c r="BA14" s="46">
        <v>1</v>
      </c>
      <c r="BI14" s="46">
        <v>1</v>
      </c>
      <c r="BZ14" s="46">
        <v>1</v>
      </c>
      <c r="CC14" s="46">
        <v>1</v>
      </c>
      <c r="CP14" s="46">
        <v>1</v>
      </c>
      <c r="CU14" s="46" t="s">
        <v>4234</v>
      </c>
    </row>
    <row r="15" spans="1:99">
      <c r="A15" s="46" t="s">
        <v>4274</v>
      </c>
      <c r="B15" s="46" t="s">
        <v>4275</v>
      </c>
      <c r="C15" s="46">
        <v>38</v>
      </c>
      <c r="D15" s="46" t="s">
        <v>4276</v>
      </c>
      <c r="E15" s="46" t="s">
        <v>4277</v>
      </c>
      <c r="F15" s="46" t="s">
        <v>4278</v>
      </c>
      <c r="I15" s="46">
        <v>1</v>
      </c>
      <c r="M15" s="46">
        <v>1</v>
      </c>
      <c r="Q15" s="46">
        <v>1</v>
      </c>
      <c r="S15" s="46">
        <v>1</v>
      </c>
      <c r="W15" s="46">
        <v>18</v>
      </c>
      <c r="X15" s="46">
        <v>19</v>
      </c>
      <c r="Y15" s="46">
        <v>19</v>
      </c>
      <c r="Z15" s="46">
        <v>7</v>
      </c>
      <c r="AA15" s="46">
        <v>6</v>
      </c>
      <c r="AB15" s="46">
        <v>5</v>
      </c>
      <c r="AE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P15" s="46">
        <v>1</v>
      </c>
      <c r="CU15" s="46" t="s">
        <v>4234</v>
      </c>
    </row>
    <row r="16" spans="1:99">
      <c r="A16" s="46" t="s">
        <v>4279</v>
      </c>
      <c r="B16" s="46" t="s">
        <v>4280</v>
      </c>
      <c r="C16" s="46">
        <v>21</v>
      </c>
      <c r="D16" s="46" t="s">
        <v>4272</v>
      </c>
      <c r="E16" s="46" t="s">
        <v>4281</v>
      </c>
      <c r="F16" s="46" t="s">
        <v>2523</v>
      </c>
      <c r="I16" s="46">
        <v>1</v>
      </c>
      <c r="M16" s="46">
        <v>1</v>
      </c>
      <c r="Q16" s="46">
        <v>1</v>
      </c>
      <c r="T16" s="46">
        <v>1</v>
      </c>
      <c r="W16" s="46">
        <v>13</v>
      </c>
      <c r="X16" s="46">
        <v>17</v>
      </c>
      <c r="Y16" s="46">
        <v>18</v>
      </c>
      <c r="Z16" s="46">
        <v>3</v>
      </c>
      <c r="AA16" s="46">
        <v>3</v>
      </c>
      <c r="AB16" s="46">
        <v>2</v>
      </c>
      <c r="AE16" s="46">
        <v>1</v>
      </c>
      <c r="AG16" s="46">
        <v>1</v>
      </c>
      <c r="AH16" s="46">
        <v>1</v>
      </c>
      <c r="AI16" s="46">
        <v>1</v>
      </c>
      <c r="AK16" s="46">
        <v>1</v>
      </c>
      <c r="AT16" s="46">
        <v>1</v>
      </c>
      <c r="AX16" s="46">
        <v>1</v>
      </c>
      <c r="BA16" s="46">
        <v>1</v>
      </c>
      <c r="BI16" s="46">
        <v>1</v>
      </c>
      <c r="BZ16" s="46">
        <v>1</v>
      </c>
      <c r="CC16" s="46">
        <v>1</v>
      </c>
      <c r="CP16" s="46">
        <v>1</v>
      </c>
      <c r="CU16" s="46" t="s">
        <v>4234</v>
      </c>
    </row>
    <row r="17" spans="1:99">
      <c r="A17" s="46" t="s">
        <v>4282</v>
      </c>
      <c r="B17" s="46" t="s">
        <v>4283</v>
      </c>
      <c r="C17" s="46">
        <v>37</v>
      </c>
      <c r="D17" s="46" t="s">
        <v>4264</v>
      </c>
      <c r="E17" s="46" t="s">
        <v>4284</v>
      </c>
      <c r="F17" s="46" t="s">
        <v>145</v>
      </c>
      <c r="I17" s="46">
        <v>1</v>
      </c>
      <c r="N17" s="46">
        <v>1</v>
      </c>
      <c r="R17" s="46">
        <v>1</v>
      </c>
      <c r="S17" s="46">
        <v>1</v>
      </c>
      <c r="W17" s="46">
        <v>17</v>
      </c>
      <c r="X17" s="46">
        <v>18</v>
      </c>
      <c r="Y17" s="46">
        <v>20</v>
      </c>
      <c r="Z17" s="46">
        <v>5</v>
      </c>
      <c r="AA17" s="46">
        <v>5</v>
      </c>
      <c r="AB17" s="46">
        <v>4</v>
      </c>
      <c r="AG17" s="46">
        <v>1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46">
        <v>1</v>
      </c>
      <c r="CP17" s="46">
        <v>1</v>
      </c>
      <c r="CU17" s="46" t="s">
        <v>4234</v>
      </c>
    </row>
    <row r="18" spans="1:99">
      <c r="A18" s="46" t="s">
        <v>4285</v>
      </c>
      <c r="B18" s="46" t="s">
        <v>4286</v>
      </c>
      <c r="C18" s="46">
        <v>34</v>
      </c>
      <c r="D18" s="46" t="s">
        <v>4287</v>
      </c>
      <c r="E18" s="46" t="s">
        <v>4288</v>
      </c>
      <c r="F18" s="46" t="s">
        <v>477</v>
      </c>
      <c r="G18" s="46">
        <v>1</v>
      </c>
      <c r="M18" s="46">
        <v>1</v>
      </c>
      <c r="Q18" s="46">
        <v>1</v>
      </c>
      <c r="U18" s="46">
        <v>1</v>
      </c>
      <c r="W18" s="46">
        <v>15</v>
      </c>
      <c r="X18" s="46">
        <v>19</v>
      </c>
      <c r="Y18" s="46">
        <v>20</v>
      </c>
      <c r="Z18" s="46">
        <v>6</v>
      </c>
      <c r="AA18" s="46">
        <v>4</v>
      </c>
      <c r="AB18" s="46">
        <v>4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I18" s="46">
        <v>1</v>
      </c>
      <c r="BW18" s="46">
        <v>1</v>
      </c>
      <c r="BZ18" s="46">
        <v>1</v>
      </c>
      <c r="CC18" s="46">
        <v>1</v>
      </c>
      <c r="CP18" s="46">
        <v>1</v>
      </c>
      <c r="CU18" s="46" t="s">
        <v>4234</v>
      </c>
    </row>
    <row r="19" spans="1:99">
      <c r="A19" s="46" t="s">
        <v>4289</v>
      </c>
      <c r="B19" s="46" t="s">
        <v>4290</v>
      </c>
      <c r="C19" s="46">
        <v>33</v>
      </c>
      <c r="D19" s="46" t="s">
        <v>4231</v>
      </c>
      <c r="E19" s="46" t="s">
        <v>4291</v>
      </c>
      <c r="F19" s="46" t="s">
        <v>2675</v>
      </c>
      <c r="H19" s="46">
        <v>1</v>
      </c>
      <c r="L19" s="46">
        <v>1</v>
      </c>
      <c r="R19" s="46">
        <v>1</v>
      </c>
      <c r="V19" s="46">
        <v>1</v>
      </c>
      <c r="W19" s="46">
        <v>17</v>
      </c>
      <c r="X19" s="46">
        <v>17</v>
      </c>
      <c r="Y19" s="46">
        <v>28</v>
      </c>
      <c r="Z19" s="46">
        <v>1</v>
      </c>
      <c r="AA19" s="46">
        <v>1</v>
      </c>
      <c r="AB19" s="46">
        <v>1</v>
      </c>
      <c r="AC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C19" s="46">
        <v>1</v>
      </c>
      <c r="CP19" s="46">
        <v>1</v>
      </c>
      <c r="CU19" s="46" t="s">
        <v>4234</v>
      </c>
    </row>
    <row r="20" spans="1:99">
      <c r="A20" s="46" t="s">
        <v>4292</v>
      </c>
      <c r="B20" s="46" t="s">
        <v>4293</v>
      </c>
      <c r="C20" s="46">
        <v>35</v>
      </c>
      <c r="D20" s="46" t="s">
        <v>4231</v>
      </c>
      <c r="E20" s="46" t="s">
        <v>4294</v>
      </c>
      <c r="F20" s="46" t="s">
        <v>2523</v>
      </c>
      <c r="H20" s="46">
        <v>1</v>
      </c>
      <c r="M20" s="46">
        <v>1</v>
      </c>
      <c r="Q20" s="46">
        <v>1</v>
      </c>
      <c r="V20" s="46">
        <v>1</v>
      </c>
      <c r="W20" s="46">
        <v>15</v>
      </c>
      <c r="X20" s="46">
        <v>20</v>
      </c>
      <c r="Y20" s="46">
        <v>24</v>
      </c>
      <c r="Z20" s="46">
        <v>2</v>
      </c>
      <c r="AA20" s="46">
        <v>2</v>
      </c>
      <c r="AB20" s="46">
        <v>2</v>
      </c>
      <c r="AC20" s="46">
        <v>1</v>
      </c>
      <c r="AJ20" s="46">
        <v>1</v>
      </c>
      <c r="AK20" s="46">
        <v>1</v>
      </c>
      <c r="AT20" s="46">
        <v>1</v>
      </c>
      <c r="AW20" s="46">
        <v>1</v>
      </c>
      <c r="BB20" s="46">
        <v>1</v>
      </c>
      <c r="BI20" s="46">
        <v>1</v>
      </c>
      <c r="BZ20" s="46">
        <v>1</v>
      </c>
      <c r="CC20" s="46">
        <v>1</v>
      </c>
      <c r="CP20" s="46">
        <v>1</v>
      </c>
      <c r="CU20" s="46" t="s">
        <v>4234</v>
      </c>
    </row>
    <row r="21" spans="1:99">
      <c r="A21" s="46" t="s">
        <v>4295</v>
      </c>
      <c r="B21" s="46" t="s">
        <v>4296</v>
      </c>
      <c r="C21" s="46">
        <v>55</v>
      </c>
      <c r="D21" s="46" t="s">
        <v>4276</v>
      </c>
      <c r="E21" s="46" t="s">
        <v>191</v>
      </c>
      <c r="F21" s="46" t="s">
        <v>3363</v>
      </c>
      <c r="J21" s="46">
        <v>1</v>
      </c>
      <c r="M21" s="46">
        <v>1</v>
      </c>
      <c r="Q21" s="46">
        <v>1</v>
      </c>
      <c r="T21" s="46">
        <v>1</v>
      </c>
      <c r="W21" s="46">
        <v>14</v>
      </c>
      <c r="X21" s="46">
        <v>17</v>
      </c>
      <c r="Y21" s="46">
        <v>19</v>
      </c>
      <c r="Z21" s="46">
        <v>6</v>
      </c>
      <c r="AA21" s="46">
        <v>6</v>
      </c>
      <c r="AB21" s="46">
        <v>4</v>
      </c>
      <c r="AC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J21" s="46">
        <v>1</v>
      </c>
      <c r="BZ21" s="46">
        <v>1</v>
      </c>
      <c r="CC21" s="46">
        <v>1</v>
      </c>
      <c r="CP21" s="46">
        <v>1</v>
      </c>
      <c r="CU21" s="46" t="s">
        <v>4234</v>
      </c>
    </row>
    <row r="22" spans="1:99">
      <c r="A22" s="46" t="s">
        <v>4297</v>
      </c>
      <c r="B22" s="46" t="s">
        <v>4298</v>
      </c>
      <c r="C22" s="46">
        <v>30</v>
      </c>
      <c r="D22" s="46" t="s">
        <v>4272</v>
      </c>
      <c r="E22" s="46" t="s">
        <v>4299</v>
      </c>
      <c r="F22" s="46" t="s">
        <v>1045</v>
      </c>
      <c r="J22" s="46">
        <v>1</v>
      </c>
      <c r="O22" s="46">
        <v>1</v>
      </c>
      <c r="R22" s="46">
        <v>1</v>
      </c>
      <c r="T22" s="46">
        <v>1</v>
      </c>
      <c r="W22" s="46">
        <v>12</v>
      </c>
      <c r="X22" s="46">
        <v>15</v>
      </c>
      <c r="Y22" s="46">
        <v>16</v>
      </c>
      <c r="Z22" s="46">
        <v>5</v>
      </c>
      <c r="AA22" s="46">
        <v>4</v>
      </c>
      <c r="AB22" s="46">
        <v>4</v>
      </c>
      <c r="AD22" s="46">
        <v>1</v>
      </c>
      <c r="AE22" s="46">
        <v>1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B22" s="46">
        <v>1</v>
      </c>
      <c r="BF22" s="46">
        <v>1</v>
      </c>
      <c r="BI22" s="46">
        <v>1</v>
      </c>
      <c r="BZ22" s="46">
        <v>1</v>
      </c>
      <c r="CC22" s="46">
        <v>1</v>
      </c>
      <c r="CI22" s="46">
        <v>1</v>
      </c>
      <c r="CP22" s="46">
        <v>1</v>
      </c>
      <c r="CU22" s="46" t="s">
        <v>4300</v>
      </c>
    </row>
    <row r="23" spans="1:99">
      <c r="A23" s="46" t="s">
        <v>4301</v>
      </c>
      <c r="B23" s="46" t="s">
        <v>4302</v>
      </c>
      <c r="C23" s="46">
        <v>35</v>
      </c>
      <c r="D23" s="46" t="s">
        <v>4231</v>
      </c>
      <c r="E23" s="46" t="s">
        <v>4303</v>
      </c>
      <c r="F23" s="46" t="s">
        <v>2285</v>
      </c>
      <c r="G23" s="46">
        <v>1</v>
      </c>
      <c r="N23" s="46">
        <v>1</v>
      </c>
      <c r="R23" s="46">
        <v>1</v>
      </c>
      <c r="T23" s="46">
        <v>1</v>
      </c>
      <c r="W23" s="46">
        <v>13</v>
      </c>
      <c r="X23" s="46">
        <v>17</v>
      </c>
      <c r="Y23" s="46">
        <v>18</v>
      </c>
      <c r="Z23" s="46">
        <v>3</v>
      </c>
      <c r="AA23" s="46">
        <v>3</v>
      </c>
      <c r="AB23" s="46">
        <v>3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B23" s="46">
        <v>1</v>
      </c>
      <c r="BF23" s="46">
        <v>1</v>
      </c>
      <c r="BI23" s="46" t="s">
        <v>4238</v>
      </c>
      <c r="BZ23" s="46">
        <v>1</v>
      </c>
      <c r="CC23" s="46">
        <v>1</v>
      </c>
      <c r="CI23" s="46">
        <v>1</v>
      </c>
      <c r="CP23" s="46">
        <v>1</v>
      </c>
      <c r="CU23" s="46" t="s">
        <v>4300</v>
      </c>
    </row>
    <row r="24" spans="1:99">
      <c r="A24" s="46" t="s">
        <v>4304</v>
      </c>
      <c r="B24" s="46" t="s">
        <v>4305</v>
      </c>
      <c r="C24" s="46">
        <v>37</v>
      </c>
      <c r="D24" s="46" t="s">
        <v>4272</v>
      </c>
      <c r="E24" s="46" t="s">
        <v>4306</v>
      </c>
      <c r="F24" s="46" t="s">
        <v>2523</v>
      </c>
      <c r="G24" s="46">
        <v>1</v>
      </c>
      <c r="M24" s="46">
        <v>1</v>
      </c>
      <c r="N24" s="46">
        <v>1</v>
      </c>
      <c r="Q24" s="46">
        <v>1</v>
      </c>
      <c r="U24" s="46">
        <v>1</v>
      </c>
      <c r="W24" s="46">
        <v>13</v>
      </c>
      <c r="X24" s="46">
        <v>17</v>
      </c>
      <c r="Y24" s="46">
        <v>26</v>
      </c>
      <c r="Z24" s="46">
        <v>3</v>
      </c>
      <c r="AA24" s="46">
        <v>3</v>
      </c>
      <c r="AB24" s="46">
        <v>3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B24" s="46">
        <v>1</v>
      </c>
      <c r="BJ24" s="46">
        <v>1</v>
      </c>
      <c r="BZ24" s="46">
        <v>1</v>
      </c>
      <c r="CC24" s="46">
        <v>1</v>
      </c>
      <c r="CI24" s="46">
        <v>1</v>
      </c>
      <c r="CP24" s="46">
        <v>1</v>
      </c>
      <c r="CU24" s="46" t="s">
        <v>4234</v>
      </c>
    </row>
    <row r="25" spans="1:99">
      <c r="A25" s="46" t="s">
        <v>4307</v>
      </c>
      <c r="B25" s="46" t="s">
        <v>4308</v>
      </c>
      <c r="C25" s="46">
        <v>36</v>
      </c>
      <c r="D25" s="46" t="s">
        <v>4309</v>
      </c>
      <c r="E25" s="46" t="s">
        <v>4310</v>
      </c>
      <c r="F25" s="46" t="s">
        <v>2523</v>
      </c>
      <c r="I25" s="46">
        <v>1</v>
      </c>
      <c r="M25" s="46">
        <v>1</v>
      </c>
      <c r="Q25" s="46">
        <v>1</v>
      </c>
      <c r="U25" s="46">
        <v>1</v>
      </c>
      <c r="W25" s="46">
        <v>13</v>
      </c>
      <c r="X25" s="46">
        <v>14</v>
      </c>
      <c r="Y25" s="46">
        <v>14</v>
      </c>
      <c r="Z25" s="46">
        <v>8</v>
      </c>
      <c r="AA25" s="46">
        <v>8</v>
      </c>
      <c r="AB25" s="46">
        <v>6</v>
      </c>
      <c r="AE25" s="46">
        <v>1</v>
      </c>
      <c r="AH25" s="46">
        <v>1</v>
      </c>
      <c r="AJ25" s="46">
        <v>1</v>
      </c>
      <c r="AL25" s="46">
        <v>1</v>
      </c>
      <c r="AS25" s="46">
        <v>1</v>
      </c>
      <c r="AT25" s="46">
        <v>1</v>
      </c>
      <c r="AZ25" s="46">
        <v>1</v>
      </c>
      <c r="BA25" s="46">
        <v>1</v>
      </c>
      <c r="BH25" s="46">
        <v>1</v>
      </c>
      <c r="BV25" s="46">
        <v>1</v>
      </c>
      <c r="BW25" s="46">
        <v>1</v>
      </c>
      <c r="BZ25" s="46">
        <v>1</v>
      </c>
      <c r="CC25" s="46">
        <v>1</v>
      </c>
      <c r="CP25" s="46">
        <v>1</v>
      </c>
      <c r="CU25" s="46" t="s">
        <v>4239</v>
      </c>
    </row>
    <row r="26" spans="1:99">
      <c r="A26" s="46" t="s">
        <v>4311</v>
      </c>
      <c r="B26" s="46" t="s">
        <v>4312</v>
      </c>
      <c r="C26" s="46">
        <v>63</v>
      </c>
      <c r="D26" s="46" t="s">
        <v>4272</v>
      </c>
      <c r="E26" s="46" t="s">
        <v>4313</v>
      </c>
      <c r="F26" s="46" t="s">
        <v>4314</v>
      </c>
      <c r="J26" s="46">
        <v>1</v>
      </c>
      <c r="M26" s="46">
        <v>1</v>
      </c>
      <c r="R26" s="46">
        <v>1</v>
      </c>
      <c r="T26" s="46">
        <v>1</v>
      </c>
      <c r="W26" s="46">
        <v>18</v>
      </c>
      <c r="X26" s="46">
        <v>16</v>
      </c>
      <c r="Y26" s="46">
        <v>22</v>
      </c>
      <c r="Z26" s="46">
        <v>10</v>
      </c>
      <c r="AA26" s="46">
        <v>10</v>
      </c>
      <c r="AB26" s="46">
        <v>9</v>
      </c>
      <c r="AE26" s="46">
        <v>1</v>
      </c>
      <c r="AH26" s="46">
        <v>1</v>
      </c>
      <c r="AI26" s="46">
        <v>1</v>
      </c>
      <c r="AK26" s="46">
        <v>1</v>
      </c>
      <c r="AT26" s="46">
        <v>1</v>
      </c>
      <c r="AX26" s="46">
        <v>1</v>
      </c>
      <c r="BA26" s="46">
        <v>1</v>
      </c>
      <c r="BJ26" s="46">
        <v>1</v>
      </c>
      <c r="BZ26" s="46">
        <v>1</v>
      </c>
      <c r="CC26" s="46">
        <v>1</v>
      </c>
      <c r="CP26" s="46">
        <v>1</v>
      </c>
      <c r="CU26" s="46" t="s">
        <v>4234</v>
      </c>
    </row>
    <row r="27" spans="1:99">
      <c r="A27" s="46" t="s">
        <v>4315</v>
      </c>
      <c r="B27" s="46" t="s">
        <v>4316</v>
      </c>
      <c r="C27" s="46">
        <v>41</v>
      </c>
      <c r="D27" s="46" t="s">
        <v>4272</v>
      </c>
      <c r="E27" s="46">
        <v>781931045</v>
      </c>
      <c r="F27" s="46" t="s">
        <v>594</v>
      </c>
      <c r="J27" s="46">
        <v>1</v>
      </c>
      <c r="O27" s="46">
        <v>1</v>
      </c>
      <c r="R27" s="46">
        <v>1</v>
      </c>
      <c r="U27" s="46">
        <v>1</v>
      </c>
      <c r="W27" s="46">
        <v>14</v>
      </c>
      <c r="X27" s="46">
        <v>20</v>
      </c>
      <c r="Y27" s="46">
        <v>21</v>
      </c>
      <c r="Z27" s="46">
        <v>9</v>
      </c>
      <c r="AA27" s="46">
        <v>9</v>
      </c>
      <c r="AB27" s="46">
        <v>7</v>
      </c>
      <c r="AD27" s="46">
        <v>1</v>
      </c>
      <c r="AE27" s="46">
        <v>1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X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U27" s="46" t="s">
        <v>4317</v>
      </c>
    </row>
  </sheetData>
  <autoFilter ref="A3:CU27"/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9"/>
  <sheetViews>
    <sheetView workbookViewId="0"/>
  </sheetViews>
  <sheetFormatPr defaultColWidth="14.42578125" defaultRowHeight="15" customHeight="1"/>
  <sheetData>
    <row r="1" spans="1:32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182" t="s">
        <v>356</v>
      </c>
      <c r="AF1" s="183"/>
    </row>
    <row r="2" spans="1:32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  <c r="AF2" s="185" t="s">
        <v>3430</v>
      </c>
    </row>
    <row r="3" spans="1:32">
      <c r="A3" s="68" t="s">
        <v>1361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 t="shared" ref="J3:J9" si="1">SUM(F3:I3)</f>
        <v>1</v>
      </c>
      <c r="K3" s="70">
        <v>0</v>
      </c>
      <c r="L3" s="70">
        <v>0</v>
      </c>
      <c r="M3" s="70">
        <v>0</v>
      </c>
      <c r="N3" s="70">
        <v>0</v>
      </c>
      <c r="O3" s="71">
        <f t="shared" ref="O3:O9" si="2">SUM(K3:N3)</f>
        <v>0</v>
      </c>
      <c r="P3" s="70">
        <v>0</v>
      </c>
      <c r="Q3" s="70">
        <v>0</v>
      </c>
      <c r="R3" s="70">
        <v>0</v>
      </c>
      <c r="S3" s="71">
        <f t="shared" ref="S3:S8" si="3">SUM(P3:R3)</f>
        <v>0</v>
      </c>
      <c r="T3" s="70">
        <v>0</v>
      </c>
      <c r="U3" s="70">
        <v>0</v>
      </c>
      <c r="V3" s="70">
        <v>0</v>
      </c>
      <c r="W3" s="70">
        <v>0</v>
      </c>
      <c r="X3" s="70">
        <v>0</v>
      </c>
      <c r="Y3" s="70"/>
      <c r="Z3" s="73">
        <v>1</v>
      </c>
      <c r="AA3" s="73">
        <v>0</v>
      </c>
      <c r="AB3" s="73">
        <v>0</v>
      </c>
      <c r="AC3" s="73">
        <v>0</v>
      </c>
      <c r="AD3" s="186">
        <f>SUM(O3,Z3,AA3,AB3,AC3)</f>
        <v>1</v>
      </c>
      <c r="AE3" s="73">
        <v>0</v>
      </c>
      <c r="AF3" s="73">
        <v>0</v>
      </c>
    </row>
    <row r="4" spans="1:32">
      <c r="A4" s="74" t="s">
        <v>2942</v>
      </c>
      <c r="B4" s="69">
        <v>4</v>
      </c>
      <c r="C4" s="69">
        <v>1</v>
      </c>
      <c r="D4" s="69">
        <v>0</v>
      </c>
      <c r="E4" s="69">
        <f t="shared" si="0"/>
        <v>5</v>
      </c>
      <c r="F4" s="70">
        <v>0</v>
      </c>
      <c r="G4" s="70">
        <v>5</v>
      </c>
      <c r="H4" s="70">
        <v>0</v>
      </c>
      <c r="I4" s="70">
        <v>0</v>
      </c>
      <c r="J4" s="71">
        <f t="shared" si="1"/>
        <v>5</v>
      </c>
      <c r="K4" s="70">
        <v>0</v>
      </c>
      <c r="L4" s="70">
        <v>0</v>
      </c>
      <c r="M4" s="70">
        <v>0</v>
      </c>
      <c r="N4" s="70">
        <v>0</v>
      </c>
      <c r="O4" s="71">
        <f t="shared" si="2"/>
        <v>0</v>
      </c>
      <c r="P4" s="70">
        <v>0</v>
      </c>
      <c r="Q4" s="70">
        <v>0</v>
      </c>
      <c r="R4" s="70">
        <v>1</v>
      </c>
      <c r="S4" s="71">
        <f t="shared" si="3"/>
        <v>1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/>
      <c r="Z4" s="73">
        <v>0</v>
      </c>
      <c r="AA4" s="73">
        <v>0</v>
      </c>
      <c r="AB4" s="73">
        <v>0</v>
      </c>
      <c r="AC4" s="73">
        <v>0</v>
      </c>
      <c r="AD4" s="186">
        <f>SUM(O4,Z4,AA4,AB4,AC4)</f>
        <v>0</v>
      </c>
      <c r="AE4" s="73">
        <v>0</v>
      </c>
      <c r="AF4" s="73">
        <v>0</v>
      </c>
    </row>
    <row r="5" spans="1:32">
      <c r="A5" s="77" t="s">
        <v>888</v>
      </c>
      <c r="B5" s="69">
        <v>8</v>
      </c>
      <c r="C5" s="69">
        <v>3</v>
      </c>
      <c r="D5" s="69">
        <v>0</v>
      </c>
      <c r="E5" s="69">
        <f t="shared" si="0"/>
        <v>11</v>
      </c>
      <c r="F5" s="70">
        <v>2</v>
      </c>
      <c r="G5" s="70">
        <v>6</v>
      </c>
      <c r="H5" s="70">
        <v>2</v>
      </c>
      <c r="I5" s="70"/>
      <c r="J5" s="71">
        <f t="shared" si="1"/>
        <v>10</v>
      </c>
      <c r="K5" s="70">
        <v>1</v>
      </c>
      <c r="L5" s="70">
        <v>0</v>
      </c>
      <c r="M5" s="70">
        <v>0</v>
      </c>
      <c r="N5" s="70">
        <v>0</v>
      </c>
      <c r="O5" s="71">
        <f t="shared" si="2"/>
        <v>1</v>
      </c>
      <c r="P5" s="70">
        <v>2</v>
      </c>
      <c r="Q5" s="70">
        <v>0</v>
      </c>
      <c r="R5" s="70">
        <v>4</v>
      </c>
      <c r="S5" s="71">
        <f t="shared" si="3"/>
        <v>6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/>
      <c r="Z5" s="73">
        <v>3</v>
      </c>
      <c r="AA5" s="73">
        <v>0</v>
      </c>
      <c r="AB5" s="73">
        <v>0</v>
      </c>
      <c r="AC5" s="73">
        <v>8</v>
      </c>
      <c r="AD5" s="186">
        <f>SUM(Z5,AA5,AB5,AC5)</f>
        <v>11</v>
      </c>
      <c r="AE5" s="73">
        <v>0</v>
      </c>
      <c r="AF5" s="73">
        <v>0</v>
      </c>
    </row>
    <row r="6" spans="1:32">
      <c r="A6" s="77" t="s">
        <v>1096</v>
      </c>
      <c r="B6" s="69">
        <v>3</v>
      </c>
      <c r="C6" s="69">
        <v>1</v>
      </c>
      <c r="D6" s="69">
        <v>0</v>
      </c>
      <c r="E6" s="69">
        <f t="shared" si="0"/>
        <v>4</v>
      </c>
      <c r="F6" s="70">
        <v>0</v>
      </c>
      <c r="G6" s="70">
        <v>3</v>
      </c>
      <c r="H6" s="70">
        <v>0</v>
      </c>
      <c r="I6" s="70">
        <v>0</v>
      </c>
      <c r="J6" s="71">
        <f t="shared" si="1"/>
        <v>3</v>
      </c>
      <c r="K6" s="70">
        <v>0</v>
      </c>
      <c r="L6" s="70">
        <v>0</v>
      </c>
      <c r="M6" s="70">
        <v>0</v>
      </c>
      <c r="N6" s="70">
        <v>1</v>
      </c>
      <c r="O6" s="71">
        <f t="shared" si="2"/>
        <v>1</v>
      </c>
      <c r="P6" s="70">
        <v>0</v>
      </c>
      <c r="Q6" s="70">
        <v>0</v>
      </c>
      <c r="R6" s="70">
        <v>1</v>
      </c>
      <c r="S6" s="71">
        <f t="shared" si="3"/>
        <v>1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/>
      <c r="Z6" s="73">
        <v>4</v>
      </c>
      <c r="AA6" s="73">
        <v>0</v>
      </c>
      <c r="AB6" s="73">
        <v>0</v>
      </c>
      <c r="AC6" s="73">
        <v>0</v>
      </c>
      <c r="AD6" s="186">
        <f>SUM(Z6,AA6,AB6,AC6)</f>
        <v>4</v>
      </c>
      <c r="AE6" s="73">
        <v>0</v>
      </c>
      <c r="AF6" s="73">
        <v>0</v>
      </c>
    </row>
    <row r="7" spans="1:32">
      <c r="A7" s="77" t="s">
        <v>1097</v>
      </c>
      <c r="B7" s="69">
        <v>1</v>
      </c>
      <c r="C7" s="69">
        <v>0</v>
      </c>
      <c r="D7" s="69">
        <v>0</v>
      </c>
      <c r="E7" s="69">
        <f t="shared" si="0"/>
        <v>1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1</v>
      </c>
      <c r="L7" s="70">
        <v>0</v>
      </c>
      <c r="M7" s="70">
        <v>0</v>
      </c>
      <c r="N7" s="70">
        <v>0</v>
      </c>
      <c r="O7" s="71">
        <f t="shared" si="2"/>
        <v>1</v>
      </c>
      <c r="P7" s="70">
        <v>0</v>
      </c>
      <c r="Q7" s="70">
        <v>0</v>
      </c>
      <c r="R7" s="70">
        <v>0</v>
      </c>
      <c r="S7" s="71">
        <f t="shared" si="3"/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/>
      <c r="Z7" s="73">
        <v>0</v>
      </c>
      <c r="AA7" s="73">
        <v>0</v>
      </c>
      <c r="AB7" s="73">
        <v>0</v>
      </c>
      <c r="AC7" s="73">
        <v>0</v>
      </c>
      <c r="AD7" s="186">
        <f>SUM(Z7,AA7,AB7,AC7)</f>
        <v>0</v>
      </c>
      <c r="AE7" s="73">
        <v>0</v>
      </c>
      <c r="AF7" s="73">
        <v>0</v>
      </c>
    </row>
    <row r="8" spans="1:32">
      <c r="A8" s="78" t="s">
        <v>1364</v>
      </c>
      <c r="B8" s="79">
        <v>2</v>
      </c>
      <c r="C8" s="79">
        <v>0</v>
      </c>
      <c r="D8" s="79">
        <v>0</v>
      </c>
      <c r="E8" s="69">
        <f t="shared" si="0"/>
        <v>2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2</v>
      </c>
      <c r="L8" s="80">
        <v>0</v>
      </c>
      <c r="M8" s="80">
        <v>0</v>
      </c>
      <c r="N8" s="80">
        <v>0</v>
      </c>
      <c r="O8" s="71">
        <f t="shared" si="2"/>
        <v>2</v>
      </c>
      <c r="P8" s="80">
        <v>0</v>
      </c>
      <c r="Q8" s="80">
        <v>0</v>
      </c>
      <c r="R8" s="80">
        <v>0</v>
      </c>
      <c r="S8" s="71">
        <f t="shared" si="3"/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/>
      <c r="Z8" s="82">
        <v>0</v>
      </c>
      <c r="AA8" s="82">
        <v>0</v>
      </c>
      <c r="AB8" s="82">
        <v>0</v>
      </c>
      <c r="AC8" s="82">
        <v>2</v>
      </c>
      <c r="AD8" s="186">
        <f>SUM(Z8,AA8,AB8,AC8)</f>
        <v>2</v>
      </c>
      <c r="AE8" s="82">
        <v>0</v>
      </c>
      <c r="AF8" s="82">
        <v>0</v>
      </c>
    </row>
    <row r="9" spans="1:32">
      <c r="A9" s="69" t="s">
        <v>376</v>
      </c>
      <c r="B9" s="69">
        <f t="shared" ref="B9:I9" si="4">SUM(B3:B8)</f>
        <v>19</v>
      </c>
      <c r="C9" s="69">
        <f t="shared" si="4"/>
        <v>5</v>
      </c>
      <c r="D9" s="69">
        <f t="shared" si="4"/>
        <v>0</v>
      </c>
      <c r="E9" s="69">
        <f t="shared" si="4"/>
        <v>24</v>
      </c>
      <c r="F9" s="69">
        <f t="shared" si="4"/>
        <v>2</v>
      </c>
      <c r="G9" s="69">
        <f t="shared" si="4"/>
        <v>15</v>
      </c>
      <c r="H9" s="69">
        <f t="shared" si="4"/>
        <v>2</v>
      </c>
      <c r="I9" s="69">
        <f t="shared" si="4"/>
        <v>0</v>
      </c>
      <c r="J9" s="71">
        <f t="shared" si="1"/>
        <v>19</v>
      </c>
      <c r="K9" s="114">
        <f>SUM(K3:K8)</f>
        <v>4</v>
      </c>
      <c r="L9" s="114">
        <f>SUM(L3:L8)</f>
        <v>0</v>
      </c>
      <c r="M9" s="114">
        <f>SUM(M3:M8)</f>
        <v>0</v>
      </c>
      <c r="N9" s="114">
        <f>SUM(N3:N8)</f>
        <v>1</v>
      </c>
      <c r="O9" s="71">
        <f t="shared" si="2"/>
        <v>5</v>
      </c>
      <c r="P9" s="114">
        <f t="shared" ref="P9:AF9" si="5">SUM(P3:P8)</f>
        <v>2</v>
      </c>
      <c r="Q9" s="114">
        <f t="shared" si="5"/>
        <v>0</v>
      </c>
      <c r="R9" s="114">
        <f t="shared" si="5"/>
        <v>6</v>
      </c>
      <c r="S9" s="71">
        <f t="shared" si="5"/>
        <v>8</v>
      </c>
      <c r="T9" s="114">
        <f t="shared" si="5"/>
        <v>0</v>
      </c>
      <c r="U9" s="114">
        <f t="shared" si="5"/>
        <v>0</v>
      </c>
      <c r="V9" s="114">
        <f t="shared" si="5"/>
        <v>0</v>
      </c>
      <c r="W9" s="114">
        <f t="shared" si="5"/>
        <v>0</v>
      </c>
      <c r="X9" s="114">
        <f t="shared" si="5"/>
        <v>0</v>
      </c>
      <c r="Y9" s="114">
        <f t="shared" si="5"/>
        <v>0</v>
      </c>
      <c r="Z9" s="73">
        <f t="shared" si="5"/>
        <v>8</v>
      </c>
      <c r="AA9" s="73">
        <f t="shared" si="5"/>
        <v>0</v>
      </c>
      <c r="AB9" s="73">
        <f t="shared" si="5"/>
        <v>0</v>
      </c>
      <c r="AC9" s="73">
        <f t="shared" si="5"/>
        <v>10</v>
      </c>
      <c r="AD9" s="73">
        <f t="shared" si="5"/>
        <v>18</v>
      </c>
      <c r="AE9" s="73">
        <f t="shared" si="5"/>
        <v>0</v>
      </c>
      <c r="AF9" s="73">
        <f t="shared" si="5"/>
        <v>0</v>
      </c>
    </row>
  </sheetData>
  <mergeCells count="7">
    <mergeCell ref="T1:Y1"/>
    <mergeCell ref="Z1:AD1"/>
    <mergeCell ref="A1:A2"/>
    <mergeCell ref="B1:E1"/>
    <mergeCell ref="F1:H1"/>
    <mergeCell ref="K1:O1"/>
    <mergeCell ref="P1:S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9"/>
  <sheetViews>
    <sheetView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ColWidth="14.42578125" defaultRowHeight="15" customHeight="1"/>
  <cols>
    <col min="1" max="1" width="9.5703125" customWidth="1"/>
    <col min="2" max="2" width="19.7109375" customWidth="1"/>
    <col min="3" max="3" width="9.140625" customWidth="1"/>
  </cols>
  <sheetData>
    <row r="1" spans="1:99">
      <c r="A1" s="525" t="s">
        <v>4318</v>
      </c>
      <c r="B1" s="480"/>
      <c r="C1" s="526" t="s">
        <v>4319</v>
      </c>
      <c r="D1" s="481"/>
      <c r="E1" s="480"/>
      <c r="F1" s="198" t="s">
        <v>4320</v>
      </c>
      <c r="G1" s="527" t="s">
        <v>2</v>
      </c>
      <c r="H1" s="468"/>
      <c r="I1" s="468"/>
      <c r="J1" s="468"/>
      <c r="K1" s="469"/>
      <c r="L1" s="524" t="s">
        <v>3</v>
      </c>
      <c r="M1" s="456"/>
      <c r="N1" s="456"/>
      <c r="O1" s="456"/>
      <c r="P1" s="461"/>
      <c r="Q1" s="511" t="s">
        <v>4</v>
      </c>
      <c r="R1" s="461"/>
      <c r="S1" s="524" t="s">
        <v>5</v>
      </c>
      <c r="T1" s="456"/>
      <c r="U1" s="456"/>
      <c r="V1" s="461"/>
      <c r="W1" s="511" t="s">
        <v>6</v>
      </c>
      <c r="X1" s="456"/>
      <c r="Y1" s="456"/>
      <c r="Z1" s="456"/>
      <c r="AA1" s="456"/>
      <c r="AB1" s="461"/>
      <c r="AC1" s="512" t="s">
        <v>7</v>
      </c>
      <c r="AD1" s="456"/>
      <c r="AE1" s="456"/>
      <c r="AF1" s="456"/>
      <c r="AG1" s="456"/>
      <c r="AH1" s="461"/>
      <c r="AI1" s="511" t="s">
        <v>8</v>
      </c>
      <c r="AJ1" s="461"/>
      <c r="AK1" s="524" t="s">
        <v>9</v>
      </c>
      <c r="AL1" s="456"/>
      <c r="AM1" s="461"/>
      <c r="AN1" s="512" t="s">
        <v>10</v>
      </c>
      <c r="AO1" s="456"/>
      <c r="AP1" s="461"/>
      <c r="AQ1" s="524" t="s">
        <v>11</v>
      </c>
      <c r="AR1" s="456"/>
      <c r="AS1" s="461"/>
      <c r="AT1" s="511" t="s">
        <v>12</v>
      </c>
      <c r="AU1" s="461"/>
      <c r="AV1" s="512" t="s">
        <v>13</v>
      </c>
      <c r="AW1" s="456"/>
      <c r="AX1" s="456"/>
      <c r="AY1" s="456"/>
      <c r="AZ1" s="461"/>
      <c r="BA1" s="520" t="s">
        <v>14</v>
      </c>
      <c r="BB1" s="468"/>
      <c r="BC1" s="468"/>
      <c r="BD1" s="468"/>
      <c r="BE1" s="468"/>
      <c r="BF1" s="468"/>
      <c r="BG1" s="469"/>
      <c r="BH1" s="511" t="s">
        <v>16</v>
      </c>
      <c r="BI1" s="456"/>
      <c r="BJ1" s="456"/>
      <c r="BK1" s="456"/>
      <c r="BL1" s="456"/>
      <c r="BM1" s="521"/>
      <c r="BN1" s="512" t="s">
        <v>17</v>
      </c>
      <c r="BO1" s="456"/>
      <c r="BP1" s="461"/>
      <c r="BQ1" s="522" t="s">
        <v>18</v>
      </c>
      <c r="BR1" s="469"/>
      <c r="BS1" s="199"/>
      <c r="BT1" s="200"/>
      <c r="BU1" s="522" t="s">
        <v>19</v>
      </c>
      <c r="BV1" s="468"/>
      <c r="BW1" s="468"/>
      <c r="BX1" s="468"/>
      <c r="BY1" s="469"/>
      <c r="BZ1" s="511" t="s">
        <v>20</v>
      </c>
      <c r="CA1" s="456"/>
      <c r="CB1" s="461"/>
      <c r="CC1" s="523" t="s">
        <v>21</v>
      </c>
      <c r="CD1" s="468"/>
      <c r="CE1" s="201" t="s">
        <v>22</v>
      </c>
      <c r="CF1" s="523" t="s">
        <v>23</v>
      </c>
      <c r="CG1" s="468"/>
      <c r="CH1" s="469"/>
      <c r="CI1" s="511" t="s">
        <v>16</v>
      </c>
      <c r="CJ1" s="456"/>
      <c r="CK1" s="456"/>
      <c r="CL1" s="202"/>
      <c r="CM1" s="512" t="s">
        <v>24</v>
      </c>
      <c r="CN1" s="461"/>
      <c r="CO1" s="512" t="s">
        <v>25</v>
      </c>
      <c r="CP1" s="456"/>
      <c r="CQ1" s="203"/>
      <c r="CR1" s="204" t="s">
        <v>26</v>
      </c>
      <c r="CS1" s="203"/>
      <c r="CT1" s="205"/>
      <c r="CU1" s="206"/>
    </row>
    <row r="2" spans="1:99">
      <c r="A2" s="177"/>
      <c r="B2" s="147"/>
      <c r="C2" s="147"/>
      <c r="D2" s="147"/>
      <c r="E2" s="147"/>
      <c r="F2" s="207"/>
      <c r="G2" s="205"/>
      <c r="H2" s="205"/>
      <c r="I2" s="205"/>
      <c r="J2" s="205"/>
      <c r="K2" s="208"/>
      <c r="L2" s="209"/>
      <c r="M2" s="209"/>
      <c r="N2" s="209"/>
      <c r="O2" s="209"/>
      <c r="P2" s="210"/>
      <c r="Q2" s="211"/>
      <c r="R2" s="207"/>
      <c r="S2" s="209"/>
      <c r="T2" s="209"/>
      <c r="U2" s="209"/>
      <c r="V2" s="210"/>
      <c r="W2" s="212"/>
      <c r="X2" s="212"/>
      <c r="Y2" s="212"/>
      <c r="Z2" s="212"/>
      <c r="AA2" s="212"/>
      <c r="AB2" s="210"/>
      <c r="AC2" s="209"/>
      <c r="AD2" s="209"/>
      <c r="AE2" s="209"/>
      <c r="AF2" s="209"/>
      <c r="AG2" s="209"/>
      <c r="AH2" s="210"/>
      <c r="AI2" s="209"/>
      <c r="AJ2" s="210"/>
      <c r="AK2" s="209"/>
      <c r="AL2" s="209"/>
      <c r="AM2" s="210"/>
      <c r="AN2" s="209"/>
      <c r="AO2" s="209"/>
      <c r="AP2" s="210"/>
      <c r="AQ2" s="209"/>
      <c r="AR2" s="209"/>
      <c r="AS2" s="210"/>
      <c r="AT2" s="212"/>
      <c r="AU2" s="210"/>
      <c r="AV2" s="209"/>
      <c r="AW2" s="209"/>
      <c r="AX2" s="209"/>
      <c r="AY2" s="209"/>
      <c r="AZ2" s="210"/>
      <c r="BA2" s="213"/>
      <c r="BB2" s="213"/>
      <c r="BC2" s="213"/>
      <c r="BD2" s="213"/>
      <c r="BE2" s="214"/>
      <c r="BF2" s="515" t="s">
        <v>15</v>
      </c>
      <c r="BG2" s="516"/>
      <c r="BH2" s="517" t="s">
        <v>78</v>
      </c>
      <c r="BI2" s="516"/>
      <c r="BJ2" s="518" t="s">
        <v>354</v>
      </c>
      <c r="BK2" s="519"/>
      <c r="BL2" s="519"/>
      <c r="BM2" s="516"/>
      <c r="BN2" s="209"/>
      <c r="BO2" s="209"/>
      <c r="BP2" s="210"/>
      <c r="BQ2" s="215"/>
      <c r="BR2" s="215"/>
      <c r="BS2" s="215"/>
      <c r="BT2" s="216"/>
      <c r="BU2" s="215"/>
      <c r="BV2" s="215"/>
      <c r="BW2" s="215"/>
      <c r="BX2" s="215"/>
      <c r="BY2" s="215"/>
      <c r="BZ2" s="213"/>
      <c r="CA2" s="213"/>
      <c r="CB2" s="214"/>
      <c r="CC2" s="213"/>
      <c r="CD2" s="213"/>
      <c r="CE2" s="213"/>
      <c r="CF2" s="213"/>
      <c r="CG2" s="213"/>
      <c r="CH2" s="214"/>
      <c r="CI2" s="209"/>
      <c r="CJ2" s="209"/>
      <c r="CK2" s="209"/>
      <c r="CL2" s="212"/>
      <c r="CM2" s="209"/>
      <c r="CN2" s="210"/>
      <c r="CO2" s="211"/>
      <c r="CP2" s="211"/>
      <c r="CQ2" s="217" t="s">
        <v>893</v>
      </c>
      <c r="CR2" s="212"/>
      <c r="CS2" s="211"/>
      <c r="CT2" s="218"/>
      <c r="CU2" s="218"/>
    </row>
    <row r="3" spans="1:99" ht="30">
      <c r="A3" s="219" t="s">
        <v>28</v>
      </c>
      <c r="B3" s="220" t="s">
        <v>29</v>
      </c>
      <c r="C3" s="220" t="s">
        <v>30</v>
      </c>
      <c r="D3" s="220" t="s">
        <v>31</v>
      </c>
      <c r="E3" s="220" t="s">
        <v>32</v>
      </c>
      <c r="F3" s="221" t="s">
        <v>33</v>
      </c>
      <c r="G3" s="220" t="s">
        <v>34</v>
      </c>
      <c r="H3" s="220" t="s">
        <v>35</v>
      </c>
      <c r="I3" s="220" t="s">
        <v>36</v>
      </c>
      <c r="J3" s="221" t="s">
        <v>37</v>
      </c>
      <c r="K3" s="221" t="s">
        <v>38</v>
      </c>
      <c r="L3" s="220" t="s">
        <v>39</v>
      </c>
      <c r="M3" s="220" t="s">
        <v>40</v>
      </c>
      <c r="N3" s="220" t="s">
        <v>41</v>
      </c>
      <c r="O3" s="220" t="s">
        <v>42</v>
      </c>
      <c r="P3" s="221" t="s">
        <v>43</v>
      </c>
      <c r="Q3" s="222" t="s">
        <v>44</v>
      </c>
      <c r="R3" s="221" t="s">
        <v>45</v>
      </c>
      <c r="S3" s="220" t="s">
        <v>46</v>
      </c>
      <c r="T3" s="220" t="s">
        <v>47</v>
      </c>
      <c r="U3" s="220" t="s">
        <v>48</v>
      </c>
      <c r="V3" s="221" t="s">
        <v>49</v>
      </c>
      <c r="W3" s="223" t="s">
        <v>50</v>
      </c>
      <c r="X3" s="223" t="s">
        <v>51</v>
      </c>
      <c r="Y3" s="223" t="s">
        <v>52</v>
      </c>
      <c r="Z3" s="223" t="s">
        <v>53</v>
      </c>
      <c r="AA3" s="223" t="s">
        <v>54</v>
      </c>
      <c r="AB3" s="224" t="s">
        <v>55</v>
      </c>
      <c r="AC3" s="223" t="s">
        <v>56</v>
      </c>
      <c r="AD3" s="223" t="s">
        <v>57</v>
      </c>
      <c r="AE3" s="223" t="s">
        <v>58</v>
      </c>
      <c r="AF3" s="223" t="s">
        <v>59</v>
      </c>
      <c r="AG3" s="223" t="s">
        <v>60</v>
      </c>
      <c r="AH3" s="224" t="s">
        <v>61</v>
      </c>
      <c r="AI3" s="225" t="s">
        <v>62</v>
      </c>
      <c r="AJ3" s="224" t="s">
        <v>63</v>
      </c>
      <c r="AK3" s="220" t="s">
        <v>64</v>
      </c>
      <c r="AL3" s="220" t="s">
        <v>65</v>
      </c>
      <c r="AM3" s="221" t="s">
        <v>66</v>
      </c>
      <c r="AN3" s="223" t="s">
        <v>67</v>
      </c>
      <c r="AO3" s="223" t="s">
        <v>68</v>
      </c>
      <c r="AP3" s="224" t="s">
        <v>69</v>
      </c>
      <c r="AQ3" s="223" t="s">
        <v>70</v>
      </c>
      <c r="AR3" s="223" t="s">
        <v>71</v>
      </c>
      <c r="AS3" s="224" t="s">
        <v>72</v>
      </c>
      <c r="AT3" s="223" t="s">
        <v>56</v>
      </c>
      <c r="AU3" s="224" t="s">
        <v>73</v>
      </c>
      <c r="AV3" s="223" t="s">
        <v>46</v>
      </c>
      <c r="AW3" s="223" t="s">
        <v>895</v>
      </c>
      <c r="AX3" s="226" t="s">
        <v>75</v>
      </c>
      <c r="AY3" s="226" t="s">
        <v>76</v>
      </c>
      <c r="AZ3" s="224" t="s">
        <v>77</v>
      </c>
      <c r="BA3" s="223" t="s">
        <v>56</v>
      </c>
      <c r="BB3" s="223" t="s">
        <v>78</v>
      </c>
      <c r="BC3" s="223" t="s">
        <v>79</v>
      </c>
      <c r="BD3" s="223" t="s">
        <v>80</v>
      </c>
      <c r="BE3" s="224" t="s">
        <v>38</v>
      </c>
      <c r="BF3" s="227" t="s">
        <v>81</v>
      </c>
      <c r="BG3" s="224" t="s">
        <v>82</v>
      </c>
      <c r="BH3" s="223" t="s">
        <v>83</v>
      </c>
      <c r="BI3" s="223" t="s">
        <v>81</v>
      </c>
      <c r="BJ3" s="223" t="s">
        <v>96</v>
      </c>
      <c r="BK3" s="223" t="s">
        <v>84</v>
      </c>
      <c r="BL3" s="223" t="s">
        <v>85</v>
      </c>
      <c r="BM3" s="223" t="s">
        <v>86</v>
      </c>
      <c r="BN3" s="223" t="s">
        <v>73</v>
      </c>
      <c r="BO3" s="223" t="s">
        <v>87</v>
      </c>
      <c r="BP3" s="224" t="s">
        <v>56</v>
      </c>
      <c r="BQ3" s="223" t="s">
        <v>83</v>
      </c>
      <c r="BR3" s="225" t="s">
        <v>88</v>
      </c>
      <c r="BS3" s="225" t="s">
        <v>89</v>
      </c>
      <c r="BT3" s="208"/>
      <c r="BU3" s="223" t="s">
        <v>90</v>
      </c>
      <c r="BV3" s="223" t="s">
        <v>91</v>
      </c>
      <c r="BW3" s="223" t="s">
        <v>92</v>
      </c>
      <c r="BX3" s="223" t="s">
        <v>93</v>
      </c>
      <c r="BY3" s="224" t="s">
        <v>94</v>
      </c>
      <c r="BZ3" s="225" t="s">
        <v>56</v>
      </c>
      <c r="CA3" s="225" t="s">
        <v>73</v>
      </c>
      <c r="CB3" s="224" t="s">
        <v>22</v>
      </c>
      <c r="CC3" s="223" t="s">
        <v>56</v>
      </c>
      <c r="CD3" s="223" t="s">
        <v>73</v>
      </c>
      <c r="CE3" s="223" t="s">
        <v>1275</v>
      </c>
      <c r="CF3" s="223" t="s">
        <v>83</v>
      </c>
      <c r="CG3" s="223" t="s">
        <v>88</v>
      </c>
      <c r="CH3" s="224" t="s">
        <v>896</v>
      </c>
      <c r="CI3" s="228" t="s">
        <v>96</v>
      </c>
      <c r="CJ3" s="228" t="s">
        <v>97</v>
      </c>
      <c r="CK3" s="228" t="s">
        <v>98</v>
      </c>
      <c r="CL3" s="228" t="s">
        <v>1276</v>
      </c>
      <c r="CM3" s="223" t="s">
        <v>73</v>
      </c>
      <c r="CN3" s="224" t="s">
        <v>56</v>
      </c>
      <c r="CO3" s="223" t="s">
        <v>99</v>
      </c>
      <c r="CP3" s="225" t="s">
        <v>56</v>
      </c>
      <c r="CQ3" s="208"/>
      <c r="CR3" s="513" t="s">
        <v>100</v>
      </c>
      <c r="CS3" s="514"/>
      <c r="CT3" s="229" t="s">
        <v>101</v>
      </c>
      <c r="CU3" s="230" t="s">
        <v>102</v>
      </c>
    </row>
    <row r="4" spans="1:99">
      <c r="A4" s="46" t="s">
        <v>4315</v>
      </c>
      <c r="B4" s="46" t="s">
        <v>4321</v>
      </c>
      <c r="C4" s="46">
        <v>49</v>
      </c>
      <c r="D4" s="46" t="s">
        <v>4322</v>
      </c>
      <c r="E4" s="46" t="s">
        <v>4323</v>
      </c>
      <c r="F4" s="46" t="s">
        <v>2523</v>
      </c>
      <c r="M4" s="46">
        <v>1</v>
      </c>
      <c r="Q4" s="46">
        <v>1</v>
      </c>
      <c r="U4" s="46">
        <v>1</v>
      </c>
      <c r="W4" s="46">
        <v>15</v>
      </c>
      <c r="X4" s="46">
        <v>14</v>
      </c>
      <c r="Y4" s="46">
        <v>21</v>
      </c>
      <c r="Z4" s="46">
        <v>3</v>
      </c>
      <c r="AA4" s="46">
        <v>3</v>
      </c>
      <c r="AB4" s="46">
        <v>1</v>
      </c>
      <c r="AE4" s="46">
        <v>1</v>
      </c>
      <c r="AJ4" s="46">
        <v>1</v>
      </c>
      <c r="AL4" s="46">
        <v>1</v>
      </c>
      <c r="AO4" s="46">
        <v>1</v>
      </c>
      <c r="AQ4" s="46" t="s">
        <v>251</v>
      </c>
      <c r="AR4" s="140">
        <v>45383</v>
      </c>
      <c r="AT4" s="46">
        <v>1</v>
      </c>
      <c r="AW4" s="46">
        <v>1</v>
      </c>
      <c r="BE4" s="46">
        <v>1</v>
      </c>
      <c r="BG4" s="46">
        <v>1</v>
      </c>
      <c r="BV4" s="46">
        <v>1</v>
      </c>
      <c r="BW4" s="46">
        <v>1</v>
      </c>
      <c r="BZ4" s="46">
        <v>1</v>
      </c>
      <c r="CC4" s="46">
        <v>1</v>
      </c>
      <c r="CP4" s="46">
        <v>1</v>
      </c>
      <c r="CU4" s="140">
        <v>45778</v>
      </c>
    </row>
    <row r="5" spans="1:99" hidden="1">
      <c r="A5" s="46" t="s">
        <v>4324</v>
      </c>
      <c r="B5" s="46" t="s">
        <v>4325</v>
      </c>
      <c r="C5" s="46">
        <v>36</v>
      </c>
      <c r="D5" s="46" t="s">
        <v>4326</v>
      </c>
      <c r="E5" s="46" t="s">
        <v>4327</v>
      </c>
      <c r="F5" s="46" t="s">
        <v>2472</v>
      </c>
      <c r="I5" s="46">
        <v>1</v>
      </c>
      <c r="N5" s="46">
        <v>1</v>
      </c>
      <c r="S5" s="46">
        <v>1</v>
      </c>
      <c r="W5" s="46">
        <v>15</v>
      </c>
      <c r="X5" s="46">
        <v>19</v>
      </c>
      <c r="Y5" s="46">
        <v>20</v>
      </c>
      <c r="Z5" s="46">
        <v>6</v>
      </c>
      <c r="AA5" s="46">
        <v>4</v>
      </c>
      <c r="AB5" s="46">
        <v>3</v>
      </c>
      <c r="AC5" s="46">
        <v>1</v>
      </c>
      <c r="AJ5" s="46">
        <v>1</v>
      </c>
      <c r="AL5" s="46">
        <v>1</v>
      </c>
      <c r="AQ5" s="46" t="s">
        <v>251</v>
      </c>
      <c r="AS5" s="46">
        <v>1</v>
      </c>
      <c r="AT5" s="46">
        <v>1</v>
      </c>
      <c r="AW5" s="46">
        <v>1</v>
      </c>
      <c r="BE5" s="46">
        <v>1</v>
      </c>
      <c r="BG5" s="46">
        <v>1</v>
      </c>
      <c r="BI5" s="46">
        <v>1</v>
      </c>
      <c r="BW5" s="46">
        <v>1</v>
      </c>
      <c r="BZ5" s="46">
        <v>1</v>
      </c>
      <c r="CC5" s="46">
        <v>1</v>
      </c>
      <c r="CI5" s="46">
        <v>1</v>
      </c>
      <c r="CP5" s="46">
        <v>1</v>
      </c>
      <c r="CU5" s="140">
        <v>45778</v>
      </c>
    </row>
    <row r="6" spans="1:99" hidden="1">
      <c r="A6" s="46" t="s">
        <v>4328</v>
      </c>
      <c r="B6" s="46" t="s">
        <v>4329</v>
      </c>
      <c r="C6" s="46">
        <v>32</v>
      </c>
      <c r="D6" s="46" t="s">
        <v>4330</v>
      </c>
      <c r="E6" s="46" t="s">
        <v>4331</v>
      </c>
      <c r="F6" s="46" t="s">
        <v>4332</v>
      </c>
      <c r="H6" s="46">
        <v>1</v>
      </c>
      <c r="M6" s="46">
        <v>1</v>
      </c>
      <c r="Q6" s="46">
        <v>1</v>
      </c>
      <c r="U6" s="46">
        <v>1</v>
      </c>
      <c r="W6" s="46">
        <v>11</v>
      </c>
      <c r="X6" s="46">
        <v>10</v>
      </c>
      <c r="Y6" s="46">
        <v>18</v>
      </c>
      <c r="Z6" s="46">
        <v>5</v>
      </c>
      <c r="AA6" s="46">
        <v>5</v>
      </c>
      <c r="AB6" s="46">
        <v>5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P6" s="46">
        <v>1</v>
      </c>
      <c r="CU6" s="140">
        <v>46508</v>
      </c>
    </row>
    <row r="7" spans="1:99" hidden="1">
      <c r="A7" s="46" t="s">
        <v>4333</v>
      </c>
      <c r="B7" s="46" t="s">
        <v>4334</v>
      </c>
      <c r="C7" s="46">
        <v>38</v>
      </c>
      <c r="D7" s="46" t="s">
        <v>4335</v>
      </c>
      <c r="E7" s="46" t="s">
        <v>4336</v>
      </c>
      <c r="F7" s="46" t="s">
        <v>2472</v>
      </c>
      <c r="H7" s="46">
        <v>1</v>
      </c>
      <c r="M7" s="46">
        <v>1</v>
      </c>
      <c r="Q7" s="46">
        <v>1</v>
      </c>
      <c r="V7" s="46">
        <v>1</v>
      </c>
      <c r="W7" s="46">
        <v>14</v>
      </c>
      <c r="X7" s="46">
        <v>16</v>
      </c>
      <c r="Y7" s="46">
        <v>25</v>
      </c>
      <c r="Z7" s="46">
        <v>4</v>
      </c>
      <c r="AA7" s="46">
        <v>4</v>
      </c>
      <c r="AB7" s="46">
        <v>4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B7" s="46">
        <v>1</v>
      </c>
      <c r="BF7" s="46">
        <v>1</v>
      </c>
      <c r="BI7" s="46">
        <v>1</v>
      </c>
      <c r="BZ7" s="46">
        <v>1</v>
      </c>
      <c r="CD7" s="46">
        <v>1</v>
      </c>
      <c r="CE7" s="46">
        <v>2017</v>
      </c>
      <c r="CG7" s="46">
        <v>1</v>
      </c>
      <c r="CP7" s="46">
        <v>1</v>
      </c>
      <c r="CU7" s="140">
        <v>46508</v>
      </c>
    </row>
    <row r="8" spans="1:99" hidden="1">
      <c r="A8" s="46" t="s">
        <v>4337</v>
      </c>
      <c r="B8" s="46" t="s">
        <v>4338</v>
      </c>
      <c r="C8" s="46">
        <v>38</v>
      </c>
      <c r="D8" s="46" t="s">
        <v>4339</v>
      </c>
      <c r="E8" s="46" t="s">
        <v>4340</v>
      </c>
      <c r="F8" s="46" t="s">
        <v>2484</v>
      </c>
      <c r="H8" s="46">
        <v>1</v>
      </c>
      <c r="M8" s="46">
        <v>1</v>
      </c>
      <c r="R8" s="46">
        <v>1</v>
      </c>
      <c r="U8" s="46">
        <v>1</v>
      </c>
      <c r="W8" s="46">
        <v>14</v>
      </c>
      <c r="X8" s="46">
        <v>20</v>
      </c>
      <c r="Y8" s="46">
        <v>25</v>
      </c>
      <c r="Z8" s="46">
        <v>3</v>
      </c>
      <c r="AA8" s="46">
        <v>3</v>
      </c>
      <c r="AB8" s="46">
        <v>3</v>
      </c>
      <c r="AE8" s="46">
        <v>1</v>
      </c>
      <c r="AG8" s="46">
        <v>1</v>
      </c>
      <c r="AJ8" s="46">
        <v>1</v>
      </c>
      <c r="AK8" s="46">
        <v>1</v>
      </c>
      <c r="AT8" s="46">
        <v>1</v>
      </c>
      <c r="AX8" s="46">
        <v>1</v>
      </c>
      <c r="BA8" s="46">
        <v>1</v>
      </c>
      <c r="BM8" s="46" t="s">
        <v>2473</v>
      </c>
      <c r="BN8" s="46">
        <v>1</v>
      </c>
      <c r="BO8" s="46" t="s">
        <v>1133</v>
      </c>
      <c r="BZ8" s="46">
        <v>1</v>
      </c>
      <c r="CC8" s="46">
        <v>1</v>
      </c>
      <c r="CI8" s="46">
        <v>1</v>
      </c>
      <c r="CP8" s="46">
        <v>1</v>
      </c>
      <c r="CU8" s="140">
        <v>45444</v>
      </c>
    </row>
    <row r="9" spans="1:99" hidden="1">
      <c r="A9" s="46" t="s">
        <v>4341</v>
      </c>
      <c r="B9" s="46" t="s">
        <v>4342</v>
      </c>
      <c r="C9" s="46">
        <v>40</v>
      </c>
      <c r="D9" s="46" t="s">
        <v>152</v>
      </c>
      <c r="E9" s="46" t="s">
        <v>4343</v>
      </c>
      <c r="F9" s="46" t="s">
        <v>2484</v>
      </c>
      <c r="M9" s="46">
        <v>1</v>
      </c>
      <c r="R9" s="46">
        <v>1</v>
      </c>
      <c r="V9" s="46">
        <v>1</v>
      </c>
      <c r="W9" s="46">
        <v>14</v>
      </c>
      <c r="X9" s="46">
        <v>17</v>
      </c>
      <c r="Y9" s="46">
        <v>17</v>
      </c>
      <c r="Z9" s="46">
        <v>10</v>
      </c>
      <c r="AA9" s="46">
        <v>10</v>
      </c>
      <c r="AB9" s="46">
        <v>10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I9" s="46">
        <v>1</v>
      </c>
      <c r="CP9" s="46">
        <v>1</v>
      </c>
      <c r="CU9" s="140">
        <v>46539</v>
      </c>
    </row>
  </sheetData>
  <autoFilter ref="A3:CU9">
    <filterColumn colId="2">
      <filters>
        <filter val="49"/>
      </filters>
    </filterColumn>
  </autoFilter>
  <mergeCells count="29">
    <mergeCell ref="A1:B1"/>
    <mergeCell ref="C1:E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CF1:CH1"/>
    <mergeCell ref="CI1:CK1"/>
    <mergeCell ref="CM1:CN1"/>
    <mergeCell ref="CO1:CP1"/>
    <mergeCell ref="CR3:CS3"/>
    <mergeCell ref="BF2:BG2"/>
    <mergeCell ref="BH2:BI2"/>
    <mergeCell ref="BJ2:BM2"/>
    <mergeCell ref="BA1:BG1"/>
    <mergeCell ref="BH1:BM1"/>
    <mergeCell ref="BN1:BP1"/>
    <mergeCell ref="BQ1:BR1"/>
    <mergeCell ref="BU1:BY1"/>
    <mergeCell ref="BZ1:CB1"/>
    <mergeCell ref="CC1:C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F5"/>
  <sheetViews>
    <sheetView workbookViewId="0"/>
  </sheetViews>
  <sheetFormatPr defaultColWidth="14.42578125" defaultRowHeight="15" customHeight="1"/>
  <sheetData>
    <row r="1" spans="1:32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0"/>
      <c r="P1" s="484" t="s">
        <v>355</v>
      </c>
      <c r="Q1" s="481"/>
      <c r="R1" s="481"/>
      <c r="S1" s="480"/>
      <c r="T1" s="484" t="s">
        <v>356</v>
      </c>
      <c r="U1" s="481"/>
      <c r="V1" s="481"/>
      <c r="W1" s="481"/>
      <c r="X1" s="481"/>
      <c r="Y1" s="480"/>
      <c r="Z1" s="485" t="s">
        <v>357</v>
      </c>
      <c r="AA1" s="481"/>
      <c r="AB1" s="481"/>
      <c r="AC1" s="481"/>
      <c r="AD1" s="480"/>
      <c r="AE1" s="182" t="s">
        <v>356</v>
      </c>
      <c r="AF1" s="183"/>
    </row>
    <row r="2" spans="1:32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359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5" t="s">
        <v>361</v>
      </c>
      <c r="P2" s="64" t="s">
        <v>91</v>
      </c>
      <c r="Q2" s="64" t="s">
        <v>362</v>
      </c>
      <c r="R2" s="64" t="s">
        <v>363</v>
      </c>
      <c r="S2" s="65" t="s">
        <v>361</v>
      </c>
      <c r="T2" s="64" t="s">
        <v>364</v>
      </c>
      <c r="U2" s="64" t="s">
        <v>91</v>
      </c>
      <c r="V2" s="64" t="s">
        <v>365</v>
      </c>
      <c r="W2" s="64" t="s">
        <v>366</v>
      </c>
      <c r="X2" s="64" t="s">
        <v>367</v>
      </c>
      <c r="Y2" s="64"/>
      <c r="Z2" s="66" t="s">
        <v>96</v>
      </c>
      <c r="AA2" s="66" t="s">
        <v>97</v>
      </c>
      <c r="AB2" s="66" t="s">
        <v>98</v>
      </c>
      <c r="AC2" s="137" t="s">
        <v>360</v>
      </c>
      <c r="AD2" s="66" t="s">
        <v>369</v>
      </c>
      <c r="AE2" s="64" t="s">
        <v>365</v>
      </c>
      <c r="AF2" s="185" t="s">
        <v>3430</v>
      </c>
    </row>
    <row r="3" spans="1:32">
      <c r="A3" s="77" t="s">
        <v>1270</v>
      </c>
      <c r="B3" s="69">
        <v>4</v>
      </c>
      <c r="C3" s="69">
        <v>1</v>
      </c>
      <c r="D3" s="69">
        <v>0</v>
      </c>
      <c r="E3" s="69">
        <f>SUM(B3:D3)</f>
        <v>5</v>
      </c>
      <c r="F3" s="70">
        <v>0</v>
      </c>
      <c r="G3" s="70">
        <v>4</v>
      </c>
      <c r="H3" s="70">
        <v>0</v>
      </c>
      <c r="I3" s="70">
        <v>0</v>
      </c>
      <c r="J3" s="71">
        <f>SUM(F3:I3)</f>
        <v>4</v>
      </c>
      <c r="K3" s="70">
        <v>0</v>
      </c>
      <c r="L3" s="70">
        <v>0</v>
      </c>
      <c r="M3" s="70">
        <v>0</v>
      </c>
      <c r="N3" s="70">
        <v>1</v>
      </c>
      <c r="O3" s="71">
        <f>SUM(K3:N3)</f>
        <v>1</v>
      </c>
      <c r="P3" s="70">
        <v>0</v>
      </c>
      <c r="Q3" s="70">
        <v>0</v>
      </c>
      <c r="R3" s="70">
        <v>0</v>
      </c>
      <c r="S3" s="71">
        <f>SUM(P3:R3)</f>
        <v>0</v>
      </c>
      <c r="T3" s="75">
        <v>0</v>
      </c>
      <c r="U3" s="75">
        <v>0</v>
      </c>
      <c r="V3" s="75">
        <v>0</v>
      </c>
      <c r="W3" s="75">
        <v>0</v>
      </c>
      <c r="X3" s="75">
        <v>1</v>
      </c>
      <c r="Y3" s="75"/>
      <c r="Z3" s="73">
        <v>1</v>
      </c>
      <c r="AA3" s="73">
        <v>0</v>
      </c>
      <c r="AB3" s="73">
        <v>0</v>
      </c>
      <c r="AC3" s="73">
        <v>0</v>
      </c>
      <c r="AD3" s="186">
        <f>SUM(Z3,AA3,AB3,AC3)</f>
        <v>1</v>
      </c>
      <c r="AE3" s="73">
        <v>0</v>
      </c>
      <c r="AF3" s="73"/>
    </row>
    <row r="4" spans="1:32">
      <c r="A4" s="77" t="s">
        <v>1096</v>
      </c>
      <c r="B4" s="69"/>
      <c r="C4" s="69">
        <v>1</v>
      </c>
      <c r="D4" s="69">
        <v>0</v>
      </c>
      <c r="E4" s="69">
        <f>SUM(B4:D4)</f>
        <v>1</v>
      </c>
      <c r="F4" s="70">
        <v>0</v>
      </c>
      <c r="G4" s="70">
        <v>0</v>
      </c>
      <c r="H4" s="70">
        <v>0</v>
      </c>
      <c r="I4" s="70">
        <v>1</v>
      </c>
      <c r="J4" s="71">
        <f>SUM(F4:I4)</f>
        <v>1</v>
      </c>
      <c r="K4" s="70">
        <v>0</v>
      </c>
      <c r="L4" s="70">
        <v>0</v>
      </c>
      <c r="M4" s="70">
        <v>0</v>
      </c>
      <c r="N4" s="70">
        <v>0</v>
      </c>
      <c r="O4" s="71">
        <f>SUM(K4:N4)</f>
        <v>0</v>
      </c>
      <c r="P4" s="70">
        <v>1</v>
      </c>
      <c r="Q4" s="70">
        <v>0</v>
      </c>
      <c r="R4" s="70">
        <v>1</v>
      </c>
      <c r="S4" s="71">
        <f>SUM(P4:R4)</f>
        <v>2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/>
      <c r="Z4" s="73">
        <v>0</v>
      </c>
      <c r="AA4" s="73">
        <v>0</v>
      </c>
      <c r="AB4" s="73">
        <v>0</v>
      </c>
      <c r="AC4" s="73">
        <v>0</v>
      </c>
      <c r="AD4" s="186">
        <f>SUM(Z4,AA4,AB4,AC4)</f>
        <v>0</v>
      </c>
      <c r="AE4" s="73">
        <v>0</v>
      </c>
      <c r="AF4" s="73">
        <v>0</v>
      </c>
    </row>
    <row r="5" spans="1:32">
      <c r="A5" s="69" t="s">
        <v>376</v>
      </c>
      <c r="B5" s="69">
        <f t="shared" ref="B5:I5" si="0">SUM(B3:B4)</f>
        <v>4</v>
      </c>
      <c r="C5" s="69">
        <f t="shared" si="0"/>
        <v>2</v>
      </c>
      <c r="D5" s="69">
        <f t="shared" si="0"/>
        <v>0</v>
      </c>
      <c r="E5" s="69">
        <f t="shared" si="0"/>
        <v>6</v>
      </c>
      <c r="F5" s="69">
        <f t="shared" si="0"/>
        <v>0</v>
      </c>
      <c r="G5" s="69">
        <f t="shared" si="0"/>
        <v>4</v>
      </c>
      <c r="H5" s="69">
        <f t="shared" si="0"/>
        <v>0</v>
      </c>
      <c r="I5" s="69">
        <f t="shared" si="0"/>
        <v>1</v>
      </c>
      <c r="J5" s="71">
        <f>SUM(F5:I5)</f>
        <v>5</v>
      </c>
      <c r="K5" s="114">
        <f>SUM(K3:K4)</f>
        <v>0</v>
      </c>
      <c r="L5" s="114">
        <f>SUM(L3:L4)</f>
        <v>0</v>
      </c>
      <c r="M5" s="114">
        <f>SUM(M3:M4)</f>
        <v>0</v>
      </c>
      <c r="N5" s="114">
        <f>SUM(N3:N4)</f>
        <v>1</v>
      </c>
      <c r="O5" s="71">
        <f>SUM(K5:N5)</f>
        <v>1</v>
      </c>
      <c r="P5" s="114">
        <f t="shared" ref="P5:AF5" si="1">SUM(P3:P4)</f>
        <v>1</v>
      </c>
      <c r="Q5" s="114">
        <f t="shared" si="1"/>
        <v>0</v>
      </c>
      <c r="R5" s="114">
        <f t="shared" si="1"/>
        <v>1</v>
      </c>
      <c r="S5" s="71">
        <f t="shared" si="1"/>
        <v>2</v>
      </c>
      <c r="T5" s="114">
        <f t="shared" si="1"/>
        <v>0</v>
      </c>
      <c r="U5" s="114">
        <f t="shared" si="1"/>
        <v>0</v>
      </c>
      <c r="V5" s="114">
        <f t="shared" si="1"/>
        <v>0</v>
      </c>
      <c r="W5" s="114">
        <f t="shared" si="1"/>
        <v>0</v>
      </c>
      <c r="X5" s="114">
        <f t="shared" si="1"/>
        <v>1</v>
      </c>
      <c r="Y5" s="114">
        <f t="shared" si="1"/>
        <v>0</v>
      </c>
      <c r="Z5" s="73">
        <f t="shared" si="1"/>
        <v>1</v>
      </c>
      <c r="AA5" s="73">
        <f t="shared" si="1"/>
        <v>0</v>
      </c>
      <c r="AB5" s="73">
        <f t="shared" si="1"/>
        <v>0</v>
      </c>
      <c r="AC5" s="73">
        <f t="shared" si="1"/>
        <v>0</v>
      </c>
      <c r="AD5" s="73">
        <f t="shared" si="1"/>
        <v>1</v>
      </c>
      <c r="AE5" s="73">
        <f t="shared" si="1"/>
        <v>0</v>
      </c>
      <c r="AF5" s="73">
        <f t="shared" si="1"/>
        <v>0</v>
      </c>
    </row>
  </sheetData>
  <mergeCells count="7">
    <mergeCell ref="T1:Y1"/>
    <mergeCell ref="Z1:AD1"/>
    <mergeCell ref="A1:A2"/>
    <mergeCell ref="B1:E1"/>
    <mergeCell ref="F1:H1"/>
    <mergeCell ref="K1:O1"/>
    <mergeCell ref="P1:S1"/>
  </mergeCells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61"/>
  <sheetViews>
    <sheetView workbookViewId="0"/>
  </sheetViews>
  <sheetFormatPr defaultColWidth="14.42578125" defaultRowHeight="15" customHeight="1"/>
  <cols>
    <col min="1" max="1" width="8.85546875" customWidth="1"/>
    <col min="2" max="2" width="25.28515625" customWidth="1"/>
    <col min="3" max="3" width="8.140625" customWidth="1"/>
  </cols>
  <sheetData>
    <row r="1" spans="1:99">
      <c r="A1" s="174" t="s">
        <v>4344</v>
      </c>
      <c r="B1" s="143"/>
      <c r="C1" s="175" t="s">
        <v>4345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>
      <c r="A4" s="46" t="s">
        <v>4346</v>
      </c>
      <c r="B4" s="46" t="s">
        <v>4347</v>
      </c>
      <c r="C4" s="46">
        <v>36</v>
      </c>
      <c r="D4" s="46" t="s">
        <v>1459</v>
      </c>
      <c r="E4" s="46" t="s">
        <v>4348</v>
      </c>
      <c r="F4" s="46" t="s">
        <v>2472</v>
      </c>
      <c r="I4" s="46">
        <v>1</v>
      </c>
      <c r="P4" s="46">
        <v>1</v>
      </c>
      <c r="R4" s="46">
        <v>1</v>
      </c>
      <c r="T4" s="46">
        <v>1</v>
      </c>
      <c r="W4" s="46">
        <v>14</v>
      </c>
      <c r="X4" s="46">
        <v>16</v>
      </c>
      <c r="Y4" s="46">
        <v>16</v>
      </c>
      <c r="Z4" s="46">
        <v>5</v>
      </c>
      <c r="AA4" s="46">
        <v>5</v>
      </c>
      <c r="AB4" s="46">
        <v>5</v>
      </c>
      <c r="AC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M4" s="46" t="s">
        <v>2473</v>
      </c>
      <c r="BO4" s="46" t="s">
        <v>4349</v>
      </c>
      <c r="BZ4" s="46">
        <v>1</v>
      </c>
      <c r="CC4" s="46">
        <v>1</v>
      </c>
      <c r="CI4" s="46">
        <v>1</v>
      </c>
      <c r="CP4" s="46">
        <v>1</v>
      </c>
      <c r="CU4" s="139">
        <v>46483</v>
      </c>
    </row>
    <row r="5" spans="1:99">
      <c r="A5" s="46" t="s">
        <v>4350</v>
      </c>
      <c r="B5" s="46" t="s">
        <v>4351</v>
      </c>
      <c r="C5" s="46">
        <v>40</v>
      </c>
      <c r="D5" s="46" t="s">
        <v>4352</v>
      </c>
      <c r="E5" s="46" t="s">
        <v>4353</v>
      </c>
      <c r="F5" s="46" t="s">
        <v>2472</v>
      </c>
      <c r="I5" s="46">
        <v>1</v>
      </c>
      <c r="M5" s="46">
        <v>1</v>
      </c>
      <c r="R5" s="46">
        <v>1</v>
      </c>
      <c r="T5" s="46">
        <v>1</v>
      </c>
      <c r="W5" s="46">
        <v>16</v>
      </c>
      <c r="X5" s="46">
        <v>17</v>
      </c>
      <c r="Y5" s="46">
        <v>19</v>
      </c>
      <c r="Z5" s="46">
        <v>6</v>
      </c>
      <c r="AA5" s="46">
        <v>6</v>
      </c>
      <c r="AB5" s="46">
        <v>6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I5" s="46">
        <v>1</v>
      </c>
      <c r="CP5" s="46">
        <v>1</v>
      </c>
      <c r="CU5" s="139">
        <v>46483</v>
      </c>
    </row>
    <row r="6" spans="1:99">
      <c r="A6" s="46" t="s">
        <v>4354</v>
      </c>
      <c r="B6" s="46" t="s">
        <v>4355</v>
      </c>
      <c r="C6" s="46">
        <v>38</v>
      </c>
      <c r="D6" s="46" t="s">
        <v>4352</v>
      </c>
      <c r="E6" s="46" t="s">
        <v>4356</v>
      </c>
      <c r="F6" s="46" t="s">
        <v>2472</v>
      </c>
      <c r="I6" s="46">
        <v>1</v>
      </c>
      <c r="M6" s="46">
        <v>1</v>
      </c>
      <c r="Q6" s="46">
        <v>1</v>
      </c>
      <c r="T6" s="46">
        <v>1</v>
      </c>
      <c r="W6" s="46">
        <v>17</v>
      </c>
      <c r="X6" s="46">
        <v>19</v>
      </c>
      <c r="Y6" s="46">
        <v>20</v>
      </c>
      <c r="Z6" s="46">
        <v>7</v>
      </c>
      <c r="AA6" s="46">
        <v>7</v>
      </c>
      <c r="AB6" s="46">
        <v>7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P6" s="46">
        <v>1</v>
      </c>
      <c r="CU6" s="139">
        <v>46483</v>
      </c>
    </row>
    <row r="7" spans="1:99">
      <c r="A7" s="46" t="s">
        <v>4357</v>
      </c>
      <c r="B7" s="46" t="s">
        <v>4358</v>
      </c>
      <c r="C7" s="46">
        <v>28</v>
      </c>
      <c r="D7" s="46" t="s">
        <v>4359</v>
      </c>
      <c r="E7" s="46" t="s">
        <v>4360</v>
      </c>
      <c r="F7" s="46" t="s">
        <v>2574</v>
      </c>
      <c r="G7" s="46">
        <v>1</v>
      </c>
      <c r="O7" s="46">
        <v>1</v>
      </c>
      <c r="Q7" s="46">
        <v>1</v>
      </c>
      <c r="U7" s="46">
        <v>1</v>
      </c>
      <c r="W7" s="46">
        <v>15</v>
      </c>
      <c r="X7" s="46">
        <v>17</v>
      </c>
      <c r="Y7" s="46">
        <v>18</v>
      </c>
      <c r="Z7" s="46">
        <v>2</v>
      </c>
      <c r="AA7" s="46">
        <v>2</v>
      </c>
      <c r="AB7" s="46">
        <v>2</v>
      </c>
      <c r="AE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I7" s="46">
        <v>1</v>
      </c>
      <c r="CP7" s="46">
        <v>1</v>
      </c>
      <c r="CU7" s="139">
        <v>46483</v>
      </c>
    </row>
    <row r="8" spans="1:99">
      <c r="A8" s="46" t="s">
        <v>4361</v>
      </c>
      <c r="B8" s="46" t="s">
        <v>4362</v>
      </c>
      <c r="C8" s="46">
        <v>50</v>
      </c>
      <c r="D8" s="46" t="s">
        <v>4352</v>
      </c>
      <c r="E8" s="46" t="s">
        <v>4363</v>
      </c>
      <c r="F8" s="46" t="s">
        <v>145</v>
      </c>
      <c r="G8" s="46">
        <v>1</v>
      </c>
      <c r="M8" s="46">
        <v>1</v>
      </c>
      <c r="Q8" s="46">
        <v>1</v>
      </c>
      <c r="V8" s="46">
        <v>1</v>
      </c>
      <c r="W8" s="46">
        <v>14</v>
      </c>
      <c r="X8" s="46">
        <v>21</v>
      </c>
      <c r="Y8" s="46">
        <v>22</v>
      </c>
      <c r="Z8" s="46">
        <v>6</v>
      </c>
      <c r="AA8" s="46">
        <v>6</v>
      </c>
      <c r="AB8" s="46">
        <v>5</v>
      </c>
      <c r="AC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J8" s="46">
        <v>1</v>
      </c>
      <c r="BZ8" s="46">
        <v>1</v>
      </c>
      <c r="CC8" s="46">
        <v>1</v>
      </c>
      <c r="CI8" s="46">
        <v>1</v>
      </c>
      <c r="CP8" s="46">
        <v>1</v>
      </c>
      <c r="CU8" s="139">
        <v>46483</v>
      </c>
    </row>
    <row r="9" spans="1:99">
      <c r="A9" s="46" t="s">
        <v>4364</v>
      </c>
      <c r="B9" s="46" t="s">
        <v>4365</v>
      </c>
      <c r="C9" s="46">
        <v>50</v>
      </c>
      <c r="D9" s="46" t="s">
        <v>4352</v>
      </c>
      <c r="E9" s="46" t="s">
        <v>4366</v>
      </c>
      <c r="F9" s="46" t="s">
        <v>2484</v>
      </c>
      <c r="I9" s="46">
        <v>1</v>
      </c>
      <c r="M9" s="46">
        <v>1</v>
      </c>
      <c r="R9" s="46">
        <v>1</v>
      </c>
      <c r="S9" s="46">
        <v>1</v>
      </c>
      <c r="W9" s="46">
        <v>0</v>
      </c>
      <c r="X9" s="46">
        <v>0</v>
      </c>
      <c r="Y9" s="46">
        <v>0</v>
      </c>
      <c r="Z9" s="46">
        <v>10</v>
      </c>
      <c r="AA9" s="46">
        <v>10</v>
      </c>
      <c r="AB9" s="46">
        <v>10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I9" s="46">
        <v>1</v>
      </c>
      <c r="CP9" s="46">
        <v>1</v>
      </c>
      <c r="CU9" s="139">
        <v>46483</v>
      </c>
    </row>
    <row r="10" spans="1:99">
      <c r="A10" s="46" t="s">
        <v>4367</v>
      </c>
      <c r="B10" s="46" t="s">
        <v>4368</v>
      </c>
      <c r="C10" s="46">
        <v>20</v>
      </c>
      <c r="D10" s="46" t="s">
        <v>4352</v>
      </c>
      <c r="E10" s="46" t="s">
        <v>4369</v>
      </c>
      <c r="F10" s="46" t="s">
        <v>2484</v>
      </c>
      <c r="J10" s="46">
        <v>1</v>
      </c>
      <c r="M10" s="46">
        <v>1</v>
      </c>
      <c r="Q10" s="46">
        <v>1</v>
      </c>
      <c r="U10" s="46">
        <v>1</v>
      </c>
      <c r="W10" s="46">
        <v>18</v>
      </c>
      <c r="X10" s="46">
        <v>18</v>
      </c>
      <c r="Y10" s="46">
        <v>18</v>
      </c>
      <c r="Z10" s="46">
        <v>1</v>
      </c>
      <c r="AA10" s="46">
        <v>1</v>
      </c>
      <c r="AB10" s="46">
        <v>1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  <c r="CI10" s="46">
        <v>1</v>
      </c>
      <c r="CP10" s="46">
        <v>1</v>
      </c>
      <c r="CU10" s="139">
        <v>46483</v>
      </c>
    </row>
    <row r="11" spans="1:99">
      <c r="A11" s="46" t="s">
        <v>4370</v>
      </c>
      <c r="B11" s="46" t="s">
        <v>4371</v>
      </c>
      <c r="C11" s="46">
        <v>42</v>
      </c>
      <c r="D11" s="46" t="s">
        <v>4359</v>
      </c>
      <c r="E11" s="46" t="s">
        <v>4372</v>
      </c>
      <c r="F11" s="46" t="s">
        <v>2484</v>
      </c>
      <c r="I11" s="46">
        <v>1</v>
      </c>
      <c r="M11" s="46">
        <v>1</v>
      </c>
      <c r="Q11" s="46">
        <v>1</v>
      </c>
      <c r="U11" s="46">
        <v>1</v>
      </c>
      <c r="W11" s="46">
        <v>15</v>
      </c>
      <c r="X11" s="46">
        <v>20</v>
      </c>
      <c r="Y11" s="46">
        <v>21</v>
      </c>
      <c r="Z11" s="46">
        <v>8</v>
      </c>
      <c r="AA11" s="46">
        <v>4</v>
      </c>
      <c r="AB11" s="46">
        <v>4</v>
      </c>
      <c r="AD11" s="46">
        <v>1</v>
      </c>
      <c r="AE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I11" s="46">
        <v>1</v>
      </c>
      <c r="CP11" s="46">
        <v>1</v>
      </c>
      <c r="CU11" s="139">
        <v>46483</v>
      </c>
    </row>
    <row r="12" spans="1:99">
      <c r="A12" s="46" t="s">
        <v>4373</v>
      </c>
      <c r="B12" s="46" t="s">
        <v>4374</v>
      </c>
      <c r="C12" s="46">
        <v>24</v>
      </c>
      <c r="D12" s="46" t="s">
        <v>4352</v>
      </c>
      <c r="E12" s="46" t="s">
        <v>4375</v>
      </c>
      <c r="F12" s="46" t="s">
        <v>2484</v>
      </c>
      <c r="I12" s="46">
        <v>1</v>
      </c>
      <c r="M12" s="46">
        <v>1</v>
      </c>
      <c r="R12" s="46">
        <v>1</v>
      </c>
      <c r="T12" s="46">
        <v>1</v>
      </c>
      <c r="W12" s="46">
        <v>14</v>
      </c>
      <c r="X12" s="46">
        <v>19</v>
      </c>
      <c r="Y12" s="46">
        <v>22</v>
      </c>
      <c r="Z12" s="46">
        <v>1</v>
      </c>
      <c r="AA12" s="46">
        <v>1</v>
      </c>
      <c r="AB12" s="46">
        <v>1</v>
      </c>
      <c r="AE12" s="46">
        <v>1</v>
      </c>
      <c r="AJ12" s="46">
        <v>1</v>
      </c>
      <c r="AM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P12" s="46">
        <v>1</v>
      </c>
      <c r="CU12" s="139">
        <v>46483</v>
      </c>
    </row>
    <row r="13" spans="1:99">
      <c r="A13" s="46" t="s">
        <v>4376</v>
      </c>
      <c r="B13" s="46" t="s">
        <v>4377</v>
      </c>
      <c r="C13" s="46">
        <v>40</v>
      </c>
      <c r="D13" s="46" t="s">
        <v>4352</v>
      </c>
      <c r="E13" s="46" t="s">
        <v>4378</v>
      </c>
      <c r="F13" s="46" t="s">
        <v>2484</v>
      </c>
      <c r="H13" s="46">
        <v>1</v>
      </c>
      <c r="M13" s="46">
        <v>1</v>
      </c>
      <c r="Q13" s="46">
        <v>1</v>
      </c>
      <c r="S13" s="46">
        <v>1</v>
      </c>
      <c r="W13" s="46">
        <v>0</v>
      </c>
      <c r="X13" s="46">
        <v>14</v>
      </c>
      <c r="Y13" s="46">
        <v>15</v>
      </c>
      <c r="Z13" s="46">
        <v>8</v>
      </c>
      <c r="AA13" s="46">
        <v>8</v>
      </c>
      <c r="AB13" s="46">
        <v>8</v>
      </c>
      <c r="AC13" s="46">
        <v>1</v>
      </c>
      <c r="AJ13" s="46">
        <v>1</v>
      </c>
      <c r="AK13" s="46">
        <v>1</v>
      </c>
      <c r="AT13" s="46">
        <v>1</v>
      </c>
      <c r="AW13" s="46">
        <v>1</v>
      </c>
      <c r="BB13" s="46">
        <v>1</v>
      </c>
      <c r="BF13" s="46">
        <v>1</v>
      </c>
      <c r="BI13" s="46">
        <v>1</v>
      </c>
      <c r="BZ13" s="46">
        <v>1</v>
      </c>
      <c r="CC13" s="46">
        <v>1</v>
      </c>
      <c r="CI13" s="46">
        <v>1</v>
      </c>
      <c r="CP13" s="46">
        <v>1</v>
      </c>
      <c r="CU13" s="139">
        <v>46483</v>
      </c>
    </row>
    <row r="14" spans="1:99">
      <c r="A14" s="46" t="s">
        <v>4379</v>
      </c>
      <c r="B14" s="46" t="s">
        <v>4380</v>
      </c>
      <c r="C14" s="46">
        <v>61</v>
      </c>
      <c r="D14" s="46" t="s">
        <v>4352</v>
      </c>
      <c r="E14" s="46" t="s">
        <v>4381</v>
      </c>
      <c r="F14" s="46" t="s">
        <v>2506</v>
      </c>
      <c r="H14" s="46">
        <v>1</v>
      </c>
      <c r="O14" s="46">
        <v>1</v>
      </c>
      <c r="Q14" s="46">
        <v>1</v>
      </c>
      <c r="T14" s="46">
        <v>1</v>
      </c>
      <c r="W14" s="46">
        <v>14</v>
      </c>
      <c r="X14" s="46">
        <v>18</v>
      </c>
      <c r="Y14" s="46">
        <v>18</v>
      </c>
      <c r="Z14" s="46">
        <v>4</v>
      </c>
      <c r="AA14" s="46">
        <v>4</v>
      </c>
      <c r="AB14" s="46">
        <v>3</v>
      </c>
      <c r="AC14" s="46">
        <v>1</v>
      </c>
      <c r="AJ14" s="46">
        <v>1</v>
      </c>
      <c r="AK14" s="46">
        <v>1</v>
      </c>
      <c r="AT14" s="46">
        <v>1</v>
      </c>
      <c r="AX14" s="46">
        <v>1</v>
      </c>
      <c r="BB14" s="46">
        <v>1</v>
      </c>
      <c r="BF14" s="46">
        <v>1</v>
      </c>
      <c r="BM14" s="46" t="s">
        <v>4382</v>
      </c>
      <c r="BN14" s="46">
        <v>1</v>
      </c>
      <c r="BO14" s="46" t="s">
        <v>952</v>
      </c>
      <c r="BW14" s="46">
        <v>1</v>
      </c>
      <c r="BZ14" s="46">
        <v>1</v>
      </c>
      <c r="CC14" s="46">
        <v>1</v>
      </c>
      <c r="CI14" s="46">
        <v>1</v>
      </c>
      <c r="CP14" s="46">
        <v>1</v>
      </c>
      <c r="CU14" s="139">
        <v>46483</v>
      </c>
    </row>
    <row r="15" spans="1:99">
      <c r="A15" s="46" t="s">
        <v>4383</v>
      </c>
      <c r="B15" s="46" t="s">
        <v>4384</v>
      </c>
      <c r="C15" s="46">
        <v>29</v>
      </c>
      <c r="D15" s="46" t="s">
        <v>4352</v>
      </c>
      <c r="E15" s="46" t="s">
        <v>4385</v>
      </c>
      <c r="F15" s="46" t="s">
        <v>4332</v>
      </c>
      <c r="H15" s="46">
        <v>1</v>
      </c>
      <c r="M15" s="46">
        <v>1</v>
      </c>
      <c r="R15" s="46">
        <v>1</v>
      </c>
      <c r="U15" s="46">
        <v>1</v>
      </c>
      <c r="W15" s="46">
        <v>14</v>
      </c>
      <c r="X15" s="46">
        <v>16</v>
      </c>
      <c r="Y15" s="46">
        <v>17</v>
      </c>
      <c r="Z15" s="46">
        <v>4</v>
      </c>
      <c r="AA15" s="46">
        <v>4</v>
      </c>
      <c r="AB15" s="46">
        <v>4</v>
      </c>
      <c r="AH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I15" s="46">
        <v>1</v>
      </c>
      <c r="BZ15" s="46">
        <v>1</v>
      </c>
      <c r="CC15" s="46">
        <v>1</v>
      </c>
      <c r="CI15" s="46">
        <v>1</v>
      </c>
      <c r="CP15" s="46">
        <v>1</v>
      </c>
      <c r="CU15" s="139">
        <v>46483</v>
      </c>
    </row>
    <row r="16" spans="1:99">
      <c r="A16" s="46" t="s">
        <v>4386</v>
      </c>
      <c r="B16" s="46" t="s">
        <v>4387</v>
      </c>
      <c r="C16" s="46">
        <v>31</v>
      </c>
      <c r="D16" s="46" t="s">
        <v>4352</v>
      </c>
      <c r="E16" s="46" t="s">
        <v>4388</v>
      </c>
      <c r="F16" s="46" t="s">
        <v>2675</v>
      </c>
      <c r="G16" s="46">
        <v>1</v>
      </c>
      <c r="M16" s="46">
        <v>1</v>
      </c>
      <c r="R16" s="46">
        <v>1</v>
      </c>
      <c r="U16" s="46">
        <v>1</v>
      </c>
      <c r="W16" s="46">
        <v>14</v>
      </c>
      <c r="X16" s="46">
        <v>18</v>
      </c>
      <c r="Y16" s="46">
        <v>19</v>
      </c>
      <c r="Z16" s="46">
        <v>3</v>
      </c>
      <c r="AA16" s="46">
        <v>3</v>
      </c>
      <c r="AB16" s="46">
        <v>3</v>
      </c>
      <c r="AD16" s="46">
        <v>1</v>
      </c>
      <c r="AE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P16" s="46">
        <v>1</v>
      </c>
      <c r="CU16" s="139">
        <v>46483</v>
      </c>
    </row>
    <row r="17" spans="1:99">
      <c r="A17" s="46" t="s">
        <v>4389</v>
      </c>
      <c r="B17" s="46" t="s">
        <v>4390</v>
      </c>
      <c r="C17" s="46">
        <v>27</v>
      </c>
      <c r="D17" s="46" t="s">
        <v>4359</v>
      </c>
      <c r="E17" s="46" t="s">
        <v>4391</v>
      </c>
      <c r="F17" s="46" t="s">
        <v>2484</v>
      </c>
      <c r="I17" s="46">
        <v>1</v>
      </c>
      <c r="M17" s="46">
        <v>1</v>
      </c>
      <c r="Q17" s="46">
        <v>1</v>
      </c>
      <c r="U17" s="46">
        <v>1</v>
      </c>
      <c r="W17" s="46">
        <v>15</v>
      </c>
      <c r="X17" s="46">
        <v>18</v>
      </c>
      <c r="Y17" s="46">
        <v>19</v>
      </c>
      <c r="Z17" s="46">
        <v>2</v>
      </c>
      <c r="AA17" s="46">
        <v>2</v>
      </c>
      <c r="AB17" s="46">
        <v>2</v>
      </c>
      <c r="AE17" s="46">
        <v>1</v>
      </c>
      <c r="AJ17" s="46">
        <v>1</v>
      </c>
      <c r="AK17" s="46">
        <v>1</v>
      </c>
      <c r="AT17" s="46">
        <v>1</v>
      </c>
      <c r="AX17" s="46">
        <v>1</v>
      </c>
      <c r="BA17" s="46">
        <v>1</v>
      </c>
      <c r="BM17" s="46" t="s">
        <v>4392</v>
      </c>
      <c r="BZ17" s="46">
        <v>1</v>
      </c>
      <c r="CC17" s="46">
        <v>1</v>
      </c>
      <c r="CI17" s="46">
        <v>1</v>
      </c>
      <c r="CP17" s="46">
        <v>1</v>
      </c>
      <c r="CU17" s="139">
        <v>46483</v>
      </c>
    </row>
    <row r="18" spans="1:99">
      <c r="A18" s="46" t="s">
        <v>4393</v>
      </c>
      <c r="B18" s="46" t="s">
        <v>4394</v>
      </c>
      <c r="C18" s="46">
        <v>38</v>
      </c>
      <c r="D18" s="46" t="s">
        <v>2642</v>
      </c>
      <c r="E18" s="46" t="s">
        <v>4395</v>
      </c>
      <c r="F18" s="46" t="s">
        <v>1145</v>
      </c>
      <c r="J18" s="46">
        <v>1</v>
      </c>
      <c r="M18" s="46">
        <v>1</v>
      </c>
      <c r="Q18" s="46">
        <v>1</v>
      </c>
      <c r="T18" s="46">
        <v>1</v>
      </c>
      <c r="W18" s="46">
        <v>22</v>
      </c>
      <c r="X18" s="46">
        <v>20</v>
      </c>
      <c r="Y18" s="46">
        <v>23</v>
      </c>
      <c r="Z18" s="46">
        <v>5</v>
      </c>
      <c r="AA18" s="46">
        <v>5</v>
      </c>
      <c r="AB18" s="46">
        <v>5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P18" s="46">
        <v>1</v>
      </c>
      <c r="CU18" s="139">
        <v>46483</v>
      </c>
    </row>
    <row r="19" spans="1:99">
      <c r="A19" s="46" t="s">
        <v>4396</v>
      </c>
      <c r="B19" s="46" t="s">
        <v>4397</v>
      </c>
      <c r="C19" s="46">
        <v>27</v>
      </c>
      <c r="D19" s="46" t="s">
        <v>4352</v>
      </c>
      <c r="E19" s="46" t="s">
        <v>4398</v>
      </c>
      <c r="F19" s="46" t="s">
        <v>2484</v>
      </c>
      <c r="H19" s="46">
        <v>1</v>
      </c>
      <c r="M19" s="46">
        <v>1</v>
      </c>
      <c r="Q19" s="46">
        <v>1</v>
      </c>
      <c r="U19" s="46">
        <v>1</v>
      </c>
      <c r="W19" s="46">
        <v>10</v>
      </c>
      <c r="X19" s="46">
        <v>21</v>
      </c>
      <c r="Y19" s="46">
        <v>0</v>
      </c>
      <c r="Z19" s="46">
        <v>0</v>
      </c>
      <c r="AA19" s="46">
        <v>0</v>
      </c>
      <c r="AB19" s="46">
        <v>0</v>
      </c>
      <c r="AE19" s="46">
        <v>1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P19" s="46">
        <v>1</v>
      </c>
      <c r="CU19" s="139">
        <v>46483</v>
      </c>
    </row>
    <row r="20" spans="1:99">
      <c r="A20" s="46" t="s">
        <v>4399</v>
      </c>
      <c r="B20" s="46" t="s">
        <v>290</v>
      </c>
      <c r="C20" s="46">
        <v>50</v>
      </c>
      <c r="D20" s="46" t="s">
        <v>4359</v>
      </c>
      <c r="E20" s="46" t="s">
        <v>4400</v>
      </c>
      <c r="F20" s="46" t="s">
        <v>2484</v>
      </c>
      <c r="I20" s="46">
        <v>1</v>
      </c>
      <c r="M20" s="46">
        <v>1</v>
      </c>
      <c r="R20" s="46">
        <v>1</v>
      </c>
      <c r="T20" s="46">
        <v>1</v>
      </c>
      <c r="W20" s="46">
        <v>15</v>
      </c>
      <c r="X20" s="46">
        <v>20</v>
      </c>
      <c r="Y20" s="46">
        <v>22</v>
      </c>
      <c r="Z20" s="46">
        <v>10</v>
      </c>
      <c r="AA20" s="46">
        <v>10</v>
      </c>
      <c r="AB20" s="46">
        <v>10</v>
      </c>
      <c r="AE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J20" s="46">
        <v>1</v>
      </c>
      <c r="BZ20" s="46">
        <v>1</v>
      </c>
      <c r="CC20" s="46">
        <v>1</v>
      </c>
      <c r="CP20" s="46">
        <v>1</v>
      </c>
      <c r="CU20" s="139">
        <v>46483</v>
      </c>
    </row>
    <row r="21" spans="1:99">
      <c r="A21" s="46" t="s">
        <v>4401</v>
      </c>
      <c r="B21" s="46" t="s">
        <v>4402</v>
      </c>
      <c r="C21" s="46">
        <v>17</v>
      </c>
      <c r="D21" s="46" t="s">
        <v>4352</v>
      </c>
      <c r="E21" s="46" t="s">
        <v>4403</v>
      </c>
      <c r="F21" s="46" t="s">
        <v>2662</v>
      </c>
      <c r="I21" s="46">
        <v>1</v>
      </c>
      <c r="N21" s="46">
        <v>1</v>
      </c>
      <c r="Q21" s="46">
        <v>1</v>
      </c>
      <c r="U21" s="46">
        <v>1</v>
      </c>
      <c r="W21" s="46">
        <v>14</v>
      </c>
      <c r="X21" s="46">
        <v>15</v>
      </c>
      <c r="Y21" s="46">
        <v>0</v>
      </c>
      <c r="Z21" s="46">
        <v>1</v>
      </c>
      <c r="AA21" s="46">
        <v>0</v>
      </c>
      <c r="AB21" s="46">
        <v>0</v>
      </c>
      <c r="AE21" s="46">
        <v>1</v>
      </c>
      <c r="AG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M21" s="46" t="s">
        <v>4404</v>
      </c>
      <c r="BW21" s="46">
        <v>1</v>
      </c>
      <c r="BZ21" s="46">
        <v>1</v>
      </c>
      <c r="CC21" s="46">
        <v>1</v>
      </c>
      <c r="CP21" s="46">
        <v>1</v>
      </c>
      <c r="CU21" s="46" t="s">
        <v>2257</v>
      </c>
    </row>
    <row r="22" spans="1:99">
      <c r="A22" s="46" t="s">
        <v>4405</v>
      </c>
      <c r="B22" s="46" t="s">
        <v>4406</v>
      </c>
      <c r="C22" s="46">
        <v>44</v>
      </c>
      <c r="D22" s="46" t="s">
        <v>4352</v>
      </c>
      <c r="E22" s="46" t="s">
        <v>4407</v>
      </c>
      <c r="F22" s="46" t="s">
        <v>2662</v>
      </c>
      <c r="I22" s="46">
        <v>1</v>
      </c>
      <c r="P22" s="46">
        <v>1</v>
      </c>
      <c r="R22" s="46">
        <v>1</v>
      </c>
      <c r="T22" s="46">
        <v>1</v>
      </c>
      <c r="W22" s="46">
        <v>12</v>
      </c>
      <c r="X22" s="46">
        <v>16</v>
      </c>
      <c r="Y22" s="46">
        <v>16</v>
      </c>
      <c r="Z22" s="46">
        <v>6</v>
      </c>
      <c r="AA22" s="46">
        <v>6</v>
      </c>
      <c r="AB22" s="46">
        <v>4</v>
      </c>
      <c r="AE22" s="46">
        <v>1</v>
      </c>
      <c r="AG22" s="46">
        <v>1</v>
      </c>
      <c r="AJ22" s="46">
        <v>1</v>
      </c>
      <c r="AL22" s="46">
        <v>1</v>
      </c>
      <c r="AQ22" s="46" t="s">
        <v>251</v>
      </c>
      <c r="AR22" s="168">
        <v>45261</v>
      </c>
      <c r="AT22" s="46">
        <v>1</v>
      </c>
      <c r="AZ22" s="46">
        <v>1</v>
      </c>
      <c r="BB22" s="46">
        <v>1</v>
      </c>
      <c r="BF22" s="46">
        <v>1</v>
      </c>
      <c r="BJ22" s="46">
        <v>1</v>
      </c>
      <c r="BZ22" s="46">
        <v>1</v>
      </c>
      <c r="CC22" s="46">
        <v>1</v>
      </c>
      <c r="CP22" s="46">
        <v>1</v>
      </c>
      <c r="CU22" s="139">
        <v>46483</v>
      </c>
    </row>
    <row r="23" spans="1:99">
      <c r="A23" s="46" t="s">
        <v>4408</v>
      </c>
      <c r="B23" s="46" t="s">
        <v>4409</v>
      </c>
      <c r="C23" s="46">
        <v>64</v>
      </c>
      <c r="D23" s="46" t="s">
        <v>2773</v>
      </c>
      <c r="E23" s="46" t="s">
        <v>191</v>
      </c>
      <c r="F23" s="46" t="s">
        <v>2662</v>
      </c>
      <c r="H23" s="46">
        <v>1</v>
      </c>
      <c r="P23" s="46">
        <v>1</v>
      </c>
      <c r="Q23" s="46">
        <v>1</v>
      </c>
      <c r="S23" s="46">
        <v>1</v>
      </c>
      <c r="W23" s="46">
        <v>14</v>
      </c>
      <c r="X23" s="46">
        <v>16</v>
      </c>
      <c r="Y23" s="46">
        <v>19</v>
      </c>
      <c r="Z23" s="46">
        <v>8</v>
      </c>
      <c r="AA23" s="46">
        <v>8</v>
      </c>
      <c r="AB23" s="46">
        <v>1</v>
      </c>
      <c r="AC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BS23" s="46">
        <v>1</v>
      </c>
      <c r="BT23" s="46" t="s">
        <v>952</v>
      </c>
      <c r="BZ23" s="46">
        <v>1</v>
      </c>
      <c r="CC23" s="46">
        <v>1</v>
      </c>
      <c r="CP23" s="46">
        <v>1</v>
      </c>
      <c r="CU23" s="134">
        <v>45444</v>
      </c>
    </row>
    <row r="24" spans="1:99">
      <c r="A24" s="46" t="s">
        <v>4410</v>
      </c>
      <c r="B24" s="46" t="s">
        <v>4411</v>
      </c>
      <c r="C24" s="46">
        <v>28</v>
      </c>
      <c r="D24" s="46" t="s">
        <v>4352</v>
      </c>
      <c r="E24" s="46" t="s">
        <v>4412</v>
      </c>
      <c r="F24" s="46" t="s">
        <v>2675</v>
      </c>
      <c r="I24" s="46">
        <v>1</v>
      </c>
      <c r="O24" s="46">
        <v>1</v>
      </c>
      <c r="R24" s="46">
        <v>1</v>
      </c>
      <c r="T24" s="46">
        <v>1</v>
      </c>
      <c r="W24" s="46">
        <v>17</v>
      </c>
      <c r="X24" s="46">
        <v>18</v>
      </c>
      <c r="Y24" s="46">
        <v>18</v>
      </c>
      <c r="Z24" s="46">
        <v>4</v>
      </c>
      <c r="AA24" s="46">
        <v>5</v>
      </c>
      <c r="AB24" s="46">
        <v>5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P24" s="46">
        <v>1</v>
      </c>
      <c r="CU24" s="139">
        <v>46483</v>
      </c>
    </row>
    <row r="25" spans="1:99">
      <c r="A25" s="46" t="s">
        <v>4413</v>
      </c>
      <c r="B25" s="46" t="s">
        <v>4414</v>
      </c>
      <c r="C25" s="46">
        <v>49</v>
      </c>
      <c r="D25" s="46" t="s">
        <v>4352</v>
      </c>
      <c r="E25" s="46" t="s">
        <v>4415</v>
      </c>
      <c r="F25" s="46" t="s">
        <v>2662</v>
      </c>
      <c r="H25" s="46">
        <v>1</v>
      </c>
      <c r="M25" s="46">
        <v>1</v>
      </c>
      <c r="R25" s="46">
        <v>1</v>
      </c>
      <c r="U25" s="46">
        <v>1</v>
      </c>
      <c r="W25" s="46">
        <v>16</v>
      </c>
      <c r="X25" s="46">
        <v>15</v>
      </c>
      <c r="Y25" s="46">
        <v>19</v>
      </c>
      <c r="Z25" s="46">
        <v>6</v>
      </c>
      <c r="AA25" s="46">
        <v>6</v>
      </c>
      <c r="AB25" s="46">
        <v>6</v>
      </c>
      <c r="AE25" s="46">
        <v>1</v>
      </c>
      <c r="AG25" s="46">
        <v>1</v>
      </c>
      <c r="AJ25" s="46">
        <v>1</v>
      </c>
      <c r="AK25" s="46">
        <v>1</v>
      </c>
      <c r="AT25" s="46">
        <v>1</v>
      </c>
      <c r="AW25" s="46">
        <v>1</v>
      </c>
      <c r="BB25" s="46">
        <v>1</v>
      </c>
      <c r="BF25" s="46">
        <v>1</v>
      </c>
      <c r="BJ25" s="46">
        <v>1</v>
      </c>
      <c r="BZ25" s="46">
        <v>1</v>
      </c>
      <c r="CC25" s="46">
        <v>1</v>
      </c>
      <c r="CP25" s="46">
        <v>1</v>
      </c>
      <c r="CU25" s="139">
        <v>46483</v>
      </c>
    </row>
    <row r="26" spans="1:99">
      <c r="A26" s="46" t="s">
        <v>4416</v>
      </c>
      <c r="B26" s="46" t="s">
        <v>4417</v>
      </c>
      <c r="C26" s="46">
        <v>28</v>
      </c>
      <c r="D26" s="46" t="s">
        <v>4352</v>
      </c>
      <c r="E26" s="46" t="s">
        <v>4418</v>
      </c>
      <c r="F26" s="46" t="s">
        <v>2484</v>
      </c>
      <c r="H26" s="46">
        <v>1</v>
      </c>
      <c r="M26" s="46">
        <v>1</v>
      </c>
      <c r="Q26" s="46">
        <v>1</v>
      </c>
      <c r="T26" s="46">
        <v>1</v>
      </c>
      <c r="W26" s="46">
        <v>16</v>
      </c>
      <c r="X26" s="46">
        <v>18</v>
      </c>
      <c r="Y26" s="46">
        <v>20</v>
      </c>
      <c r="Z26" s="46">
        <v>3</v>
      </c>
      <c r="AA26" s="46">
        <v>3</v>
      </c>
      <c r="AB26" s="46">
        <v>3</v>
      </c>
      <c r="AG26" s="46">
        <v>1</v>
      </c>
      <c r="AH26" s="46">
        <v>1</v>
      </c>
      <c r="AJ26" s="46">
        <v>1</v>
      </c>
      <c r="AK26" s="46">
        <v>1</v>
      </c>
      <c r="AT26" s="46">
        <v>1</v>
      </c>
      <c r="AX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P26" s="46">
        <v>1</v>
      </c>
      <c r="CU26" s="139">
        <v>46483</v>
      </c>
    </row>
    <row r="27" spans="1:99">
      <c r="A27" s="46" t="s">
        <v>4419</v>
      </c>
      <c r="B27" s="46" t="s">
        <v>4420</v>
      </c>
      <c r="C27" s="46">
        <v>26</v>
      </c>
      <c r="D27" s="46" t="s">
        <v>4352</v>
      </c>
      <c r="E27" s="46" t="s">
        <v>4421</v>
      </c>
      <c r="F27" s="46" t="s">
        <v>389</v>
      </c>
      <c r="H27" s="46">
        <v>1</v>
      </c>
      <c r="M27" s="46">
        <v>1</v>
      </c>
      <c r="Q27" s="46">
        <v>1</v>
      </c>
      <c r="T27" s="46">
        <v>1</v>
      </c>
      <c r="W27" s="46">
        <v>13</v>
      </c>
      <c r="X27" s="46">
        <v>14</v>
      </c>
      <c r="Y27" s="46">
        <v>15</v>
      </c>
      <c r="Z27" s="46">
        <v>4</v>
      </c>
      <c r="AA27" s="46">
        <v>4</v>
      </c>
      <c r="AB27" s="46">
        <v>3</v>
      </c>
      <c r="AH27" s="46">
        <v>1</v>
      </c>
      <c r="AJ27" s="46">
        <v>1</v>
      </c>
      <c r="AL27" s="46">
        <v>1</v>
      </c>
      <c r="AQ27" s="46" t="s">
        <v>251</v>
      </c>
      <c r="AR27" s="50">
        <v>45627</v>
      </c>
      <c r="AT27" s="46">
        <v>1</v>
      </c>
      <c r="AW27" s="46">
        <v>1</v>
      </c>
      <c r="BA27" s="46">
        <v>1</v>
      </c>
      <c r="BI27" s="46">
        <v>1</v>
      </c>
      <c r="BW27" s="46">
        <v>1</v>
      </c>
      <c r="BZ27" s="46">
        <v>1</v>
      </c>
      <c r="CC27" s="46">
        <v>1</v>
      </c>
      <c r="CP27" s="46">
        <v>1</v>
      </c>
      <c r="CU27" s="139">
        <v>46483</v>
      </c>
    </row>
    <row r="28" spans="1:99">
      <c r="A28" s="46" t="s">
        <v>4422</v>
      </c>
      <c r="B28" s="46" t="s">
        <v>4423</v>
      </c>
      <c r="C28" s="46">
        <v>18</v>
      </c>
      <c r="D28" s="46" t="s">
        <v>4352</v>
      </c>
      <c r="E28" s="46" t="s">
        <v>4424</v>
      </c>
      <c r="F28" s="46" t="s">
        <v>2484</v>
      </c>
      <c r="I28" s="46">
        <v>1</v>
      </c>
      <c r="M28" s="46">
        <v>1</v>
      </c>
      <c r="Q28" s="46">
        <v>1</v>
      </c>
      <c r="T28" s="46">
        <v>1</v>
      </c>
      <c r="W28" s="46">
        <v>13</v>
      </c>
      <c r="X28" s="46">
        <v>12</v>
      </c>
      <c r="Y28" s="46">
        <v>27</v>
      </c>
      <c r="Z28" s="46">
        <v>1</v>
      </c>
      <c r="AA28" s="46">
        <v>1</v>
      </c>
      <c r="AB28" s="46">
        <v>1</v>
      </c>
      <c r="AD28" s="46">
        <v>1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P28" s="46">
        <v>1</v>
      </c>
      <c r="CU28" s="139">
        <v>46483</v>
      </c>
    </row>
    <row r="29" spans="1:99">
      <c r="A29" s="46" t="s">
        <v>4425</v>
      </c>
      <c r="B29" s="46" t="s">
        <v>4426</v>
      </c>
      <c r="C29" s="46">
        <v>40</v>
      </c>
      <c r="D29" s="46" t="s">
        <v>4352</v>
      </c>
      <c r="E29" s="46" t="s">
        <v>191</v>
      </c>
      <c r="F29" s="46" t="s">
        <v>1509</v>
      </c>
      <c r="I29" s="46">
        <v>1</v>
      </c>
      <c r="M29" s="46">
        <v>1</v>
      </c>
      <c r="Q29" s="46">
        <v>1</v>
      </c>
      <c r="S29" s="46">
        <v>1</v>
      </c>
      <c r="W29" s="46">
        <v>14</v>
      </c>
      <c r="X29" s="46">
        <v>18</v>
      </c>
      <c r="Y29" s="46">
        <v>18</v>
      </c>
      <c r="Z29" s="46">
        <v>7</v>
      </c>
      <c r="AA29" s="46">
        <v>7</v>
      </c>
      <c r="AB29" s="46">
        <v>6</v>
      </c>
      <c r="AE29" s="46">
        <v>1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Z29" s="46">
        <v>1</v>
      </c>
      <c r="CC29" s="46">
        <v>1</v>
      </c>
      <c r="CP29" s="46">
        <v>1</v>
      </c>
      <c r="CU29" s="139">
        <v>46483</v>
      </c>
    </row>
    <row r="30" spans="1:99">
      <c r="A30" s="46" t="s">
        <v>4427</v>
      </c>
      <c r="B30" s="46" t="s">
        <v>4428</v>
      </c>
      <c r="C30" s="46">
        <v>18</v>
      </c>
      <c r="D30" s="46" t="s">
        <v>4352</v>
      </c>
      <c r="E30" s="46" t="s">
        <v>191</v>
      </c>
      <c r="F30" s="46" t="s">
        <v>2484</v>
      </c>
      <c r="G30" s="46">
        <v>1</v>
      </c>
      <c r="L30" s="46">
        <v>1</v>
      </c>
      <c r="Q30" s="46">
        <v>1</v>
      </c>
      <c r="T30" s="46">
        <v>1</v>
      </c>
      <c r="W30" s="46">
        <v>13</v>
      </c>
      <c r="X30" s="46">
        <v>13</v>
      </c>
      <c r="Y30" s="46">
        <v>13</v>
      </c>
      <c r="Z30" s="46">
        <v>2</v>
      </c>
      <c r="AA30" s="46">
        <v>2</v>
      </c>
      <c r="AB30" s="46">
        <v>2</v>
      </c>
      <c r="AE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46">
        <v>1</v>
      </c>
      <c r="CC30" s="46">
        <v>1</v>
      </c>
      <c r="CP30" s="46">
        <v>1</v>
      </c>
      <c r="CU30" s="139">
        <v>46483</v>
      </c>
    </row>
    <row r="31" spans="1:99">
      <c r="A31" s="46" t="s">
        <v>4429</v>
      </c>
      <c r="B31" s="46" t="s">
        <v>4430</v>
      </c>
      <c r="C31" s="46">
        <v>38</v>
      </c>
      <c r="D31" s="46" t="s">
        <v>1459</v>
      </c>
      <c r="E31" s="46" t="s">
        <v>4431</v>
      </c>
      <c r="F31" s="46" t="s">
        <v>2574</v>
      </c>
      <c r="J31" s="46">
        <v>1</v>
      </c>
      <c r="M31" s="46">
        <v>1</v>
      </c>
      <c r="Q31" s="46">
        <v>1</v>
      </c>
      <c r="T31" s="46">
        <v>1</v>
      </c>
      <c r="W31" s="46">
        <v>12</v>
      </c>
      <c r="X31" s="46">
        <v>16</v>
      </c>
      <c r="Y31" s="46">
        <v>21</v>
      </c>
      <c r="Z31" s="46">
        <v>5</v>
      </c>
      <c r="AA31" s="46">
        <v>5</v>
      </c>
      <c r="AB31" s="46">
        <v>5</v>
      </c>
      <c r="AE31" s="46">
        <v>1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Z31" s="46">
        <v>1</v>
      </c>
      <c r="CC31" s="46">
        <v>1</v>
      </c>
      <c r="CP31" s="46">
        <v>1</v>
      </c>
      <c r="CU31" s="139">
        <v>46483</v>
      </c>
    </row>
    <row r="32" spans="1:99">
      <c r="A32" s="46" t="s">
        <v>4432</v>
      </c>
      <c r="B32" s="46" t="s">
        <v>4433</v>
      </c>
      <c r="C32" s="46">
        <v>32</v>
      </c>
      <c r="D32" s="46" t="s">
        <v>4352</v>
      </c>
      <c r="E32" s="46" t="s">
        <v>4434</v>
      </c>
      <c r="F32" s="46" t="s">
        <v>2484</v>
      </c>
      <c r="I32" s="46">
        <v>1</v>
      </c>
      <c r="O32" s="46">
        <v>1</v>
      </c>
      <c r="R32" s="46">
        <v>1</v>
      </c>
      <c r="U32" s="46">
        <v>1</v>
      </c>
      <c r="W32" s="46">
        <v>14</v>
      </c>
      <c r="X32" s="46">
        <v>15</v>
      </c>
      <c r="Y32" s="46">
        <v>21</v>
      </c>
      <c r="Z32" s="46">
        <v>2</v>
      </c>
      <c r="AA32" s="46">
        <v>2</v>
      </c>
      <c r="AB32" s="46">
        <v>2</v>
      </c>
      <c r="AH32" s="46">
        <v>1</v>
      </c>
      <c r="AJ32" s="46">
        <v>1</v>
      </c>
      <c r="AK32" s="46">
        <v>1</v>
      </c>
      <c r="AT32" s="46">
        <v>1</v>
      </c>
      <c r="AX32" s="46">
        <v>1</v>
      </c>
      <c r="BA32" s="46">
        <v>1</v>
      </c>
      <c r="BM32" s="46" t="s">
        <v>4435</v>
      </c>
      <c r="BW32" s="46">
        <v>1</v>
      </c>
      <c r="BZ32" s="46">
        <v>1</v>
      </c>
      <c r="CC32" s="46">
        <v>1</v>
      </c>
      <c r="CI32" s="46">
        <v>1</v>
      </c>
      <c r="CP32" s="46">
        <v>1</v>
      </c>
      <c r="CU32" s="46" t="s">
        <v>3369</v>
      </c>
    </row>
    <row r="33" spans="1:99">
      <c r="A33" s="46" t="s">
        <v>4436</v>
      </c>
      <c r="B33" s="46" t="s">
        <v>4437</v>
      </c>
      <c r="C33" s="46">
        <v>54</v>
      </c>
      <c r="D33" s="46" t="s">
        <v>4438</v>
      </c>
      <c r="E33" s="46" t="s">
        <v>4439</v>
      </c>
      <c r="F33" s="46" t="s">
        <v>2523</v>
      </c>
      <c r="J33" s="46">
        <v>1</v>
      </c>
      <c r="P33" s="46">
        <v>1</v>
      </c>
      <c r="R33" s="46">
        <v>1</v>
      </c>
      <c r="T33" s="46">
        <v>1</v>
      </c>
      <c r="W33" s="46">
        <v>14</v>
      </c>
      <c r="X33" s="46">
        <v>16</v>
      </c>
      <c r="Y33" s="46">
        <v>17</v>
      </c>
      <c r="Z33" s="46">
        <v>8</v>
      </c>
      <c r="AA33" s="46">
        <v>8</v>
      </c>
      <c r="AB33" s="46">
        <v>5</v>
      </c>
      <c r="AC33" s="46">
        <v>1</v>
      </c>
      <c r="AJ33" s="46">
        <v>1</v>
      </c>
      <c r="AK33" s="46">
        <v>1</v>
      </c>
      <c r="AT33" s="46">
        <v>1</v>
      </c>
      <c r="AX33" s="46">
        <v>1</v>
      </c>
      <c r="BA33" s="46">
        <v>1</v>
      </c>
      <c r="BJ33" s="46">
        <v>1</v>
      </c>
      <c r="BZ33" s="46">
        <v>1</v>
      </c>
      <c r="CC33" s="46">
        <v>1</v>
      </c>
      <c r="CI33" s="46">
        <v>1</v>
      </c>
      <c r="CP33" s="46">
        <v>1</v>
      </c>
      <c r="CU33" s="139">
        <v>46513</v>
      </c>
    </row>
    <row r="34" spans="1:99">
      <c r="A34" s="46" t="s">
        <v>4440</v>
      </c>
      <c r="B34" s="46" t="s">
        <v>4441</v>
      </c>
      <c r="C34" s="46">
        <v>55</v>
      </c>
      <c r="D34" s="46" t="s">
        <v>4352</v>
      </c>
      <c r="E34" s="46" t="s">
        <v>4442</v>
      </c>
      <c r="F34" s="46" t="s">
        <v>2484</v>
      </c>
      <c r="H34" s="46">
        <v>1</v>
      </c>
      <c r="M34" s="46">
        <v>1</v>
      </c>
      <c r="Q34" s="46">
        <v>1</v>
      </c>
      <c r="T34" s="46">
        <v>1</v>
      </c>
      <c r="W34" s="46">
        <v>14</v>
      </c>
      <c r="X34" s="46">
        <v>16</v>
      </c>
      <c r="Y34" s="46">
        <v>19</v>
      </c>
      <c r="Z34" s="46">
        <v>6</v>
      </c>
      <c r="AA34" s="46">
        <v>6</v>
      </c>
      <c r="AB34" s="46">
        <v>5</v>
      </c>
      <c r="AE34" s="46">
        <v>1</v>
      </c>
      <c r="AG34" s="46">
        <v>1</v>
      </c>
      <c r="AH34" s="46">
        <v>1</v>
      </c>
      <c r="AI34" s="46">
        <v>1</v>
      </c>
      <c r="AK34" s="46">
        <v>1</v>
      </c>
      <c r="AT34" s="46">
        <v>1</v>
      </c>
      <c r="AX34" s="46">
        <v>1</v>
      </c>
      <c r="BA34" s="46">
        <v>1</v>
      </c>
      <c r="BJ34" s="46">
        <v>1</v>
      </c>
      <c r="BZ34" s="46">
        <v>1</v>
      </c>
      <c r="CC34" s="46">
        <v>1</v>
      </c>
      <c r="CI34" s="46">
        <v>1</v>
      </c>
      <c r="CP34" s="46">
        <v>1</v>
      </c>
      <c r="CU34" s="139">
        <v>46513</v>
      </c>
    </row>
    <row r="35" spans="1:99">
      <c r="A35" s="46" t="s">
        <v>4443</v>
      </c>
      <c r="B35" s="46" t="s">
        <v>4444</v>
      </c>
      <c r="C35" s="46">
        <v>49</v>
      </c>
      <c r="D35" s="46" t="s">
        <v>2350</v>
      </c>
      <c r="E35" s="46" t="s">
        <v>4445</v>
      </c>
      <c r="F35" s="46" t="s">
        <v>2484</v>
      </c>
      <c r="I35" s="46">
        <v>1</v>
      </c>
      <c r="M35" s="46">
        <v>1</v>
      </c>
      <c r="Q35" s="46">
        <v>1</v>
      </c>
      <c r="U35" s="46">
        <v>1</v>
      </c>
      <c r="W35" s="46">
        <v>15</v>
      </c>
      <c r="X35" s="46">
        <v>0</v>
      </c>
      <c r="Y35" s="46">
        <v>17</v>
      </c>
      <c r="Z35" s="46">
        <v>8</v>
      </c>
      <c r="AA35" s="46">
        <v>8</v>
      </c>
      <c r="AB35" s="46">
        <v>8</v>
      </c>
      <c r="AC35" s="46">
        <v>1</v>
      </c>
      <c r="AI35" s="46">
        <v>1</v>
      </c>
      <c r="AK35" s="46">
        <v>1</v>
      </c>
      <c r="AT35" s="46">
        <v>1</v>
      </c>
      <c r="AX35" s="46">
        <v>1</v>
      </c>
      <c r="BA35" s="46">
        <v>1</v>
      </c>
      <c r="BJ35" s="46">
        <v>1</v>
      </c>
      <c r="BZ35" s="46">
        <v>1</v>
      </c>
      <c r="CC35" s="46">
        <v>1</v>
      </c>
      <c r="CI35" s="46">
        <v>1</v>
      </c>
      <c r="CP35" s="46">
        <v>1</v>
      </c>
      <c r="CU35" s="139">
        <v>46513</v>
      </c>
    </row>
    <row r="36" spans="1:99">
      <c r="A36" s="46" t="s">
        <v>4446</v>
      </c>
      <c r="B36" s="46" t="s">
        <v>4447</v>
      </c>
      <c r="C36" s="46">
        <v>24</v>
      </c>
      <c r="D36" s="46" t="s">
        <v>4352</v>
      </c>
      <c r="E36" s="46" t="s">
        <v>4448</v>
      </c>
      <c r="F36" s="46" t="s">
        <v>2662</v>
      </c>
      <c r="I36" s="46">
        <v>1</v>
      </c>
      <c r="M36" s="46">
        <v>1</v>
      </c>
      <c r="Q36" s="46">
        <v>1</v>
      </c>
      <c r="T36" s="46">
        <v>1</v>
      </c>
      <c r="W36" s="46">
        <v>14</v>
      </c>
      <c r="X36" s="46">
        <v>16</v>
      </c>
      <c r="Y36" s="46">
        <v>16</v>
      </c>
      <c r="Z36" s="46">
        <v>4</v>
      </c>
      <c r="AA36" s="46">
        <v>4</v>
      </c>
      <c r="AB36" s="46">
        <v>3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W36" s="46">
        <v>1</v>
      </c>
      <c r="BZ36" s="46">
        <v>1</v>
      </c>
      <c r="CC36" s="46">
        <v>1</v>
      </c>
      <c r="CI36" s="46">
        <v>1</v>
      </c>
      <c r="CP36" s="46">
        <v>1</v>
      </c>
      <c r="CU36" s="139">
        <v>46513</v>
      </c>
    </row>
    <row r="37" spans="1:99">
      <c r="A37" s="46" t="s">
        <v>4449</v>
      </c>
      <c r="B37" s="46" t="s">
        <v>4450</v>
      </c>
      <c r="C37" s="46">
        <v>20</v>
      </c>
      <c r="D37" s="46" t="s">
        <v>4352</v>
      </c>
      <c r="E37" s="46" t="s">
        <v>4451</v>
      </c>
      <c r="F37" s="46" t="s">
        <v>2574</v>
      </c>
      <c r="I37" s="46">
        <v>1</v>
      </c>
      <c r="M37" s="46">
        <v>1</v>
      </c>
      <c r="Q37" s="46">
        <v>1</v>
      </c>
      <c r="T37" s="46">
        <v>1</v>
      </c>
      <c r="W37" s="46">
        <v>14</v>
      </c>
      <c r="X37" s="46">
        <v>18</v>
      </c>
      <c r="Y37" s="46">
        <v>18</v>
      </c>
      <c r="Z37" s="46">
        <v>2</v>
      </c>
      <c r="AA37" s="46">
        <v>1</v>
      </c>
      <c r="AB37" s="46">
        <v>1</v>
      </c>
      <c r="AE37" s="46">
        <v>1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W37" s="46">
        <v>1</v>
      </c>
      <c r="BZ37" s="46">
        <v>1</v>
      </c>
      <c r="CC37" s="46">
        <v>1</v>
      </c>
      <c r="CI37" s="46">
        <v>1</v>
      </c>
      <c r="CP37" s="46">
        <v>1</v>
      </c>
      <c r="CU37" s="139">
        <v>46513</v>
      </c>
    </row>
    <row r="38" spans="1:99">
      <c r="A38" s="46" t="s">
        <v>4452</v>
      </c>
      <c r="B38" s="46" t="s">
        <v>2994</v>
      </c>
      <c r="C38" s="46">
        <v>48</v>
      </c>
      <c r="D38" s="46" t="s">
        <v>2360</v>
      </c>
      <c r="E38" s="46" t="s">
        <v>4453</v>
      </c>
      <c r="F38" s="46" t="s">
        <v>2662</v>
      </c>
      <c r="I38" s="46">
        <v>1</v>
      </c>
      <c r="O38" s="46">
        <v>1</v>
      </c>
      <c r="Q38" s="46">
        <v>1</v>
      </c>
      <c r="T38" s="46">
        <v>1</v>
      </c>
      <c r="W38" s="46">
        <v>13</v>
      </c>
      <c r="X38" s="46">
        <v>15</v>
      </c>
      <c r="Y38" s="46">
        <v>16</v>
      </c>
      <c r="Z38" s="46">
        <v>8</v>
      </c>
      <c r="AA38" s="46">
        <v>8</v>
      </c>
      <c r="AB38" s="46">
        <v>8</v>
      </c>
      <c r="AC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Z38" s="46">
        <v>1</v>
      </c>
      <c r="CC38" s="46">
        <v>1</v>
      </c>
      <c r="CI38" s="46">
        <v>1</v>
      </c>
      <c r="CP38" s="46">
        <v>1</v>
      </c>
      <c r="CU38" s="139">
        <v>46513</v>
      </c>
    </row>
    <row r="39" spans="1:99">
      <c r="A39" s="46" t="s">
        <v>4454</v>
      </c>
      <c r="B39" s="46" t="s">
        <v>4455</v>
      </c>
      <c r="C39" s="46">
        <v>23</v>
      </c>
      <c r="D39" s="46" t="s">
        <v>4438</v>
      </c>
      <c r="E39" s="46" t="s">
        <v>4456</v>
      </c>
      <c r="F39" s="46" t="s">
        <v>2484</v>
      </c>
      <c r="I39" s="46">
        <v>1</v>
      </c>
      <c r="M39" s="46">
        <v>1</v>
      </c>
      <c r="Q39" s="46">
        <v>1</v>
      </c>
      <c r="U39" s="46">
        <v>1</v>
      </c>
      <c r="W39" s="46">
        <v>14</v>
      </c>
      <c r="X39" s="46">
        <v>16</v>
      </c>
      <c r="Y39" s="46">
        <v>18</v>
      </c>
      <c r="Z39" s="46">
        <v>1</v>
      </c>
      <c r="AA39" s="46">
        <v>1</v>
      </c>
      <c r="AB39" s="46">
        <v>1</v>
      </c>
      <c r="AE39" s="46">
        <v>1</v>
      </c>
      <c r="AH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I39" s="46">
        <v>1</v>
      </c>
      <c r="BZ39" s="46">
        <v>1</v>
      </c>
      <c r="CC39" s="46">
        <v>1</v>
      </c>
      <c r="CI39" s="46">
        <v>1</v>
      </c>
      <c r="CP39" s="46">
        <v>1</v>
      </c>
      <c r="CU39" s="139">
        <v>46513</v>
      </c>
    </row>
    <row r="40" spans="1:99">
      <c r="A40" s="46" t="s">
        <v>4457</v>
      </c>
      <c r="B40" s="46" t="s">
        <v>4458</v>
      </c>
      <c r="C40" s="46">
        <v>30</v>
      </c>
      <c r="D40" s="46" t="s">
        <v>4352</v>
      </c>
      <c r="E40" s="46" t="s">
        <v>4459</v>
      </c>
      <c r="F40" s="46" t="s">
        <v>2574</v>
      </c>
      <c r="G40" s="46">
        <v>1</v>
      </c>
      <c r="M40" s="46">
        <v>1</v>
      </c>
      <c r="R40" s="46">
        <v>1</v>
      </c>
      <c r="U40" s="46">
        <v>1</v>
      </c>
      <c r="W40" s="46">
        <v>19</v>
      </c>
      <c r="X40" s="46">
        <v>20</v>
      </c>
      <c r="Y40" s="46">
        <v>24</v>
      </c>
      <c r="Z40" s="46">
        <v>6</v>
      </c>
      <c r="AA40" s="46">
        <v>6</v>
      </c>
      <c r="AB40" s="46">
        <v>6</v>
      </c>
      <c r="AH40" s="46">
        <v>1</v>
      </c>
      <c r="AJ40" s="46">
        <v>1</v>
      </c>
      <c r="AK40" s="46">
        <v>1</v>
      </c>
      <c r="AT40" s="46">
        <v>1</v>
      </c>
      <c r="AX40" s="46">
        <v>1</v>
      </c>
      <c r="BA40" s="46">
        <v>1</v>
      </c>
      <c r="BI40" s="46">
        <v>1</v>
      </c>
      <c r="BZ40" s="46">
        <v>1</v>
      </c>
      <c r="CC40" s="46">
        <v>1</v>
      </c>
      <c r="CI40" s="46">
        <v>1</v>
      </c>
      <c r="CP40" s="46">
        <v>1</v>
      </c>
      <c r="CU40" s="139">
        <v>46513</v>
      </c>
    </row>
    <row r="41" spans="1:99">
      <c r="A41" s="46" t="s">
        <v>4460</v>
      </c>
      <c r="B41" s="46" t="s">
        <v>4461</v>
      </c>
      <c r="C41" s="46">
        <v>40</v>
      </c>
      <c r="D41" s="46" t="s">
        <v>4352</v>
      </c>
      <c r="E41" s="46" t="s">
        <v>4462</v>
      </c>
      <c r="F41" s="46" t="s">
        <v>2484</v>
      </c>
      <c r="H41" s="46">
        <v>1</v>
      </c>
      <c r="O41" s="46">
        <v>1</v>
      </c>
      <c r="R41" s="46">
        <v>1</v>
      </c>
      <c r="U41" s="46">
        <v>1</v>
      </c>
      <c r="W41" s="46">
        <v>16</v>
      </c>
      <c r="X41" s="46">
        <v>18</v>
      </c>
      <c r="Y41" s="46">
        <v>19</v>
      </c>
      <c r="Z41" s="46">
        <v>4</v>
      </c>
      <c r="AA41" s="46">
        <v>4</v>
      </c>
      <c r="AB41" s="46">
        <v>4</v>
      </c>
      <c r="AE41" s="46">
        <v>1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I41" s="46">
        <v>1</v>
      </c>
      <c r="BZ41" s="46">
        <v>1</v>
      </c>
      <c r="CC41" s="46">
        <v>1</v>
      </c>
      <c r="CI41" s="46">
        <v>1</v>
      </c>
      <c r="CP41" s="46">
        <v>1</v>
      </c>
      <c r="CU41" s="139">
        <v>46513</v>
      </c>
    </row>
    <row r="42" spans="1:99">
      <c r="A42" s="46" t="s">
        <v>4463</v>
      </c>
      <c r="B42" s="46" t="s">
        <v>4464</v>
      </c>
      <c r="C42" s="46">
        <v>20</v>
      </c>
      <c r="D42" s="46" t="s">
        <v>4352</v>
      </c>
      <c r="E42" s="46" t="s">
        <v>4465</v>
      </c>
      <c r="F42" s="46" t="s">
        <v>2484</v>
      </c>
      <c r="I42" s="46">
        <v>1</v>
      </c>
      <c r="M42" s="46">
        <v>1</v>
      </c>
      <c r="R42" s="46">
        <v>1</v>
      </c>
      <c r="T42" s="46">
        <v>1</v>
      </c>
      <c r="W42" s="46">
        <v>16</v>
      </c>
      <c r="X42" s="46">
        <v>17</v>
      </c>
      <c r="Y42" s="46">
        <v>17</v>
      </c>
      <c r="Z42" s="46">
        <v>1</v>
      </c>
      <c r="AA42" s="46">
        <v>1</v>
      </c>
      <c r="AB42" s="46">
        <v>1</v>
      </c>
      <c r="AD42" s="46">
        <v>1</v>
      </c>
      <c r="AE42" s="46">
        <v>1</v>
      </c>
      <c r="AG42" s="46">
        <v>1</v>
      </c>
      <c r="AH42" s="46">
        <v>1</v>
      </c>
      <c r="AJ42" s="46">
        <v>1</v>
      </c>
      <c r="AM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P42" s="46">
        <v>1</v>
      </c>
      <c r="CU42" s="139">
        <v>46513</v>
      </c>
    </row>
    <row r="43" spans="1:99">
      <c r="A43" s="46" t="s">
        <v>4466</v>
      </c>
      <c r="B43" s="46" t="s">
        <v>4467</v>
      </c>
      <c r="C43" s="46">
        <v>33</v>
      </c>
      <c r="D43" s="46" t="s">
        <v>4352</v>
      </c>
      <c r="E43" s="46" t="s">
        <v>4468</v>
      </c>
      <c r="F43" s="46" t="s">
        <v>2523</v>
      </c>
      <c r="I43" s="46">
        <v>1</v>
      </c>
      <c r="M43" s="46">
        <v>1</v>
      </c>
      <c r="Q43" s="46">
        <v>1</v>
      </c>
      <c r="T43" s="46">
        <v>1</v>
      </c>
      <c r="W43" s="46">
        <v>14</v>
      </c>
      <c r="X43" s="46">
        <v>15</v>
      </c>
      <c r="Y43" s="46">
        <v>16</v>
      </c>
      <c r="Z43" s="46">
        <v>6</v>
      </c>
      <c r="AA43" s="46">
        <v>6</v>
      </c>
      <c r="AB43" s="46">
        <v>6</v>
      </c>
      <c r="AE43" s="46">
        <v>1</v>
      </c>
      <c r="AH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W43" s="46">
        <v>1</v>
      </c>
      <c r="BZ43" s="46">
        <v>1</v>
      </c>
      <c r="CC43" s="46">
        <v>1</v>
      </c>
      <c r="CI43" s="46">
        <v>1</v>
      </c>
      <c r="CP43" s="46">
        <v>1</v>
      </c>
      <c r="CU43" s="139">
        <v>46513</v>
      </c>
    </row>
    <row r="44" spans="1:99">
      <c r="A44" s="46" t="s">
        <v>4469</v>
      </c>
      <c r="B44" s="46" t="s">
        <v>4470</v>
      </c>
      <c r="C44" s="46">
        <v>32</v>
      </c>
      <c r="D44" s="46" t="s">
        <v>2360</v>
      </c>
      <c r="E44" s="46" t="s">
        <v>4471</v>
      </c>
      <c r="F44" s="46" t="s">
        <v>2484</v>
      </c>
      <c r="H44" s="46">
        <v>1</v>
      </c>
      <c r="M44" s="46">
        <v>1</v>
      </c>
      <c r="R44" s="46">
        <v>1</v>
      </c>
      <c r="U44" s="46">
        <v>1</v>
      </c>
      <c r="W44" s="46">
        <v>12</v>
      </c>
      <c r="X44" s="46">
        <v>15</v>
      </c>
      <c r="Y44" s="46">
        <v>16</v>
      </c>
      <c r="Z44" s="46">
        <v>5</v>
      </c>
      <c r="AA44" s="46">
        <v>3</v>
      </c>
      <c r="AB44" s="46">
        <v>3</v>
      </c>
      <c r="AE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W44" s="46">
        <v>1</v>
      </c>
      <c r="BZ44" s="46">
        <v>1</v>
      </c>
      <c r="CC44" s="46">
        <v>1</v>
      </c>
      <c r="CI44" s="46">
        <v>1</v>
      </c>
      <c r="CP44" s="46">
        <v>1</v>
      </c>
      <c r="CU44" s="139">
        <v>46513</v>
      </c>
    </row>
    <row r="45" spans="1:99">
      <c r="A45" s="46" t="s">
        <v>4472</v>
      </c>
      <c r="B45" s="46" t="s">
        <v>4473</v>
      </c>
      <c r="C45" s="46">
        <v>32</v>
      </c>
      <c r="D45" s="46" t="s">
        <v>4352</v>
      </c>
      <c r="E45" s="46" t="s">
        <v>4474</v>
      </c>
      <c r="F45" s="46" t="s">
        <v>4475</v>
      </c>
      <c r="J45" s="46">
        <v>1</v>
      </c>
      <c r="M45" s="46">
        <v>1</v>
      </c>
      <c r="Q45" s="46">
        <v>1</v>
      </c>
      <c r="V45" s="46">
        <v>1</v>
      </c>
      <c r="W45" s="46">
        <v>14</v>
      </c>
      <c r="X45" s="46">
        <v>21</v>
      </c>
      <c r="Y45" s="46">
        <v>23</v>
      </c>
      <c r="Z45" s="46">
        <v>3</v>
      </c>
      <c r="AA45" s="46">
        <v>3</v>
      </c>
      <c r="AB45" s="46">
        <v>3</v>
      </c>
      <c r="AC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Z45" s="46">
        <v>1</v>
      </c>
      <c r="CC45" s="46">
        <v>1</v>
      </c>
      <c r="CI45" s="46">
        <v>1</v>
      </c>
      <c r="CP45" s="46">
        <v>1</v>
      </c>
      <c r="CU45" s="139">
        <v>46513</v>
      </c>
    </row>
    <row r="46" spans="1:99">
      <c r="A46" s="46" t="s">
        <v>4476</v>
      </c>
      <c r="B46" s="46" t="s">
        <v>4477</v>
      </c>
      <c r="C46" s="46">
        <v>30</v>
      </c>
      <c r="D46" s="46" t="s">
        <v>4352</v>
      </c>
      <c r="E46" s="46" t="s">
        <v>4478</v>
      </c>
      <c r="F46" s="46" t="s">
        <v>2484</v>
      </c>
      <c r="I46" s="46">
        <v>1</v>
      </c>
      <c r="M46" s="46">
        <v>1</v>
      </c>
      <c r="Q46" s="46">
        <v>1</v>
      </c>
      <c r="U46" s="46">
        <v>1</v>
      </c>
      <c r="W46" s="46">
        <v>15</v>
      </c>
      <c r="X46" s="46">
        <v>20</v>
      </c>
      <c r="Y46" s="46">
        <v>20</v>
      </c>
      <c r="Z46" s="46">
        <v>4</v>
      </c>
      <c r="AA46" s="46">
        <v>4</v>
      </c>
      <c r="AB46" s="46">
        <v>4</v>
      </c>
      <c r="AC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>
        <v>1</v>
      </c>
      <c r="BZ46" s="46">
        <v>1</v>
      </c>
      <c r="CC46" s="46">
        <v>1</v>
      </c>
      <c r="CI46" s="46">
        <v>1</v>
      </c>
      <c r="CP46" s="46">
        <v>1</v>
      </c>
      <c r="CU46" s="139">
        <v>46513</v>
      </c>
    </row>
    <row r="47" spans="1:99">
      <c r="A47" s="46" t="s">
        <v>4479</v>
      </c>
      <c r="B47" s="46" t="s">
        <v>4480</v>
      </c>
      <c r="C47" s="46">
        <v>31</v>
      </c>
      <c r="D47" s="46" t="s">
        <v>4352</v>
      </c>
      <c r="E47" s="46" t="s">
        <v>4481</v>
      </c>
      <c r="F47" s="46" t="s">
        <v>2662</v>
      </c>
      <c r="J47" s="46">
        <v>1</v>
      </c>
      <c r="M47" s="46">
        <v>1</v>
      </c>
      <c r="Q47" s="46">
        <v>1</v>
      </c>
      <c r="U47" s="46">
        <v>1</v>
      </c>
      <c r="W47" s="46">
        <v>16</v>
      </c>
      <c r="X47" s="46">
        <v>18</v>
      </c>
      <c r="Y47" s="46">
        <v>23</v>
      </c>
      <c r="Z47" s="46">
        <v>5</v>
      </c>
      <c r="AA47" s="46">
        <v>3</v>
      </c>
      <c r="AB47" s="46">
        <v>3</v>
      </c>
      <c r="AG47" s="46">
        <v>1</v>
      </c>
      <c r="AH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I47" s="46">
        <v>1</v>
      </c>
      <c r="BW47" s="46">
        <v>1</v>
      </c>
      <c r="BZ47" s="46">
        <v>1</v>
      </c>
      <c r="CC47" s="46">
        <v>1</v>
      </c>
      <c r="CI47" s="46">
        <v>1</v>
      </c>
      <c r="CP47" s="46">
        <v>1</v>
      </c>
      <c r="CU47" s="139">
        <v>46513</v>
      </c>
    </row>
    <row r="48" spans="1:99">
      <c r="A48" s="46" t="s">
        <v>4482</v>
      </c>
      <c r="B48" s="46" t="s">
        <v>4483</v>
      </c>
      <c r="C48" s="46">
        <v>32</v>
      </c>
      <c r="D48" s="46" t="s">
        <v>4352</v>
      </c>
      <c r="E48" s="46" t="s">
        <v>4484</v>
      </c>
      <c r="F48" s="46" t="s">
        <v>2662</v>
      </c>
      <c r="H48" s="46">
        <v>1</v>
      </c>
      <c r="M48" s="46">
        <v>1</v>
      </c>
      <c r="Q48" s="46">
        <v>1</v>
      </c>
      <c r="U48" s="46">
        <v>1</v>
      </c>
      <c r="W48" s="46">
        <v>12</v>
      </c>
      <c r="X48" s="46">
        <v>16</v>
      </c>
      <c r="Y48" s="46">
        <v>29</v>
      </c>
      <c r="Z48" s="46">
        <v>2</v>
      </c>
      <c r="AA48" s="46">
        <v>1</v>
      </c>
      <c r="AB48" s="46">
        <v>1</v>
      </c>
      <c r="AE48" s="46">
        <v>1</v>
      </c>
      <c r="AF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I48" s="46">
        <v>1</v>
      </c>
      <c r="BW48" s="46">
        <v>1</v>
      </c>
      <c r="BZ48" s="46">
        <v>1</v>
      </c>
      <c r="CC48" s="46">
        <v>1</v>
      </c>
      <c r="CI48" s="46">
        <v>1</v>
      </c>
      <c r="CP48" s="46">
        <v>1</v>
      </c>
      <c r="CU48" s="139">
        <v>46513</v>
      </c>
    </row>
    <row r="49" spans="1:99">
      <c r="A49" s="46" t="s">
        <v>4485</v>
      </c>
      <c r="B49" s="46" t="s">
        <v>4486</v>
      </c>
      <c r="C49" s="46">
        <v>40</v>
      </c>
      <c r="D49" s="46" t="s">
        <v>4352</v>
      </c>
      <c r="E49" s="46" t="s">
        <v>4487</v>
      </c>
      <c r="F49" s="46" t="s">
        <v>2662</v>
      </c>
      <c r="I49" s="46">
        <v>1</v>
      </c>
      <c r="M49" s="46">
        <v>1</v>
      </c>
      <c r="R49" s="46">
        <v>1</v>
      </c>
      <c r="T49" s="46">
        <v>1</v>
      </c>
      <c r="W49" s="46">
        <v>15</v>
      </c>
      <c r="X49" s="46">
        <v>20</v>
      </c>
      <c r="Y49" s="46">
        <v>21</v>
      </c>
      <c r="Z49" s="46">
        <v>9</v>
      </c>
      <c r="AA49" s="46">
        <v>5</v>
      </c>
      <c r="AB49" s="46">
        <v>5</v>
      </c>
      <c r="AE49" s="46">
        <v>1</v>
      </c>
      <c r="AH49" s="46">
        <v>1</v>
      </c>
      <c r="AJ49" s="46">
        <v>1</v>
      </c>
      <c r="AK49" s="46">
        <v>1</v>
      </c>
      <c r="AT49" s="46">
        <v>1</v>
      </c>
      <c r="AX49" s="46">
        <v>1</v>
      </c>
      <c r="BA49" s="46">
        <v>1</v>
      </c>
      <c r="BI49" s="46">
        <v>1</v>
      </c>
      <c r="BW49" s="46">
        <v>1</v>
      </c>
      <c r="BZ49" s="46">
        <v>1</v>
      </c>
      <c r="CC49" s="46">
        <v>1</v>
      </c>
      <c r="CI49" s="46">
        <v>1</v>
      </c>
      <c r="CP49" s="46">
        <v>1</v>
      </c>
      <c r="CU49" s="139">
        <v>46513</v>
      </c>
    </row>
    <row r="50" spans="1:99">
      <c r="A50" s="46" t="s">
        <v>4488</v>
      </c>
      <c r="B50" s="46" t="s">
        <v>4489</v>
      </c>
      <c r="C50" s="46">
        <v>28</v>
      </c>
      <c r="D50" s="46" t="s">
        <v>4352</v>
      </c>
      <c r="E50" s="46" t="s">
        <v>4490</v>
      </c>
      <c r="F50" s="46" t="s">
        <v>2484</v>
      </c>
      <c r="H50" s="46">
        <v>1</v>
      </c>
      <c r="M50" s="46">
        <v>1</v>
      </c>
      <c r="Q50" s="46">
        <v>1</v>
      </c>
      <c r="T50" s="46">
        <v>1</v>
      </c>
      <c r="W50" s="46">
        <v>16</v>
      </c>
      <c r="X50" s="46">
        <v>17</v>
      </c>
      <c r="Y50" s="46">
        <v>21</v>
      </c>
      <c r="Z50" s="46">
        <v>1</v>
      </c>
      <c r="AA50" s="46">
        <v>1</v>
      </c>
      <c r="AB50" s="46">
        <v>1</v>
      </c>
      <c r="AC50" s="46">
        <v>1</v>
      </c>
      <c r="AJ50" s="46">
        <v>1</v>
      </c>
      <c r="AL50" s="46">
        <v>1</v>
      </c>
      <c r="AQ50" s="46" t="s">
        <v>251</v>
      </c>
      <c r="AR50" s="134">
        <v>45413</v>
      </c>
      <c r="AT50" s="46">
        <v>1</v>
      </c>
      <c r="AW50" s="46">
        <v>1</v>
      </c>
      <c r="BA50" s="46">
        <v>1</v>
      </c>
      <c r="BI50" s="46">
        <v>1</v>
      </c>
      <c r="BZ50" s="46">
        <v>1</v>
      </c>
      <c r="CC50" s="46">
        <v>1</v>
      </c>
      <c r="CI50" s="46">
        <v>1</v>
      </c>
      <c r="CP50" s="46">
        <v>1</v>
      </c>
      <c r="CU50" s="139">
        <v>46513</v>
      </c>
    </row>
    <row r="51" spans="1:99">
      <c r="A51" s="46" t="s">
        <v>4491</v>
      </c>
      <c r="B51" s="46" t="s">
        <v>4492</v>
      </c>
      <c r="C51" s="46">
        <v>21</v>
      </c>
      <c r="D51" s="46" t="s">
        <v>4352</v>
      </c>
      <c r="E51" s="46" t="s">
        <v>4493</v>
      </c>
      <c r="F51" s="46" t="s">
        <v>4494</v>
      </c>
      <c r="H51" s="46">
        <v>1</v>
      </c>
      <c r="L51" s="46">
        <v>1</v>
      </c>
      <c r="R51" s="46">
        <v>1</v>
      </c>
      <c r="T51" s="46">
        <v>1</v>
      </c>
      <c r="W51" s="46">
        <v>13</v>
      </c>
      <c r="X51" s="46">
        <v>14</v>
      </c>
      <c r="Y51" s="46">
        <v>14</v>
      </c>
      <c r="Z51" s="46">
        <v>2</v>
      </c>
      <c r="AA51" s="46">
        <v>1</v>
      </c>
      <c r="AB51" s="46">
        <v>0</v>
      </c>
      <c r="AH51" s="46">
        <v>1</v>
      </c>
      <c r="AJ51" s="46">
        <v>1</v>
      </c>
      <c r="AK51" s="46">
        <v>1</v>
      </c>
      <c r="AT51" s="46">
        <v>1</v>
      </c>
      <c r="AZ51" s="46">
        <v>1</v>
      </c>
      <c r="BA51" s="46">
        <v>1</v>
      </c>
      <c r="BI51" s="46">
        <v>1</v>
      </c>
      <c r="BZ51" s="46">
        <v>1</v>
      </c>
      <c r="CC51" s="46">
        <v>1</v>
      </c>
      <c r="CI51" s="46">
        <v>1</v>
      </c>
      <c r="CP51" s="46">
        <v>1</v>
      </c>
      <c r="CU51" s="139">
        <v>46513</v>
      </c>
    </row>
    <row r="52" spans="1:99">
      <c r="A52" s="46" t="s">
        <v>4495</v>
      </c>
      <c r="B52" s="46" t="s">
        <v>4496</v>
      </c>
      <c r="C52" s="46">
        <v>46</v>
      </c>
      <c r="D52" s="46" t="s">
        <v>4497</v>
      </c>
      <c r="E52" s="46" t="s">
        <v>4498</v>
      </c>
      <c r="F52" s="46" t="s">
        <v>4499</v>
      </c>
      <c r="J52" s="46">
        <v>1</v>
      </c>
      <c r="M52" s="46">
        <v>1</v>
      </c>
      <c r="Q52" s="46">
        <v>1</v>
      </c>
      <c r="T52" s="46">
        <v>1</v>
      </c>
      <c r="W52" s="46">
        <v>15</v>
      </c>
      <c r="X52" s="46">
        <v>18</v>
      </c>
      <c r="Y52" s="46">
        <v>19</v>
      </c>
      <c r="Z52" s="46">
        <v>10</v>
      </c>
      <c r="AA52" s="46">
        <v>10</v>
      </c>
      <c r="AB52" s="46">
        <v>7</v>
      </c>
      <c r="AE52" s="46">
        <v>1</v>
      </c>
      <c r="AG52" s="46">
        <v>1</v>
      </c>
      <c r="AH52" s="46">
        <v>1</v>
      </c>
      <c r="AJ52" s="46">
        <v>1</v>
      </c>
      <c r="AK52" s="46">
        <v>1</v>
      </c>
      <c r="AT52" s="46">
        <v>1</v>
      </c>
      <c r="AX52" s="46">
        <v>1</v>
      </c>
      <c r="BA52" s="46">
        <v>1</v>
      </c>
      <c r="BI52" s="46">
        <v>1</v>
      </c>
      <c r="BW52" s="46">
        <v>1</v>
      </c>
      <c r="BZ52" s="46">
        <v>1</v>
      </c>
      <c r="CC52" s="46">
        <v>1</v>
      </c>
      <c r="CI52" s="46">
        <v>1</v>
      </c>
      <c r="CP52" s="46">
        <v>1</v>
      </c>
      <c r="CU52" s="139">
        <v>46513</v>
      </c>
    </row>
    <row r="53" spans="1:99">
      <c r="A53" s="46" t="s">
        <v>4500</v>
      </c>
      <c r="B53" s="46" t="s">
        <v>4501</v>
      </c>
      <c r="C53" s="46">
        <v>25</v>
      </c>
      <c r="D53" s="46" t="s">
        <v>4352</v>
      </c>
      <c r="E53" s="46" t="s">
        <v>4502</v>
      </c>
      <c r="F53" s="46" t="s">
        <v>2662</v>
      </c>
      <c r="J53" s="46">
        <v>1</v>
      </c>
      <c r="M53" s="46">
        <v>1</v>
      </c>
      <c r="Q53" s="46">
        <v>1</v>
      </c>
      <c r="T53" s="46">
        <v>1</v>
      </c>
      <c r="W53" s="46">
        <v>14</v>
      </c>
      <c r="X53" s="46">
        <v>18</v>
      </c>
      <c r="Y53" s="46">
        <v>18</v>
      </c>
      <c r="Z53" s="46">
        <v>2</v>
      </c>
      <c r="AA53" s="46">
        <v>2</v>
      </c>
      <c r="AB53" s="46">
        <v>2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W53" s="46">
        <v>1</v>
      </c>
      <c r="BZ53" s="46">
        <v>1</v>
      </c>
      <c r="CC53" s="46">
        <v>1</v>
      </c>
      <c r="CI53" s="46">
        <v>1</v>
      </c>
      <c r="CP53" s="46">
        <v>1</v>
      </c>
      <c r="CU53" s="139">
        <v>46513</v>
      </c>
    </row>
    <row r="54" spans="1:99">
      <c r="A54" s="46" t="s">
        <v>4503</v>
      </c>
      <c r="B54" s="46" t="s">
        <v>4504</v>
      </c>
      <c r="C54" s="46">
        <v>36</v>
      </c>
      <c r="D54" s="46" t="s">
        <v>4352</v>
      </c>
      <c r="E54" s="46" t="s">
        <v>4505</v>
      </c>
      <c r="F54" s="46" t="s">
        <v>2484</v>
      </c>
      <c r="J54" s="46">
        <v>1</v>
      </c>
      <c r="M54" s="46">
        <v>1</v>
      </c>
      <c r="Q54" s="46">
        <v>1</v>
      </c>
      <c r="U54" s="46">
        <v>1</v>
      </c>
      <c r="W54" s="46">
        <v>14</v>
      </c>
      <c r="X54" s="46">
        <v>19</v>
      </c>
      <c r="Y54" s="46">
        <v>22</v>
      </c>
      <c r="Z54" s="46">
        <v>2</v>
      </c>
      <c r="AA54" s="46">
        <v>2</v>
      </c>
      <c r="AB54" s="46">
        <v>2</v>
      </c>
      <c r="AE54" s="46">
        <v>1</v>
      </c>
      <c r="AJ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W54" s="46">
        <v>1</v>
      </c>
      <c r="BZ54" s="46">
        <v>1</v>
      </c>
      <c r="CC54" s="46">
        <v>1</v>
      </c>
      <c r="CI54" s="46">
        <v>1</v>
      </c>
      <c r="CP54" s="46">
        <v>1</v>
      </c>
      <c r="CU54" s="139">
        <v>46513</v>
      </c>
    </row>
    <row r="55" spans="1:99">
      <c r="A55" s="46" t="s">
        <v>4506</v>
      </c>
      <c r="B55" s="46" t="s">
        <v>2593</v>
      </c>
      <c r="C55" s="46">
        <v>30</v>
      </c>
      <c r="D55" s="46" t="s">
        <v>4438</v>
      </c>
      <c r="E55" s="46" t="s">
        <v>4507</v>
      </c>
      <c r="F55" s="46" t="s">
        <v>2484</v>
      </c>
      <c r="H55" s="46">
        <v>1</v>
      </c>
      <c r="N55" s="46">
        <v>1</v>
      </c>
      <c r="Q55" s="46">
        <v>1</v>
      </c>
      <c r="U55" s="46">
        <v>1</v>
      </c>
      <c r="W55" s="46">
        <v>12</v>
      </c>
      <c r="X55" s="46">
        <v>16</v>
      </c>
      <c r="Y55" s="46">
        <v>18</v>
      </c>
      <c r="Z55" s="46">
        <v>4</v>
      </c>
      <c r="AA55" s="46">
        <v>4</v>
      </c>
      <c r="AB55" s="46">
        <v>2</v>
      </c>
      <c r="AE55" s="46">
        <v>1</v>
      </c>
      <c r="AJ55" s="46">
        <v>1</v>
      </c>
      <c r="AK55" s="46">
        <v>1</v>
      </c>
      <c r="AT55" s="46">
        <v>1</v>
      </c>
      <c r="AW55" s="46">
        <v>1</v>
      </c>
      <c r="BA55" s="46">
        <v>1</v>
      </c>
      <c r="BI55" s="46">
        <v>1</v>
      </c>
      <c r="BW55" s="46">
        <v>1</v>
      </c>
      <c r="BZ55" s="46">
        <v>1</v>
      </c>
      <c r="CC55" s="46">
        <v>1</v>
      </c>
      <c r="CI55" s="46">
        <v>1</v>
      </c>
      <c r="CP55" s="46">
        <v>1</v>
      </c>
      <c r="CU55" s="139">
        <v>46513</v>
      </c>
    </row>
    <row r="56" spans="1:99">
      <c r="A56" s="46" t="s">
        <v>4508</v>
      </c>
      <c r="B56" s="46" t="s">
        <v>4509</v>
      </c>
      <c r="C56" s="46">
        <v>32</v>
      </c>
      <c r="D56" s="46" t="s">
        <v>4352</v>
      </c>
      <c r="E56" s="46" t="s">
        <v>4510</v>
      </c>
      <c r="F56" s="46" t="s">
        <v>2484</v>
      </c>
      <c r="I56" s="46">
        <v>1</v>
      </c>
      <c r="M56" s="46">
        <v>1</v>
      </c>
      <c r="Q56" s="46">
        <v>1</v>
      </c>
      <c r="U56" s="46">
        <v>1</v>
      </c>
      <c r="W56" s="46">
        <v>15</v>
      </c>
      <c r="X56" s="46">
        <v>16</v>
      </c>
      <c r="Y56" s="46">
        <v>16</v>
      </c>
      <c r="Z56" s="46">
        <v>6</v>
      </c>
      <c r="AA56" s="46">
        <v>6</v>
      </c>
      <c r="AB56" s="46">
        <v>6</v>
      </c>
      <c r="AC56" s="46">
        <v>1</v>
      </c>
      <c r="AJ56" s="46">
        <v>1</v>
      </c>
      <c r="AK56" s="46">
        <v>1</v>
      </c>
      <c r="AT56" s="46">
        <v>1</v>
      </c>
      <c r="AW56" s="46">
        <v>1</v>
      </c>
      <c r="BA56" s="46">
        <v>1</v>
      </c>
      <c r="BI56" s="46">
        <v>1</v>
      </c>
      <c r="BZ56" s="46">
        <v>1</v>
      </c>
      <c r="CC56" s="46">
        <v>1</v>
      </c>
      <c r="CI56" s="46">
        <v>1</v>
      </c>
      <c r="CP56" s="46">
        <v>1</v>
      </c>
      <c r="CU56" s="139">
        <v>46513</v>
      </c>
    </row>
    <row r="57" spans="1:99">
      <c r="A57" s="46" t="s">
        <v>4511</v>
      </c>
      <c r="B57" s="46" t="s">
        <v>4512</v>
      </c>
      <c r="C57" s="46">
        <v>31</v>
      </c>
      <c r="D57" s="46" t="s">
        <v>1459</v>
      </c>
      <c r="E57" s="46" t="s">
        <v>4513</v>
      </c>
      <c r="F57" s="46" t="s">
        <v>2484</v>
      </c>
      <c r="G57" s="46">
        <v>1</v>
      </c>
      <c r="M57" s="46">
        <v>1</v>
      </c>
      <c r="Q57" s="46">
        <v>1</v>
      </c>
      <c r="U57" s="46">
        <v>1</v>
      </c>
      <c r="W57" s="46">
        <v>16</v>
      </c>
      <c r="X57" s="46">
        <v>17</v>
      </c>
      <c r="Y57" s="46">
        <v>18</v>
      </c>
      <c r="Z57" s="46">
        <v>4</v>
      </c>
      <c r="AA57" s="46">
        <v>4</v>
      </c>
      <c r="AB57" s="46">
        <v>4</v>
      </c>
      <c r="AD57" s="46">
        <v>1</v>
      </c>
      <c r="AH57" s="46">
        <v>1</v>
      </c>
      <c r="AJ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Z57" s="46">
        <v>1</v>
      </c>
      <c r="CC57" s="46">
        <v>1</v>
      </c>
      <c r="CI57" s="46">
        <v>1</v>
      </c>
      <c r="CP57" s="46">
        <v>1</v>
      </c>
      <c r="CU57" s="139">
        <v>46513</v>
      </c>
    </row>
    <row r="58" spans="1:99">
      <c r="A58" s="46" t="s">
        <v>4514</v>
      </c>
      <c r="B58" s="46" t="s">
        <v>4515</v>
      </c>
      <c r="C58" s="46">
        <v>37</v>
      </c>
      <c r="D58" s="46" t="s">
        <v>1459</v>
      </c>
      <c r="E58" s="46" t="s">
        <v>4516</v>
      </c>
      <c r="F58" s="46" t="s">
        <v>145</v>
      </c>
      <c r="G58" s="46">
        <v>1</v>
      </c>
      <c r="M58" s="46">
        <v>1</v>
      </c>
      <c r="Q58" s="46">
        <v>1</v>
      </c>
      <c r="U58" s="46">
        <v>1</v>
      </c>
      <c r="W58" s="46">
        <v>18</v>
      </c>
      <c r="X58" s="46">
        <v>20</v>
      </c>
      <c r="Y58" s="46">
        <v>22</v>
      </c>
      <c r="Z58" s="46">
        <v>5</v>
      </c>
      <c r="AA58" s="46">
        <v>5</v>
      </c>
      <c r="AB58" s="46">
        <v>5</v>
      </c>
      <c r="AH58" s="46">
        <v>1</v>
      </c>
      <c r="AJ58" s="46">
        <v>1</v>
      </c>
      <c r="AK58" s="46">
        <v>1</v>
      </c>
      <c r="AT58" s="46">
        <v>1</v>
      </c>
      <c r="AW58" s="46">
        <v>1</v>
      </c>
      <c r="BB58" s="46">
        <v>1</v>
      </c>
      <c r="BF58" s="46">
        <v>1</v>
      </c>
      <c r="BI58" s="46">
        <v>1</v>
      </c>
      <c r="BZ58" s="46">
        <v>1</v>
      </c>
      <c r="CC58" s="46">
        <v>1</v>
      </c>
      <c r="CI58" s="46">
        <v>1</v>
      </c>
      <c r="CP58" s="46">
        <v>1</v>
      </c>
      <c r="CU58" s="139">
        <v>46513</v>
      </c>
    </row>
    <row r="59" spans="1:99">
      <c r="A59" s="46" t="s">
        <v>4517</v>
      </c>
      <c r="B59" s="46" t="s">
        <v>4518</v>
      </c>
      <c r="C59" s="46">
        <v>48</v>
      </c>
      <c r="D59" s="46" t="s">
        <v>4497</v>
      </c>
      <c r="E59" s="46" t="s">
        <v>4519</v>
      </c>
      <c r="F59" s="46" t="s">
        <v>2484</v>
      </c>
      <c r="G59" s="46">
        <v>1</v>
      </c>
      <c r="M59" s="46">
        <v>1</v>
      </c>
      <c r="Q59" s="46">
        <v>1</v>
      </c>
      <c r="S59" s="46">
        <v>1</v>
      </c>
      <c r="W59" s="46">
        <v>14</v>
      </c>
      <c r="X59" s="46">
        <v>20</v>
      </c>
      <c r="Y59" s="46">
        <v>22</v>
      </c>
      <c r="Z59" s="46">
        <v>7</v>
      </c>
      <c r="AA59" s="46">
        <v>7</v>
      </c>
      <c r="AB59" s="46">
        <v>7</v>
      </c>
      <c r="AC59" s="46">
        <v>1</v>
      </c>
      <c r="AI59" s="46">
        <v>1</v>
      </c>
      <c r="AK59" s="46">
        <v>1</v>
      </c>
      <c r="AT59" s="46">
        <v>1</v>
      </c>
      <c r="AW59" s="46">
        <v>1</v>
      </c>
      <c r="BA59" s="46">
        <v>1</v>
      </c>
      <c r="BI59" s="46">
        <v>1</v>
      </c>
      <c r="BW59" s="46">
        <v>1</v>
      </c>
      <c r="CA59" s="46">
        <v>1</v>
      </c>
      <c r="CB59" s="50">
        <v>45323</v>
      </c>
      <c r="CD59" s="46">
        <v>1</v>
      </c>
      <c r="CE59" s="50">
        <v>45323</v>
      </c>
      <c r="CJ59" s="46">
        <v>1</v>
      </c>
      <c r="CP59" s="46">
        <v>1</v>
      </c>
      <c r="CU59" s="139">
        <v>46513</v>
      </c>
    </row>
    <row r="60" spans="1:99">
      <c r="A60" s="46" t="s">
        <v>4520</v>
      </c>
      <c r="B60" s="46" t="s">
        <v>2790</v>
      </c>
      <c r="C60" s="46">
        <v>46</v>
      </c>
      <c r="D60" s="46" t="s">
        <v>4497</v>
      </c>
      <c r="E60" s="46" t="s">
        <v>4521</v>
      </c>
      <c r="F60" s="46" t="s">
        <v>2484</v>
      </c>
      <c r="G60" s="46">
        <v>1</v>
      </c>
      <c r="P60" s="46">
        <v>1</v>
      </c>
      <c r="R60" s="46">
        <v>1</v>
      </c>
      <c r="T60" s="46">
        <v>1</v>
      </c>
      <c r="W60" s="46">
        <v>18</v>
      </c>
      <c r="X60" s="46">
        <v>20</v>
      </c>
      <c r="Y60" s="46">
        <v>22</v>
      </c>
      <c r="Z60" s="46">
        <v>7</v>
      </c>
      <c r="AA60" s="46">
        <v>7</v>
      </c>
      <c r="AB60" s="46">
        <v>6</v>
      </c>
      <c r="AE60" s="46">
        <v>1</v>
      </c>
      <c r="AG60" s="46">
        <v>1</v>
      </c>
      <c r="AH60" s="46">
        <v>1</v>
      </c>
      <c r="AJ60" s="46">
        <v>1</v>
      </c>
      <c r="AK60" s="46">
        <v>1</v>
      </c>
      <c r="AT60" s="46">
        <v>1</v>
      </c>
      <c r="AW60" s="46">
        <v>1</v>
      </c>
      <c r="BB60" s="46">
        <v>1</v>
      </c>
      <c r="BF60" s="46">
        <v>1</v>
      </c>
      <c r="BW60" s="46">
        <v>1</v>
      </c>
      <c r="BZ60" s="46">
        <v>1</v>
      </c>
      <c r="CD60" s="46">
        <v>1</v>
      </c>
      <c r="CG60" s="46">
        <v>1</v>
      </c>
      <c r="CP60" s="46">
        <v>1</v>
      </c>
      <c r="CU60" s="139">
        <v>46513</v>
      </c>
    </row>
    <row r="61" spans="1:99">
      <c r="A61" s="46" t="s">
        <v>4522</v>
      </c>
      <c r="B61" s="46" t="s">
        <v>4523</v>
      </c>
      <c r="C61" s="46">
        <v>44</v>
      </c>
      <c r="D61" s="46" t="s">
        <v>2360</v>
      </c>
      <c r="E61" s="46" t="s">
        <v>4524</v>
      </c>
      <c r="F61" s="46" t="s">
        <v>2484</v>
      </c>
      <c r="H61" s="46">
        <v>1</v>
      </c>
      <c r="O61" s="46">
        <v>1</v>
      </c>
      <c r="R61" s="46">
        <v>1</v>
      </c>
      <c r="U61" s="46">
        <v>1</v>
      </c>
      <c r="W61" s="46">
        <v>17</v>
      </c>
      <c r="X61" s="46">
        <v>18</v>
      </c>
      <c r="Y61" s="46">
        <v>21</v>
      </c>
      <c r="Z61" s="46">
        <v>7</v>
      </c>
      <c r="AA61" s="46">
        <v>7</v>
      </c>
      <c r="AB61" s="46">
        <v>6</v>
      </c>
      <c r="AC61" s="46">
        <v>1</v>
      </c>
      <c r="AI61" s="46">
        <v>1</v>
      </c>
      <c r="AK61" s="46">
        <v>1</v>
      </c>
      <c r="AT61" s="46">
        <v>1</v>
      </c>
      <c r="AW61" s="46">
        <v>1</v>
      </c>
      <c r="BA61" s="46">
        <v>1</v>
      </c>
      <c r="BI61" s="46">
        <v>1</v>
      </c>
      <c r="BW61" s="46">
        <v>1</v>
      </c>
      <c r="BZ61" s="46">
        <v>1</v>
      </c>
      <c r="CC61" s="46">
        <v>1</v>
      </c>
      <c r="CP61" s="46">
        <v>1</v>
      </c>
      <c r="CU61" s="139">
        <v>46513</v>
      </c>
    </row>
  </sheetData>
  <autoFilter ref="A3:CU61"/>
  <mergeCells count="1">
    <mergeCell ref="AV1:AZ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370</v>
      </c>
      <c r="B3" s="69">
        <v>3</v>
      </c>
      <c r="C3" s="69">
        <v>0</v>
      </c>
      <c r="D3" s="69">
        <v>0</v>
      </c>
      <c r="E3" s="69">
        <f t="shared" ref="E3:E8" si="0">SUM(B3:D3)</f>
        <v>3</v>
      </c>
      <c r="F3" s="70"/>
      <c r="G3" s="70">
        <v>2</v>
      </c>
      <c r="H3" s="70">
        <v>0</v>
      </c>
      <c r="I3" s="70">
        <v>0</v>
      </c>
      <c r="J3" s="71">
        <f t="shared" ref="J3:J9" si="1">SUM(F3:I3)</f>
        <v>2</v>
      </c>
      <c r="K3" s="70">
        <v>0</v>
      </c>
      <c r="L3" s="70">
        <v>0</v>
      </c>
      <c r="M3" s="70">
        <v>0</v>
      </c>
      <c r="N3" s="70">
        <v>1</v>
      </c>
      <c r="O3" s="70">
        <v>0</v>
      </c>
      <c r="P3" s="71">
        <f t="shared" ref="P3:P8" si="2">SUM(K3:O3)</f>
        <v>1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0</v>
      </c>
      <c r="AC3" s="73">
        <v>0</v>
      </c>
      <c r="AD3" s="73">
        <v>3</v>
      </c>
      <c r="AE3" s="186">
        <f t="shared" ref="AE3:AE8" si="4">SUM(AA3,AB3,AC3,AD3)</f>
        <v>3</v>
      </c>
      <c r="AF3" s="73">
        <v>0</v>
      </c>
      <c r="AG3" s="73">
        <v>0</v>
      </c>
    </row>
    <row r="4" spans="1:33">
      <c r="A4" s="74" t="s">
        <v>4525</v>
      </c>
      <c r="B4" s="69">
        <v>15</v>
      </c>
      <c r="C4" s="69">
        <v>2</v>
      </c>
      <c r="D4" s="69">
        <v>2</v>
      </c>
      <c r="E4" s="69">
        <f t="shared" si="0"/>
        <v>19</v>
      </c>
      <c r="F4" s="70"/>
      <c r="G4" s="70">
        <v>18</v>
      </c>
      <c r="H4" s="70">
        <v>0</v>
      </c>
      <c r="I4" s="70">
        <v>0</v>
      </c>
      <c r="J4" s="71">
        <f t="shared" si="1"/>
        <v>18</v>
      </c>
      <c r="K4" s="70">
        <v>0</v>
      </c>
      <c r="L4" s="70">
        <v>0</v>
      </c>
      <c r="M4" s="70">
        <v>0</v>
      </c>
      <c r="N4" s="70">
        <v>0</v>
      </c>
      <c r="O4" s="70">
        <v>1</v>
      </c>
      <c r="P4" s="71">
        <f t="shared" si="2"/>
        <v>1</v>
      </c>
      <c r="Q4" s="70">
        <v>0</v>
      </c>
      <c r="R4" s="70">
        <v>0</v>
      </c>
      <c r="S4" s="70">
        <v>7</v>
      </c>
      <c r="T4" s="71">
        <f t="shared" si="3"/>
        <v>7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15</v>
      </c>
      <c r="AB4" s="73">
        <v>0</v>
      </c>
      <c r="AC4" s="73">
        <v>0</v>
      </c>
      <c r="AD4" s="73">
        <v>4</v>
      </c>
      <c r="AE4" s="186">
        <f t="shared" si="4"/>
        <v>19</v>
      </c>
      <c r="AF4" s="73">
        <v>0</v>
      </c>
      <c r="AG4" s="73">
        <v>0</v>
      </c>
    </row>
    <row r="5" spans="1:33">
      <c r="A5" s="77" t="s">
        <v>4526</v>
      </c>
      <c r="B5" s="69">
        <v>20</v>
      </c>
      <c r="C5" s="69">
        <v>0</v>
      </c>
      <c r="D5" s="69">
        <v>0</v>
      </c>
      <c r="E5" s="69">
        <f t="shared" si="0"/>
        <v>20</v>
      </c>
      <c r="F5" s="70">
        <v>0</v>
      </c>
      <c r="G5" s="70">
        <v>19</v>
      </c>
      <c r="H5" s="70">
        <v>0</v>
      </c>
      <c r="I5" s="70">
        <v>0</v>
      </c>
      <c r="J5" s="71">
        <f t="shared" si="1"/>
        <v>19</v>
      </c>
      <c r="K5" s="70">
        <v>0</v>
      </c>
      <c r="L5" s="70">
        <v>0</v>
      </c>
      <c r="M5" s="70">
        <v>0</v>
      </c>
      <c r="N5" s="70">
        <v>1</v>
      </c>
      <c r="O5" s="70">
        <v>0</v>
      </c>
      <c r="P5" s="71">
        <f t="shared" si="2"/>
        <v>1</v>
      </c>
      <c r="Q5" s="70">
        <v>0</v>
      </c>
      <c r="R5" s="70">
        <v>0</v>
      </c>
      <c r="S5" s="70">
        <v>7</v>
      </c>
      <c r="T5" s="71">
        <f t="shared" si="3"/>
        <v>7</v>
      </c>
      <c r="U5" s="75">
        <v>0</v>
      </c>
      <c r="V5" s="75">
        <v>0</v>
      </c>
      <c r="W5" s="75">
        <v>1</v>
      </c>
      <c r="X5" s="75">
        <v>0</v>
      </c>
      <c r="Y5" s="75">
        <v>0</v>
      </c>
      <c r="Z5" s="75"/>
      <c r="AA5" s="73">
        <v>18</v>
      </c>
      <c r="AB5" s="73">
        <v>0</v>
      </c>
      <c r="AC5" s="73">
        <v>0</v>
      </c>
      <c r="AD5" s="73">
        <v>2</v>
      </c>
      <c r="AE5" s="186">
        <f t="shared" si="4"/>
        <v>20</v>
      </c>
      <c r="AF5" s="73">
        <v>0</v>
      </c>
      <c r="AG5" s="73">
        <v>0</v>
      </c>
    </row>
    <row r="6" spans="1:33">
      <c r="A6" s="77" t="s">
        <v>4527</v>
      </c>
      <c r="B6" s="69">
        <v>11</v>
      </c>
      <c r="C6" s="69">
        <v>1</v>
      </c>
      <c r="D6" s="69">
        <v>0</v>
      </c>
      <c r="E6" s="69">
        <f t="shared" si="0"/>
        <v>12</v>
      </c>
      <c r="F6" s="70">
        <v>0</v>
      </c>
      <c r="G6" s="70">
        <v>6</v>
      </c>
      <c r="H6" s="70"/>
      <c r="I6" s="70"/>
      <c r="J6" s="71">
        <f t="shared" si="1"/>
        <v>6</v>
      </c>
      <c r="K6" s="70">
        <v>5</v>
      </c>
      <c r="L6" s="70">
        <v>0</v>
      </c>
      <c r="M6" s="70">
        <v>0</v>
      </c>
      <c r="N6" s="70">
        <v>0</v>
      </c>
      <c r="O6" s="70">
        <v>1</v>
      </c>
      <c r="P6" s="71">
        <f t="shared" si="2"/>
        <v>6</v>
      </c>
      <c r="Q6" s="70">
        <v>0</v>
      </c>
      <c r="R6" s="70">
        <v>0</v>
      </c>
      <c r="S6" s="70">
        <v>4</v>
      </c>
      <c r="T6" s="71">
        <f t="shared" si="3"/>
        <v>4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6</v>
      </c>
      <c r="AB6" s="73">
        <v>1</v>
      </c>
      <c r="AC6" s="73">
        <v>0</v>
      </c>
      <c r="AD6" s="73">
        <v>5</v>
      </c>
      <c r="AE6" s="186">
        <f t="shared" si="4"/>
        <v>12</v>
      </c>
      <c r="AF6" s="73">
        <v>0</v>
      </c>
      <c r="AG6" s="73">
        <v>0</v>
      </c>
    </row>
    <row r="7" spans="1:33">
      <c r="A7" s="77" t="s">
        <v>4528</v>
      </c>
      <c r="B7" s="69">
        <v>2</v>
      </c>
      <c r="C7" s="69">
        <v>0</v>
      </c>
      <c r="D7" s="69">
        <v>0</v>
      </c>
      <c r="E7" s="69">
        <f t="shared" si="0"/>
        <v>2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2</v>
      </c>
      <c r="L7" s="70">
        <v>0</v>
      </c>
      <c r="M7" s="70">
        <v>0</v>
      </c>
      <c r="N7" s="70">
        <v>0</v>
      </c>
      <c r="O7" s="70">
        <v>0</v>
      </c>
      <c r="P7" s="71">
        <f t="shared" si="2"/>
        <v>2</v>
      </c>
      <c r="Q7" s="70">
        <v>0</v>
      </c>
      <c r="R7" s="70">
        <v>0</v>
      </c>
      <c r="S7" s="70">
        <v>0</v>
      </c>
      <c r="T7" s="71">
        <f t="shared" si="3"/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2</v>
      </c>
      <c r="AB7" s="73">
        <v>0</v>
      </c>
      <c r="AC7" s="73">
        <v>0</v>
      </c>
      <c r="AD7" s="73">
        <v>0</v>
      </c>
      <c r="AE7" s="186">
        <f t="shared" si="4"/>
        <v>2</v>
      </c>
      <c r="AF7" s="73">
        <v>0</v>
      </c>
      <c r="AG7" s="73">
        <v>0</v>
      </c>
    </row>
    <row r="8" spans="1:33">
      <c r="A8" s="78" t="s">
        <v>1364</v>
      </c>
      <c r="B8" s="79">
        <v>2</v>
      </c>
      <c r="C8" s="79">
        <v>0</v>
      </c>
      <c r="D8" s="79">
        <v>0</v>
      </c>
      <c r="E8" s="69">
        <f t="shared" si="0"/>
        <v>2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0</v>
      </c>
      <c r="L8" s="80">
        <v>1</v>
      </c>
      <c r="M8" s="80">
        <v>0</v>
      </c>
      <c r="N8" s="80">
        <v>1</v>
      </c>
      <c r="O8" s="80">
        <v>0</v>
      </c>
      <c r="P8" s="71">
        <f t="shared" si="2"/>
        <v>2</v>
      </c>
      <c r="Q8" s="80">
        <v>0</v>
      </c>
      <c r="R8" s="80">
        <v>0</v>
      </c>
      <c r="S8" s="80">
        <v>1</v>
      </c>
      <c r="T8" s="71">
        <f t="shared" si="3"/>
        <v>1</v>
      </c>
      <c r="U8" s="80">
        <v>0</v>
      </c>
      <c r="V8" s="80">
        <v>0</v>
      </c>
      <c r="W8" s="80">
        <v>0</v>
      </c>
      <c r="X8" s="80">
        <v>2</v>
      </c>
      <c r="Y8" s="80">
        <v>0</v>
      </c>
      <c r="Z8" s="80"/>
      <c r="AA8" s="82">
        <v>1</v>
      </c>
      <c r="AB8" s="82">
        <v>0</v>
      </c>
      <c r="AC8" s="82">
        <v>0</v>
      </c>
      <c r="AD8" s="82">
        <v>1</v>
      </c>
      <c r="AE8" s="186">
        <f t="shared" si="4"/>
        <v>2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53</v>
      </c>
      <c r="C9" s="69">
        <f t="shared" si="5"/>
        <v>3</v>
      </c>
      <c r="D9" s="69">
        <f t="shared" si="5"/>
        <v>2</v>
      </c>
      <c r="E9" s="69">
        <f t="shared" si="5"/>
        <v>58</v>
      </c>
      <c r="F9" s="69">
        <f t="shared" si="5"/>
        <v>0</v>
      </c>
      <c r="G9" s="69">
        <f t="shared" si="5"/>
        <v>45</v>
      </c>
      <c r="H9" s="69">
        <f t="shared" si="5"/>
        <v>0</v>
      </c>
      <c r="I9" s="69">
        <f t="shared" si="5"/>
        <v>0</v>
      </c>
      <c r="J9" s="71">
        <f t="shared" si="1"/>
        <v>45</v>
      </c>
      <c r="K9" s="114">
        <f>SUM(K3:K8)</f>
        <v>7</v>
      </c>
      <c r="L9" s="114">
        <f>SUM(L3:L8)</f>
        <v>1</v>
      </c>
      <c r="M9" s="114">
        <f>SUM(M3:M8)</f>
        <v>0</v>
      </c>
      <c r="N9" s="114">
        <f>SUM(N3:N8)</f>
        <v>3</v>
      </c>
      <c r="O9" s="114">
        <f>SUM(O3:O8)</f>
        <v>2</v>
      </c>
      <c r="P9" s="71">
        <f>SUM(K9:N9)</f>
        <v>11</v>
      </c>
      <c r="Q9" s="114">
        <f t="shared" ref="Q9:AG9" si="6">SUM(Q3:Q8)</f>
        <v>0</v>
      </c>
      <c r="R9" s="114">
        <f t="shared" si="6"/>
        <v>0</v>
      </c>
      <c r="S9" s="114">
        <f t="shared" si="6"/>
        <v>20</v>
      </c>
      <c r="T9" s="71">
        <f t="shared" si="6"/>
        <v>20</v>
      </c>
      <c r="U9" s="114">
        <f t="shared" si="6"/>
        <v>0</v>
      </c>
      <c r="V9" s="114">
        <f t="shared" si="6"/>
        <v>0</v>
      </c>
      <c r="W9" s="114">
        <f t="shared" si="6"/>
        <v>1</v>
      </c>
      <c r="X9" s="114">
        <f t="shared" si="6"/>
        <v>2</v>
      </c>
      <c r="Y9" s="114">
        <f t="shared" si="6"/>
        <v>0</v>
      </c>
      <c r="Z9" s="114">
        <f t="shared" si="6"/>
        <v>0</v>
      </c>
      <c r="AA9" s="73">
        <f t="shared" si="6"/>
        <v>42</v>
      </c>
      <c r="AB9" s="73">
        <f t="shared" si="6"/>
        <v>1</v>
      </c>
      <c r="AC9" s="73">
        <f t="shared" si="6"/>
        <v>0</v>
      </c>
      <c r="AD9" s="73">
        <f t="shared" si="6"/>
        <v>15</v>
      </c>
      <c r="AE9" s="73">
        <f t="shared" si="6"/>
        <v>58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U28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14.42578125" defaultRowHeight="15" customHeight="1"/>
  <cols>
    <col min="2" max="2" width="25.28515625" customWidth="1"/>
    <col min="3" max="3" width="10.7109375" customWidth="1"/>
    <col min="4" max="4" width="24.5703125" customWidth="1"/>
  </cols>
  <sheetData>
    <row r="1" spans="1:99">
      <c r="A1" s="189" t="s">
        <v>4529</v>
      </c>
      <c r="B1" s="143"/>
      <c r="C1" s="231" t="s">
        <v>4530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  <c r="CS1" s="143"/>
      <c r="CT1" s="143"/>
      <c r="CU1" s="143"/>
    </row>
    <row r="2" spans="1:99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  <c r="CS2" s="147"/>
      <c r="CT2" s="147"/>
      <c r="CU2" s="147"/>
    </row>
    <row r="3" spans="1:99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  <c r="CS3" s="147"/>
      <c r="CT3" s="180" t="s">
        <v>101</v>
      </c>
      <c r="CU3" s="180" t="s">
        <v>102</v>
      </c>
    </row>
    <row r="4" spans="1:99" hidden="1">
      <c r="A4" s="46" t="s">
        <v>4531</v>
      </c>
      <c r="B4" s="46" t="s">
        <v>4532</v>
      </c>
      <c r="C4" s="46">
        <v>25</v>
      </c>
      <c r="D4" s="46" t="s">
        <v>1149</v>
      </c>
      <c r="E4" s="46" t="s">
        <v>4533</v>
      </c>
      <c r="F4" s="46" t="s">
        <v>112</v>
      </c>
      <c r="I4" s="46">
        <v>1</v>
      </c>
      <c r="M4" s="46">
        <v>1</v>
      </c>
      <c r="Q4" s="46">
        <v>1</v>
      </c>
      <c r="V4" s="46">
        <v>1</v>
      </c>
      <c r="W4" s="46">
        <v>15</v>
      </c>
      <c r="X4" s="46">
        <v>15</v>
      </c>
      <c r="Z4" s="46">
        <v>1</v>
      </c>
      <c r="AF4" s="46">
        <v>1</v>
      </c>
      <c r="AJ4" s="46">
        <v>1</v>
      </c>
      <c r="AK4" s="46">
        <v>1</v>
      </c>
      <c r="AT4" s="46">
        <v>1</v>
      </c>
      <c r="AX4" s="46">
        <v>1</v>
      </c>
      <c r="BA4" s="46">
        <v>1</v>
      </c>
      <c r="BM4" s="46" t="s">
        <v>4534</v>
      </c>
      <c r="CI4" s="46">
        <v>1</v>
      </c>
      <c r="CR4" s="196">
        <v>46544</v>
      </c>
      <c r="CU4" s="196">
        <v>46544</v>
      </c>
    </row>
    <row r="5" spans="1:99" hidden="1">
      <c r="A5" s="46" t="s">
        <v>4535</v>
      </c>
      <c r="B5" s="46" t="s">
        <v>4536</v>
      </c>
      <c r="C5" s="46">
        <v>46</v>
      </c>
      <c r="D5" s="46" t="s">
        <v>2255</v>
      </c>
      <c r="E5" s="46" t="s">
        <v>4537</v>
      </c>
      <c r="F5" s="46" t="s">
        <v>112</v>
      </c>
      <c r="J5" s="46">
        <v>1</v>
      </c>
      <c r="M5" s="46">
        <v>1</v>
      </c>
      <c r="R5" s="46">
        <v>1</v>
      </c>
      <c r="S5" s="46">
        <v>1</v>
      </c>
      <c r="W5" s="46">
        <v>14</v>
      </c>
      <c r="X5" s="46">
        <v>18</v>
      </c>
      <c r="Y5" s="46">
        <v>20</v>
      </c>
      <c r="Z5" s="46">
        <v>6</v>
      </c>
      <c r="AA5" s="46">
        <v>6</v>
      </c>
      <c r="AB5" s="46">
        <v>5</v>
      </c>
      <c r="AC5" s="46">
        <v>1</v>
      </c>
      <c r="AI5" s="46">
        <v>1</v>
      </c>
      <c r="AK5" s="46">
        <v>1</v>
      </c>
      <c r="AT5" s="46">
        <v>1</v>
      </c>
      <c r="AW5" s="46">
        <v>1</v>
      </c>
      <c r="BB5" s="46">
        <v>1</v>
      </c>
      <c r="BF5" s="46">
        <v>1</v>
      </c>
      <c r="CI5" s="46">
        <v>1</v>
      </c>
      <c r="CR5" s="196">
        <v>46544</v>
      </c>
      <c r="CU5" s="196">
        <v>46544</v>
      </c>
    </row>
    <row r="6" spans="1:99">
      <c r="A6" s="46" t="s">
        <v>4538</v>
      </c>
      <c r="B6" s="46" t="s">
        <v>4539</v>
      </c>
      <c r="C6" s="46">
        <v>56</v>
      </c>
      <c r="D6" s="46" t="s">
        <v>4540</v>
      </c>
      <c r="E6" s="46" t="s">
        <v>4541</v>
      </c>
      <c r="F6" s="46" t="s">
        <v>112</v>
      </c>
      <c r="H6" s="46">
        <v>1</v>
      </c>
      <c r="N6" s="46">
        <v>1</v>
      </c>
      <c r="Q6" s="46">
        <v>1</v>
      </c>
      <c r="U6" s="46">
        <v>1</v>
      </c>
      <c r="W6" s="46">
        <v>17</v>
      </c>
      <c r="X6" s="46">
        <v>19</v>
      </c>
      <c r="Y6" s="46">
        <v>20</v>
      </c>
      <c r="Z6" s="46">
        <v>6</v>
      </c>
      <c r="AA6" s="46">
        <v>6</v>
      </c>
      <c r="AB6" s="46">
        <v>5</v>
      </c>
      <c r="AD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M6" s="46" t="s">
        <v>4542</v>
      </c>
      <c r="BN6" s="46">
        <v>1</v>
      </c>
      <c r="BO6" s="46" t="s">
        <v>952</v>
      </c>
      <c r="BS6" s="46">
        <v>1</v>
      </c>
      <c r="CI6" s="46">
        <v>1</v>
      </c>
      <c r="CR6" s="196">
        <v>46544</v>
      </c>
      <c r="CU6" s="196">
        <v>46544</v>
      </c>
    </row>
    <row r="7" spans="1:99" hidden="1">
      <c r="A7" s="46" t="s">
        <v>4543</v>
      </c>
      <c r="B7" s="46" t="s">
        <v>4544</v>
      </c>
      <c r="C7" s="46">
        <v>24</v>
      </c>
      <c r="D7" s="46" t="s">
        <v>2255</v>
      </c>
      <c r="E7" s="46" t="s">
        <v>4545</v>
      </c>
      <c r="F7" s="46" t="s">
        <v>112</v>
      </c>
      <c r="H7" s="46">
        <v>1</v>
      </c>
      <c r="L7" s="46">
        <v>1</v>
      </c>
      <c r="V7" s="46">
        <v>1</v>
      </c>
      <c r="W7" s="46">
        <v>16</v>
      </c>
      <c r="X7" s="46">
        <v>22</v>
      </c>
      <c r="Z7" s="46">
        <v>1</v>
      </c>
      <c r="AC7" s="46">
        <v>1</v>
      </c>
      <c r="AK7" s="46">
        <v>1</v>
      </c>
      <c r="AT7" s="46">
        <v>1</v>
      </c>
      <c r="AW7" s="46">
        <v>1</v>
      </c>
      <c r="BA7" s="46">
        <v>1</v>
      </c>
      <c r="BM7" s="46" t="s">
        <v>930</v>
      </c>
      <c r="CI7" s="46">
        <v>1</v>
      </c>
      <c r="CR7" s="196">
        <v>46544</v>
      </c>
      <c r="CU7" s="196">
        <v>46544</v>
      </c>
    </row>
    <row r="8" spans="1:99" hidden="1">
      <c r="A8" s="46" t="s">
        <v>4546</v>
      </c>
      <c r="B8" s="46" t="s">
        <v>4547</v>
      </c>
      <c r="C8" s="46">
        <v>18</v>
      </c>
      <c r="D8" s="46" t="s">
        <v>2255</v>
      </c>
      <c r="E8" s="46" t="s">
        <v>4548</v>
      </c>
      <c r="F8" s="46" t="s">
        <v>112</v>
      </c>
      <c r="H8" s="46">
        <v>1</v>
      </c>
      <c r="L8" s="46">
        <v>1</v>
      </c>
      <c r="U8" s="46">
        <v>1</v>
      </c>
      <c r="W8" s="46">
        <v>14</v>
      </c>
      <c r="AC8" s="46">
        <v>1</v>
      </c>
      <c r="AI8" s="46">
        <v>1</v>
      </c>
      <c r="AK8" s="46">
        <v>1</v>
      </c>
      <c r="AT8" s="46">
        <v>1</v>
      </c>
      <c r="AV8" s="46">
        <v>1</v>
      </c>
      <c r="BA8" s="46">
        <v>1</v>
      </c>
      <c r="BM8" s="46" t="s">
        <v>4549</v>
      </c>
      <c r="CI8" s="46">
        <v>1</v>
      </c>
      <c r="CR8" s="196">
        <v>46544</v>
      </c>
      <c r="CU8" s="196">
        <v>46544</v>
      </c>
    </row>
    <row r="9" spans="1:99" hidden="1">
      <c r="A9" s="108" t="s">
        <v>4550</v>
      </c>
      <c r="B9" s="108" t="s">
        <v>4551</v>
      </c>
      <c r="C9" s="108">
        <v>45</v>
      </c>
      <c r="D9" s="108" t="s">
        <v>2255</v>
      </c>
      <c r="E9" s="108" t="s">
        <v>4552</v>
      </c>
      <c r="F9" s="108" t="s">
        <v>112</v>
      </c>
      <c r="G9" s="109"/>
      <c r="H9" s="109"/>
      <c r="I9" s="108">
        <v>1</v>
      </c>
      <c r="J9" s="109"/>
      <c r="K9" s="109"/>
      <c r="L9" s="109"/>
      <c r="M9" s="109"/>
      <c r="N9" s="109"/>
      <c r="O9" s="108">
        <v>1</v>
      </c>
      <c r="P9" s="109"/>
      <c r="Q9" s="109"/>
      <c r="R9" s="108">
        <v>1</v>
      </c>
      <c r="S9" s="109"/>
      <c r="T9" s="108">
        <v>1</v>
      </c>
      <c r="U9" s="109"/>
      <c r="V9" s="109"/>
      <c r="W9" s="108">
        <v>13</v>
      </c>
      <c r="X9" s="108">
        <v>18</v>
      </c>
      <c r="Y9" s="108">
        <v>20</v>
      </c>
      <c r="Z9" s="108">
        <v>4</v>
      </c>
      <c r="AA9" s="108">
        <v>4</v>
      </c>
      <c r="AB9" s="108">
        <v>4</v>
      </c>
      <c r="AC9" s="108">
        <v>1</v>
      </c>
      <c r="AD9" s="109"/>
      <c r="AE9" s="109"/>
      <c r="AF9" s="109"/>
      <c r="AG9" s="109"/>
      <c r="AH9" s="109"/>
      <c r="AI9" s="108">
        <v>1</v>
      </c>
      <c r="AJ9" s="109"/>
      <c r="AK9" s="108">
        <v>1</v>
      </c>
      <c r="AL9" s="109"/>
      <c r="AM9" s="109"/>
      <c r="AN9" s="109"/>
      <c r="AO9" s="109"/>
      <c r="AP9" s="109"/>
      <c r="AQ9" s="109"/>
      <c r="AR9" s="109"/>
      <c r="AS9" s="109"/>
      <c r="AT9" s="108">
        <v>1</v>
      </c>
      <c r="AU9" s="109"/>
      <c r="AV9" s="109"/>
      <c r="AW9" s="109"/>
      <c r="AX9" s="108">
        <v>1</v>
      </c>
      <c r="AY9" s="109"/>
      <c r="AZ9" s="109"/>
      <c r="BA9" s="108">
        <v>1</v>
      </c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8" t="s">
        <v>4553</v>
      </c>
      <c r="BN9" s="109"/>
      <c r="BO9" s="109"/>
      <c r="BP9" s="109"/>
      <c r="BQ9" s="109"/>
      <c r="BR9" s="109"/>
      <c r="BS9" s="109"/>
      <c r="BT9" s="109"/>
      <c r="BU9" s="109"/>
      <c r="BV9" s="109"/>
      <c r="BW9" s="108">
        <v>1</v>
      </c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8">
        <v>1</v>
      </c>
      <c r="CJ9" s="109"/>
      <c r="CK9" s="109"/>
      <c r="CL9" s="109"/>
      <c r="CM9" s="109"/>
      <c r="CN9" s="109"/>
      <c r="CO9" s="109"/>
      <c r="CP9" s="109"/>
      <c r="CQ9" s="109"/>
      <c r="CR9" s="232">
        <v>46544</v>
      </c>
      <c r="CS9" s="109"/>
      <c r="CT9" s="109"/>
      <c r="CU9" s="232">
        <v>46544</v>
      </c>
    </row>
    <row r="10" spans="1:99" hidden="1">
      <c r="A10" s="46" t="s">
        <v>4554</v>
      </c>
      <c r="B10" s="46" t="s">
        <v>4555</v>
      </c>
      <c r="C10" s="46">
        <v>42</v>
      </c>
      <c r="D10" s="46" t="s">
        <v>2710</v>
      </c>
      <c r="E10" s="46" t="s">
        <v>4556</v>
      </c>
      <c r="F10" s="46" t="s">
        <v>112</v>
      </c>
      <c r="I10" s="46">
        <v>1</v>
      </c>
      <c r="M10" s="46">
        <v>1</v>
      </c>
      <c r="R10" s="46">
        <v>1</v>
      </c>
      <c r="T10" s="46">
        <v>1</v>
      </c>
      <c r="W10" s="46">
        <v>14</v>
      </c>
      <c r="X10" s="46">
        <v>15</v>
      </c>
      <c r="Y10" s="46">
        <v>16</v>
      </c>
      <c r="Z10" s="46">
        <v>6</v>
      </c>
      <c r="AA10" s="46">
        <v>5</v>
      </c>
      <c r="AB10" s="46">
        <v>5</v>
      </c>
      <c r="AG10" s="46">
        <v>1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BM10" s="46" t="s">
        <v>4557</v>
      </c>
      <c r="BS10" s="46">
        <v>1</v>
      </c>
      <c r="CI10" s="46">
        <v>1</v>
      </c>
      <c r="CR10" s="196">
        <v>46544</v>
      </c>
      <c r="CU10" s="196">
        <v>46544</v>
      </c>
    </row>
    <row r="11" spans="1:99" hidden="1">
      <c r="A11" s="46" t="s">
        <v>4558</v>
      </c>
      <c r="B11" s="46" t="s">
        <v>4559</v>
      </c>
      <c r="C11" s="46">
        <v>50</v>
      </c>
      <c r="D11" s="46" t="s">
        <v>2255</v>
      </c>
      <c r="E11" s="46" t="s">
        <v>4560</v>
      </c>
      <c r="F11" s="46" t="s">
        <v>107</v>
      </c>
      <c r="J11" s="46">
        <v>1</v>
      </c>
      <c r="M11" s="46">
        <v>1</v>
      </c>
      <c r="Q11" s="46">
        <v>1</v>
      </c>
      <c r="U11" s="46">
        <v>1</v>
      </c>
      <c r="W11" s="46">
        <v>14</v>
      </c>
      <c r="X11" s="46">
        <v>18</v>
      </c>
      <c r="Y11" s="46">
        <v>20</v>
      </c>
      <c r="Z11" s="46">
        <v>5</v>
      </c>
      <c r="AA11" s="46">
        <v>6</v>
      </c>
      <c r="AB11" s="46">
        <v>5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J11" s="46">
        <v>1</v>
      </c>
      <c r="BZ11" s="46">
        <v>1</v>
      </c>
      <c r="CI11" s="46">
        <v>1</v>
      </c>
      <c r="CR11" s="196">
        <v>46544</v>
      </c>
      <c r="CU11" s="196">
        <v>46544</v>
      </c>
    </row>
    <row r="12" spans="1:99" hidden="1">
      <c r="A12" s="46" t="s">
        <v>4561</v>
      </c>
      <c r="B12" s="46" t="s">
        <v>4562</v>
      </c>
      <c r="C12" s="46">
        <v>64</v>
      </c>
      <c r="D12" s="46" t="s">
        <v>2255</v>
      </c>
      <c r="E12" s="46" t="s">
        <v>4563</v>
      </c>
      <c r="F12" s="46" t="s">
        <v>112</v>
      </c>
      <c r="H12" s="46">
        <v>1</v>
      </c>
      <c r="M12" s="46">
        <v>1</v>
      </c>
      <c r="R12" s="46">
        <v>1</v>
      </c>
      <c r="T12" s="46">
        <v>1</v>
      </c>
      <c r="W12" s="46">
        <v>15</v>
      </c>
      <c r="X12" s="46">
        <v>16</v>
      </c>
      <c r="Y12" s="46">
        <v>18</v>
      </c>
      <c r="Z12" s="46">
        <v>9</v>
      </c>
      <c r="AA12" s="46">
        <v>7</v>
      </c>
      <c r="AB12" s="46">
        <v>7</v>
      </c>
      <c r="AC12" s="46">
        <v>1</v>
      </c>
      <c r="AI12" s="46">
        <v>1</v>
      </c>
      <c r="AK12" s="46">
        <v>1</v>
      </c>
      <c r="AT12" s="46">
        <v>1</v>
      </c>
      <c r="AX12" s="46">
        <v>1</v>
      </c>
      <c r="BA12" s="46">
        <v>1</v>
      </c>
      <c r="BJ12" s="46">
        <v>1</v>
      </c>
      <c r="BW12" s="46">
        <v>1</v>
      </c>
      <c r="BZ12" s="46">
        <v>1</v>
      </c>
      <c r="CC12" s="46">
        <v>1</v>
      </c>
      <c r="CI12" s="46">
        <v>1</v>
      </c>
      <c r="CR12" s="196">
        <v>46544</v>
      </c>
      <c r="CU12" s="196">
        <v>46544</v>
      </c>
    </row>
    <row r="13" spans="1:99">
      <c r="A13" s="46" t="s">
        <v>4564</v>
      </c>
      <c r="B13" s="46" t="s">
        <v>4565</v>
      </c>
      <c r="C13" s="46">
        <v>57</v>
      </c>
      <c r="D13" s="46" t="s">
        <v>4566</v>
      </c>
      <c r="E13" s="46" t="s">
        <v>4567</v>
      </c>
      <c r="F13" s="46" t="s">
        <v>127</v>
      </c>
      <c r="H13" s="46">
        <v>1</v>
      </c>
      <c r="M13" s="46">
        <v>1</v>
      </c>
      <c r="Q13" s="46">
        <v>1</v>
      </c>
      <c r="T13" s="46">
        <v>1</v>
      </c>
      <c r="W13" s="46">
        <v>15</v>
      </c>
      <c r="X13" s="46">
        <v>18</v>
      </c>
      <c r="Y13" s="46">
        <v>20</v>
      </c>
      <c r="Z13" s="46">
        <v>5</v>
      </c>
      <c r="AA13" s="46">
        <v>1</v>
      </c>
      <c r="AB13" s="46">
        <v>0</v>
      </c>
      <c r="AC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M13" s="46" t="s">
        <v>4568</v>
      </c>
      <c r="BZ13" s="46">
        <v>1</v>
      </c>
      <c r="CI13" s="46">
        <v>1</v>
      </c>
      <c r="CR13" s="196">
        <v>46544</v>
      </c>
      <c r="CU13" s="196">
        <v>46544</v>
      </c>
    </row>
    <row r="14" spans="1:99" hidden="1">
      <c r="A14" s="46" t="s">
        <v>4569</v>
      </c>
      <c r="B14" s="46" t="s">
        <v>4570</v>
      </c>
      <c r="C14" s="46">
        <v>49</v>
      </c>
      <c r="D14" s="46" t="s">
        <v>2255</v>
      </c>
      <c r="E14" s="46" t="s">
        <v>4571</v>
      </c>
      <c r="F14" s="46" t="s">
        <v>112</v>
      </c>
      <c r="H14" s="46">
        <v>1</v>
      </c>
      <c r="M14" s="46">
        <v>1</v>
      </c>
      <c r="Q14" s="46">
        <v>1</v>
      </c>
      <c r="T14" s="46">
        <v>1</v>
      </c>
      <c r="W14" s="46">
        <v>17</v>
      </c>
      <c r="X14" s="46">
        <v>17</v>
      </c>
      <c r="Y14" s="46">
        <v>19</v>
      </c>
      <c r="Z14" s="46">
        <v>8</v>
      </c>
      <c r="AA14" s="46">
        <v>8</v>
      </c>
      <c r="AB14" s="46">
        <v>7</v>
      </c>
      <c r="AC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J14" s="46">
        <v>1</v>
      </c>
      <c r="BZ14" s="46">
        <v>1</v>
      </c>
      <c r="CI14" s="46">
        <v>1</v>
      </c>
      <c r="CR14" s="196">
        <v>46544</v>
      </c>
      <c r="CU14" s="196">
        <v>46544</v>
      </c>
    </row>
    <row r="15" spans="1:99" hidden="1">
      <c r="A15" s="46" t="s">
        <v>4572</v>
      </c>
      <c r="B15" s="46" t="s">
        <v>4573</v>
      </c>
      <c r="C15" s="46">
        <v>49</v>
      </c>
      <c r="D15" s="46" t="s">
        <v>2255</v>
      </c>
      <c r="E15" s="46" t="s">
        <v>4574</v>
      </c>
      <c r="F15" s="46" t="s">
        <v>112</v>
      </c>
      <c r="H15" s="46">
        <v>1</v>
      </c>
      <c r="M15" s="46">
        <v>1</v>
      </c>
      <c r="R15" s="46">
        <v>1</v>
      </c>
      <c r="U15" s="46">
        <v>1</v>
      </c>
      <c r="W15" s="46">
        <v>13</v>
      </c>
      <c r="X15" s="46">
        <v>22</v>
      </c>
      <c r="Y15" s="46">
        <v>22</v>
      </c>
      <c r="Z15" s="46">
        <v>7</v>
      </c>
      <c r="AA15" s="46">
        <v>7</v>
      </c>
      <c r="AB15" s="46">
        <v>7</v>
      </c>
      <c r="AE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J15" s="46">
        <v>1</v>
      </c>
      <c r="BZ15" s="46">
        <v>1</v>
      </c>
      <c r="CI15" s="46">
        <v>1</v>
      </c>
      <c r="CR15" s="196">
        <v>46544</v>
      </c>
      <c r="CU15" s="196">
        <v>46544</v>
      </c>
    </row>
    <row r="16" spans="1:99">
      <c r="A16" s="46" t="s">
        <v>4575</v>
      </c>
      <c r="B16" s="46" t="s">
        <v>4576</v>
      </c>
      <c r="C16" s="46">
        <v>54</v>
      </c>
      <c r="D16" s="46" t="s">
        <v>2255</v>
      </c>
      <c r="E16" s="46" t="s">
        <v>4577</v>
      </c>
      <c r="F16" s="46" t="s">
        <v>181</v>
      </c>
      <c r="H16" s="46">
        <v>1</v>
      </c>
      <c r="M16" s="46">
        <v>1</v>
      </c>
      <c r="R16" s="46">
        <v>1</v>
      </c>
      <c r="U16" s="46">
        <v>1</v>
      </c>
      <c r="W16" s="46">
        <v>14</v>
      </c>
      <c r="X16" s="46">
        <v>17</v>
      </c>
      <c r="Y16" s="46">
        <v>18</v>
      </c>
      <c r="Z16" s="46">
        <v>1</v>
      </c>
      <c r="AA16" s="46">
        <v>1</v>
      </c>
      <c r="AB16" s="46">
        <v>1</v>
      </c>
      <c r="AD16" s="46">
        <v>1</v>
      </c>
      <c r="AH16" s="46">
        <v>1</v>
      </c>
      <c r="AJ16" s="46">
        <v>1</v>
      </c>
      <c r="AL16" s="46">
        <v>1</v>
      </c>
      <c r="AT16" s="46">
        <v>1</v>
      </c>
      <c r="AX16" s="46">
        <v>1</v>
      </c>
      <c r="BJ16" s="46">
        <v>1</v>
      </c>
      <c r="BZ16" s="46">
        <v>1</v>
      </c>
      <c r="CI16" s="46">
        <v>1</v>
      </c>
      <c r="CR16" s="196">
        <v>46544</v>
      </c>
      <c r="CU16" s="46" t="s">
        <v>4578</v>
      </c>
    </row>
    <row r="17" spans="1:96" hidden="1">
      <c r="A17" s="46" t="s">
        <v>4579</v>
      </c>
      <c r="B17" s="46" t="s">
        <v>4580</v>
      </c>
      <c r="C17" s="46">
        <v>35</v>
      </c>
      <c r="D17" s="46" t="s">
        <v>2255</v>
      </c>
      <c r="E17" s="46" t="s">
        <v>4581</v>
      </c>
      <c r="F17" s="46" t="s">
        <v>112</v>
      </c>
      <c r="I17" s="46">
        <v>1</v>
      </c>
      <c r="N17" s="46">
        <v>1</v>
      </c>
      <c r="R17" s="46">
        <v>1</v>
      </c>
      <c r="T17" s="46">
        <v>1</v>
      </c>
      <c r="W17" s="46">
        <v>13</v>
      </c>
      <c r="X17" s="46">
        <v>13</v>
      </c>
      <c r="Y17" s="46">
        <v>14</v>
      </c>
      <c r="Z17" s="46">
        <v>7</v>
      </c>
      <c r="AA17" s="46">
        <v>5</v>
      </c>
      <c r="AB17" s="46">
        <v>5</v>
      </c>
      <c r="AD17" s="46">
        <v>1</v>
      </c>
      <c r="AE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R17" s="139">
        <v>46544</v>
      </c>
    </row>
    <row r="18" spans="1:96" hidden="1">
      <c r="A18" s="46" t="s">
        <v>4582</v>
      </c>
      <c r="B18" s="46" t="s">
        <v>4583</v>
      </c>
      <c r="C18" s="46">
        <v>35</v>
      </c>
      <c r="D18" s="46" t="s">
        <v>2255</v>
      </c>
      <c r="E18" s="46" t="s">
        <v>4584</v>
      </c>
      <c r="F18" s="46" t="s">
        <v>112</v>
      </c>
      <c r="H18" s="46">
        <v>1</v>
      </c>
      <c r="P18" s="46">
        <v>1</v>
      </c>
      <c r="Q18" s="46">
        <v>1</v>
      </c>
      <c r="U18" s="46">
        <v>1</v>
      </c>
      <c r="W18" s="46">
        <v>14</v>
      </c>
      <c r="X18" s="46">
        <v>18</v>
      </c>
      <c r="Y18" s="46">
        <v>19</v>
      </c>
      <c r="Z18" s="46">
        <v>5</v>
      </c>
      <c r="AA18" s="46">
        <v>4</v>
      </c>
      <c r="AB18" s="46">
        <v>4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I18" s="46">
        <v>1</v>
      </c>
      <c r="BW18" s="46">
        <v>1</v>
      </c>
      <c r="CA18" s="46">
        <v>1</v>
      </c>
      <c r="CB18" s="50">
        <v>45261</v>
      </c>
      <c r="CC18" s="46">
        <v>1</v>
      </c>
      <c r="CI18" s="46">
        <v>1</v>
      </c>
      <c r="CR18" s="139">
        <v>46544</v>
      </c>
    </row>
    <row r="19" spans="1:96" hidden="1">
      <c r="A19" s="46" t="s">
        <v>4585</v>
      </c>
      <c r="B19" s="46" t="s">
        <v>4586</v>
      </c>
      <c r="C19" s="46">
        <v>23</v>
      </c>
      <c r="D19" s="46" t="s">
        <v>2255</v>
      </c>
      <c r="E19" s="46" t="s">
        <v>4587</v>
      </c>
      <c r="F19" s="46" t="s">
        <v>3058</v>
      </c>
      <c r="J19" s="46">
        <v>1</v>
      </c>
      <c r="L19" s="46">
        <v>1</v>
      </c>
      <c r="Q19" s="46">
        <v>1</v>
      </c>
      <c r="U19" s="46">
        <v>1</v>
      </c>
      <c r="W19" s="46">
        <v>14</v>
      </c>
      <c r="X19" s="46">
        <v>21</v>
      </c>
      <c r="Y19" s="46">
        <v>0</v>
      </c>
      <c r="Z19" s="46">
        <v>0</v>
      </c>
      <c r="AA19" s="46">
        <v>0</v>
      </c>
      <c r="AB19" s="46">
        <v>0</v>
      </c>
      <c r="AE19" s="46">
        <v>1</v>
      </c>
      <c r="AG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C19" s="46">
        <v>1</v>
      </c>
      <c r="CI19" s="46">
        <v>1</v>
      </c>
      <c r="CR19" s="139">
        <v>46544</v>
      </c>
    </row>
    <row r="20" spans="1:96" hidden="1">
      <c r="A20" s="46" t="s">
        <v>4588</v>
      </c>
      <c r="B20" s="46" t="s">
        <v>4589</v>
      </c>
      <c r="C20" s="46">
        <v>35</v>
      </c>
      <c r="D20" s="46" t="s">
        <v>2255</v>
      </c>
      <c r="E20" s="46" t="s">
        <v>4590</v>
      </c>
      <c r="F20" s="46" t="s">
        <v>3058</v>
      </c>
      <c r="I20" s="46">
        <v>1</v>
      </c>
      <c r="M20" s="46">
        <v>1</v>
      </c>
      <c r="R20" s="46">
        <v>1</v>
      </c>
      <c r="U20" s="46">
        <v>1</v>
      </c>
      <c r="W20" s="46">
        <v>14</v>
      </c>
      <c r="X20" s="46">
        <v>21</v>
      </c>
      <c r="Y20" s="46">
        <v>23</v>
      </c>
      <c r="Z20" s="46">
        <v>6</v>
      </c>
      <c r="AA20" s="46">
        <v>6</v>
      </c>
      <c r="AB20" s="46">
        <v>6</v>
      </c>
      <c r="AD20" s="46">
        <v>1</v>
      </c>
      <c r="AE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Z20" s="46">
        <v>1</v>
      </c>
      <c r="CD20" s="46">
        <v>1</v>
      </c>
      <c r="CE20" s="46">
        <v>2010</v>
      </c>
      <c r="CG20" s="46">
        <v>1</v>
      </c>
      <c r="CI20" s="46">
        <v>1</v>
      </c>
      <c r="CR20" s="139">
        <v>46544</v>
      </c>
    </row>
    <row r="21" spans="1:96" hidden="1">
      <c r="A21" s="46" t="s">
        <v>4591</v>
      </c>
      <c r="B21" s="46" t="s">
        <v>4592</v>
      </c>
      <c r="C21" s="46">
        <v>38</v>
      </c>
      <c r="D21" s="46" t="s">
        <v>2255</v>
      </c>
      <c r="E21" s="46" t="s">
        <v>4593</v>
      </c>
      <c r="F21" s="46" t="s">
        <v>3058</v>
      </c>
      <c r="H21" s="46">
        <v>1</v>
      </c>
      <c r="N21" s="46">
        <v>1</v>
      </c>
      <c r="R21" s="46">
        <v>1</v>
      </c>
      <c r="U21" s="46">
        <v>1</v>
      </c>
      <c r="W21" s="46">
        <v>14</v>
      </c>
      <c r="X21" s="46">
        <v>15</v>
      </c>
      <c r="Y21" s="46">
        <v>16</v>
      </c>
      <c r="Z21" s="46">
        <v>6</v>
      </c>
      <c r="AA21" s="46">
        <v>6</v>
      </c>
      <c r="AB21" s="46">
        <v>6</v>
      </c>
      <c r="AE21" s="46">
        <v>1</v>
      </c>
      <c r="AG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D21" s="46">
        <v>1</v>
      </c>
      <c r="CE21" s="46">
        <v>2021</v>
      </c>
      <c r="CG21" s="46">
        <v>1</v>
      </c>
      <c r="CI21" s="46">
        <v>1</v>
      </c>
      <c r="CR21" s="139">
        <v>46544</v>
      </c>
    </row>
    <row r="22" spans="1:96" hidden="1">
      <c r="A22" s="46" t="s">
        <v>4594</v>
      </c>
      <c r="B22" s="46" t="s">
        <v>4595</v>
      </c>
      <c r="C22" s="46">
        <v>38</v>
      </c>
      <c r="D22" s="46" t="s">
        <v>2255</v>
      </c>
      <c r="E22" s="46" t="s">
        <v>4596</v>
      </c>
      <c r="F22" s="46" t="s">
        <v>107</v>
      </c>
      <c r="H22" s="46">
        <v>1</v>
      </c>
      <c r="M22" s="46">
        <v>1</v>
      </c>
      <c r="R22" s="46">
        <v>1</v>
      </c>
      <c r="U22" s="46">
        <v>1</v>
      </c>
      <c r="W22" s="46">
        <v>14</v>
      </c>
      <c r="X22" s="46">
        <v>0</v>
      </c>
      <c r="Y22" s="46">
        <v>20</v>
      </c>
      <c r="Z22" s="46">
        <v>3</v>
      </c>
      <c r="AA22" s="46">
        <v>3</v>
      </c>
      <c r="AB22" s="46">
        <v>3</v>
      </c>
      <c r="AE22" s="46">
        <v>1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R22" s="139">
        <v>46544</v>
      </c>
    </row>
    <row r="23" spans="1:96" hidden="1">
      <c r="A23" s="46" t="s">
        <v>4597</v>
      </c>
      <c r="B23" s="46" t="s">
        <v>4598</v>
      </c>
      <c r="C23" s="46">
        <v>29</v>
      </c>
      <c r="D23" s="46" t="s">
        <v>2255</v>
      </c>
      <c r="E23" s="46" t="s">
        <v>4599</v>
      </c>
      <c r="F23" s="46" t="s">
        <v>3058</v>
      </c>
      <c r="G23" s="46">
        <v>1</v>
      </c>
      <c r="M23" s="46">
        <v>1</v>
      </c>
      <c r="R23" s="46">
        <v>1</v>
      </c>
      <c r="T23" s="46">
        <v>1</v>
      </c>
      <c r="W23" s="46">
        <v>14</v>
      </c>
      <c r="X23" s="46">
        <v>20</v>
      </c>
      <c r="Y23" s="46">
        <v>24</v>
      </c>
      <c r="Z23" s="46">
        <v>3</v>
      </c>
      <c r="AA23" s="46">
        <v>3</v>
      </c>
      <c r="AB23" s="46">
        <v>3</v>
      </c>
      <c r="AE23" s="46">
        <v>1</v>
      </c>
      <c r="AG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CC23" s="46">
        <v>1</v>
      </c>
      <c r="CI23" s="46">
        <v>1</v>
      </c>
      <c r="CR23" s="139">
        <v>46544</v>
      </c>
    </row>
    <row r="24" spans="1:96" hidden="1">
      <c r="A24" s="46" t="s">
        <v>4600</v>
      </c>
      <c r="B24" s="46" t="s">
        <v>4601</v>
      </c>
      <c r="C24" s="46">
        <v>44</v>
      </c>
      <c r="D24" s="46" t="s">
        <v>4602</v>
      </c>
      <c r="E24" s="46" t="s">
        <v>4603</v>
      </c>
      <c r="F24" s="46" t="s">
        <v>330</v>
      </c>
      <c r="H24" s="46">
        <v>1</v>
      </c>
      <c r="M24" s="46">
        <v>1</v>
      </c>
      <c r="R24" s="46">
        <v>1</v>
      </c>
      <c r="T24" s="46">
        <v>1</v>
      </c>
      <c r="W24" s="46">
        <v>16</v>
      </c>
      <c r="X24" s="46">
        <v>20</v>
      </c>
      <c r="Y24" s="46">
        <v>18</v>
      </c>
      <c r="Z24" s="46">
        <v>5</v>
      </c>
      <c r="AA24" s="46">
        <v>5</v>
      </c>
      <c r="AB24" s="46">
        <v>5</v>
      </c>
      <c r="AE24" s="46">
        <v>1</v>
      </c>
      <c r="AG24" s="46">
        <v>1</v>
      </c>
      <c r="AJ24" s="46">
        <v>1</v>
      </c>
      <c r="AK24" s="46">
        <v>1</v>
      </c>
      <c r="AT24" s="46">
        <v>1</v>
      </c>
      <c r="AZ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R24" s="139">
        <v>46544</v>
      </c>
    </row>
    <row r="25" spans="1:96" hidden="1">
      <c r="A25" s="46" t="s">
        <v>4604</v>
      </c>
      <c r="B25" s="46" t="s">
        <v>4605</v>
      </c>
      <c r="C25" s="46">
        <v>45</v>
      </c>
      <c r="D25" s="46" t="s">
        <v>4602</v>
      </c>
      <c r="E25" s="46" t="s">
        <v>4606</v>
      </c>
      <c r="F25" s="46" t="s">
        <v>3058</v>
      </c>
      <c r="H25" s="46">
        <v>1</v>
      </c>
      <c r="M25" s="46">
        <v>1</v>
      </c>
      <c r="R25" s="46">
        <v>1</v>
      </c>
      <c r="T25" s="46">
        <v>1</v>
      </c>
      <c r="W25" s="46">
        <v>17</v>
      </c>
      <c r="X25" s="46">
        <v>18</v>
      </c>
      <c r="Y25" s="46">
        <v>20</v>
      </c>
      <c r="Z25" s="46">
        <v>7</v>
      </c>
      <c r="AA25" s="46">
        <v>5</v>
      </c>
      <c r="AB25" s="46">
        <v>5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R25" s="139">
        <v>46544</v>
      </c>
    </row>
    <row r="26" spans="1:96" hidden="1">
      <c r="A26" s="46" t="s">
        <v>4607</v>
      </c>
      <c r="B26" s="46" t="s">
        <v>4608</v>
      </c>
      <c r="C26" s="46">
        <v>40</v>
      </c>
      <c r="D26" s="46" t="s">
        <v>4602</v>
      </c>
      <c r="E26" s="46" t="s">
        <v>4609</v>
      </c>
      <c r="F26" s="46" t="s">
        <v>3173</v>
      </c>
      <c r="J26" s="46">
        <v>1</v>
      </c>
      <c r="M26" s="46">
        <v>1</v>
      </c>
      <c r="R26" s="46">
        <v>1</v>
      </c>
      <c r="U26" s="46">
        <v>1</v>
      </c>
      <c r="W26" s="46">
        <v>16</v>
      </c>
      <c r="X26" s="46">
        <v>18</v>
      </c>
      <c r="Y26" s="46">
        <v>18</v>
      </c>
      <c r="Z26" s="46">
        <v>5</v>
      </c>
      <c r="AA26" s="46">
        <v>5</v>
      </c>
      <c r="AB26" s="46">
        <v>6</v>
      </c>
      <c r="AC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R26" s="139">
        <v>46544</v>
      </c>
    </row>
    <row r="27" spans="1:96" hidden="1">
      <c r="A27" s="46" t="s">
        <v>4610</v>
      </c>
      <c r="B27" s="46" t="s">
        <v>4611</v>
      </c>
      <c r="C27" s="46">
        <v>25</v>
      </c>
      <c r="D27" s="46" t="s">
        <v>4612</v>
      </c>
      <c r="E27" s="46" t="s">
        <v>191</v>
      </c>
      <c r="F27" s="46" t="s">
        <v>127</v>
      </c>
      <c r="J27" s="46">
        <v>1</v>
      </c>
      <c r="M27" s="46">
        <v>1</v>
      </c>
      <c r="Q27" s="46">
        <v>1</v>
      </c>
      <c r="U27" s="46">
        <v>1</v>
      </c>
      <c r="W27" s="46">
        <v>18</v>
      </c>
      <c r="X27" s="46">
        <v>18</v>
      </c>
      <c r="Y27" s="46">
        <v>18</v>
      </c>
      <c r="Z27" s="46">
        <v>2</v>
      </c>
      <c r="AA27" s="46">
        <v>2</v>
      </c>
      <c r="AB27" s="46">
        <v>2</v>
      </c>
      <c r="AE27" s="46">
        <v>1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W27" s="46">
        <v>1</v>
      </c>
      <c r="BZ27" s="46">
        <v>1</v>
      </c>
      <c r="CC27" s="46">
        <v>1</v>
      </c>
      <c r="CI27" s="46">
        <v>1</v>
      </c>
      <c r="CR27" s="139">
        <v>46544</v>
      </c>
    </row>
    <row r="28" spans="1:96">
      <c r="A28" s="46" t="s">
        <v>4613</v>
      </c>
      <c r="B28" s="46" t="s">
        <v>4614</v>
      </c>
      <c r="C28" s="46">
        <v>51</v>
      </c>
      <c r="D28" s="46" t="s">
        <v>4602</v>
      </c>
      <c r="E28" s="46" t="s">
        <v>4615</v>
      </c>
      <c r="F28" s="46" t="s">
        <v>107</v>
      </c>
      <c r="I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16</v>
      </c>
      <c r="Y28" s="46">
        <v>16</v>
      </c>
      <c r="Z28" s="46">
        <v>6</v>
      </c>
      <c r="AA28" s="46">
        <v>6</v>
      </c>
      <c r="AB28" s="46">
        <v>6</v>
      </c>
      <c r="AC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W28" s="46">
        <v>1</v>
      </c>
      <c r="BZ28" s="46">
        <v>1</v>
      </c>
      <c r="CC28" s="46">
        <v>1</v>
      </c>
      <c r="CI28" s="46">
        <v>1</v>
      </c>
      <c r="CR28" s="46" t="s">
        <v>46</v>
      </c>
    </row>
  </sheetData>
  <autoFilter ref="A3:CU28">
    <filterColumn colId="2">
      <filters>
        <filter val="51"/>
        <filter val="54"/>
        <filter val="56"/>
        <filter val="57"/>
      </filters>
    </filterColumn>
  </autoFilter>
  <mergeCells count="1">
    <mergeCell ref="AV1:AZ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1361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0</v>
      </c>
      <c r="H3" s="70">
        <v>0</v>
      </c>
      <c r="I3" s="70">
        <v>0</v>
      </c>
      <c r="J3" s="71">
        <f t="shared" ref="J3:J9" si="1">SUM(F3:I3)</f>
        <v>0</v>
      </c>
      <c r="K3" s="70">
        <v>0</v>
      </c>
      <c r="L3" s="70">
        <v>0</v>
      </c>
      <c r="M3" s="70">
        <v>0</v>
      </c>
      <c r="N3" s="70">
        <v>0</v>
      </c>
      <c r="O3" s="70">
        <v>1</v>
      </c>
      <c r="P3" s="71">
        <f t="shared" ref="P3:P8" si="2">SUM(K3:O3)</f>
        <v>1</v>
      </c>
      <c r="Q3" s="70">
        <v>0</v>
      </c>
      <c r="R3" s="70">
        <v>0</v>
      </c>
      <c r="S3" s="70">
        <v>0</v>
      </c>
      <c r="T3" s="71">
        <f t="shared" ref="T3:T8" si="3"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1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4616</v>
      </c>
      <c r="B4" s="69">
        <v>5</v>
      </c>
      <c r="C4" s="69">
        <v>0</v>
      </c>
      <c r="D4" s="69">
        <v>0</v>
      </c>
      <c r="E4" s="69">
        <f t="shared" si="0"/>
        <v>5</v>
      </c>
      <c r="F4" s="70">
        <v>0</v>
      </c>
      <c r="G4" s="70">
        <v>3</v>
      </c>
      <c r="H4" s="70">
        <v>0</v>
      </c>
      <c r="I4" s="70">
        <v>0</v>
      </c>
      <c r="J4" s="71">
        <f t="shared" si="1"/>
        <v>3</v>
      </c>
      <c r="K4" s="70">
        <v>0</v>
      </c>
      <c r="L4" s="70">
        <v>0</v>
      </c>
      <c r="M4" s="70">
        <v>0</v>
      </c>
      <c r="N4" s="70">
        <v>0</v>
      </c>
      <c r="O4" s="70">
        <v>2</v>
      </c>
      <c r="P4" s="71">
        <f t="shared" si="2"/>
        <v>2</v>
      </c>
      <c r="Q4" s="70">
        <v>0</v>
      </c>
      <c r="R4" s="70">
        <v>0</v>
      </c>
      <c r="S4" s="70">
        <v>2</v>
      </c>
      <c r="T4" s="71">
        <f t="shared" si="3"/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5</v>
      </c>
      <c r="AB4" s="73">
        <v>0</v>
      </c>
      <c r="AC4" s="73">
        <v>0</v>
      </c>
      <c r="AD4" s="73">
        <v>0</v>
      </c>
      <c r="AE4" s="186">
        <f t="shared" si="4"/>
        <v>5</v>
      </c>
      <c r="AF4" s="73">
        <v>0</v>
      </c>
      <c r="AG4" s="73">
        <v>0</v>
      </c>
    </row>
    <row r="5" spans="1:33">
      <c r="A5" s="77" t="s">
        <v>4617</v>
      </c>
      <c r="B5" s="69">
        <v>6</v>
      </c>
      <c r="C5" s="69">
        <v>0</v>
      </c>
      <c r="D5" s="69">
        <v>0</v>
      </c>
      <c r="E5" s="69">
        <f t="shared" si="0"/>
        <v>6</v>
      </c>
      <c r="F5" s="70">
        <v>0</v>
      </c>
      <c r="G5" s="70">
        <v>6</v>
      </c>
      <c r="H5" s="70">
        <v>0</v>
      </c>
      <c r="I5" s="70">
        <v>0</v>
      </c>
      <c r="J5" s="71">
        <f t="shared" si="1"/>
        <v>6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0</v>
      </c>
      <c r="Q5" s="70">
        <v>0</v>
      </c>
      <c r="R5" s="70">
        <v>0</v>
      </c>
      <c r="S5" s="70">
        <v>1</v>
      </c>
      <c r="T5" s="71">
        <f t="shared" si="3"/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6</v>
      </c>
      <c r="AB5" s="73">
        <v>0</v>
      </c>
      <c r="AC5" s="73">
        <v>0</v>
      </c>
      <c r="AD5" s="73">
        <v>0</v>
      </c>
      <c r="AE5" s="186">
        <f t="shared" si="4"/>
        <v>6</v>
      </c>
      <c r="AF5" s="73">
        <v>0</v>
      </c>
      <c r="AG5" s="73">
        <v>0</v>
      </c>
    </row>
    <row r="6" spans="1:33">
      <c r="A6" s="77" t="s">
        <v>4618</v>
      </c>
      <c r="B6" s="69">
        <v>8</v>
      </c>
      <c r="C6" s="69">
        <v>0</v>
      </c>
      <c r="D6" s="69">
        <v>0</v>
      </c>
      <c r="E6" s="69">
        <f t="shared" si="0"/>
        <v>8</v>
      </c>
      <c r="F6" s="70">
        <v>0</v>
      </c>
      <c r="G6" s="70">
        <v>2</v>
      </c>
      <c r="H6" s="70">
        <v>0</v>
      </c>
      <c r="I6" s="70">
        <v>0</v>
      </c>
      <c r="J6" s="71">
        <f t="shared" si="1"/>
        <v>2</v>
      </c>
      <c r="K6" s="70">
        <v>3</v>
      </c>
      <c r="L6" s="70">
        <v>1</v>
      </c>
      <c r="M6" s="70">
        <v>0</v>
      </c>
      <c r="N6" s="70">
        <v>1</v>
      </c>
      <c r="O6" s="70">
        <v>1</v>
      </c>
      <c r="P6" s="71">
        <f t="shared" si="2"/>
        <v>6</v>
      </c>
      <c r="Q6" s="70">
        <v>0</v>
      </c>
      <c r="R6" s="70">
        <v>0</v>
      </c>
      <c r="S6" s="70">
        <v>1</v>
      </c>
      <c r="T6" s="71">
        <f t="shared" si="3"/>
        <v>1</v>
      </c>
      <c r="U6" s="75">
        <v>0</v>
      </c>
      <c r="V6" s="75">
        <v>0</v>
      </c>
      <c r="W6" s="75">
        <v>0</v>
      </c>
      <c r="X6" s="75">
        <v>1</v>
      </c>
      <c r="Y6" s="75">
        <v>0</v>
      </c>
      <c r="Z6" s="75"/>
      <c r="AA6" s="73">
        <v>8</v>
      </c>
      <c r="AB6" s="73">
        <v>0</v>
      </c>
      <c r="AC6" s="73">
        <v>0</v>
      </c>
      <c r="AD6" s="73">
        <v>0</v>
      </c>
      <c r="AE6" s="186">
        <f t="shared" si="4"/>
        <v>8</v>
      </c>
      <c r="AF6" s="73">
        <v>0</v>
      </c>
      <c r="AG6" s="73">
        <v>0</v>
      </c>
    </row>
    <row r="7" spans="1:33">
      <c r="A7" s="77" t="s">
        <v>3109</v>
      </c>
      <c r="B7" s="69">
        <v>3</v>
      </c>
      <c r="C7" s="69">
        <v>1</v>
      </c>
      <c r="D7" s="69">
        <v>0</v>
      </c>
      <c r="E7" s="69">
        <f t="shared" si="0"/>
        <v>4</v>
      </c>
      <c r="F7" s="70">
        <v>0</v>
      </c>
      <c r="G7" s="70">
        <v>0</v>
      </c>
      <c r="H7" s="70"/>
      <c r="I7" s="70"/>
      <c r="J7" s="71">
        <f t="shared" si="1"/>
        <v>0</v>
      </c>
      <c r="K7" s="70">
        <v>1</v>
      </c>
      <c r="L7" s="70">
        <v>0</v>
      </c>
      <c r="M7" s="70">
        <v>0</v>
      </c>
      <c r="N7" s="70">
        <v>2</v>
      </c>
      <c r="O7" s="70">
        <v>1</v>
      </c>
      <c r="P7" s="71">
        <f t="shared" si="2"/>
        <v>4</v>
      </c>
      <c r="Q7" s="70">
        <v>0</v>
      </c>
      <c r="R7" s="70">
        <v>0</v>
      </c>
      <c r="S7" s="70">
        <v>1</v>
      </c>
      <c r="T7" s="71">
        <f t="shared" si="3"/>
        <v>1</v>
      </c>
      <c r="U7" s="75">
        <v>0</v>
      </c>
      <c r="V7" s="75">
        <v>0</v>
      </c>
      <c r="W7" s="75">
        <v>0</v>
      </c>
      <c r="X7" s="75">
        <v>1</v>
      </c>
      <c r="Y7" s="75">
        <v>0</v>
      </c>
      <c r="Z7" s="75"/>
      <c r="AA7" s="73">
        <v>4</v>
      </c>
      <c r="AB7" s="73">
        <v>0</v>
      </c>
      <c r="AC7" s="73">
        <v>0</v>
      </c>
      <c r="AD7" s="73">
        <v>0</v>
      </c>
      <c r="AE7" s="186">
        <f t="shared" si="4"/>
        <v>4</v>
      </c>
      <c r="AF7" s="73">
        <v>0</v>
      </c>
      <c r="AG7" s="73">
        <v>0</v>
      </c>
    </row>
    <row r="8" spans="1:33">
      <c r="A8" s="78" t="s">
        <v>1825</v>
      </c>
      <c r="B8" s="79">
        <v>1</v>
      </c>
      <c r="C8" s="79">
        <v>0</v>
      </c>
      <c r="D8" s="79">
        <v>0</v>
      </c>
      <c r="E8" s="69">
        <f t="shared" si="0"/>
        <v>1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1</v>
      </c>
      <c r="L8" s="80">
        <v>0</v>
      </c>
      <c r="M8" s="80">
        <v>0</v>
      </c>
      <c r="N8" s="80">
        <v>0</v>
      </c>
      <c r="O8" s="80">
        <v>0</v>
      </c>
      <c r="P8" s="71">
        <f t="shared" si="2"/>
        <v>1</v>
      </c>
      <c r="Q8" s="80">
        <v>0</v>
      </c>
      <c r="R8" s="80">
        <v>0</v>
      </c>
      <c r="S8" s="80">
        <v>1</v>
      </c>
      <c r="T8" s="71">
        <f t="shared" si="3"/>
        <v>1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/>
      <c r="AA8" s="82">
        <v>0</v>
      </c>
      <c r="AB8" s="82">
        <v>0</v>
      </c>
      <c r="AC8" s="82">
        <v>0</v>
      </c>
      <c r="AD8" s="82">
        <v>1</v>
      </c>
      <c r="AE8" s="186">
        <f t="shared" si="4"/>
        <v>1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24</v>
      </c>
      <c r="C9" s="69">
        <f t="shared" si="5"/>
        <v>1</v>
      </c>
      <c r="D9" s="69">
        <f t="shared" si="5"/>
        <v>0</v>
      </c>
      <c r="E9" s="69">
        <f t="shared" si="5"/>
        <v>25</v>
      </c>
      <c r="F9" s="69">
        <f t="shared" si="5"/>
        <v>0</v>
      </c>
      <c r="G9" s="69">
        <f t="shared" si="5"/>
        <v>11</v>
      </c>
      <c r="H9" s="69">
        <f t="shared" si="5"/>
        <v>0</v>
      </c>
      <c r="I9" s="69">
        <f t="shared" si="5"/>
        <v>0</v>
      </c>
      <c r="J9" s="71">
        <f t="shared" si="1"/>
        <v>11</v>
      </c>
      <c r="K9" s="114">
        <f>SUM(K3:K8)</f>
        <v>5</v>
      </c>
      <c r="L9" s="114">
        <f>SUM(L3:L8)</f>
        <v>1</v>
      </c>
      <c r="M9" s="114">
        <f>SUM(M3:M8)</f>
        <v>0</v>
      </c>
      <c r="N9" s="114">
        <f>SUM(N3:N8)</f>
        <v>3</v>
      </c>
      <c r="O9" s="114">
        <f>SUM(O3:O8)</f>
        <v>5</v>
      </c>
      <c r="P9" s="71">
        <f>SUM(K9:N9)</f>
        <v>9</v>
      </c>
      <c r="Q9" s="114">
        <f t="shared" ref="Q9:AG9" si="6">SUM(Q3:Q8)</f>
        <v>0</v>
      </c>
      <c r="R9" s="114">
        <f t="shared" si="6"/>
        <v>0</v>
      </c>
      <c r="S9" s="114">
        <f t="shared" si="6"/>
        <v>6</v>
      </c>
      <c r="T9" s="71">
        <f t="shared" si="6"/>
        <v>6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2</v>
      </c>
      <c r="Y9" s="114">
        <f t="shared" si="6"/>
        <v>0</v>
      </c>
      <c r="Z9" s="114">
        <f t="shared" si="6"/>
        <v>0</v>
      </c>
      <c r="AA9" s="73">
        <f t="shared" si="6"/>
        <v>24</v>
      </c>
      <c r="AB9" s="73">
        <f t="shared" si="6"/>
        <v>0</v>
      </c>
      <c r="AC9" s="73">
        <f t="shared" si="6"/>
        <v>0</v>
      </c>
      <c r="AD9" s="73">
        <f t="shared" si="6"/>
        <v>1</v>
      </c>
      <c r="AE9" s="73">
        <f t="shared" si="6"/>
        <v>25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29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4.42578125" defaultRowHeight="15" customHeight="1"/>
  <cols>
    <col min="1" max="1" width="9.5703125" customWidth="1"/>
    <col min="2" max="2" width="22.140625" customWidth="1"/>
    <col min="3" max="3" width="8.42578125" customWidth="1"/>
    <col min="5" max="5" width="17.140625" customWidth="1"/>
  </cols>
  <sheetData>
    <row r="1" spans="1:96">
      <c r="A1" s="189" t="s">
        <v>4619</v>
      </c>
      <c r="B1" s="143"/>
      <c r="C1" s="231" t="s">
        <v>4620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4621</v>
      </c>
      <c r="B4" s="46" t="s">
        <v>4622</v>
      </c>
      <c r="C4" s="46">
        <v>28</v>
      </c>
      <c r="D4" s="46" t="s">
        <v>4623</v>
      </c>
      <c r="E4" s="46" t="s">
        <v>4624</v>
      </c>
      <c r="F4" s="46" t="s">
        <v>2484</v>
      </c>
      <c r="I4" s="46">
        <v>1</v>
      </c>
      <c r="O4" s="46">
        <v>1</v>
      </c>
      <c r="R4" s="46">
        <v>1</v>
      </c>
      <c r="U4" s="46">
        <v>1</v>
      </c>
      <c r="W4" s="46">
        <v>14</v>
      </c>
      <c r="X4" s="46">
        <v>22</v>
      </c>
      <c r="Y4" s="46">
        <v>26</v>
      </c>
      <c r="Z4" s="46">
        <v>1</v>
      </c>
      <c r="AA4" s="46">
        <v>1</v>
      </c>
      <c r="AB4" s="46">
        <v>1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I4" s="46">
        <v>1</v>
      </c>
      <c r="BZ4" s="46">
        <v>1</v>
      </c>
      <c r="CC4" s="46">
        <v>1</v>
      </c>
      <c r="CP4" s="46">
        <v>1</v>
      </c>
      <c r="CR4" s="139">
        <v>46574</v>
      </c>
    </row>
    <row r="5" spans="1:96">
      <c r="A5" s="46" t="s">
        <v>4625</v>
      </c>
      <c r="B5" s="46" t="s">
        <v>4626</v>
      </c>
      <c r="C5" s="46">
        <v>22</v>
      </c>
      <c r="D5" s="46" t="s">
        <v>4623</v>
      </c>
      <c r="E5" s="46" t="s">
        <v>4627</v>
      </c>
      <c r="F5" s="46" t="s">
        <v>3173</v>
      </c>
      <c r="H5" s="46">
        <v>1</v>
      </c>
      <c r="M5" s="46">
        <v>1</v>
      </c>
      <c r="Q5" s="46">
        <v>1</v>
      </c>
      <c r="U5" s="46">
        <v>1</v>
      </c>
      <c r="W5" s="46">
        <v>18</v>
      </c>
      <c r="X5" s="46">
        <v>20</v>
      </c>
      <c r="Y5" s="46">
        <v>21</v>
      </c>
      <c r="Z5" s="46">
        <v>1</v>
      </c>
      <c r="AA5" s="46">
        <v>1</v>
      </c>
      <c r="AB5" s="46">
        <v>1</v>
      </c>
      <c r="AC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P5" s="46">
        <v>1</v>
      </c>
      <c r="CR5" s="139">
        <v>46574</v>
      </c>
    </row>
    <row r="6" spans="1:96">
      <c r="A6" s="46" t="s">
        <v>4628</v>
      </c>
      <c r="B6" s="46" t="s">
        <v>4629</v>
      </c>
      <c r="C6" s="46">
        <v>40</v>
      </c>
      <c r="D6" s="46" t="s">
        <v>4623</v>
      </c>
      <c r="E6" s="46" t="s">
        <v>4630</v>
      </c>
      <c r="F6" s="46" t="s">
        <v>1045</v>
      </c>
      <c r="G6" s="46">
        <v>1</v>
      </c>
      <c r="M6" s="46">
        <v>1</v>
      </c>
      <c r="Q6" s="46">
        <v>1</v>
      </c>
      <c r="S6" s="46">
        <v>1</v>
      </c>
      <c r="W6" s="46">
        <v>17</v>
      </c>
      <c r="X6" s="46">
        <v>17</v>
      </c>
      <c r="Y6" s="46">
        <v>18</v>
      </c>
      <c r="Z6" s="46">
        <v>7</v>
      </c>
      <c r="AA6" s="46">
        <v>6</v>
      </c>
      <c r="AB6" s="46">
        <v>6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B6" s="46">
        <v>1</v>
      </c>
      <c r="BF6" s="46">
        <v>1</v>
      </c>
      <c r="BI6" s="46">
        <v>1</v>
      </c>
      <c r="BW6" s="46">
        <v>1</v>
      </c>
      <c r="BZ6" s="46">
        <v>1</v>
      </c>
      <c r="CC6" s="46">
        <v>1</v>
      </c>
      <c r="CP6" s="46">
        <v>1</v>
      </c>
      <c r="CR6" s="139">
        <v>46574</v>
      </c>
    </row>
    <row r="7" spans="1:96">
      <c r="A7" s="46" t="s">
        <v>4631</v>
      </c>
      <c r="B7" s="46" t="s">
        <v>4632</v>
      </c>
      <c r="C7" s="46">
        <v>24</v>
      </c>
      <c r="D7" s="46" t="s">
        <v>2766</v>
      </c>
      <c r="E7" s="46" t="s">
        <v>4633</v>
      </c>
      <c r="F7" s="46" t="s">
        <v>2484</v>
      </c>
      <c r="H7" s="46">
        <v>1</v>
      </c>
      <c r="M7" s="46">
        <v>1</v>
      </c>
      <c r="R7" s="46">
        <v>1</v>
      </c>
      <c r="T7" s="46">
        <v>1</v>
      </c>
      <c r="W7" s="46">
        <v>15</v>
      </c>
      <c r="X7" s="46">
        <v>16</v>
      </c>
      <c r="Y7" s="46">
        <v>0</v>
      </c>
      <c r="Z7" s="46">
        <v>1</v>
      </c>
      <c r="AA7" s="46">
        <v>0</v>
      </c>
      <c r="AB7" s="46">
        <v>0</v>
      </c>
      <c r="AF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W7" s="46">
        <v>1</v>
      </c>
      <c r="BZ7" s="46">
        <v>1</v>
      </c>
      <c r="CC7" s="46">
        <v>1</v>
      </c>
      <c r="CP7" s="46">
        <v>1</v>
      </c>
      <c r="CR7" s="139">
        <v>46574</v>
      </c>
    </row>
    <row r="8" spans="1:96">
      <c r="A8" s="46" t="s">
        <v>4634</v>
      </c>
      <c r="B8" s="46" t="s">
        <v>4635</v>
      </c>
      <c r="C8" s="46">
        <v>27</v>
      </c>
      <c r="D8" s="46" t="s">
        <v>1162</v>
      </c>
      <c r="E8" s="46" t="s">
        <v>4636</v>
      </c>
      <c r="F8" s="46" t="s">
        <v>3363</v>
      </c>
      <c r="I8" s="46">
        <v>1</v>
      </c>
      <c r="M8" s="46">
        <v>1</v>
      </c>
      <c r="Q8" s="46">
        <v>1</v>
      </c>
      <c r="V8" s="46">
        <v>1</v>
      </c>
      <c r="W8" s="46">
        <v>14</v>
      </c>
      <c r="X8" s="46">
        <v>20</v>
      </c>
      <c r="Y8" s="46">
        <v>20</v>
      </c>
      <c r="Z8" s="46">
        <v>2</v>
      </c>
      <c r="AA8" s="46">
        <v>2</v>
      </c>
      <c r="AB8" s="46">
        <v>2</v>
      </c>
      <c r="AC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W8" s="46">
        <v>1</v>
      </c>
      <c r="BZ8" s="46">
        <v>1</v>
      </c>
      <c r="CC8" s="46">
        <v>1</v>
      </c>
      <c r="CP8" s="46">
        <v>1</v>
      </c>
      <c r="CR8" s="139">
        <v>46574</v>
      </c>
    </row>
    <row r="9" spans="1:96">
      <c r="A9" s="46" t="s">
        <v>4637</v>
      </c>
      <c r="B9" s="46" t="s">
        <v>4638</v>
      </c>
      <c r="C9" s="46">
        <v>25</v>
      </c>
      <c r="D9" s="46" t="s">
        <v>2766</v>
      </c>
      <c r="E9" s="46" t="s">
        <v>4639</v>
      </c>
      <c r="F9" s="46" t="s">
        <v>2484</v>
      </c>
      <c r="G9" s="46">
        <v>1</v>
      </c>
      <c r="O9" s="46">
        <v>1</v>
      </c>
      <c r="R9" s="46">
        <v>1</v>
      </c>
      <c r="U9" s="46">
        <v>1</v>
      </c>
      <c r="W9" s="46">
        <v>13</v>
      </c>
      <c r="X9" s="46">
        <v>20</v>
      </c>
      <c r="Y9" s="46">
        <v>21</v>
      </c>
      <c r="Z9" s="46">
        <v>2</v>
      </c>
      <c r="AA9" s="46">
        <v>2</v>
      </c>
      <c r="AB9" s="46">
        <v>2</v>
      </c>
      <c r="AD9" s="46">
        <v>1</v>
      </c>
      <c r="AE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P9" s="46">
        <v>1</v>
      </c>
      <c r="CR9" s="139">
        <v>46574</v>
      </c>
    </row>
    <row r="10" spans="1:96">
      <c r="A10" s="46" t="s">
        <v>4640</v>
      </c>
      <c r="B10" s="46" t="s">
        <v>4641</v>
      </c>
      <c r="C10" s="46">
        <v>49</v>
      </c>
      <c r="D10" s="46" t="s">
        <v>4623</v>
      </c>
      <c r="E10" s="46" t="s">
        <v>4642</v>
      </c>
      <c r="F10" s="46" t="s">
        <v>4332</v>
      </c>
      <c r="H10" s="46">
        <v>1</v>
      </c>
      <c r="M10" s="46">
        <v>1</v>
      </c>
      <c r="Q10" s="46">
        <v>1</v>
      </c>
      <c r="T10" s="46">
        <v>1</v>
      </c>
      <c r="W10" s="46">
        <v>14</v>
      </c>
      <c r="X10" s="46">
        <v>15</v>
      </c>
      <c r="Y10" s="46">
        <v>15</v>
      </c>
      <c r="Z10" s="46">
        <v>8</v>
      </c>
      <c r="AA10" s="46">
        <v>8</v>
      </c>
      <c r="AB10" s="46">
        <v>6</v>
      </c>
      <c r="AD10" s="46">
        <v>1</v>
      </c>
      <c r="AE10" s="46">
        <v>1</v>
      </c>
      <c r="AG10" s="46">
        <v>1</v>
      </c>
      <c r="AH10" s="46">
        <v>1</v>
      </c>
      <c r="AJ10" s="46">
        <v>1</v>
      </c>
      <c r="AM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  <c r="CP10" s="46">
        <v>1</v>
      </c>
      <c r="CR10" s="139">
        <v>46574</v>
      </c>
    </row>
    <row r="11" spans="1:96">
      <c r="A11" s="46" t="s">
        <v>4643</v>
      </c>
      <c r="B11" s="46" t="s">
        <v>4644</v>
      </c>
      <c r="C11" s="46">
        <v>30</v>
      </c>
      <c r="D11" s="46" t="s">
        <v>2710</v>
      </c>
      <c r="E11" s="46" t="s">
        <v>4645</v>
      </c>
      <c r="F11" s="46" t="s">
        <v>4332</v>
      </c>
      <c r="I11" s="46">
        <v>1</v>
      </c>
      <c r="M11" s="46">
        <v>1</v>
      </c>
      <c r="R11" s="46">
        <v>1</v>
      </c>
      <c r="U11" s="46">
        <v>1</v>
      </c>
      <c r="W11" s="46">
        <v>18</v>
      </c>
      <c r="X11" s="46">
        <v>22</v>
      </c>
      <c r="Y11" s="46">
        <v>23</v>
      </c>
      <c r="Z11" s="46">
        <v>3</v>
      </c>
      <c r="AA11" s="46">
        <v>3</v>
      </c>
      <c r="AB11" s="46">
        <v>3</v>
      </c>
      <c r="AE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P11" s="46">
        <v>1</v>
      </c>
      <c r="CR11" s="139">
        <v>46574</v>
      </c>
    </row>
    <row r="12" spans="1:96">
      <c r="A12" s="46" t="s">
        <v>4646</v>
      </c>
      <c r="B12" s="46" t="s">
        <v>4647</v>
      </c>
      <c r="C12" s="46">
        <v>30</v>
      </c>
      <c r="D12" s="46" t="s">
        <v>1149</v>
      </c>
      <c r="E12" s="46" t="s">
        <v>4648</v>
      </c>
      <c r="F12" s="46" t="s">
        <v>2523</v>
      </c>
      <c r="H12" s="46">
        <v>1</v>
      </c>
      <c r="M12" s="46">
        <v>1</v>
      </c>
      <c r="Q12" s="46">
        <v>1</v>
      </c>
      <c r="U12" s="46">
        <v>1</v>
      </c>
      <c r="W12" s="46">
        <v>15</v>
      </c>
      <c r="X12" s="46">
        <v>20</v>
      </c>
      <c r="Y12" s="46">
        <v>24</v>
      </c>
      <c r="Z12" s="46">
        <v>4</v>
      </c>
      <c r="AA12" s="46">
        <v>4</v>
      </c>
      <c r="AB12" s="46">
        <v>4</v>
      </c>
      <c r="AE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B12" s="46">
        <v>1</v>
      </c>
      <c r="BF12" s="46">
        <v>1</v>
      </c>
      <c r="BI12" s="46">
        <v>1</v>
      </c>
      <c r="BZ12" s="46">
        <v>1</v>
      </c>
      <c r="CC12" s="46">
        <v>1</v>
      </c>
      <c r="CP12" s="46">
        <v>1</v>
      </c>
      <c r="CR12" s="139">
        <v>46574</v>
      </c>
    </row>
    <row r="13" spans="1:96">
      <c r="A13" s="46" t="s">
        <v>4649</v>
      </c>
      <c r="B13" s="46" t="s">
        <v>4650</v>
      </c>
      <c r="C13" s="46">
        <v>60</v>
      </c>
      <c r="D13" s="46" t="s">
        <v>4623</v>
      </c>
      <c r="E13" s="46" t="s">
        <v>191</v>
      </c>
      <c r="F13" s="46" t="s">
        <v>2484</v>
      </c>
      <c r="H13" s="46">
        <v>1</v>
      </c>
      <c r="M13" s="46">
        <v>1</v>
      </c>
      <c r="R13" s="46">
        <v>1</v>
      </c>
      <c r="S13" s="46">
        <v>1</v>
      </c>
      <c r="W13" s="46">
        <v>15</v>
      </c>
      <c r="X13" s="46">
        <v>18</v>
      </c>
      <c r="Y13" s="46">
        <v>25</v>
      </c>
      <c r="Z13" s="46">
        <v>5</v>
      </c>
      <c r="AA13" s="46">
        <v>5</v>
      </c>
      <c r="AB13" s="46">
        <v>5</v>
      </c>
      <c r="AE13" s="46">
        <v>1</v>
      </c>
      <c r="AG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O13" s="46" t="s">
        <v>952</v>
      </c>
      <c r="BZ13" s="46">
        <v>1</v>
      </c>
      <c r="CC13" s="46">
        <v>1</v>
      </c>
      <c r="CP13" s="46">
        <v>1</v>
      </c>
      <c r="CR13" s="140">
        <v>45474</v>
      </c>
    </row>
    <row r="14" spans="1:96">
      <c r="A14" s="46" t="s">
        <v>4651</v>
      </c>
      <c r="B14" s="46" t="s">
        <v>4444</v>
      </c>
      <c r="C14" s="46">
        <v>58</v>
      </c>
      <c r="D14" s="46" t="s">
        <v>4623</v>
      </c>
      <c r="E14" s="46" t="s">
        <v>4652</v>
      </c>
      <c r="F14" s="46" t="s">
        <v>2484</v>
      </c>
      <c r="H14" s="46">
        <v>1</v>
      </c>
      <c r="P14" s="46">
        <v>1</v>
      </c>
      <c r="Q14" s="46">
        <v>1</v>
      </c>
      <c r="U14" s="46">
        <v>1</v>
      </c>
      <c r="W14" s="46">
        <v>15</v>
      </c>
      <c r="X14" s="46">
        <v>22</v>
      </c>
      <c r="Y14" s="46">
        <v>23</v>
      </c>
      <c r="Z14" s="46">
        <v>7</v>
      </c>
      <c r="AA14" s="46">
        <v>7</v>
      </c>
      <c r="AB14" s="46">
        <v>7</v>
      </c>
      <c r="AE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S14" s="46">
        <v>1</v>
      </c>
      <c r="BT14" s="46" t="s">
        <v>952</v>
      </c>
      <c r="BZ14" s="46">
        <v>1</v>
      </c>
      <c r="CC14" s="46">
        <v>1</v>
      </c>
      <c r="CP14" s="46">
        <v>1</v>
      </c>
      <c r="CR14" s="134">
        <v>45444</v>
      </c>
    </row>
    <row r="15" spans="1:96">
      <c r="A15" s="46" t="s">
        <v>4653</v>
      </c>
      <c r="B15" s="46" t="s">
        <v>4654</v>
      </c>
      <c r="C15" s="46">
        <v>24</v>
      </c>
      <c r="D15" s="46" t="s">
        <v>4655</v>
      </c>
      <c r="E15" s="46" t="s">
        <v>4656</v>
      </c>
      <c r="F15" s="46" t="s">
        <v>2484</v>
      </c>
      <c r="G15" s="46">
        <v>1</v>
      </c>
      <c r="M15" s="46">
        <v>1</v>
      </c>
      <c r="Q15" s="46">
        <v>1</v>
      </c>
      <c r="V15" s="46">
        <v>1</v>
      </c>
      <c r="W15" s="46">
        <v>14</v>
      </c>
      <c r="X15" s="46">
        <v>20</v>
      </c>
      <c r="Y15" s="46">
        <v>0</v>
      </c>
      <c r="Z15" s="46">
        <v>0</v>
      </c>
      <c r="AA15" s="46">
        <v>0</v>
      </c>
      <c r="AB15" s="46">
        <v>0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M15" s="46" t="s">
        <v>4657</v>
      </c>
      <c r="BZ15" s="46">
        <v>1</v>
      </c>
      <c r="CD15" s="46">
        <v>1</v>
      </c>
      <c r="CE15" s="46">
        <v>2023</v>
      </c>
      <c r="CG15" s="46">
        <v>1</v>
      </c>
      <c r="CR15" s="46" t="s">
        <v>4658</v>
      </c>
    </row>
    <row r="16" spans="1:96">
      <c r="A16" s="46" t="s">
        <v>4659</v>
      </c>
      <c r="B16" s="46" t="s">
        <v>4660</v>
      </c>
      <c r="C16" s="46">
        <v>27</v>
      </c>
      <c r="D16" s="46" t="s">
        <v>1149</v>
      </c>
      <c r="E16" s="46" t="s">
        <v>4661</v>
      </c>
      <c r="F16" s="46" t="s">
        <v>2484</v>
      </c>
      <c r="I16" s="46">
        <v>1</v>
      </c>
      <c r="M16" s="46">
        <v>1</v>
      </c>
      <c r="Q16" s="46">
        <v>1</v>
      </c>
      <c r="T16" s="46">
        <v>1</v>
      </c>
      <c r="W16" s="46">
        <v>18</v>
      </c>
      <c r="X16" s="46">
        <v>18</v>
      </c>
      <c r="Y16" s="46">
        <v>19</v>
      </c>
      <c r="Z16" s="46">
        <v>3</v>
      </c>
      <c r="AA16" s="46">
        <v>3</v>
      </c>
      <c r="AB16" s="46">
        <v>3</v>
      </c>
      <c r="AE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M16" s="46" t="s">
        <v>4404</v>
      </c>
      <c r="BW16" s="46">
        <v>1</v>
      </c>
      <c r="BZ16" s="46">
        <v>1</v>
      </c>
      <c r="CC16" s="46">
        <v>1</v>
      </c>
      <c r="CP16" s="46">
        <v>1</v>
      </c>
      <c r="CR16" s="46" t="s">
        <v>2257</v>
      </c>
    </row>
    <row r="17" spans="1:96">
      <c r="A17" s="46" t="s">
        <v>4662</v>
      </c>
      <c r="B17" s="46" t="s">
        <v>4663</v>
      </c>
      <c r="C17" s="46">
        <v>40</v>
      </c>
      <c r="D17" s="46" t="s">
        <v>1149</v>
      </c>
      <c r="E17" s="46" t="s">
        <v>4664</v>
      </c>
      <c r="F17" s="46" t="s">
        <v>2484</v>
      </c>
      <c r="I17" s="46">
        <v>1</v>
      </c>
      <c r="M17" s="46">
        <v>1</v>
      </c>
      <c r="Q17" s="46">
        <v>1</v>
      </c>
      <c r="S17" s="46">
        <v>1</v>
      </c>
      <c r="W17" s="46">
        <v>17</v>
      </c>
      <c r="X17" s="46">
        <v>18</v>
      </c>
      <c r="Y17" s="46">
        <v>20</v>
      </c>
      <c r="Z17" s="46">
        <v>9</v>
      </c>
      <c r="AA17" s="46">
        <v>7</v>
      </c>
      <c r="AB17" s="46">
        <v>7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M17" s="46" t="s">
        <v>4665</v>
      </c>
      <c r="CR17" s="46" t="s">
        <v>4665</v>
      </c>
    </row>
    <row r="18" spans="1:96">
      <c r="A18" s="46" t="s">
        <v>4666</v>
      </c>
      <c r="B18" s="46" t="s">
        <v>4667</v>
      </c>
      <c r="C18" s="46">
        <v>27</v>
      </c>
      <c r="D18" s="46" t="s">
        <v>3381</v>
      </c>
      <c r="E18" s="46" t="s">
        <v>4668</v>
      </c>
      <c r="F18" s="46" t="s">
        <v>4494</v>
      </c>
      <c r="K18" s="46">
        <v>1</v>
      </c>
      <c r="M18" s="46">
        <v>1</v>
      </c>
      <c r="Q18" s="46">
        <v>1</v>
      </c>
      <c r="U18" s="46">
        <v>1</v>
      </c>
      <c r="W18" s="46">
        <v>14</v>
      </c>
      <c r="X18" s="46">
        <v>16</v>
      </c>
      <c r="Y18" s="46">
        <v>22</v>
      </c>
      <c r="Z18" s="46">
        <v>2</v>
      </c>
      <c r="AA18" s="46">
        <v>2</v>
      </c>
      <c r="AB18" s="46">
        <v>2</v>
      </c>
      <c r="AE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M18" s="46" t="s">
        <v>4669</v>
      </c>
      <c r="BZ18" s="46">
        <v>1</v>
      </c>
      <c r="CC18" s="46">
        <v>1</v>
      </c>
      <c r="CI18" s="46">
        <v>1</v>
      </c>
      <c r="CP18" s="46">
        <v>1</v>
      </c>
      <c r="CR18" s="139">
        <v>46574</v>
      </c>
    </row>
    <row r="19" spans="1:96">
      <c r="A19" s="46" t="s">
        <v>4670</v>
      </c>
      <c r="B19" s="46" t="s">
        <v>4671</v>
      </c>
      <c r="C19" s="46">
        <v>21</v>
      </c>
      <c r="D19" s="46" t="s">
        <v>4672</v>
      </c>
      <c r="E19" s="46" t="s">
        <v>4673</v>
      </c>
      <c r="F19" s="46" t="s">
        <v>145</v>
      </c>
      <c r="G19" s="46">
        <v>1</v>
      </c>
      <c r="O19" s="46">
        <v>1</v>
      </c>
      <c r="R19" s="46">
        <v>1</v>
      </c>
      <c r="U19" s="46">
        <v>1</v>
      </c>
      <c r="W19" s="46">
        <v>14</v>
      </c>
      <c r="X19" s="46">
        <v>16</v>
      </c>
      <c r="Y19" s="46">
        <v>19</v>
      </c>
      <c r="Z19" s="46">
        <v>1</v>
      </c>
      <c r="AA19" s="46">
        <v>1</v>
      </c>
      <c r="AB19" s="46">
        <v>1</v>
      </c>
      <c r="AE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P19" s="46">
        <v>1</v>
      </c>
      <c r="CR19" s="139">
        <v>46574</v>
      </c>
    </row>
    <row r="20" spans="1:96">
      <c r="A20" s="46" t="s">
        <v>4674</v>
      </c>
      <c r="B20" s="46" t="s">
        <v>4675</v>
      </c>
      <c r="C20" s="46">
        <v>20</v>
      </c>
      <c r="D20" s="46" t="s">
        <v>4672</v>
      </c>
      <c r="E20" s="46" t="s">
        <v>4676</v>
      </c>
      <c r="F20" s="46" t="s">
        <v>2523</v>
      </c>
      <c r="I20" s="46">
        <v>1</v>
      </c>
      <c r="M20" s="46">
        <v>1</v>
      </c>
      <c r="Q20" s="46">
        <v>1</v>
      </c>
      <c r="U20" s="46">
        <v>1</v>
      </c>
      <c r="W20" s="46">
        <v>14</v>
      </c>
      <c r="X20" s="46">
        <v>18</v>
      </c>
      <c r="Y20" s="46">
        <v>0</v>
      </c>
      <c r="Z20" s="46">
        <v>0</v>
      </c>
      <c r="AA20" s="46">
        <v>0</v>
      </c>
      <c r="AB20" s="46">
        <v>0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I20" s="46">
        <v>1</v>
      </c>
      <c r="CP20" s="46">
        <v>1</v>
      </c>
      <c r="CR20" s="139">
        <v>46574</v>
      </c>
    </row>
    <row r="21" spans="1:96">
      <c r="A21" s="46" t="s">
        <v>4677</v>
      </c>
      <c r="B21" s="46" t="s">
        <v>4678</v>
      </c>
      <c r="C21" s="46">
        <v>22</v>
      </c>
      <c r="D21" s="46" t="s">
        <v>4623</v>
      </c>
      <c r="E21" s="46" t="s">
        <v>191</v>
      </c>
      <c r="F21" s="46" t="s">
        <v>2472</v>
      </c>
      <c r="I21" s="46">
        <v>1</v>
      </c>
      <c r="M21" s="46">
        <v>1</v>
      </c>
      <c r="R21" s="46">
        <v>1</v>
      </c>
      <c r="T21" s="46">
        <v>1</v>
      </c>
      <c r="W21" s="46">
        <v>15</v>
      </c>
      <c r="X21" s="46">
        <v>14</v>
      </c>
      <c r="Y21" s="46">
        <v>17</v>
      </c>
      <c r="Z21" s="46">
        <v>3</v>
      </c>
      <c r="AA21" s="46">
        <v>2</v>
      </c>
      <c r="AB21" s="46">
        <v>2</v>
      </c>
      <c r="AE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P21" s="46">
        <v>1</v>
      </c>
      <c r="CR21" s="139">
        <v>46574</v>
      </c>
    </row>
    <row r="22" spans="1:96">
      <c r="A22" s="46" t="s">
        <v>4679</v>
      </c>
      <c r="B22" s="46" t="s">
        <v>4680</v>
      </c>
      <c r="C22" s="46">
        <v>29</v>
      </c>
      <c r="D22" s="46" t="s">
        <v>4681</v>
      </c>
      <c r="E22" s="46" t="s">
        <v>4682</v>
      </c>
      <c r="F22" s="46" t="s">
        <v>2472</v>
      </c>
      <c r="K22" s="46">
        <v>1</v>
      </c>
      <c r="M22" s="46">
        <v>1</v>
      </c>
      <c r="R22" s="46">
        <v>1</v>
      </c>
      <c r="T22" s="46">
        <v>1</v>
      </c>
      <c r="W22" s="46">
        <v>15</v>
      </c>
      <c r="X22" s="46">
        <v>0</v>
      </c>
      <c r="Y22" s="46">
        <v>17</v>
      </c>
      <c r="Z22" s="46">
        <v>4</v>
      </c>
      <c r="AA22" s="46">
        <v>4</v>
      </c>
      <c r="AB22" s="46">
        <v>4</v>
      </c>
      <c r="AE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  <c r="CI22" s="46">
        <v>1</v>
      </c>
      <c r="CP22" s="46">
        <v>1</v>
      </c>
      <c r="CR22" s="139">
        <v>46574</v>
      </c>
    </row>
    <row r="23" spans="1:96">
      <c r="A23" s="46" t="s">
        <v>4683</v>
      </c>
      <c r="B23" s="46" t="s">
        <v>4684</v>
      </c>
      <c r="C23" s="46">
        <v>60</v>
      </c>
      <c r="D23" s="46" t="s">
        <v>2766</v>
      </c>
      <c r="E23" s="46" t="s">
        <v>4685</v>
      </c>
      <c r="F23" s="46" t="s">
        <v>2472</v>
      </c>
      <c r="H23" s="46">
        <v>1</v>
      </c>
      <c r="O23" s="46">
        <v>1</v>
      </c>
      <c r="Q23" s="46">
        <v>1</v>
      </c>
      <c r="U23" s="46">
        <v>1</v>
      </c>
      <c r="W23" s="46">
        <v>14</v>
      </c>
      <c r="X23" s="46">
        <v>15</v>
      </c>
      <c r="Y23" s="46">
        <v>16</v>
      </c>
      <c r="Z23" s="46">
        <v>1</v>
      </c>
      <c r="AA23" s="46">
        <v>1</v>
      </c>
      <c r="AB23" s="46">
        <v>1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BS23" s="46">
        <v>1</v>
      </c>
      <c r="BT23" s="46" t="s">
        <v>952</v>
      </c>
      <c r="BZ23" s="46">
        <v>1</v>
      </c>
      <c r="CC23" s="46">
        <v>1</v>
      </c>
      <c r="CI23" s="46">
        <v>1</v>
      </c>
      <c r="CP23" s="46">
        <v>1</v>
      </c>
      <c r="CR23" s="134">
        <v>45444</v>
      </c>
    </row>
    <row r="24" spans="1:96">
      <c r="A24" s="46" t="s">
        <v>4686</v>
      </c>
      <c r="B24" s="46" t="s">
        <v>4687</v>
      </c>
      <c r="C24" s="46">
        <v>40</v>
      </c>
      <c r="D24" s="46" t="s">
        <v>4681</v>
      </c>
      <c r="E24" s="46" t="s">
        <v>4688</v>
      </c>
      <c r="F24" s="46" t="s">
        <v>389</v>
      </c>
      <c r="J24" s="46">
        <v>1</v>
      </c>
      <c r="M24" s="46">
        <v>1</v>
      </c>
      <c r="Q24" s="46">
        <v>1</v>
      </c>
      <c r="U24" s="46">
        <v>1</v>
      </c>
      <c r="W24" s="46">
        <v>13</v>
      </c>
      <c r="X24" s="46">
        <v>25</v>
      </c>
      <c r="Y24" s="46">
        <v>27</v>
      </c>
      <c r="Z24" s="46">
        <v>5</v>
      </c>
      <c r="AA24" s="46">
        <v>4</v>
      </c>
      <c r="AB24" s="46">
        <v>4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W24" s="46">
        <v>1</v>
      </c>
      <c r="BZ24" s="46">
        <v>1</v>
      </c>
      <c r="CC24" s="46">
        <v>1</v>
      </c>
      <c r="CI24" s="46">
        <v>1</v>
      </c>
      <c r="CP24" s="46">
        <v>1</v>
      </c>
      <c r="CR24" s="139">
        <v>46574</v>
      </c>
    </row>
    <row r="25" spans="1:96">
      <c r="A25" s="46" t="s">
        <v>4689</v>
      </c>
      <c r="B25" s="46" t="s">
        <v>4690</v>
      </c>
      <c r="C25" s="46">
        <v>34</v>
      </c>
      <c r="D25" s="46" t="s">
        <v>2375</v>
      </c>
      <c r="E25" s="46" t="s">
        <v>4691</v>
      </c>
      <c r="F25" s="46" t="s">
        <v>477</v>
      </c>
      <c r="I25" s="46">
        <v>1</v>
      </c>
      <c r="M25" s="46">
        <v>1</v>
      </c>
      <c r="Q25" s="46">
        <v>1</v>
      </c>
      <c r="U25" s="46">
        <v>1</v>
      </c>
      <c r="W25" s="46">
        <v>13</v>
      </c>
      <c r="X25" s="46">
        <v>21</v>
      </c>
      <c r="Y25" s="46">
        <v>24</v>
      </c>
      <c r="Z25" s="46">
        <v>4</v>
      </c>
      <c r="AA25" s="46">
        <v>4</v>
      </c>
      <c r="AB25" s="46">
        <v>4</v>
      </c>
      <c r="AE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W25" s="46">
        <v>1</v>
      </c>
      <c r="BZ25" s="46">
        <v>1</v>
      </c>
      <c r="CC25" s="46">
        <v>1</v>
      </c>
      <c r="CI25" s="46">
        <v>1</v>
      </c>
      <c r="CP25" s="46">
        <v>1</v>
      </c>
      <c r="CR25" s="139">
        <v>46574</v>
      </c>
    </row>
    <row r="26" spans="1:96">
      <c r="A26" s="46" t="s">
        <v>4692</v>
      </c>
      <c r="B26" s="46" t="s">
        <v>910</v>
      </c>
      <c r="C26" s="46">
        <v>36</v>
      </c>
      <c r="D26" s="46" t="s">
        <v>2766</v>
      </c>
      <c r="E26" s="46" t="s">
        <v>4693</v>
      </c>
      <c r="F26" s="46" t="s">
        <v>2472</v>
      </c>
      <c r="H26" s="46">
        <v>1</v>
      </c>
      <c r="M26" s="46">
        <v>1</v>
      </c>
      <c r="R26" s="46">
        <v>1</v>
      </c>
      <c r="U26" s="46">
        <v>1</v>
      </c>
      <c r="W26" s="46">
        <v>16</v>
      </c>
      <c r="X26" s="46">
        <v>18</v>
      </c>
      <c r="Y26" s="46">
        <v>33</v>
      </c>
      <c r="Z26" s="46">
        <v>2</v>
      </c>
      <c r="AA26" s="46">
        <v>2</v>
      </c>
      <c r="AB26" s="46">
        <v>2</v>
      </c>
      <c r="AE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P26" s="46">
        <v>1</v>
      </c>
      <c r="CR26" s="139">
        <v>46574</v>
      </c>
    </row>
    <row r="27" spans="1:96">
      <c r="A27" s="46" t="s">
        <v>4694</v>
      </c>
      <c r="B27" s="46" t="s">
        <v>4695</v>
      </c>
      <c r="C27" s="46">
        <v>39</v>
      </c>
      <c r="D27" s="46" t="s">
        <v>2766</v>
      </c>
      <c r="E27" s="46" t="s">
        <v>4696</v>
      </c>
      <c r="F27" s="46" t="s">
        <v>624</v>
      </c>
      <c r="G27" s="46">
        <v>1</v>
      </c>
      <c r="O27" s="46">
        <v>1</v>
      </c>
      <c r="Q27" s="46">
        <v>1</v>
      </c>
      <c r="U27" s="46">
        <v>1</v>
      </c>
      <c r="W27" s="46">
        <v>15</v>
      </c>
      <c r="X27" s="46">
        <v>16</v>
      </c>
      <c r="Y27" s="46">
        <v>20</v>
      </c>
      <c r="Z27" s="46">
        <v>1</v>
      </c>
      <c r="AA27" s="46">
        <v>2</v>
      </c>
      <c r="AB27" s="46">
        <v>2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R27" s="139">
        <v>46574</v>
      </c>
    </row>
    <row r="28" spans="1:96">
      <c r="A28" s="46" t="s">
        <v>4697</v>
      </c>
      <c r="B28" s="46" t="s">
        <v>4698</v>
      </c>
      <c r="C28" s="46">
        <v>25</v>
      </c>
      <c r="D28" s="46" t="s">
        <v>2350</v>
      </c>
      <c r="E28" s="46" t="s">
        <v>4699</v>
      </c>
      <c r="F28" s="46" t="s">
        <v>2523</v>
      </c>
      <c r="I28" s="46">
        <v>1</v>
      </c>
      <c r="O28" s="46">
        <v>1</v>
      </c>
      <c r="R28" s="46">
        <v>1</v>
      </c>
      <c r="U28" s="46">
        <v>1</v>
      </c>
      <c r="W28" s="46">
        <v>14</v>
      </c>
      <c r="X28" s="46">
        <v>14</v>
      </c>
      <c r="Y28" s="46">
        <v>17</v>
      </c>
      <c r="Z28" s="46">
        <v>2</v>
      </c>
      <c r="AA28" s="46">
        <v>2</v>
      </c>
      <c r="AB28" s="46">
        <v>2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P28" s="46">
        <v>1</v>
      </c>
      <c r="CR28" s="139">
        <v>46574</v>
      </c>
    </row>
    <row r="29" spans="1:96">
      <c r="A29" s="46" t="s">
        <v>4700</v>
      </c>
      <c r="B29" s="46" t="s">
        <v>4701</v>
      </c>
      <c r="C29" s="46">
        <v>20</v>
      </c>
      <c r="D29" s="46" t="s">
        <v>4623</v>
      </c>
      <c r="E29" s="46" t="s">
        <v>4702</v>
      </c>
      <c r="F29" s="46" t="s">
        <v>2472</v>
      </c>
      <c r="G29" s="46">
        <v>1</v>
      </c>
      <c r="M29" s="46">
        <v>1</v>
      </c>
      <c r="Q29" s="46">
        <v>1</v>
      </c>
      <c r="U29" s="46">
        <v>1</v>
      </c>
      <c r="W29" s="46">
        <v>17</v>
      </c>
      <c r="X29" s="46">
        <v>19</v>
      </c>
      <c r="Y29" s="46">
        <v>19</v>
      </c>
      <c r="Z29" s="46">
        <v>1</v>
      </c>
      <c r="AA29" s="46">
        <v>0</v>
      </c>
      <c r="AB29" s="46">
        <v>0</v>
      </c>
      <c r="AC29" s="46">
        <v>1</v>
      </c>
      <c r="AJ29" s="46">
        <v>1</v>
      </c>
      <c r="AK29" s="46">
        <v>1</v>
      </c>
      <c r="AT29" s="46">
        <v>1</v>
      </c>
      <c r="AW29" s="46">
        <v>1</v>
      </c>
      <c r="BB29" s="46">
        <v>1</v>
      </c>
      <c r="BF29" s="46">
        <v>1</v>
      </c>
      <c r="BI29" s="46">
        <v>1</v>
      </c>
      <c r="CA29" s="46">
        <v>1</v>
      </c>
      <c r="CB29" s="46">
        <v>2020</v>
      </c>
      <c r="CC29" s="46">
        <v>1</v>
      </c>
      <c r="CJ29" s="46">
        <v>1</v>
      </c>
      <c r="CP29" s="46">
        <v>1</v>
      </c>
      <c r="CQ29" s="46" t="s">
        <v>4703</v>
      </c>
      <c r="CR29" s="139">
        <v>46574</v>
      </c>
    </row>
  </sheetData>
  <autoFilter ref="A3:CR29"/>
  <mergeCells count="1">
    <mergeCell ref="AV1:AZ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1169</v>
      </c>
      <c r="B3" s="69"/>
      <c r="C3" s="69"/>
      <c r="D3" s="69"/>
      <c r="E3" s="69">
        <f t="shared" ref="E3:E8" si="0">SUM(B3:D3)</f>
        <v>0</v>
      </c>
      <c r="F3" s="70"/>
      <c r="G3" s="70"/>
      <c r="H3" s="70"/>
      <c r="I3" s="70"/>
      <c r="J3" s="71">
        <f t="shared" ref="J3:J9" si="1">SUM(F3:I3)</f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0</v>
      </c>
      <c r="Q3" s="70">
        <v>0</v>
      </c>
      <c r="R3" s="70">
        <v>0</v>
      </c>
      <c r="S3" s="70">
        <v>0</v>
      </c>
      <c r="T3" s="71">
        <f t="shared" ref="T3:T8" si="3"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/>
      <c r="AC3" s="73"/>
      <c r="AD3" s="73"/>
      <c r="AE3" s="186">
        <f t="shared" ref="AE3:AE8" si="4">SUM(AA3,AB3,AC3,AD3)</f>
        <v>0</v>
      </c>
      <c r="AF3" s="73">
        <v>0</v>
      </c>
      <c r="AG3" s="73">
        <v>0</v>
      </c>
    </row>
    <row r="4" spans="1:33">
      <c r="A4" s="74" t="s">
        <v>4704</v>
      </c>
      <c r="B4" s="69">
        <v>16</v>
      </c>
      <c r="C4" s="69">
        <v>0</v>
      </c>
      <c r="D4" s="69">
        <v>0</v>
      </c>
      <c r="E4" s="69">
        <f t="shared" si="0"/>
        <v>16</v>
      </c>
      <c r="F4" s="70">
        <v>0</v>
      </c>
      <c r="G4" s="70">
        <v>14</v>
      </c>
      <c r="H4" s="70">
        <v>0</v>
      </c>
      <c r="I4" s="70">
        <v>0</v>
      </c>
      <c r="J4" s="71">
        <f t="shared" si="1"/>
        <v>14</v>
      </c>
      <c r="K4" s="70">
        <v>0</v>
      </c>
      <c r="L4" s="70">
        <v>0</v>
      </c>
      <c r="M4" s="70">
        <v>0</v>
      </c>
      <c r="N4" s="70">
        <v>0</v>
      </c>
      <c r="O4" s="70">
        <v>2</v>
      </c>
      <c r="P4" s="71">
        <f t="shared" si="2"/>
        <v>2</v>
      </c>
      <c r="Q4" s="70">
        <v>0</v>
      </c>
      <c r="R4" s="70">
        <v>0</v>
      </c>
      <c r="S4" s="70">
        <v>5</v>
      </c>
      <c r="T4" s="71">
        <f t="shared" si="3"/>
        <v>5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6</v>
      </c>
      <c r="AB4" s="73">
        <v>1</v>
      </c>
      <c r="AC4" s="73">
        <v>0</v>
      </c>
      <c r="AD4" s="73">
        <v>9</v>
      </c>
      <c r="AE4" s="186">
        <f t="shared" si="4"/>
        <v>16</v>
      </c>
      <c r="AF4" s="73">
        <v>0</v>
      </c>
      <c r="AG4" s="73">
        <v>0</v>
      </c>
    </row>
    <row r="5" spans="1:33">
      <c r="A5" s="77" t="s">
        <v>4617</v>
      </c>
      <c r="B5" s="69">
        <v>6</v>
      </c>
      <c r="C5" s="69">
        <v>0</v>
      </c>
      <c r="D5" s="69">
        <v>0</v>
      </c>
      <c r="E5" s="69">
        <f t="shared" si="0"/>
        <v>6</v>
      </c>
      <c r="F5" s="70">
        <v>0</v>
      </c>
      <c r="G5" s="70">
        <v>5</v>
      </c>
      <c r="H5" s="70">
        <v>1</v>
      </c>
      <c r="I5" s="70">
        <v>0</v>
      </c>
      <c r="J5" s="71">
        <f t="shared" si="1"/>
        <v>6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0</v>
      </c>
      <c r="Q5" s="70">
        <v>0</v>
      </c>
      <c r="R5" s="70">
        <v>0</v>
      </c>
      <c r="S5" s="70">
        <v>4</v>
      </c>
      <c r="T5" s="71">
        <f t="shared" si="3"/>
        <v>4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4</v>
      </c>
      <c r="AB5" s="73">
        <v>0</v>
      </c>
      <c r="AC5" s="73">
        <v>0</v>
      </c>
      <c r="AD5" s="73">
        <v>2</v>
      </c>
      <c r="AE5" s="186">
        <f t="shared" si="4"/>
        <v>6</v>
      </c>
      <c r="AF5" s="73">
        <v>0</v>
      </c>
      <c r="AG5" s="73">
        <v>0</v>
      </c>
    </row>
    <row r="6" spans="1:33">
      <c r="A6" s="77" t="s">
        <v>3432</v>
      </c>
      <c r="B6" s="69">
        <v>0</v>
      </c>
      <c r="C6" s="69">
        <v>0</v>
      </c>
      <c r="D6" s="69">
        <v>1</v>
      </c>
      <c r="E6" s="69">
        <f t="shared" si="0"/>
        <v>1</v>
      </c>
      <c r="F6" s="70">
        <v>0</v>
      </c>
      <c r="G6" s="70">
        <v>1</v>
      </c>
      <c r="H6" s="70">
        <v>0</v>
      </c>
      <c r="I6" s="70">
        <v>0</v>
      </c>
      <c r="J6" s="71">
        <f t="shared" si="1"/>
        <v>1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1">
        <f t="shared" si="2"/>
        <v>0</v>
      </c>
      <c r="Q6" s="70">
        <v>0</v>
      </c>
      <c r="R6" s="70">
        <v>0</v>
      </c>
      <c r="S6" s="70">
        <v>0</v>
      </c>
      <c r="T6" s="71">
        <f t="shared" si="3"/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0</v>
      </c>
      <c r="AB6" s="73">
        <v>0</v>
      </c>
      <c r="AC6" s="73">
        <v>0</v>
      </c>
      <c r="AD6" s="73">
        <v>1</v>
      </c>
      <c r="AE6" s="186">
        <f t="shared" si="4"/>
        <v>1</v>
      </c>
      <c r="AF6" s="73">
        <v>0</v>
      </c>
      <c r="AG6" s="73">
        <v>0</v>
      </c>
    </row>
    <row r="7" spans="1:33">
      <c r="A7" s="77" t="s">
        <v>4705</v>
      </c>
      <c r="B7" s="69">
        <v>3</v>
      </c>
      <c r="C7" s="69">
        <v>0</v>
      </c>
      <c r="D7" s="69">
        <v>0</v>
      </c>
      <c r="E7" s="69">
        <f t="shared" si="0"/>
        <v>3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1</v>
      </c>
      <c r="L7" s="70">
        <v>2</v>
      </c>
      <c r="M7" s="70">
        <v>0</v>
      </c>
      <c r="N7" s="70">
        <v>0</v>
      </c>
      <c r="O7" s="70">
        <v>0</v>
      </c>
      <c r="P7" s="71">
        <f t="shared" si="2"/>
        <v>3</v>
      </c>
      <c r="Q7" s="70">
        <v>0</v>
      </c>
      <c r="R7" s="70">
        <v>0</v>
      </c>
      <c r="S7" s="70">
        <v>1</v>
      </c>
      <c r="T7" s="71">
        <f t="shared" si="3"/>
        <v>1</v>
      </c>
      <c r="U7" s="75">
        <v>0</v>
      </c>
      <c r="V7" s="75">
        <v>0</v>
      </c>
      <c r="W7" s="75">
        <v>0</v>
      </c>
      <c r="X7" s="75">
        <v>2</v>
      </c>
      <c r="Y7" s="75">
        <v>0</v>
      </c>
      <c r="Z7" s="75"/>
      <c r="AA7" s="73">
        <v>0</v>
      </c>
      <c r="AB7" s="73">
        <v>0</v>
      </c>
      <c r="AC7" s="73">
        <v>0</v>
      </c>
      <c r="AD7" s="73">
        <v>3</v>
      </c>
      <c r="AE7" s="186">
        <f t="shared" si="4"/>
        <v>3</v>
      </c>
      <c r="AF7" s="73">
        <v>0</v>
      </c>
      <c r="AG7" s="73">
        <v>0</v>
      </c>
    </row>
    <row r="8" spans="1:33">
      <c r="A8" s="78" t="s">
        <v>1172</v>
      </c>
      <c r="B8" s="79">
        <v>0</v>
      </c>
      <c r="C8" s="79">
        <v>0</v>
      </c>
      <c r="D8" s="79">
        <v>0</v>
      </c>
      <c r="E8" s="69">
        <f t="shared" si="0"/>
        <v>0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0</v>
      </c>
      <c r="L8" s="80">
        <v>0</v>
      </c>
      <c r="M8" s="80">
        <v>0</v>
      </c>
      <c r="N8" s="80">
        <v>0</v>
      </c>
      <c r="O8" s="80">
        <v>0</v>
      </c>
      <c r="P8" s="71">
        <f t="shared" si="2"/>
        <v>0</v>
      </c>
      <c r="Q8" s="80">
        <v>0</v>
      </c>
      <c r="R8" s="80">
        <v>0</v>
      </c>
      <c r="S8" s="80">
        <v>0</v>
      </c>
      <c r="T8" s="71">
        <f t="shared" si="3"/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/>
      <c r="AA8" s="82">
        <v>0</v>
      </c>
      <c r="AB8" s="82">
        <v>0</v>
      </c>
      <c r="AC8" s="82">
        <v>0</v>
      </c>
      <c r="AD8" s="82">
        <v>0</v>
      </c>
      <c r="AE8" s="186">
        <f t="shared" si="4"/>
        <v>0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25</v>
      </c>
      <c r="C9" s="69">
        <f t="shared" si="5"/>
        <v>0</v>
      </c>
      <c r="D9" s="69">
        <f t="shared" si="5"/>
        <v>1</v>
      </c>
      <c r="E9" s="69">
        <f t="shared" si="5"/>
        <v>26</v>
      </c>
      <c r="F9" s="69">
        <f t="shared" si="5"/>
        <v>0</v>
      </c>
      <c r="G9" s="69">
        <f t="shared" si="5"/>
        <v>20</v>
      </c>
      <c r="H9" s="69">
        <f t="shared" si="5"/>
        <v>1</v>
      </c>
      <c r="I9" s="69">
        <f t="shared" si="5"/>
        <v>0</v>
      </c>
      <c r="J9" s="71">
        <f t="shared" si="1"/>
        <v>21</v>
      </c>
      <c r="K9" s="114">
        <f>SUM(K3:K8)</f>
        <v>1</v>
      </c>
      <c r="L9" s="114">
        <f>SUM(L3:L8)</f>
        <v>2</v>
      </c>
      <c r="M9" s="114">
        <f>SUM(M3:M8)</f>
        <v>0</v>
      </c>
      <c r="N9" s="114">
        <f>SUM(N3:N8)</f>
        <v>0</v>
      </c>
      <c r="O9" s="114">
        <f>SUM(O3:O8)</f>
        <v>2</v>
      </c>
      <c r="P9" s="71">
        <f>SUM(K9:N9)</f>
        <v>3</v>
      </c>
      <c r="Q9" s="114">
        <f t="shared" ref="Q9:AG9" si="6">SUM(Q3:Q8)</f>
        <v>0</v>
      </c>
      <c r="R9" s="114">
        <f t="shared" si="6"/>
        <v>0</v>
      </c>
      <c r="S9" s="114">
        <f t="shared" si="6"/>
        <v>10</v>
      </c>
      <c r="T9" s="71">
        <f t="shared" si="6"/>
        <v>10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2</v>
      </c>
      <c r="Y9" s="114">
        <f t="shared" si="6"/>
        <v>0</v>
      </c>
      <c r="Z9" s="114">
        <f t="shared" si="6"/>
        <v>0</v>
      </c>
      <c r="AA9" s="73">
        <f t="shared" si="6"/>
        <v>10</v>
      </c>
      <c r="AB9" s="73">
        <f t="shared" si="6"/>
        <v>1</v>
      </c>
      <c r="AC9" s="73">
        <f t="shared" si="6"/>
        <v>0</v>
      </c>
      <c r="AD9" s="73">
        <f t="shared" si="6"/>
        <v>15</v>
      </c>
      <c r="AE9" s="73">
        <f t="shared" si="6"/>
        <v>26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36"/>
  <sheetViews>
    <sheetView workbookViewId="0">
      <pane xSplit="6" ySplit="12" topLeftCell="G13" activePane="bottomRight" state="frozen"/>
      <selection pane="topRight" activeCell="G1" sqref="G1"/>
      <selection pane="bottomLeft" activeCell="A13" sqref="A13"/>
      <selection pane="bottomRight" activeCell="G13" sqref="G13"/>
    </sheetView>
  </sheetViews>
  <sheetFormatPr defaultColWidth="14.42578125" defaultRowHeight="15" customHeight="1"/>
  <cols>
    <col min="1" max="1" width="9.42578125" customWidth="1"/>
    <col min="2" max="2" width="25.140625" customWidth="1"/>
    <col min="3" max="3" width="8.85546875" customWidth="1"/>
    <col min="5" max="5" width="17.42578125" customWidth="1"/>
  </cols>
  <sheetData>
    <row r="1" spans="1:96">
      <c r="A1" s="189" t="s">
        <v>4706</v>
      </c>
      <c r="B1" s="143"/>
      <c r="C1" s="231" t="s">
        <v>4707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4708</v>
      </c>
      <c r="B4" s="46" t="s">
        <v>4709</v>
      </c>
      <c r="C4" s="46">
        <v>53</v>
      </c>
      <c r="D4" s="46" t="s">
        <v>1112</v>
      </c>
      <c r="E4" s="46" t="s">
        <v>4710</v>
      </c>
      <c r="F4" s="46" t="s">
        <v>145</v>
      </c>
      <c r="G4" s="46">
        <v>1</v>
      </c>
      <c r="P4" s="46">
        <v>1</v>
      </c>
      <c r="R4" s="46">
        <v>1</v>
      </c>
      <c r="U4" s="46">
        <v>1</v>
      </c>
      <c r="W4" s="46">
        <v>18</v>
      </c>
      <c r="X4" s="46">
        <v>21</v>
      </c>
      <c r="Y4" s="46">
        <v>26</v>
      </c>
      <c r="Z4" s="46">
        <v>1</v>
      </c>
      <c r="AA4" s="46">
        <v>1</v>
      </c>
      <c r="AB4" s="46">
        <v>1</v>
      </c>
      <c r="AH4" s="46">
        <v>1</v>
      </c>
      <c r="AI4" s="46">
        <v>1</v>
      </c>
      <c r="AL4" s="46">
        <v>1</v>
      </c>
      <c r="AP4" s="46">
        <v>1</v>
      </c>
      <c r="AS4" s="46">
        <v>1</v>
      </c>
      <c r="AT4" s="46">
        <v>1</v>
      </c>
      <c r="AW4" s="46">
        <v>1</v>
      </c>
      <c r="BA4" s="46">
        <v>1</v>
      </c>
      <c r="BK4" s="46">
        <v>1</v>
      </c>
      <c r="BS4" s="46">
        <v>1</v>
      </c>
      <c r="BZ4" s="46">
        <v>1</v>
      </c>
      <c r="CC4" s="46">
        <v>1</v>
      </c>
      <c r="CP4" s="46">
        <v>1</v>
      </c>
      <c r="CR4" s="134">
        <v>45474</v>
      </c>
    </row>
    <row r="5" spans="1:96">
      <c r="A5" s="46" t="s">
        <v>4711</v>
      </c>
      <c r="B5" s="46" t="s">
        <v>4712</v>
      </c>
      <c r="C5" s="46">
        <v>55</v>
      </c>
      <c r="D5" s="46" t="s">
        <v>4713</v>
      </c>
      <c r="E5" s="46" t="s">
        <v>4714</v>
      </c>
      <c r="F5" s="46" t="s">
        <v>145</v>
      </c>
      <c r="G5" s="46">
        <v>1</v>
      </c>
      <c r="O5" s="46">
        <v>1</v>
      </c>
      <c r="Q5" s="46">
        <v>1</v>
      </c>
      <c r="T5" s="46">
        <v>1</v>
      </c>
      <c r="W5" s="46">
        <v>13</v>
      </c>
      <c r="X5" s="46">
        <v>20</v>
      </c>
      <c r="Y5" s="46">
        <v>24</v>
      </c>
      <c r="Z5" s="46">
        <v>2</v>
      </c>
      <c r="AA5" s="46">
        <v>2</v>
      </c>
      <c r="AB5" s="46">
        <v>1</v>
      </c>
      <c r="AC5" s="46">
        <v>1</v>
      </c>
      <c r="AJ5" s="46">
        <v>1</v>
      </c>
      <c r="AL5" s="46">
        <v>1</v>
      </c>
      <c r="AQ5" s="46" t="s">
        <v>251</v>
      </c>
      <c r="AR5" s="46">
        <v>2008</v>
      </c>
      <c r="AT5" s="46">
        <v>1</v>
      </c>
      <c r="AW5" s="46">
        <v>1</v>
      </c>
      <c r="BB5" s="46">
        <v>1</v>
      </c>
      <c r="BF5" s="46">
        <v>1</v>
      </c>
      <c r="BK5" s="46">
        <v>1</v>
      </c>
      <c r="BS5" s="46">
        <v>1</v>
      </c>
      <c r="BT5" s="46" t="s">
        <v>952</v>
      </c>
      <c r="BZ5" s="46">
        <v>1</v>
      </c>
      <c r="CC5" s="46">
        <v>1</v>
      </c>
      <c r="CP5" s="46">
        <v>1</v>
      </c>
      <c r="CR5" s="134">
        <v>45474</v>
      </c>
    </row>
    <row r="6" spans="1:96">
      <c r="A6" s="46" t="s">
        <v>4715</v>
      </c>
      <c r="B6" s="46" t="s">
        <v>4716</v>
      </c>
      <c r="C6" s="46">
        <v>51</v>
      </c>
      <c r="D6" s="46" t="s">
        <v>933</v>
      </c>
      <c r="E6" s="46" t="s">
        <v>4717</v>
      </c>
      <c r="F6" s="46" t="s">
        <v>145</v>
      </c>
      <c r="J6" s="46">
        <v>1</v>
      </c>
      <c r="P6" s="46">
        <v>1</v>
      </c>
      <c r="Q6" s="46">
        <v>1</v>
      </c>
      <c r="U6" s="46">
        <v>1</v>
      </c>
      <c r="W6" s="46">
        <v>18</v>
      </c>
      <c r="X6" s="46">
        <v>18</v>
      </c>
      <c r="Y6" s="46">
        <v>28</v>
      </c>
      <c r="Z6" s="46">
        <v>6</v>
      </c>
      <c r="AA6" s="46">
        <v>4</v>
      </c>
      <c r="AB6" s="46">
        <v>4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Z6" s="46">
        <v>1</v>
      </c>
      <c r="BA6" s="46">
        <v>1</v>
      </c>
      <c r="BK6" s="46">
        <v>1</v>
      </c>
      <c r="BS6" s="46">
        <v>1</v>
      </c>
      <c r="BT6" s="46" t="s">
        <v>952</v>
      </c>
      <c r="BZ6" s="46">
        <v>1</v>
      </c>
      <c r="CD6" s="46">
        <v>1</v>
      </c>
      <c r="CE6" s="46">
        <v>2022</v>
      </c>
      <c r="CG6" s="46">
        <v>1</v>
      </c>
      <c r="CP6" s="46">
        <v>1</v>
      </c>
      <c r="CR6" s="134">
        <v>45474</v>
      </c>
    </row>
    <row r="7" spans="1:96">
      <c r="A7" s="46" t="s">
        <v>4718</v>
      </c>
      <c r="B7" s="46" t="s">
        <v>4719</v>
      </c>
      <c r="C7" s="46">
        <v>47</v>
      </c>
      <c r="D7" s="46" t="s">
        <v>1139</v>
      </c>
      <c r="E7" s="46" t="s">
        <v>4720</v>
      </c>
      <c r="F7" s="46" t="s">
        <v>2523</v>
      </c>
      <c r="G7" s="46">
        <v>1</v>
      </c>
      <c r="M7" s="46">
        <v>1</v>
      </c>
      <c r="Q7" s="46">
        <v>1</v>
      </c>
      <c r="U7" s="46">
        <v>1</v>
      </c>
      <c r="W7" s="46">
        <v>16</v>
      </c>
      <c r="X7" s="46">
        <v>23</v>
      </c>
      <c r="Y7" s="46">
        <v>24</v>
      </c>
      <c r="Z7" s="46">
        <v>5</v>
      </c>
      <c r="AA7" s="46">
        <v>4</v>
      </c>
      <c r="AB7" s="46">
        <v>4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M7" s="46" t="s">
        <v>4721</v>
      </c>
      <c r="BZ7" s="46">
        <v>1</v>
      </c>
      <c r="CP7" s="46">
        <v>1</v>
      </c>
      <c r="CR7" s="134">
        <v>46569</v>
      </c>
    </row>
    <row r="8" spans="1:96">
      <c r="A8" s="46" t="s">
        <v>4722</v>
      </c>
      <c r="B8" s="46" t="s">
        <v>4723</v>
      </c>
      <c r="C8" s="46">
        <v>52</v>
      </c>
      <c r="D8" s="46" t="s">
        <v>933</v>
      </c>
      <c r="E8" s="46" t="s">
        <v>191</v>
      </c>
      <c r="F8" s="46" t="s">
        <v>2874</v>
      </c>
      <c r="G8" s="46">
        <v>1</v>
      </c>
      <c r="M8" s="46">
        <v>1</v>
      </c>
      <c r="R8" s="46">
        <v>1</v>
      </c>
      <c r="T8" s="46">
        <v>1</v>
      </c>
      <c r="W8" s="46">
        <v>15</v>
      </c>
      <c r="X8" s="46">
        <v>15</v>
      </c>
      <c r="Y8" s="46">
        <v>16</v>
      </c>
      <c r="Z8" s="46">
        <v>8</v>
      </c>
      <c r="AA8" s="46">
        <v>8</v>
      </c>
      <c r="AB8" s="46">
        <v>6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J8" s="46">
        <v>1</v>
      </c>
      <c r="BZ8" s="46">
        <v>1</v>
      </c>
      <c r="CC8" s="46">
        <v>1</v>
      </c>
      <c r="CP8" s="46">
        <v>1</v>
      </c>
      <c r="CR8" s="139">
        <v>46636</v>
      </c>
    </row>
    <row r="9" spans="1:96">
      <c r="A9" s="46" t="s">
        <v>4724</v>
      </c>
      <c r="B9" s="46" t="s">
        <v>4725</v>
      </c>
      <c r="C9" s="46">
        <v>60</v>
      </c>
      <c r="D9" s="46" t="s">
        <v>4713</v>
      </c>
      <c r="E9" s="46" t="s">
        <v>4726</v>
      </c>
      <c r="F9" s="46" t="s">
        <v>2472</v>
      </c>
      <c r="I9" s="46">
        <v>1</v>
      </c>
      <c r="M9" s="46">
        <v>1</v>
      </c>
      <c r="Q9" s="46">
        <v>1</v>
      </c>
      <c r="U9" s="46">
        <v>1</v>
      </c>
      <c r="W9" s="46">
        <v>12</v>
      </c>
      <c r="X9" s="46">
        <v>20</v>
      </c>
      <c r="Y9" s="46">
        <v>20</v>
      </c>
      <c r="Z9" s="46">
        <v>6</v>
      </c>
      <c r="AA9" s="46">
        <v>6</v>
      </c>
      <c r="AB9" s="46">
        <v>6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B9" s="46">
        <v>1</v>
      </c>
      <c r="BF9" s="46">
        <v>1</v>
      </c>
      <c r="BJ9" s="46">
        <v>1</v>
      </c>
      <c r="BZ9" s="46">
        <v>1</v>
      </c>
      <c r="CD9" s="46">
        <v>1</v>
      </c>
      <c r="CE9" s="46">
        <v>2021</v>
      </c>
      <c r="CP9" s="46">
        <v>1</v>
      </c>
      <c r="CR9" s="139">
        <v>46636</v>
      </c>
    </row>
    <row r="10" spans="1:96">
      <c r="A10" s="46" t="s">
        <v>4727</v>
      </c>
      <c r="B10" s="46" t="s">
        <v>4728</v>
      </c>
      <c r="C10" s="46">
        <v>65</v>
      </c>
      <c r="D10" s="46" t="s">
        <v>4729</v>
      </c>
      <c r="E10" s="46" t="s">
        <v>4730</v>
      </c>
      <c r="F10" s="46" t="s">
        <v>2472</v>
      </c>
      <c r="G10" s="46">
        <v>1</v>
      </c>
      <c r="M10" s="46">
        <v>1</v>
      </c>
      <c r="Q10" s="46">
        <v>1</v>
      </c>
      <c r="U10" s="46">
        <v>1</v>
      </c>
      <c r="W10" s="46">
        <v>13</v>
      </c>
      <c r="X10" s="46">
        <v>16</v>
      </c>
      <c r="Y10" s="46">
        <v>16</v>
      </c>
      <c r="Z10" s="46">
        <v>1</v>
      </c>
      <c r="AA10" s="46">
        <v>1</v>
      </c>
      <c r="AB10" s="46">
        <v>0</v>
      </c>
      <c r="AE10" s="46">
        <v>1</v>
      </c>
      <c r="AH10" s="46">
        <v>1</v>
      </c>
      <c r="AI10" s="46">
        <v>1</v>
      </c>
      <c r="AK10" s="46">
        <v>1</v>
      </c>
      <c r="AT10" s="46">
        <v>1</v>
      </c>
      <c r="AX10" s="46">
        <v>1</v>
      </c>
      <c r="BA10" s="46">
        <v>1</v>
      </c>
      <c r="BJ10" s="46">
        <v>1</v>
      </c>
      <c r="BZ10" s="46">
        <v>1</v>
      </c>
      <c r="CC10" s="46">
        <v>1</v>
      </c>
      <c r="CP10" s="46">
        <v>1</v>
      </c>
      <c r="CR10" s="139">
        <v>46636</v>
      </c>
    </row>
    <row r="11" spans="1:96">
      <c r="A11" s="46" t="s">
        <v>4731</v>
      </c>
      <c r="B11" s="46" t="s">
        <v>4732</v>
      </c>
      <c r="C11" s="46">
        <v>60</v>
      </c>
      <c r="D11" s="46" t="s">
        <v>4733</v>
      </c>
      <c r="E11" s="46" t="s">
        <v>191</v>
      </c>
      <c r="F11" s="46" t="s">
        <v>132</v>
      </c>
      <c r="G11" s="46">
        <v>1</v>
      </c>
      <c r="M11" s="46">
        <v>1</v>
      </c>
      <c r="Q11" s="46">
        <v>1</v>
      </c>
      <c r="S11" s="46">
        <v>1</v>
      </c>
      <c r="W11" s="46">
        <v>13</v>
      </c>
      <c r="X11" s="46">
        <v>18</v>
      </c>
      <c r="Y11" s="46">
        <v>19</v>
      </c>
      <c r="Z11" s="46">
        <v>9</v>
      </c>
      <c r="AA11" s="46">
        <v>9</v>
      </c>
      <c r="AB11" s="46">
        <v>5</v>
      </c>
      <c r="AC11" s="46">
        <v>1</v>
      </c>
      <c r="AI11" s="46">
        <v>1</v>
      </c>
      <c r="AK11" s="46">
        <v>1</v>
      </c>
      <c r="AT11" s="46">
        <v>1</v>
      </c>
      <c r="AX11" s="46">
        <v>1</v>
      </c>
      <c r="BB11" s="46">
        <v>1</v>
      </c>
      <c r="BF11" s="46">
        <v>1</v>
      </c>
      <c r="BJ11" s="46">
        <v>1</v>
      </c>
      <c r="BZ11" s="46">
        <v>1</v>
      </c>
      <c r="CC11" s="46">
        <v>1</v>
      </c>
      <c r="CP11" s="46">
        <v>1</v>
      </c>
      <c r="CR11" s="139">
        <v>46636</v>
      </c>
    </row>
    <row r="12" spans="1:96">
      <c r="A12" s="46" t="s">
        <v>4734</v>
      </c>
      <c r="B12" s="46" t="s">
        <v>2750</v>
      </c>
      <c r="C12" s="46">
        <v>18</v>
      </c>
      <c r="D12" s="46" t="s">
        <v>4735</v>
      </c>
      <c r="E12" s="46" t="s">
        <v>4736</v>
      </c>
      <c r="F12" s="46" t="s">
        <v>2472</v>
      </c>
      <c r="I12" s="46">
        <v>1</v>
      </c>
      <c r="M12" s="46">
        <v>1</v>
      </c>
      <c r="Q12" s="46">
        <v>1</v>
      </c>
      <c r="U12" s="46">
        <v>1</v>
      </c>
      <c r="W12" s="46">
        <v>13</v>
      </c>
      <c r="X12" s="46">
        <v>18</v>
      </c>
      <c r="Y12" s="46">
        <v>0</v>
      </c>
      <c r="Z12" s="46">
        <v>0</v>
      </c>
      <c r="AA12" s="46">
        <v>0</v>
      </c>
      <c r="AB12" s="46">
        <v>0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P12" s="46">
        <v>1</v>
      </c>
      <c r="CR12" s="139">
        <v>46636</v>
      </c>
    </row>
    <row r="13" spans="1:96">
      <c r="A13" s="46" t="s">
        <v>4737</v>
      </c>
      <c r="B13" s="46" t="s">
        <v>4738</v>
      </c>
      <c r="C13" s="46">
        <v>35</v>
      </c>
      <c r="D13" s="46" t="s">
        <v>1112</v>
      </c>
      <c r="E13" s="46" t="s">
        <v>4739</v>
      </c>
      <c r="F13" s="46" t="s">
        <v>145</v>
      </c>
      <c r="H13" s="46">
        <v>1</v>
      </c>
      <c r="M13" s="46">
        <v>1</v>
      </c>
      <c r="Q13" s="46">
        <v>1</v>
      </c>
      <c r="V13" s="46">
        <v>1</v>
      </c>
      <c r="W13" s="46">
        <v>12</v>
      </c>
      <c r="X13" s="46">
        <v>14</v>
      </c>
      <c r="Y13" s="46">
        <v>20</v>
      </c>
      <c r="Z13" s="46">
        <v>6</v>
      </c>
      <c r="AA13" s="46">
        <v>1</v>
      </c>
      <c r="AB13" s="46">
        <v>1</v>
      </c>
      <c r="AC13" s="46">
        <v>1</v>
      </c>
      <c r="AJ13" s="46">
        <v>1</v>
      </c>
      <c r="AK13" s="46">
        <v>1</v>
      </c>
      <c r="AT13" s="46">
        <v>1</v>
      </c>
      <c r="AW13" s="46">
        <v>1</v>
      </c>
      <c r="BB13" s="46">
        <v>1</v>
      </c>
      <c r="BF13" s="46">
        <v>1</v>
      </c>
      <c r="BI13" s="46">
        <v>1</v>
      </c>
      <c r="BZ13" s="46">
        <v>1</v>
      </c>
      <c r="CC13" s="46">
        <v>1</v>
      </c>
      <c r="CP13" s="46">
        <v>1</v>
      </c>
      <c r="CR13" s="139">
        <v>46636</v>
      </c>
    </row>
    <row r="14" spans="1:96">
      <c r="A14" s="46" t="s">
        <v>4740</v>
      </c>
      <c r="B14" s="46" t="s">
        <v>4741</v>
      </c>
      <c r="C14" s="46">
        <v>22</v>
      </c>
      <c r="D14" s="46" t="s">
        <v>933</v>
      </c>
      <c r="E14" s="46" t="s">
        <v>4742</v>
      </c>
      <c r="F14" s="46" t="s">
        <v>2675</v>
      </c>
      <c r="J14" s="46">
        <v>1</v>
      </c>
      <c r="M14" s="46">
        <v>1</v>
      </c>
      <c r="Q14" s="46">
        <v>1</v>
      </c>
      <c r="V14" s="46">
        <v>1</v>
      </c>
      <c r="W14" s="46">
        <v>14</v>
      </c>
      <c r="X14" s="46">
        <v>15</v>
      </c>
      <c r="Y14" s="46">
        <v>21</v>
      </c>
      <c r="Z14" s="46">
        <v>1</v>
      </c>
      <c r="AA14" s="46">
        <v>1</v>
      </c>
      <c r="AB14" s="46">
        <v>1</v>
      </c>
      <c r="AE14" s="46">
        <v>1</v>
      </c>
      <c r="AJ14" s="46">
        <v>1</v>
      </c>
      <c r="AK14" s="46">
        <v>1</v>
      </c>
      <c r="AT14" s="46">
        <v>1</v>
      </c>
      <c r="AX14" s="46">
        <v>1</v>
      </c>
      <c r="BA14" s="46">
        <v>1</v>
      </c>
      <c r="BI14" s="46">
        <v>1</v>
      </c>
      <c r="BZ14" s="46">
        <v>1</v>
      </c>
      <c r="CC14" s="46">
        <v>1</v>
      </c>
      <c r="CP14" s="46">
        <v>1</v>
      </c>
      <c r="CR14" s="139">
        <v>46636</v>
      </c>
    </row>
    <row r="15" spans="1:96">
      <c r="A15" s="46" t="s">
        <v>4743</v>
      </c>
      <c r="B15" s="46" t="s">
        <v>4744</v>
      </c>
      <c r="C15" s="46">
        <v>26</v>
      </c>
      <c r="D15" s="46" t="s">
        <v>2354</v>
      </c>
      <c r="E15" s="46" t="s">
        <v>4745</v>
      </c>
      <c r="F15" s="46" t="s">
        <v>4746</v>
      </c>
      <c r="G15" s="46">
        <v>1</v>
      </c>
      <c r="N15" s="46">
        <v>1</v>
      </c>
      <c r="Q15" s="46">
        <v>1</v>
      </c>
      <c r="V15" s="46">
        <v>1</v>
      </c>
      <c r="W15" s="46">
        <v>16</v>
      </c>
      <c r="X15" s="46">
        <v>18</v>
      </c>
      <c r="Y15" s="46">
        <v>20</v>
      </c>
      <c r="Z15" s="46">
        <v>1</v>
      </c>
      <c r="AA15" s="46">
        <v>1</v>
      </c>
      <c r="AB15" s="46">
        <v>1</v>
      </c>
      <c r="AE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P15" s="46">
        <v>1</v>
      </c>
      <c r="CR15" s="139">
        <v>46636</v>
      </c>
    </row>
    <row r="16" spans="1:96">
      <c r="A16" s="46" t="s">
        <v>4747</v>
      </c>
      <c r="B16" s="46" t="s">
        <v>4748</v>
      </c>
      <c r="C16" s="46">
        <v>29</v>
      </c>
      <c r="D16" s="46" t="s">
        <v>933</v>
      </c>
      <c r="E16" s="46" t="s">
        <v>4749</v>
      </c>
      <c r="F16" s="46" t="s">
        <v>2472</v>
      </c>
      <c r="J16" s="46">
        <v>1</v>
      </c>
      <c r="O16" s="46">
        <v>1</v>
      </c>
      <c r="Q16" s="46">
        <v>1</v>
      </c>
      <c r="T16" s="46">
        <v>1</v>
      </c>
      <c r="W16" s="46">
        <v>14</v>
      </c>
      <c r="X16" s="46">
        <v>14</v>
      </c>
      <c r="Y16" s="46">
        <v>15</v>
      </c>
      <c r="Z16" s="46">
        <v>2</v>
      </c>
      <c r="AA16" s="46">
        <v>1</v>
      </c>
      <c r="AB16" s="46">
        <v>1</v>
      </c>
      <c r="AF16" s="46">
        <v>1</v>
      </c>
      <c r="AJ16" s="46">
        <v>1</v>
      </c>
      <c r="AK16" s="46">
        <v>1</v>
      </c>
      <c r="AT16" s="46">
        <v>1</v>
      </c>
      <c r="AW16" s="46">
        <v>1</v>
      </c>
      <c r="BB16" s="46">
        <v>1</v>
      </c>
      <c r="BF16" s="46">
        <v>1</v>
      </c>
      <c r="BI16" s="46">
        <v>1</v>
      </c>
      <c r="BZ16" s="46">
        <v>1</v>
      </c>
      <c r="CC16" s="46">
        <v>1</v>
      </c>
      <c r="CP16" s="46">
        <v>1</v>
      </c>
      <c r="CR16" s="139">
        <v>46636</v>
      </c>
    </row>
    <row r="17" spans="1:96">
      <c r="A17" s="46" t="s">
        <v>4750</v>
      </c>
      <c r="B17" s="46" t="s">
        <v>4751</v>
      </c>
      <c r="C17" s="46">
        <v>31</v>
      </c>
      <c r="D17" s="46" t="s">
        <v>4713</v>
      </c>
      <c r="E17" s="46" t="s">
        <v>4752</v>
      </c>
      <c r="F17" s="46" t="s">
        <v>3067</v>
      </c>
      <c r="G17" s="46">
        <v>1</v>
      </c>
      <c r="M17" s="46">
        <v>1</v>
      </c>
      <c r="Q17" s="46">
        <v>1</v>
      </c>
      <c r="U17" s="46">
        <v>1</v>
      </c>
      <c r="W17" s="46">
        <v>12</v>
      </c>
      <c r="X17" s="46">
        <v>18</v>
      </c>
      <c r="Y17" s="46">
        <v>25</v>
      </c>
      <c r="Z17" s="46">
        <v>2</v>
      </c>
      <c r="AA17" s="46">
        <v>1</v>
      </c>
      <c r="AB17" s="46">
        <v>1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W17" s="46">
        <v>1</v>
      </c>
      <c r="CA17" s="46">
        <v>1</v>
      </c>
      <c r="CB17" s="134">
        <v>45413</v>
      </c>
      <c r="CC17" s="46">
        <v>1</v>
      </c>
      <c r="CL17" s="46" t="s">
        <v>4753</v>
      </c>
      <c r="CP17" s="46">
        <v>1</v>
      </c>
      <c r="CR17" s="134">
        <v>45444</v>
      </c>
    </row>
    <row r="18" spans="1:96">
      <c r="A18" s="46" t="s">
        <v>4754</v>
      </c>
      <c r="B18" s="46" t="s">
        <v>4755</v>
      </c>
      <c r="C18" s="46">
        <v>53</v>
      </c>
      <c r="D18" s="46" t="s">
        <v>933</v>
      </c>
      <c r="E18" s="46" t="s">
        <v>4756</v>
      </c>
      <c r="F18" s="46" t="s">
        <v>2472</v>
      </c>
      <c r="G18" s="46">
        <v>1</v>
      </c>
      <c r="M18" s="46">
        <v>1</v>
      </c>
      <c r="Q18" s="46">
        <v>1</v>
      </c>
      <c r="U18" s="46">
        <v>1</v>
      </c>
      <c r="W18" s="46">
        <v>14</v>
      </c>
      <c r="X18" s="46">
        <v>15</v>
      </c>
      <c r="Y18" s="46">
        <v>17</v>
      </c>
      <c r="Z18" s="46">
        <v>8</v>
      </c>
      <c r="AA18" s="46">
        <v>7</v>
      </c>
      <c r="AB18" s="46">
        <v>7</v>
      </c>
      <c r="AC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BW18" s="46">
        <v>1</v>
      </c>
      <c r="BZ18" s="46">
        <v>1</v>
      </c>
      <c r="CC18" s="46">
        <v>1</v>
      </c>
      <c r="CP18" s="46">
        <v>1</v>
      </c>
      <c r="CR18" s="139">
        <v>46636</v>
      </c>
    </row>
    <row r="19" spans="1:96">
      <c r="A19" s="46" t="s">
        <v>4757</v>
      </c>
      <c r="B19" s="46" t="s">
        <v>4758</v>
      </c>
      <c r="C19" s="46">
        <v>49</v>
      </c>
      <c r="D19" s="46" t="s">
        <v>1112</v>
      </c>
      <c r="E19" s="46" t="s">
        <v>4759</v>
      </c>
      <c r="F19" s="46" t="s">
        <v>2472</v>
      </c>
      <c r="H19" s="46">
        <v>1</v>
      </c>
      <c r="M19" s="46">
        <v>1</v>
      </c>
      <c r="R19" s="46">
        <v>1</v>
      </c>
      <c r="U19" s="46">
        <v>1</v>
      </c>
      <c r="W19" s="46">
        <v>14</v>
      </c>
      <c r="X19" s="46">
        <v>19</v>
      </c>
      <c r="Y19" s="46">
        <v>26</v>
      </c>
      <c r="Z19" s="46">
        <v>4</v>
      </c>
      <c r="AA19" s="46">
        <v>4</v>
      </c>
      <c r="AB19" s="46">
        <v>4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J19" s="46">
        <v>1</v>
      </c>
      <c r="BZ19" s="46">
        <v>1</v>
      </c>
      <c r="CC19" s="46">
        <v>1</v>
      </c>
      <c r="CP19" s="46">
        <v>1</v>
      </c>
      <c r="CR19" s="139">
        <v>46636</v>
      </c>
    </row>
    <row r="20" spans="1:96">
      <c r="A20" s="46" t="s">
        <v>4760</v>
      </c>
      <c r="B20" s="46" t="s">
        <v>4761</v>
      </c>
      <c r="C20" s="46">
        <v>78</v>
      </c>
      <c r="D20" s="46" t="s">
        <v>2354</v>
      </c>
      <c r="E20" s="46" t="s">
        <v>4762</v>
      </c>
      <c r="F20" s="46" t="s">
        <v>2675</v>
      </c>
      <c r="I20" s="46">
        <v>1</v>
      </c>
      <c r="P20" s="46">
        <v>1</v>
      </c>
      <c r="R20" s="46">
        <v>1</v>
      </c>
      <c r="T20" s="46">
        <v>1</v>
      </c>
      <c r="W20" s="46">
        <v>15</v>
      </c>
      <c r="X20" s="46">
        <v>18</v>
      </c>
      <c r="Y20" s="46">
        <v>18</v>
      </c>
      <c r="Z20" s="46">
        <v>8</v>
      </c>
      <c r="AA20" s="46">
        <v>8</v>
      </c>
      <c r="AB20" s="46">
        <v>7</v>
      </c>
      <c r="AE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X20" s="46">
        <v>1</v>
      </c>
      <c r="BB20" s="46">
        <v>1</v>
      </c>
      <c r="BF20" s="46">
        <v>1</v>
      </c>
      <c r="BJ20" s="46">
        <v>1</v>
      </c>
      <c r="BW20" s="46">
        <v>1</v>
      </c>
      <c r="BZ20" s="46">
        <v>1</v>
      </c>
      <c r="CC20" s="46">
        <v>1</v>
      </c>
      <c r="CI20" s="46">
        <v>1</v>
      </c>
      <c r="CP20" s="46">
        <v>1</v>
      </c>
      <c r="CR20" s="139">
        <v>46636</v>
      </c>
    </row>
    <row r="21" spans="1:96">
      <c r="A21" s="46" t="s">
        <v>4763</v>
      </c>
      <c r="B21" s="46" t="s">
        <v>4764</v>
      </c>
      <c r="C21" s="46">
        <v>50</v>
      </c>
      <c r="D21" s="46" t="s">
        <v>2354</v>
      </c>
      <c r="E21" s="46" t="s">
        <v>4765</v>
      </c>
      <c r="F21" s="46" t="s">
        <v>4766</v>
      </c>
      <c r="G21" s="46">
        <v>1</v>
      </c>
      <c r="M21" s="46">
        <v>1</v>
      </c>
      <c r="R21" s="46">
        <v>1</v>
      </c>
      <c r="T21" s="46">
        <v>1</v>
      </c>
      <c r="W21" s="46">
        <v>19</v>
      </c>
      <c r="X21" s="46">
        <v>21</v>
      </c>
      <c r="Y21" s="46">
        <v>0</v>
      </c>
      <c r="Z21" s="46">
        <v>2</v>
      </c>
      <c r="AA21" s="46">
        <v>0</v>
      </c>
      <c r="AB21" s="46">
        <v>0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J21" s="46">
        <v>1</v>
      </c>
      <c r="BM21" s="46" t="s">
        <v>4721</v>
      </c>
      <c r="BN21" s="46" t="s">
        <v>952</v>
      </c>
      <c r="BZ21" s="46">
        <v>1</v>
      </c>
      <c r="CC21" s="46">
        <v>1</v>
      </c>
      <c r="CP21" s="46">
        <v>1</v>
      </c>
      <c r="CR21" s="140">
        <v>45444</v>
      </c>
    </row>
    <row r="22" spans="1:96">
      <c r="A22" s="46" t="s">
        <v>4767</v>
      </c>
      <c r="B22" s="46" t="s">
        <v>4768</v>
      </c>
      <c r="C22" s="46">
        <v>32</v>
      </c>
      <c r="D22" s="46" t="s">
        <v>1112</v>
      </c>
      <c r="E22" s="46" t="s">
        <v>4769</v>
      </c>
      <c r="F22" s="46" t="s">
        <v>145</v>
      </c>
      <c r="G22" s="46">
        <v>1</v>
      </c>
      <c r="M22" s="46">
        <v>1</v>
      </c>
      <c r="Q22" s="46">
        <v>1</v>
      </c>
      <c r="U22" s="46">
        <v>1</v>
      </c>
      <c r="W22" s="46">
        <v>13</v>
      </c>
      <c r="X22" s="46">
        <v>16</v>
      </c>
      <c r="Y22" s="46">
        <v>26</v>
      </c>
      <c r="Z22" s="46">
        <v>4</v>
      </c>
      <c r="AA22" s="46">
        <v>3</v>
      </c>
      <c r="AB22" s="46">
        <v>3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  <c r="CI22" s="46">
        <v>1</v>
      </c>
      <c r="CP22" s="46">
        <v>1</v>
      </c>
      <c r="CR22" s="139">
        <v>46636</v>
      </c>
    </row>
    <row r="23" spans="1:96">
      <c r="A23" s="46" t="s">
        <v>4770</v>
      </c>
      <c r="B23" s="46" t="s">
        <v>4771</v>
      </c>
      <c r="C23" s="46">
        <v>39</v>
      </c>
      <c r="D23" s="46" t="s">
        <v>933</v>
      </c>
      <c r="E23" s="46" t="s">
        <v>4772</v>
      </c>
      <c r="F23" s="46" t="s">
        <v>4773</v>
      </c>
      <c r="G23" s="46">
        <v>1</v>
      </c>
      <c r="M23" s="46">
        <v>1</v>
      </c>
      <c r="Q23" s="46">
        <v>1</v>
      </c>
      <c r="T23" s="46">
        <v>1</v>
      </c>
      <c r="W23" s="46">
        <v>16</v>
      </c>
      <c r="X23" s="46">
        <v>19</v>
      </c>
      <c r="Y23" s="46">
        <v>19</v>
      </c>
      <c r="Z23" s="46">
        <v>8</v>
      </c>
      <c r="AA23" s="46">
        <v>8</v>
      </c>
      <c r="AB23" s="46">
        <v>8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P23" s="46">
        <v>1</v>
      </c>
      <c r="CR23" s="139">
        <v>46636</v>
      </c>
    </row>
    <row r="24" spans="1:96">
      <c r="A24" s="46" t="s">
        <v>4774</v>
      </c>
      <c r="B24" s="46" t="s">
        <v>4775</v>
      </c>
      <c r="C24" s="46">
        <v>42</v>
      </c>
      <c r="D24" s="46" t="s">
        <v>1459</v>
      </c>
      <c r="E24" s="46" t="s">
        <v>4776</v>
      </c>
      <c r="F24" s="46" t="s">
        <v>145</v>
      </c>
      <c r="G24" s="46">
        <v>1</v>
      </c>
      <c r="M24" s="46">
        <v>1</v>
      </c>
      <c r="Q24" s="46">
        <v>1</v>
      </c>
      <c r="V24" s="46">
        <v>1</v>
      </c>
      <c r="W24" s="46">
        <v>15</v>
      </c>
      <c r="X24" s="46">
        <v>23</v>
      </c>
      <c r="Y24" s="46">
        <v>25</v>
      </c>
      <c r="Z24" s="46">
        <v>7</v>
      </c>
      <c r="AA24" s="46">
        <v>5</v>
      </c>
      <c r="AB24" s="46">
        <v>5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P24" s="46">
        <v>1</v>
      </c>
      <c r="CR24" s="139">
        <v>46636</v>
      </c>
    </row>
    <row r="25" spans="1:96">
      <c r="A25" s="46" t="s">
        <v>4777</v>
      </c>
      <c r="B25" s="46" t="s">
        <v>4778</v>
      </c>
      <c r="C25" s="46">
        <v>45</v>
      </c>
      <c r="D25" s="46" t="s">
        <v>933</v>
      </c>
      <c r="E25" s="46" t="s">
        <v>191</v>
      </c>
      <c r="F25" s="46" t="s">
        <v>2675</v>
      </c>
      <c r="G25" s="46">
        <v>1</v>
      </c>
      <c r="P25" s="46">
        <v>1</v>
      </c>
      <c r="R25" s="46">
        <v>1</v>
      </c>
      <c r="S25" s="46">
        <v>1</v>
      </c>
      <c r="W25" s="46">
        <v>14</v>
      </c>
      <c r="X25" s="46">
        <v>15</v>
      </c>
      <c r="Y25" s="46">
        <v>18</v>
      </c>
      <c r="Z25" s="46">
        <v>8</v>
      </c>
      <c r="AA25" s="46">
        <v>8</v>
      </c>
      <c r="AB25" s="46">
        <v>8</v>
      </c>
      <c r="AH25" s="46">
        <v>1</v>
      </c>
      <c r="AJ25" s="46">
        <v>1</v>
      </c>
      <c r="AK25" s="46">
        <v>1</v>
      </c>
      <c r="AT25" s="46">
        <v>1</v>
      </c>
      <c r="AX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P25" s="46">
        <v>1</v>
      </c>
      <c r="CR25" s="139">
        <v>46636</v>
      </c>
    </row>
    <row r="26" spans="1:96">
      <c r="A26" s="46" t="s">
        <v>4779</v>
      </c>
      <c r="B26" s="46" t="s">
        <v>4780</v>
      </c>
      <c r="C26" s="46">
        <v>32</v>
      </c>
      <c r="D26" s="46" t="s">
        <v>933</v>
      </c>
      <c r="E26" s="46" t="s">
        <v>4781</v>
      </c>
      <c r="F26" s="46" t="s">
        <v>389</v>
      </c>
      <c r="J26" s="46">
        <v>1</v>
      </c>
      <c r="P26" s="46">
        <v>1</v>
      </c>
      <c r="Q26" s="46">
        <v>1</v>
      </c>
      <c r="S26" s="46">
        <v>1</v>
      </c>
      <c r="W26" s="46">
        <v>14</v>
      </c>
      <c r="X26" s="46">
        <v>17</v>
      </c>
      <c r="Y26" s="46">
        <v>17</v>
      </c>
      <c r="Z26" s="46">
        <v>5</v>
      </c>
      <c r="AA26" s="46">
        <v>5</v>
      </c>
      <c r="AB26" s="46">
        <v>5</v>
      </c>
      <c r="AE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P26" s="46">
        <v>1</v>
      </c>
      <c r="CR26" s="139">
        <v>46636</v>
      </c>
    </row>
    <row r="27" spans="1:96">
      <c r="A27" s="46" t="s">
        <v>4782</v>
      </c>
      <c r="B27" s="46" t="s">
        <v>4783</v>
      </c>
      <c r="C27" s="46">
        <v>47</v>
      </c>
      <c r="D27" s="46" t="s">
        <v>1112</v>
      </c>
      <c r="E27" s="46" t="s">
        <v>4784</v>
      </c>
      <c r="F27" s="46" t="s">
        <v>145</v>
      </c>
      <c r="G27" s="46">
        <v>1</v>
      </c>
      <c r="O27" s="46">
        <v>1</v>
      </c>
      <c r="Q27" s="46">
        <v>1</v>
      </c>
      <c r="T27" s="46">
        <v>1</v>
      </c>
      <c r="W27" s="46">
        <v>13</v>
      </c>
      <c r="X27" s="46">
        <v>14</v>
      </c>
      <c r="Y27" s="46">
        <v>15</v>
      </c>
      <c r="Z27" s="46">
        <v>6</v>
      </c>
      <c r="AA27" s="46">
        <v>4</v>
      </c>
      <c r="AB27" s="46">
        <v>4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R27" s="139">
        <v>46636</v>
      </c>
    </row>
    <row r="28" spans="1:96">
      <c r="A28" s="46" t="s">
        <v>4785</v>
      </c>
      <c r="B28" s="46" t="s">
        <v>4786</v>
      </c>
      <c r="C28" s="46">
        <v>30</v>
      </c>
      <c r="D28" s="46" t="s">
        <v>1112</v>
      </c>
      <c r="E28" s="46" t="s">
        <v>4787</v>
      </c>
      <c r="F28" s="46" t="s">
        <v>2472</v>
      </c>
      <c r="G28" s="46">
        <v>1</v>
      </c>
      <c r="M28" s="46">
        <v>1</v>
      </c>
      <c r="Q28" s="46">
        <v>1</v>
      </c>
      <c r="V28" s="46">
        <v>1</v>
      </c>
      <c r="W28" s="46">
        <v>15</v>
      </c>
      <c r="X28" s="46">
        <v>24</v>
      </c>
      <c r="Y28" s="46">
        <v>24</v>
      </c>
      <c r="Z28" s="46">
        <v>4</v>
      </c>
      <c r="AA28" s="46">
        <v>4</v>
      </c>
      <c r="AB28" s="46">
        <v>4</v>
      </c>
      <c r="AC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D28" s="46">
        <v>1</v>
      </c>
      <c r="CE28" s="46">
        <v>2014</v>
      </c>
      <c r="CG28" s="46">
        <v>1</v>
      </c>
      <c r="CI28" s="46">
        <v>1</v>
      </c>
      <c r="CP28" s="46">
        <v>1</v>
      </c>
      <c r="CR28" s="139">
        <v>46636</v>
      </c>
    </row>
    <row r="29" spans="1:96">
      <c r="A29" s="46" t="s">
        <v>4788</v>
      </c>
      <c r="B29" s="46" t="s">
        <v>4789</v>
      </c>
      <c r="C29" s="46">
        <v>28</v>
      </c>
      <c r="D29" s="46" t="s">
        <v>4790</v>
      </c>
      <c r="E29" s="46" t="s">
        <v>4791</v>
      </c>
      <c r="F29" s="46" t="s">
        <v>2675</v>
      </c>
      <c r="G29" s="46">
        <v>1</v>
      </c>
      <c r="M29" s="46">
        <v>1</v>
      </c>
      <c r="R29" s="46">
        <v>1</v>
      </c>
      <c r="U29" s="46">
        <v>1</v>
      </c>
      <c r="W29" s="46">
        <v>16</v>
      </c>
      <c r="X29" s="46">
        <v>17</v>
      </c>
      <c r="Y29" s="46">
        <v>17</v>
      </c>
      <c r="Z29" s="46">
        <v>4</v>
      </c>
      <c r="AA29" s="46">
        <v>4</v>
      </c>
      <c r="AB29" s="46">
        <v>4</v>
      </c>
      <c r="AE29" s="46">
        <v>1</v>
      </c>
      <c r="AH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I29" s="46">
        <v>1</v>
      </c>
      <c r="BZ29" s="46">
        <v>1</v>
      </c>
      <c r="CC29" s="46">
        <v>1</v>
      </c>
      <c r="CI29" s="46">
        <v>1</v>
      </c>
      <c r="CP29" s="46">
        <v>1</v>
      </c>
      <c r="CR29" s="139">
        <v>46636</v>
      </c>
    </row>
    <row r="30" spans="1:96">
      <c r="A30" s="46" t="s">
        <v>4792</v>
      </c>
      <c r="B30" s="46" t="s">
        <v>4793</v>
      </c>
      <c r="C30" s="46">
        <v>41</v>
      </c>
      <c r="D30" s="46" t="s">
        <v>1112</v>
      </c>
      <c r="E30" s="46" t="s">
        <v>4794</v>
      </c>
      <c r="F30" s="46" t="s">
        <v>2472</v>
      </c>
      <c r="G30" s="46">
        <v>1</v>
      </c>
      <c r="L30" s="46">
        <v>1</v>
      </c>
      <c r="R30" s="46">
        <v>1</v>
      </c>
      <c r="V30" s="46">
        <v>1</v>
      </c>
      <c r="W30" s="46">
        <v>16</v>
      </c>
      <c r="X30" s="46">
        <v>22</v>
      </c>
      <c r="Y30" s="46">
        <v>23</v>
      </c>
      <c r="Z30" s="46">
        <v>2</v>
      </c>
      <c r="AA30" s="46">
        <v>2</v>
      </c>
      <c r="AB30" s="46">
        <v>2</v>
      </c>
      <c r="AC30" s="46">
        <v>1</v>
      </c>
      <c r="AI30" s="46">
        <v>1</v>
      </c>
      <c r="AK30" s="46">
        <v>1</v>
      </c>
      <c r="AT30" s="46">
        <v>1</v>
      </c>
      <c r="AW30" s="46">
        <v>1</v>
      </c>
      <c r="BB30" s="46">
        <v>1</v>
      </c>
      <c r="BF30" s="46">
        <v>1</v>
      </c>
      <c r="BI30" s="46">
        <v>1</v>
      </c>
      <c r="BZ30" s="46">
        <v>1</v>
      </c>
      <c r="CC30" s="46">
        <v>1</v>
      </c>
      <c r="CI30" s="46">
        <v>1</v>
      </c>
      <c r="CP30" s="46">
        <v>1</v>
      </c>
      <c r="CR30" s="139">
        <v>46636</v>
      </c>
    </row>
    <row r="31" spans="1:96">
      <c r="A31" s="46" t="s">
        <v>4795</v>
      </c>
      <c r="B31" s="46" t="s">
        <v>4796</v>
      </c>
      <c r="C31" s="46">
        <v>38</v>
      </c>
      <c r="D31" s="46" t="s">
        <v>1112</v>
      </c>
      <c r="E31" s="46" t="s">
        <v>4797</v>
      </c>
      <c r="F31" s="46" t="s">
        <v>4195</v>
      </c>
      <c r="G31" s="46">
        <v>1</v>
      </c>
      <c r="M31" s="46">
        <v>1</v>
      </c>
      <c r="Q31" s="46">
        <v>1</v>
      </c>
      <c r="V31" s="46">
        <v>1</v>
      </c>
      <c r="W31" s="46">
        <v>14</v>
      </c>
      <c r="X31" s="46">
        <v>28</v>
      </c>
      <c r="Y31" s="46">
        <v>0</v>
      </c>
      <c r="Z31" s="46">
        <v>2</v>
      </c>
      <c r="AA31" s="46">
        <v>0</v>
      </c>
      <c r="AB31" s="46">
        <v>0</v>
      </c>
      <c r="AH31" s="46">
        <v>1</v>
      </c>
      <c r="AI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Z31" s="46">
        <v>1</v>
      </c>
      <c r="CC31" s="46">
        <v>1</v>
      </c>
      <c r="CI31" s="46">
        <v>1</v>
      </c>
      <c r="CP31" s="46">
        <v>1</v>
      </c>
      <c r="CR31" s="139">
        <v>46636</v>
      </c>
    </row>
    <row r="32" spans="1:96">
      <c r="A32" s="46" t="s">
        <v>4798</v>
      </c>
      <c r="B32" s="46" t="s">
        <v>4799</v>
      </c>
      <c r="C32" s="46">
        <v>36</v>
      </c>
      <c r="D32" s="46" t="s">
        <v>1112</v>
      </c>
      <c r="E32" s="46" t="s">
        <v>4800</v>
      </c>
      <c r="F32" s="46" t="s">
        <v>2484</v>
      </c>
      <c r="G32" s="46">
        <v>1</v>
      </c>
      <c r="O32" s="46">
        <v>1</v>
      </c>
      <c r="R32" s="46">
        <v>1</v>
      </c>
      <c r="U32" s="46">
        <v>1</v>
      </c>
      <c r="W32" s="46">
        <v>15</v>
      </c>
      <c r="X32" s="46">
        <v>16</v>
      </c>
      <c r="Y32" s="46">
        <v>16</v>
      </c>
      <c r="Z32" s="46">
        <v>2</v>
      </c>
      <c r="AA32" s="46">
        <v>2</v>
      </c>
      <c r="AB32" s="46">
        <v>2</v>
      </c>
      <c r="AD32" s="46">
        <v>1</v>
      </c>
      <c r="AE32" s="46">
        <v>1</v>
      </c>
      <c r="AG32" s="46">
        <v>1</v>
      </c>
      <c r="AH32" s="46">
        <v>1</v>
      </c>
      <c r="AJ32" s="46">
        <v>1</v>
      </c>
      <c r="AK32" s="46">
        <v>1</v>
      </c>
      <c r="AT32" s="46">
        <v>1</v>
      </c>
      <c r="AX32" s="46">
        <v>1</v>
      </c>
      <c r="BA32" s="46">
        <v>1</v>
      </c>
      <c r="BI32" s="46">
        <v>1</v>
      </c>
      <c r="BZ32" s="46">
        <v>1</v>
      </c>
      <c r="CC32" s="46">
        <v>1</v>
      </c>
      <c r="CI32" s="46">
        <v>1</v>
      </c>
      <c r="CP32" s="46">
        <v>1</v>
      </c>
      <c r="CR32" s="139">
        <v>46636</v>
      </c>
    </row>
    <row r="33" spans="1:96">
      <c r="A33" s="46" t="s">
        <v>4801</v>
      </c>
      <c r="B33" s="46" t="s">
        <v>4802</v>
      </c>
      <c r="C33" s="46">
        <v>30</v>
      </c>
      <c r="D33" s="46" t="s">
        <v>4803</v>
      </c>
      <c r="E33" s="46" t="s">
        <v>4804</v>
      </c>
      <c r="F33" s="46" t="s">
        <v>145</v>
      </c>
      <c r="H33" s="46">
        <v>1</v>
      </c>
      <c r="M33" s="46">
        <v>1</v>
      </c>
      <c r="Q33" s="46">
        <v>1</v>
      </c>
      <c r="V33" s="46">
        <v>1</v>
      </c>
      <c r="W33" s="46">
        <v>13</v>
      </c>
      <c r="X33" s="46">
        <v>15</v>
      </c>
      <c r="Y33" s="46">
        <v>25</v>
      </c>
      <c r="Z33" s="46">
        <v>2</v>
      </c>
      <c r="AA33" s="46">
        <v>2</v>
      </c>
      <c r="AB33" s="46">
        <v>2</v>
      </c>
      <c r="AE33" s="46">
        <v>1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C33" s="46">
        <v>1</v>
      </c>
      <c r="CI33" s="46">
        <v>1</v>
      </c>
      <c r="CP33" s="46">
        <v>1</v>
      </c>
      <c r="CR33" s="139">
        <v>46636</v>
      </c>
    </row>
    <row r="34" spans="1:96">
      <c r="A34" s="46" t="s">
        <v>4805</v>
      </c>
      <c r="B34" s="46" t="s">
        <v>4806</v>
      </c>
      <c r="C34" s="46">
        <v>30</v>
      </c>
      <c r="D34" s="46" t="s">
        <v>4807</v>
      </c>
      <c r="E34" s="46" t="s">
        <v>4808</v>
      </c>
      <c r="F34" s="46" t="s">
        <v>145</v>
      </c>
      <c r="G34" s="46">
        <v>1</v>
      </c>
      <c r="M34" s="46">
        <v>1</v>
      </c>
      <c r="Q34" s="46">
        <v>1</v>
      </c>
      <c r="V34" s="46">
        <v>1</v>
      </c>
      <c r="W34" s="46">
        <v>13</v>
      </c>
      <c r="X34" s="46">
        <v>21</v>
      </c>
      <c r="Y34" s="46">
        <v>0</v>
      </c>
      <c r="Z34" s="46">
        <v>0</v>
      </c>
      <c r="AA34" s="46">
        <v>0</v>
      </c>
      <c r="AB34" s="46">
        <v>0</v>
      </c>
      <c r="AE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W34" s="46">
        <v>1</v>
      </c>
      <c r="BZ34" s="46">
        <v>1</v>
      </c>
      <c r="CC34" s="46">
        <v>1</v>
      </c>
      <c r="CI34" s="46">
        <v>1</v>
      </c>
      <c r="CP34" s="46">
        <v>1</v>
      </c>
      <c r="CR34" s="139">
        <v>46636</v>
      </c>
    </row>
    <row r="35" spans="1:96">
      <c r="A35" s="46" t="s">
        <v>4809</v>
      </c>
      <c r="B35" s="46" t="s">
        <v>4810</v>
      </c>
      <c r="C35" s="46">
        <v>48</v>
      </c>
      <c r="D35" s="46" t="s">
        <v>1112</v>
      </c>
      <c r="E35" s="46" t="s">
        <v>191</v>
      </c>
      <c r="F35" s="46" t="s">
        <v>2523</v>
      </c>
      <c r="H35" s="46">
        <v>1</v>
      </c>
      <c r="M35" s="46">
        <v>1</v>
      </c>
      <c r="Q35" s="46">
        <v>1</v>
      </c>
      <c r="T35" s="46">
        <v>1</v>
      </c>
      <c r="W35" s="46">
        <v>13</v>
      </c>
      <c r="X35" s="46">
        <v>14</v>
      </c>
      <c r="Y35" s="46">
        <v>16</v>
      </c>
      <c r="Z35" s="46">
        <v>9</v>
      </c>
      <c r="AA35" s="46">
        <v>7</v>
      </c>
      <c r="AB35" s="46">
        <v>7</v>
      </c>
      <c r="AC35" s="46">
        <v>1</v>
      </c>
      <c r="AJ35" s="46">
        <v>1</v>
      </c>
      <c r="AK35" s="46">
        <v>1</v>
      </c>
      <c r="AT35" s="46">
        <v>1</v>
      </c>
      <c r="AW35" s="46">
        <v>1</v>
      </c>
      <c r="BC35" s="46">
        <v>1</v>
      </c>
      <c r="BF35" s="46">
        <v>1</v>
      </c>
      <c r="BI35" s="46">
        <v>1</v>
      </c>
      <c r="BZ35" s="46">
        <v>1</v>
      </c>
      <c r="CC35" s="46">
        <v>1</v>
      </c>
      <c r="CI35" s="46">
        <v>1</v>
      </c>
      <c r="CP35" s="46">
        <v>1</v>
      </c>
      <c r="CR35" s="139">
        <v>46636</v>
      </c>
    </row>
    <row r="36" spans="1:96">
      <c r="A36" s="46" t="s">
        <v>4811</v>
      </c>
      <c r="B36" s="46" t="s">
        <v>4812</v>
      </c>
      <c r="C36" s="46">
        <v>69</v>
      </c>
      <c r="D36" s="46" t="s">
        <v>941</v>
      </c>
      <c r="E36" s="46" t="s">
        <v>4813</v>
      </c>
      <c r="F36" s="46" t="s">
        <v>1045</v>
      </c>
      <c r="G36" s="46">
        <v>1</v>
      </c>
      <c r="O36" s="46">
        <v>1</v>
      </c>
      <c r="R36" s="46">
        <v>1</v>
      </c>
      <c r="S36" s="46">
        <v>1</v>
      </c>
      <c r="W36" s="46">
        <v>15</v>
      </c>
      <c r="X36" s="46">
        <v>15</v>
      </c>
      <c r="Y36" s="46">
        <v>18</v>
      </c>
      <c r="Z36" s="46">
        <v>8</v>
      </c>
      <c r="AA36" s="46">
        <v>8</v>
      </c>
      <c r="AB36" s="46">
        <v>8</v>
      </c>
      <c r="AE36" s="46">
        <v>1</v>
      </c>
      <c r="AG36" s="46">
        <v>1</v>
      </c>
      <c r="AH36" s="46">
        <v>1</v>
      </c>
      <c r="AI36" s="46">
        <v>1</v>
      </c>
      <c r="AM36" s="46">
        <v>1</v>
      </c>
      <c r="AT36" s="46">
        <v>1</v>
      </c>
      <c r="AW36" s="46">
        <v>1</v>
      </c>
      <c r="BA36" s="46">
        <v>1</v>
      </c>
      <c r="BJ36" s="46">
        <v>1</v>
      </c>
      <c r="BW36" s="46">
        <v>1</v>
      </c>
      <c r="BZ36" s="46">
        <v>1</v>
      </c>
      <c r="CC36" s="46">
        <v>1</v>
      </c>
      <c r="CI36" s="46">
        <v>1</v>
      </c>
      <c r="CP36" s="46">
        <v>1</v>
      </c>
      <c r="CR36" s="139">
        <v>46636</v>
      </c>
    </row>
  </sheetData>
  <autoFilter ref="A3:CR36"/>
  <mergeCells count="1">
    <mergeCell ref="AV1:AZ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 t="shared" ref="J3:J9" si="1"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0</v>
      </c>
      <c r="Q3" s="70">
        <v>0</v>
      </c>
      <c r="R3" s="70">
        <v>0</v>
      </c>
      <c r="S3" s="70">
        <v>0</v>
      </c>
      <c r="T3" s="71">
        <f t="shared" ref="T3:T8" si="3"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0</v>
      </c>
      <c r="AC3" s="73">
        <v>0</v>
      </c>
      <c r="AD3" s="73">
        <v>1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4814</v>
      </c>
      <c r="B4" s="69">
        <v>7</v>
      </c>
      <c r="C4" s="69">
        <v>0</v>
      </c>
      <c r="D4" s="69">
        <v>0</v>
      </c>
      <c r="E4" s="69">
        <f t="shared" si="0"/>
        <v>7</v>
      </c>
      <c r="F4" s="70">
        <v>0</v>
      </c>
      <c r="G4" s="70">
        <v>7</v>
      </c>
      <c r="H4" s="70">
        <v>0</v>
      </c>
      <c r="I4" s="70">
        <v>0</v>
      </c>
      <c r="J4" s="71">
        <f t="shared" si="1"/>
        <v>7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 t="shared" si="2"/>
        <v>0</v>
      </c>
      <c r="Q4" s="70">
        <v>0</v>
      </c>
      <c r="R4" s="70">
        <v>0</v>
      </c>
      <c r="S4" s="70">
        <v>1</v>
      </c>
      <c r="T4" s="71">
        <f t="shared" si="3"/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4</v>
      </c>
      <c r="AB4" s="73">
        <v>0</v>
      </c>
      <c r="AC4" s="73">
        <v>0</v>
      </c>
      <c r="AD4" s="73">
        <v>3</v>
      </c>
      <c r="AE4" s="186">
        <f t="shared" si="4"/>
        <v>7</v>
      </c>
      <c r="AF4" s="73">
        <v>0</v>
      </c>
      <c r="AG4" s="73">
        <v>0</v>
      </c>
    </row>
    <row r="5" spans="1:33">
      <c r="A5" s="77" t="s">
        <v>3842</v>
      </c>
      <c r="B5" s="69">
        <v>7</v>
      </c>
      <c r="C5" s="69">
        <v>0</v>
      </c>
      <c r="D5" s="69">
        <v>0</v>
      </c>
      <c r="E5" s="69">
        <f t="shared" si="0"/>
        <v>7</v>
      </c>
      <c r="F5" s="70"/>
      <c r="G5" s="70">
        <v>6</v>
      </c>
      <c r="H5" s="70">
        <v>1</v>
      </c>
      <c r="I5" s="70">
        <v>0</v>
      </c>
      <c r="J5" s="71">
        <f t="shared" si="1"/>
        <v>7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0</v>
      </c>
      <c r="Q5" s="70">
        <v>0</v>
      </c>
      <c r="R5" s="70">
        <v>0</v>
      </c>
      <c r="S5" s="70">
        <v>3</v>
      </c>
      <c r="T5" s="71">
        <f t="shared" si="3"/>
        <v>3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4</v>
      </c>
      <c r="AB5" s="73">
        <v>0</v>
      </c>
      <c r="AC5" s="73">
        <v>0</v>
      </c>
      <c r="AD5" s="73">
        <v>3</v>
      </c>
      <c r="AE5" s="186">
        <f t="shared" si="4"/>
        <v>7</v>
      </c>
      <c r="AF5" s="73">
        <v>0</v>
      </c>
      <c r="AG5" s="73">
        <v>0</v>
      </c>
    </row>
    <row r="6" spans="1:33">
      <c r="A6" s="77" t="s">
        <v>4618</v>
      </c>
      <c r="B6" s="69">
        <v>8</v>
      </c>
      <c r="C6" s="69">
        <v>0</v>
      </c>
      <c r="D6" s="69">
        <v>0</v>
      </c>
      <c r="E6" s="69">
        <f t="shared" si="0"/>
        <v>8</v>
      </c>
      <c r="F6" s="70">
        <v>0</v>
      </c>
      <c r="G6" s="70">
        <v>5</v>
      </c>
      <c r="H6" s="70">
        <v>0</v>
      </c>
      <c r="I6" s="70">
        <v>0</v>
      </c>
      <c r="J6" s="71">
        <f t="shared" si="1"/>
        <v>5</v>
      </c>
      <c r="K6" s="70">
        <v>2</v>
      </c>
      <c r="L6" s="70">
        <v>0</v>
      </c>
      <c r="M6" s="70">
        <v>0</v>
      </c>
      <c r="N6" s="70">
        <v>1</v>
      </c>
      <c r="O6" s="70">
        <v>0</v>
      </c>
      <c r="P6" s="71">
        <f t="shared" si="2"/>
        <v>3</v>
      </c>
      <c r="Q6" s="70">
        <v>0</v>
      </c>
      <c r="R6" s="70">
        <v>0</v>
      </c>
      <c r="S6" s="70">
        <v>0</v>
      </c>
      <c r="T6" s="71">
        <f t="shared" si="3"/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5</v>
      </c>
      <c r="AB6" s="73">
        <v>0</v>
      </c>
      <c r="AC6" s="73">
        <v>0</v>
      </c>
      <c r="AD6" s="73">
        <v>3</v>
      </c>
      <c r="AE6" s="186">
        <f t="shared" si="4"/>
        <v>8</v>
      </c>
      <c r="AF6" s="73">
        <v>0</v>
      </c>
      <c r="AG6" s="73">
        <v>0</v>
      </c>
    </row>
    <row r="7" spans="1:33">
      <c r="A7" s="77" t="s">
        <v>4815</v>
      </c>
      <c r="B7" s="69">
        <v>5</v>
      </c>
      <c r="C7" s="69">
        <v>2</v>
      </c>
      <c r="D7" s="69">
        <v>0</v>
      </c>
      <c r="E7" s="69">
        <f t="shared" si="0"/>
        <v>7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3</v>
      </c>
      <c r="L7" s="70">
        <v>4</v>
      </c>
      <c r="M7" s="70">
        <v>0</v>
      </c>
      <c r="N7" s="70">
        <v>0</v>
      </c>
      <c r="O7" s="70">
        <v>0</v>
      </c>
      <c r="P7" s="71">
        <f t="shared" si="2"/>
        <v>7</v>
      </c>
      <c r="Q7" s="70">
        <v>0</v>
      </c>
      <c r="R7" s="70">
        <v>0</v>
      </c>
      <c r="S7" s="70">
        <v>1</v>
      </c>
      <c r="T7" s="71">
        <f t="shared" si="3"/>
        <v>1</v>
      </c>
      <c r="U7" s="75">
        <v>0</v>
      </c>
      <c r="V7" s="75">
        <v>0</v>
      </c>
      <c r="W7" s="75">
        <v>0</v>
      </c>
      <c r="X7" s="75">
        <v>4</v>
      </c>
      <c r="Y7" s="75">
        <v>0</v>
      </c>
      <c r="Z7" s="75"/>
      <c r="AA7" s="73">
        <v>0</v>
      </c>
      <c r="AB7" s="73">
        <v>0</v>
      </c>
      <c r="AC7" s="73">
        <v>0</v>
      </c>
      <c r="AD7" s="73">
        <v>7</v>
      </c>
      <c r="AE7" s="186">
        <f t="shared" si="4"/>
        <v>7</v>
      </c>
      <c r="AF7" s="73">
        <v>0</v>
      </c>
      <c r="AG7" s="73">
        <v>0</v>
      </c>
    </row>
    <row r="8" spans="1:33">
      <c r="A8" s="78" t="s">
        <v>4816</v>
      </c>
      <c r="B8" s="79">
        <v>2</v>
      </c>
      <c r="C8" s="79">
        <v>0</v>
      </c>
      <c r="D8" s="79">
        <v>1</v>
      </c>
      <c r="E8" s="69">
        <f t="shared" si="0"/>
        <v>3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3</v>
      </c>
      <c r="L8" s="80">
        <v>0</v>
      </c>
      <c r="M8" s="80">
        <v>0</v>
      </c>
      <c r="N8" s="80">
        <v>0</v>
      </c>
      <c r="O8" s="80">
        <v>0</v>
      </c>
      <c r="P8" s="71">
        <f t="shared" si="2"/>
        <v>3</v>
      </c>
      <c r="Q8" s="80">
        <v>0</v>
      </c>
      <c r="R8" s="80">
        <v>0</v>
      </c>
      <c r="S8" s="80">
        <v>2</v>
      </c>
      <c r="T8" s="71">
        <f t="shared" si="3"/>
        <v>2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/>
      <c r="AA8" s="82">
        <v>2</v>
      </c>
      <c r="AB8" s="82">
        <v>0</v>
      </c>
      <c r="AC8" s="82">
        <v>0</v>
      </c>
      <c r="AD8" s="82">
        <v>1</v>
      </c>
      <c r="AE8" s="186">
        <f t="shared" si="4"/>
        <v>3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30</v>
      </c>
      <c r="C9" s="69">
        <f t="shared" si="5"/>
        <v>2</v>
      </c>
      <c r="D9" s="69">
        <f t="shared" si="5"/>
        <v>1</v>
      </c>
      <c r="E9" s="69">
        <f t="shared" si="5"/>
        <v>33</v>
      </c>
      <c r="F9" s="69">
        <f t="shared" si="5"/>
        <v>0</v>
      </c>
      <c r="G9" s="69">
        <f t="shared" si="5"/>
        <v>19</v>
      </c>
      <c r="H9" s="69">
        <f t="shared" si="5"/>
        <v>1</v>
      </c>
      <c r="I9" s="69">
        <f t="shared" si="5"/>
        <v>0</v>
      </c>
      <c r="J9" s="71">
        <f t="shared" si="1"/>
        <v>20</v>
      </c>
      <c r="K9" s="114">
        <f>SUM(K3:K8)</f>
        <v>8</v>
      </c>
      <c r="L9" s="114">
        <f>SUM(L3:L8)</f>
        <v>4</v>
      </c>
      <c r="M9" s="114">
        <f>SUM(M3:M8)</f>
        <v>0</v>
      </c>
      <c r="N9" s="114">
        <f>SUM(N3:N8)</f>
        <v>1</v>
      </c>
      <c r="O9" s="114">
        <f>SUM(O3:O8)</f>
        <v>0</v>
      </c>
      <c r="P9" s="71">
        <f>SUM(K9:N9)</f>
        <v>13</v>
      </c>
      <c r="Q9" s="114">
        <f t="shared" ref="Q9:AG9" si="6">SUM(Q3:Q8)</f>
        <v>0</v>
      </c>
      <c r="R9" s="114">
        <f t="shared" si="6"/>
        <v>0</v>
      </c>
      <c r="S9" s="114">
        <f t="shared" si="6"/>
        <v>7</v>
      </c>
      <c r="T9" s="71">
        <f t="shared" si="6"/>
        <v>7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4</v>
      </c>
      <c r="Y9" s="114">
        <f t="shared" si="6"/>
        <v>0</v>
      </c>
      <c r="Z9" s="114">
        <f t="shared" si="6"/>
        <v>0</v>
      </c>
      <c r="AA9" s="73">
        <f t="shared" si="6"/>
        <v>15</v>
      </c>
      <c r="AB9" s="73">
        <f t="shared" si="6"/>
        <v>0</v>
      </c>
      <c r="AC9" s="73">
        <f t="shared" si="6"/>
        <v>0</v>
      </c>
      <c r="AD9" s="73">
        <f t="shared" si="6"/>
        <v>18</v>
      </c>
      <c r="AE9" s="73">
        <f t="shared" si="6"/>
        <v>33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1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2578125" defaultRowHeight="15" customHeight="1"/>
  <cols>
    <col min="1" max="1" width="9.28515625" customWidth="1"/>
    <col min="2" max="2" width="19.42578125" customWidth="1"/>
    <col min="3" max="3" width="9.42578125" customWidth="1"/>
    <col min="5" max="5" width="19" customWidth="1"/>
  </cols>
  <sheetData>
    <row r="1" spans="1:96">
      <c r="A1" s="189" t="s">
        <v>4817</v>
      </c>
      <c r="B1" s="143"/>
      <c r="C1" s="231" t="s">
        <v>4818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4819</v>
      </c>
      <c r="B4" s="46" t="s">
        <v>4820</v>
      </c>
      <c r="C4" s="46">
        <v>46</v>
      </c>
      <c r="D4" s="46" t="s">
        <v>4821</v>
      </c>
      <c r="E4" s="46" t="s">
        <v>4822</v>
      </c>
      <c r="F4" s="46" t="s">
        <v>2472</v>
      </c>
      <c r="H4" s="46">
        <v>1</v>
      </c>
      <c r="M4" s="46">
        <v>1</v>
      </c>
      <c r="R4" s="46">
        <v>1</v>
      </c>
      <c r="U4" s="46">
        <v>1</v>
      </c>
      <c r="W4" s="46">
        <v>14</v>
      </c>
      <c r="X4" s="46">
        <v>18</v>
      </c>
      <c r="Y4" s="46">
        <v>18</v>
      </c>
      <c r="Z4" s="46">
        <v>9</v>
      </c>
      <c r="AA4" s="46">
        <v>9</v>
      </c>
      <c r="AB4" s="46">
        <v>9</v>
      </c>
      <c r="AD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K4" s="46">
        <v>1</v>
      </c>
      <c r="BO4" s="46" t="s">
        <v>4823</v>
      </c>
      <c r="BW4" s="46">
        <v>1</v>
      </c>
      <c r="BZ4" s="46">
        <v>1</v>
      </c>
      <c r="CC4" s="46">
        <v>1</v>
      </c>
      <c r="CI4" s="46">
        <v>1</v>
      </c>
      <c r="CP4" s="46">
        <v>1</v>
      </c>
      <c r="CR4" s="134">
        <v>45444</v>
      </c>
    </row>
    <row r="5" spans="1:96">
      <c r="A5" s="46" t="s">
        <v>4824</v>
      </c>
      <c r="B5" s="46" t="s">
        <v>4825</v>
      </c>
      <c r="C5" s="46">
        <v>36</v>
      </c>
      <c r="D5" s="46" t="s">
        <v>4826</v>
      </c>
      <c r="E5" s="46" t="s">
        <v>4827</v>
      </c>
      <c r="F5" s="46" t="s">
        <v>2523</v>
      </c>
      <c r="H5" s="46">
        <v>1</v>
      </c>
      <c r="M5" s="46">
        <v>1</v>
      </c>
      <c r="R5" s="46">
        <v>1</v>
      </c>
      <c r="U5" s="46">
        <v>1</v>
      </c>
      <c r="W5" s="46">
        <v>16</v>
      </c>
      <c r="X5" s="46">
        <v>16</v>
      </c>
      <c r="Y5" s="46">
        <v>16</v>
      </c>
      <c r="Z5" s="46">
        <v>5</v>
      </c>
      <c r="AA5" s="46">
        <v>5</v>
      </c>
      <c r="AB5" s="46">
        <v>5</v>
      </c>
      <c r="AE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H5" s="46">
        <v>1</v>
      </c>
      <c r="BV5" s="46">
        <v>1</v>
      </c>
      <c r="BW5" s="46">
        <v>1</v>
      </c>
      <c r="BZ5" s="46">
        <v>1</v>
      </c>
      <c r="CC5" s="46">
        <v>1</v>
      </c>
      <c r="CP5" s="46">
        <v>1</v>
      </c>
      <c r="CR5" s="134">
        <v>45809</v>
      </c>
    </row>
    <row r="6" spans="1:96">
      <c r="A6" s="46" t="s">
        <v>4828</v>
      </c>
      <c r="B6" s="46" t="s">
        <v>4829</v>
      </c>
      <c r="C6" s="46">
        <v>32</v>
      </c>
      <c r="D6" s="46" t="s">
        <v>4830</v>
      </c>
      <c r="E6" s="46" t="s">
        <v>4831</v>
      </c>
      <c r="F6" s="46" t="s">
        <v>2472</v>
      </c>
      <c r="G6" s="46">
        <v>1</v>
      </c>
      <c r="M6" s="46">
        <v>1</v>
      </c>
      <c r="R6" s="46">
        <v>1</v>
      </c>
      <c r="T6" s="46">
        <v>1</v>
      </c>
      <c r="W6" s="46">
        <v>16</v>
      </c>
      <c r="X6" s="46">
        <v>17</v>
      </c>
      <c r="Y6" s="46">
        <v>20</v>
      </c>
      <c r="Z6" s="46">
        <v>4</v>
      </c>
      <c r="AA6" s="46">
        <v>4</v>
      </c>
      <c r="AB6" s="46">
        <v>4</v>
      </c>
      <c r="AD6" s="46">
        <v>1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X6" s="46">
        <v>1</v>
      </c>
      <c r="BJ6" s="46">
        <v>1</v>
      </c>
      <c r="BZ6" s="46">
        <v>1</v>
      </c>
      <c r="CC6" s="46">
        <v>1</v>
      </c>
      <c r="CJ6" s="46">
        <v>1</v>
      </c>
      <c r="CQ6" s="46" t="s">
        <v>4832</v>
      </c>
      <c r="CR6" s="134">
        <v>46539</v>
      </c>
    </row>
    <row r="7" spans="1:96">
      <c r="A7" s="46" t="s">
        <v>4833</v>
      </c>
      <c r="B7" s="46" t="s">
        <v>4834</v>
      </c>
      <c r="C7" s="46">
        <v>30</v>
      </c>
      <c r="D7" s="46" t="s">
        <v>1530</v>
      </c>
      <c r="E7" s="46" t="s">
        <v>191</v>
      </c>
      <c r="F7" s="46" t="s">
        <v>330</v>
      </c>
      <c r="H7" s="46">
        <v>1</v>
      </c>
      <c r="M7" s="46">
        <v>1</v>
      </c>
      <c r="R7" s="46">
        <v>1</v>
      </c>
      <c r="T7" s="46">
        <v>1</v>
      </c>
      <c r="W7" s="46">
        <v>15</v>
      </c>
      <c r="X7" s="46">
        <v>15</v>
      </c>
      <c r="Y7" s="46">
        <v>18</v>
      </c>
      <c r="Z7" s="46">
        <v>8</v>
      </c>
      <c r="AA7" s="46">
        <v>7</v>
      </c>
      <c r="AB7" s="46">
        <v>7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H7" s="46">
        <v>1</v>
      </c>
      <c r="BV7" s="46">
        <v>1</v>
      </c>
      <c r="BW7" s="46">
        <v>1</v>
      </c>
      <c r="BZ7" s="46">
        <v>1</v>
      </c>
      <c r="CC7" s="46">
        <v>1</v>
      </c>
      <c r="CP7" s="46">
        <v>1</v>
      </c>
      <c r="CR7" s="134">
        <v>45809</v>
      </c>
    </row>
    <row r="8" spans="1:96">
      <c r="A8" s="46" t="s">
        <v>4835</v>
      </c>
      <c r="B8" s="46" t="s">
        <v>4836</v>
      </c>
      <c r="C8" s="46">
        <v>44</v>
      </c>
      <c r="D8" s="46" t="s">
        <v>1530</v>
      </c>
      <c r="E8" s="46" t="s">
        <v>191</v>
      </c>
      <c r="F8" s="46" t="s">
        <v>2472</v>
      </c>
      <c r="I8" s="46">
        <v>1</v>
      </c>
      <c r="M8" s="46">
        <v>1</v>
      </c>
      <c r="R8" s="46">
        <v>1</v>
      </c>
      <c r="T8" s="46">
        <v>1</v>
      </c>
      <c r="W8" s="46">
        <v>12</v>
      </c>
      <c r="X8" s="46">
        <v>14</v>
      </c>
      <c r="Y8" s="46">
        <v>15</v>
      </c>
      <c r="Z8" s="46">
        <v>5</v>
      </c>
      <c r="AA8" s="46">
        <v>5</v>
      </c>
      <c r="AB8" s="46">
        <v>5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Y8" s="46">
        <v>1</v>
      </c>
      <c r="BA8" s="46">
        <v>1</v>
      </c>
      <c r="BH8" s="46">
        <v>1</v>
      </c>
      <c r="BV8" s="46">
        <v>1</v>
      </c>
      <c r="BW8" s="46">
        <v>1</v>
      </c>
      <c r="BZ8" s="46">
        <v>1</v>
      </c>
      <c r="CC8" s="46">
        <v>1</v>
      </c>
      <c r="CI8" s="46">
        <v>1</v>
      </c>
      <c r="CP8" s="46">
        <v>1</v>
      </c>
      <c r="CR8" s="134">
        <v>45809</v>
      </c>
    </row>
    <row r="9" spans="1:96">
      <c r="A9" s="46" t="s">
        <v>4837</v>
      </c>
      <c r="B9" s="46" t="s">
        <v>4838</v>
      </c>
      <c r="C9" s="46">
        <v>30</v>
      </c>
      <c r="D9" s="46" t="s">
        <v>1505</v>
      </c>
      <c r="E9" s="46" t="s">
        <v>4839</v>
      </c>
      <c r="F9" s="46" t="s">
        <v>2472</v>
      </c>
      <c r="H9" s="46">
        <v>1</v>
      </c>
      <c r="L9" s="46">
        <v>1</v>
      </c>
      <c r="Q9" s="46">
        <v>1</v>
      </c>
      <c r="U9" s="46">
        <v>1</v>
      </c>
      <c r="W9" s="46">
        <v>16</v>
      </c>
      <c r="X9" s="46">
        <v>20</v>
      </c>
      <c r="Y9" s="46">
        <v>27</v>
      </c>
      <c r="Z9" s="46">
        <v>2</v>
      </c>
      <c r="AA9" s="46">
        <v>1</v>
      </c>
      <c r="AB9" s="46">
        <v>1</v>
      </c>
      <c r="AF9" s="46">
        <v>1</v>
      </c>
      <c r="AJ9" s="46">
        <v>1</v>
      </c>
      <c r="AK9" s="46">
        <v>1</v>
      </c>
      <c r="AT9" s="46">
        <v>1</v>
      </c>
      <c r="AX9" s="46">
        <v>1</v>
      </c>
      <c r="BA9" s="46">
        <v>1</v>
      </c>
      <c r="BH9" s="46">
        <v>1</v>
      </c>
      <c r="BV9" s="46">
        <v>1</v>
      </c>
      <c r="BW9" s="46">
        <v>1</v>
      </c>
      <c r="BZ9" s="46">
        <v>1</v>
      </c>
      <c r="CC9" s="46">
        <v>1</v>
      </c>
      <c r="CI9" s="46">
        <v>1</v>
      </c>
      <c r="CP9" s="46">
        <v>1</v>
      </c>
      <c r="CR9" s="134">
        <v>45809</v>
      </c>
    </row>
    <row r="10" spans="1:96">
      <c r="A10" s="46" t="s">
        <v>4840</v>
      </c>
      <c r="B10" s="46" t="s">
        <v>4841</v>
      </c>
      <c r="C10" s="46">
        <v>50</v>
      </c>
      <c r="D10" s="46" t="s">
        <v>4830</v>
      </c>
      <c r="E10" s="46" t="s">
        <v>4842</v>
      </c>
      <c r="F10" s="46" t="s">
        <v>2472</v>
      </c>
      <c r="H10" s="46">
        <v>1</v>
      </c>
      <c r="M10" s="46">
        <v>1</v>
      </c>
      <c r="Q10" s="46">
        <v>1</v>
      </c>
      <c r="S10" s="46">
        <v>1</v>
      </c>
      <c r="W10" s="46">
        <v>18</v>
      </c>
      <c r="X10" s="46">
        <v>28</v>
      </c>
      <c r="Y10" s="46">
        <v>36</v>
      </c>
      <c r="Z10" s="46">
        <v>7</v>
      </c>
      <c r="AA10" s="46">
        <v>7</v>
      </c>
      <c r="AB10" s="46">
        <v>7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BS10" s="46">
        <v>1</v>
      </c>
      <c r="BW10" s="46">
        <v>1</v>
      </c>
      <c r="BZ10" s="46">
        <v>1</v>
      </c>
      <c r="CC10" s="46">
        <v>1</v>
      </c>
      <c r="CJ10" s="46">
        <v>1</v>
      </c>
      <c r="CP10" s="46">
        <v>1</v>
      </c>
      <c r="CR10" s="134">
        <v>45444</v>
      </c>
    </row>
    <row r="11" spans="1:96">
      <c r="A11" s="46" t="s">
        <v>4843</v>
      </c>
      <c r="B11" s="46" t="s">
        <v>4844</v>
      </c>
      <c r="C11" s="46">
        <v>55</v>
      </c>
      <c r="D11" s="46" t="s">
        <v>1539</v>
      </c>
      <c r="E11" s="46" t="s">
        <v>4845</v>
      </c>
      <c r="F11" s="46" t="s">
        <v>2484</v>
      </c>
      <c r="H11" s="46">
        <v>1</v>
      </c>
      <c r="M11" s="46">
        <v>1</v>
      </c>
      <c r="Q11" s="46">
        <v>1</v>
      </c>
      <c r="S11" s="46">
        <v>1</v>
      </c>
      <c r="W11" s="46">
        <v>19</v>
      </c>
      <c r="X11" s="46">
        <v>19</v>
      </c>
      <c r="Y11" s="46">
        <v>20</v>
      </c>
      <c r="Z11" s="46">
        <v>9</v>
      </c>
      <c r="AA11" s="46">
        <v>9</v>
      </c>
      <c r="AB11" s="46">
        <v>9</v>
      </c>
      <c r="AE11" s="46">
        <v>1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BS11" s="46">
        <v>1</v>
      </c>
      <c r="BZ11" s="46">
        <v>1</v>
      </c>
      <c r="CC11" s="46">
        <v>1</v>
      </c>
      <c r="CI11" s="46">
        <v>1</v>
      </c>
      <c r="CP11" s="46">
        <v>1</v>
      </c>
      <c r="CR11" s="134">
        <v>45444</v>
      </c>
    </row>
    <row r="12" spans="1:96">
      <c r="A12" s="46" t="s">
        <v>4846</v>
      </c>
      <c r="B12" s="46" t="s">
        <v>4847</v>
      </c>
      <c r="C12" s="46">
        <v>49</v>
      </c>
      <c r="D12" s="46" t="s">
        <v>4848</v>
      </c>
      <c r="E12" s="46" t="s">
        <v>4849</v>
      </c>
      <c r="F12" s="46" t="s">
        <v>2484</v>
      </c>
      <c r="G12" s="46">
        <v>1</v>
      </c>
      <c r="M12" s="46">
        <v>1</v>
      </c>
      <c r="R12" s="46">
        <v>1</v>
      </c>
      <c r="T12" s="46">
        <v>1</v>
      </c>
      <c r="W12" s="46">
        <v>15</v>
      </c>
      <c r="X12" s="46">
        <v>16</v>
      </c>
      <c r="Y12" s="46">
        <v>19</v>
      </c>
      <c r="Z12" s="46">
        <v>11</v>
      </c>
      <c r="AA12" s="46">
        <v>10</v>
      </c>
      <c r="AB12" s="46">
        <v>10</v>
      </c>
      <c r="AD12" s="46">
        <v>1</v>
      </c>
      <c r="AJ12" s="46">
        <v>1</v>
      </c>
      <c r="AK12" s="46">
        <v>1</v>
      </c>
      <c r="AT12" s="46">
        <v>1</v>
      </c>
      <c r="AW12" s="46">
        <v>1</v>
      </c>
      <c r="BB12" s="46">
        <v>1</v>
      </c>
      <c r="BF12" s="46">
        <v>1</v>
      </c>
      <c r="BK12" s="46">
        <v>1</v>
      </c>
      <c r="BS12" s="46">
        <v>1</v>
      </c>
      <c r="BZ12" s="46">
        <v>1</v>
      </c>
      <c r="CC12" s="46">
        <v>1</v>
      </c>
      <c r="CI12" s="46">
        <v>1</v>
      </c>
      <c r="CP12" s="46">
        <v>1</v>
      </c>
      <c r="CR12" s="134">
        <v>45444</v>
      </c>
    </row>
    <row r="13" spans="1:96">
      <c r="A13" s="46" t="s">
        <v>4850</v>
      </c>
      <c r="B13" s="46" t="s">
        <v>4851</v>
      </c>
      <c r="C13" s="46">
        <v>44</v>
      </c>
      <c r="D13" s="46" t="s">
        <v>1505</v>
      </c>
      <c r="E13" s="46" t="s">
        <v>191</v>
      </c>
      <c r="F13" s="46" t="s">
        <v>2484</v>
      </c>
      <c r="G13" s="46">
        <v>1</v>
      </c>
      <c r="M13" s="46">
        <v>1</v>
      </c>
      <c r="Q13" s="46">
        <v>1</v>
      </c>
      <c r="T13" s="46">
        <v>1</v>
      </c>
      <c r="W13" s="46">
        <v>12</v>
      </c>
      <c r="X13" s="46">
        <v>15</v>
      </c>
      <c r="Y13" s="46">
        <v>17</v>
      </c>
      <c r="Z13" s="46">
        <v>9</v>
      </c>
      <c r="AA13" s="46">
        <v>9</v>
      </c>
      <c r="AB13" s="46">
        <v>7</v>
      </c>
      <c r="AG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S13" s="46">
        <v>1</v>
      </c>
      <c r="CA13" s="46">
        <v>1</v>
      </c>
      <c r="CB13" s="46">
        <v>2022</v>
      </c>
      <c r="CC13" s="46">
        <v>1</v>
      </c>
      <c r="CI13" s="46">
        <v>1</v>
      </c>
      <c r="CP13" s="46">
        <v>1</v>
      </c>
      <c r="CR13" s="134">
        <v>45444</v>
      </c>
    </row>
    <row r="14" spans="1:96">
      <c r="A14" s="46" t="s">
        <v>4852</v>
      </c>
      <c r="B14" s="46" t="s">
        <v>4853</v>
      </c>
      <c r="C14" s="46">
        <v>80</v>
      </c>
      <c r="D14" s="46" t="s">
        <v>4854</v>
      </c>
      <c r="E14" s="46" t="s">
        <v>191</v>
      </c>
      <c r="F14" s="46" t="s">
        <v>145</v>
      </c>
      <c r="G14" s="46">
        <v>1</v>
      </c>
      <c r="M14" s="46">
        <v>1</v>
      </c>
      <c r="Q14" s="46">
        <v>1</v>
      </c>
      <c r="S14" s="46">
        <v>1</v>
      </c>
      <c r="W14" s="46">
        <v>12</v>
      </c>
      <c r="X14" s="46">
        <v>14</v>
      </c>
      <c r="Y14" s="46">
        <v>20</v>
      </c>
      <c r="Z14" s="46">
        <v>1</v>
      </c>
      <c r="AA14" s="46">
        <v>1</v>
      </c>
      <c r="AB14" s="46">
        <v>0</v>
      </c>
      <c r="AE14" s="46">
        <v>1</v>
      </c>
      <c r="AG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S14" s="46">
        <v>1</v>
      </c>
      <c r="BZ14" s="46">
        <v>1</v>
      </c>
      <c r="CC14" s="46">
        <v>1</v>
      </c>
      <c r="CI14" s="46">
        <v>1</v>
      </c>
      <c r="CP14" s="46">
        <v>1</v>
      </c>
      <c r="CR14" s="134">
        <v>45444</v>
      </c>
    </row>
    <row r="15" spans="1:96">
      <c r="A15" s="46" t="s">
        <v>4855</v>
      </c>
      <c r="B15" s="46" t="s">
        <v>4856</v>
      </c>
      <c r="C15" s="46">
        <v>62</v>
      </c>
      <c r="D15" s="46" t="s">
        <v>4857</v>
      </c>
      <c r="E15" s="46" t="s">
        <v>191</v>
      </c>
      <c r="F15" s="46" t="s">
        <v>2472</v>
      </c>
      <c r="I15" s="46">
        <v>1</v>
      </c>
      <c r="M15" s="46">
        <v>1</v>
      </c>
      <c r="R15" s="46">
        <v>1</v>
      </c>
      <c r="S15" s="46">
        <v>1</v>
      </c>
      <c r="W15" s="46">
        <v>8</v>
      </c>
      <c r="X15" s="46">
        <v>12</v>
      </c>
      <c r="Y15" s="46">
        <v>0</v>
      </c>
      <c r="Z15" s="46">
        <v>12</v>
      </c>
      <c r="AA15" s="46">
        <v>12</v>
      </c>
      <c r="AB15" s="46">
        <v>8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BS15" s="46">
        <v>1</v>
      </c>
      <c r="BZ15" s="46">
        <v>1</v>
      </c>
      <c r="CC15" s="46">
        <v>1</v>
      </c>
      <c r="CI15" s="46">
        <v>1</v>
      </c>
      <c r="CP15" s="46">
        <v>1</v>
      </c>
      <c r="CR15" s="134">
        <v>45444</v>
      </c>
    </row>
    <row r="16" spans="1:96">
      <c r="A16" s="46" t="s">
        <v>4858</v>
      </c>
      <c r="B16" s="46" t="s">
        <v>4859</v>
      </c>
      <c r="C16" s="46">
        <v>63</v>
      </c>
      <c r="D16" s="46" t="s">
        <v>4860</v>
      </c>
      <c r="E16" s="46" t="s">
        <v>4861</v>
      </c>
      <c r="F16" s="46" t="s">
        <v>2506</v>
      </c>
      <c r="H16" s="46">
        <v>1</v>
      </c>
      <c r="O16" s="46">
        <v>1</v>
      </c>
      <c r="R16" s="46">
        <v>1</v>
      </c>
      <c r="T16" s="46">
        <v>1</v>
      </c>
      <c r="W16" s="46">
        <v>16</v>
      </c>
      <c r="X16" s="46">
        <v>18</v>
      </c>
      <c r="Y16" s="46">
        <v>18</v>
      </c>
      <c r="Z16" s="46">
        <v>5</v>
      </c>
      <c r="AA16" s="46">
        <v>5</v>
      </c>
      <c r="AB16" s="46">
        <v>5</v>
      </c>
      <c r="AH16" s="46">
        <v>1</v>
      </c>
      <c r="AI16" s="46">
        <v>1</v>
      </c>
      <c r="AK16" s="46">
        <v>1</v>
      </c>
      <c r="AT16" s="46">
        <v>1</v>
      </c>
      <c r="AX16" s="46">
        <v>1</v>
      </c>
      <c r="BA16" s="46">
        <v>1</v>
      </c>
      <c r="BK16" s="46">
        <v>1</v>
      </c>
      <c r="BS16" s="46">
        <v>1</v>
      </c>
      <c r="BW16" s="46">
        <v>1</v>
      </c>
      <c r="BZ16" s="46">
        <v>1</v>
      </c>
      <c r="CC16" s="46">
        <v>1</v>
      </c>
      <c r="CI16" s="46">
        <v>1</v>
      </c>
      <c r="CP16" s="46">
        <v>1</v>
      </c>
      <c r="CR16" s="134">
        <v>45444</v>
      </c>
    </row>
    <row r="17" spans="1:96">
      <c r="A17" s="46" t="s">
        <v>4862</v>
      </c>
      <c r="B17" s="46" t="s">
        <v>4863</v>
      </c>
      <c r="C17" s="46">
        <v>37</v>
      </c>
      <c r="D17" s="46" t="s">
        <v>4864</v>
      </c>
      <c r="E17" s="46" t="s">
        <v>4865</v>
      </c>
      <c r="F17" s="46" t="s">
        <v>2472</v>
      </c>
      <c r="H17" s="46">
        <v>1</v>
      </c>
      <c r="O17" s="46">
        <v>1</v>
      </c>
      <c r="Q17" s="46">
        <v>1</v>
      </c>
      <c r="T17" s="46">
        <v>1</v>
      </c>
      <c r="W17" s="46">
        <v>15</v>
      </c>
      <c r="X17" s="46">
        <v>15</v>
      </c>
      <c r="Y17" s="46">
        <v>18</v>
      </c>
      <c r="Z17" s="46">
        <v>7</v>
      </c>
      <c r="AA17" s="46">
        <v>7</v>
      </c>
      <c r="AB17" s="46">
        <v>6</v>
      </c>
      <c r="AH17" s="46">
        <v>1</v>
      </c>
      <c r="AJ17" s="46">
        <v>1</v>
      </c>
      <c r="AK17" s="46">
        <v>1</v>
      </c>
      <c r="AT17" s="46">
        <v>1</v>
      </c>
      <c r="AX17" s="46">
        <v>1</v>
      </c>
      <c r="BA17" s="46">
        <v>1</v>
      </c>
      <c r="BH17" s="46">
        <v>1</v>
      </c>
      <c r="BV17" s="46">
        <v>1</v>
      </c>
      <c r="BW17" s="46">
        <v>1</v>
      </c>
      <c r="BZ17" s="46">
        <v>1</v>
      </c>
      <c r="CC17" s="46">
        <v>1</v>
      </c>
      <c r="CI17" s="46">
        <v>1</v>
      </c>
      <c r="CP17" s="46">
        <v>1</v>
      </c>
      <c r="CR17" s="134">
        <v>45809</v>
      </c>
    </row>
    <row r="18" spans="1:96">
      <c r="A18" s="46" t="s">
        <v>4866</v>
      </c>
      <c r="B18" s="46" t="s">
        <v>4867</v>
      </c>
      <c r="C18" s="46">
        <v>50</v>
      </c>
      <c r="D18" s="46" t="s">
        <v>4868</v>
      </c>
      <c r="E18" s="46" t="s">
        <v>191</v>
      </c>
      <c r="F18" s="46" t="s">
        <v>2472</v>
      </c>
      <c r="H18" s="46">
        <v>1</v>
      </c>
      <c r="M18" s="46">
        <v>1</v>
      </c>
      <c r="Q18" s="46">
        <v>1</v>
      </c>
      <c r="T18" s="46">
        <v>1</v>
      </c>
      <c r="W18" s="46">
        <v>12</v>
      </c>
      <c r="X18" s="46">
        <v>14</v>
      </c>
      <c r="Y18" s="46">
        <v>17</v>
      </c>
      <c r="Z18" s="46">
        <v>15</v>
      </c>
      <c r="AA18" s="46">
        <v>10</v>
      </c>
      <c r="AB18" s="46">
        <v>10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B18" s="46">
        <v>1</v>
      </c>
      <c r="BF18" s="46">
        <v>1</v>
      </c>
      <c r="BJ18" s="46">
        <v>1</v>
      </c>
      <c r="BZ18" s="46">
        <v>1</v>
      </c>
      <c r="CI18" s="46">
        <v>1</v>
      </c>
      <c r="CP18" s="46">
        <v>1</v>
      </c>
      <c r="CR18" s="134">
        <v>46539</v>
      </c>
    </row>
    <row r="19" spans="1:96">
      <c r="A19" s="46" t="s">
        <v>4869</v>
      </c>
      <c r="B19" s="46" t="s">
        <v>4870</v>
      </c>
      <c r="C19" s="46">
        <v>38</v>
      </c>
      <c r="D19" s="46" t="s">
        <v>4871</v>
      </c>
      <c r="E19" s="46" t="s">
        <v>4872</v>
      </c>
      <c r="F19" s="46" t="s">
        <v>2472</v>
      </c>
      <c r="H19" s="46">
        <v>1</v>
      </c>
      <c r="M19" s="46">
        <v>1</v>
      </c>
      <c r="R19" s="46">
        <v>1</v>
      </c>
      <c r="T19" s="46">
        <v>1</v>
      </c>
      <c r="W19" s="46">
        <v>18</v>
      </c>
      <c r="X19" s="46">
        <v>18</v>
      </c>
      <c r="Y19" s="46">
        <v>20</v>
      </c>
      <c r="Z19" s="46">
        <v>6</v>
      </c>
      <c r="AA19" s="46">
        <v>6</v>
      </c>
      <c r="AB19" s="46">
        <v>6</v>
      </c>
      <c r="AE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X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P19" s="46">
        <v>1</v>
      </c>
      <c r="CR19" s="134">
        <v>46539</v>
      </c>
    </row>
    <row r="20" spans="1:96">
      <c r="A20" s="46" t="s">
        <v>4873</v>
      </c>
      <c r="B20" s="46" t="s">
        <v>4874</v>
      </c>
      <c r="C20" s="46">
        <v>38</v>
      </c>
      <c r="D20" s="46" t="s">
        <v>1530</v>
      </c>
      <c r="E20" s="46" t="s">
        <v>4875</v>
      </c>
      <c r="F20" s="46" t="s">
        <v>2472</v>
      </c>
      <c r="H20" s="46">
        <v>1</v>
      </c>
      <c r="M20" s="46">
        <v>1</v>
      </c>
      <c r="R20" s="46">
        <v>1</v>
      </c>
      <c r="T20" s="46">
        <v>1</v>
      </c>
      <c r="W20" s="46">
        <v>14</v>
      </c>
      <c r="X20" s="46">
        <v>15</v>
      </c>
      <c r="Y20" s="46">
        <v>16</v>
      </c>
      <c r="Z20" s="46">
        <v>8</v>
      </c>
      <c r="AA20" s="46">
        <v>7</v>
      </c>
      <c r="AB20" s="46">
        <v>6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Z20" s="46">
        <v>1</v>
      </c>
      <c r="CC20" s="46">
        <v>1</v>
      </c>
      <c r="CI20" s="46">
        <v>1</v>
      </c>
      <c r="CP20" s="46">
        <v>1</v>
      </c>
      <c r="CR20" s="134">
        <v>46539</v>
      </c>
    </row>
    <row r="21" spans="1:96">
      <c r="A21" s="46" t="s">
        <v>4876</v>
      </c>
      <c r="B21" s="46" t="s">
        <v>4877</v>
      </c>
      <c r="C21" s="46">
        <v>34</v>
      </c>
      <c r="D21" s="46" t="s">
        <v>1469</v>
      </c>
      <c r="E21" s="46" t="s">
        <v>191</v>
      </c>
      <c r="F21" s="46" t="s">
        <v>2472</v>
      </c>
      <c r="H21" s="46">
        <v>1</v>
      </c>
      <c r="M21" s="46">
        <v>1</v>
      </c>
      <c r="Q21" s="46">
        <v>1</v>
      </c>
      <c r="T21" s="46">
        <v>1</v>
      </c>
      <c r="W21" s="46">
        <v>16</v>
      </c>
      <c r="X21" s="46">
        <v>18</v>
      </c>
      <c r="Y21" s="46">
        <v>19</v>
      </c>
      <c r="Z21" s="46">
        <v>7</v>
      </c>
      <c r="AA21" s="46">
        <v>5</v>
      </c>
      <c r="AB21" s="46">
        <v>5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B21" s="46">
        <v>1</v>
      </c>
      <c r="BF21" s="46">
        <v>1</v>
      </c>
      <c r="BI21" s="46">
        <v>1</v>
      </c>
      <c r="BW21" s="46">
        <v>1</v>
      </c>
      <c r="BZ21" s="46">
        <v>1</v>
      </c>
      <c r="CC21" s="46">
        <v>1</v>
      </c>
      <c r="CI21" s="46">
        <v>1</v>
      </c>
      <c r="CP21" s="46">
        <v>1</v>
      </c>
      <c r="CR21" s="134">
        <v>46539</v>
      </c>
    </row>
    <row r="22" spans="1:96">
      <c r="A22" s="46" t="s">
        <v>4878</v>
      </c>
      <c r="B22" s="46" t="s">
        <v>4879</v>
      </c>
      <c r="C22" s="46">
        <v>16</v>
      </c>
      <c r="D22" s="46" t="s">
        <v>1539</v>
      </c>
      <c r="E22" s="46" t="s">
        <v>191</v>
      </c>
      <c r="F22" s="46" t="s">
        <v>145</v>
      </c>
      <c r="I22" s="46">
        <v>1</v>
      </c>
      <c r="M22" s="46">
        <v>1</v>
      </c>
      <c r="Q22" s="46">
        <v>1</v>
      </c>
      <c r="T22" s="46">
        <v>1</v>
      </c>
      <c r="W22" s="46">
        <v>13</v>
      </c>
      <c r="X22" s="46">
        <v>14</v>
      </c>
      <c r="Y22" s="46">
        <v>15</v>
      </c>
      <c r="Z22" s="46">
        <v>1</v>
      </c>
      <c r="AA22" s="46">
        <v>1</v>
      </c>
      <c r="AB22" s="46">
        <v>1</v>
      </c>
      <c r="AE22" s="46">
        <v>1</v>
      </c>
      <c r="AG22" s="46">
        <v>1</v>
      </c>
      <c r="AH22" s="46">
        <v>1</v>
      </c>
      <c r="AJ22" s="46">
        <v>1</v>
      </c>
      <c r="AM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CA22" s="46">
        <v>1</v>
      </c>
      <c r="CB22" s="46">
        <v>2024</v>
      </c>
      <c r="CC22" s="46">
        <v>1</v>
      </c>
      <c r="CI22" s="46">
        <v>1</v>
      </c>
      <c r="CP22" s="46">
        <v>1</v>
      </c>
      <c r="CR22" s="134">
        <v>46539</v>
      </c>
    </row>
    <row r="23" spans="1:96">
      <c r="A23" s="46" t="s">
        <v>4880</v>
      </c>
      <c r="B23" s="46" t="s">
        <v>4881</v>
      </c>
      <c r="C23" s="46">
        <v>20</v>
      </c>
      <c r="D23" s="46" t="s">
        <v>1530</v>
      </c>
      <c r="E23" s="46" t="s">
        <v>4882</v>
      </c>
      <c r="F23" s="46" t="s">
        <v>2472</v>
      </c>
      <c r="H23" s="46">
        <v>1</v>
      </c>
      <c r="M23" s="46">
        <v>1</v>
      </c>
      <c r="R23" s="46">
        <v>1</v>
      </c>
      <c r="T23" s="46">
        <v>1</v>
      </c>
      <c r="W23" s="46">
        <v>15</v>
      </c>
      <c r="X23" s="46">
        <v>15</v>
      </c>
      <c r="Y23" s="46">
        <v>17</v>
      </c>
      <c r="Z23" s="46">
        <v>2</v>
      </c>
      <c r="AA23" s="46">
        <v>2</v>
      </c>
      <c r="AB23" s="46">
        <v>2</v>
      </c>
      <c r="AD23" s="46">
        <v>1</v>
      </c>
      <c r="AE23" s="46">
        <v>1</v>
      </c>
      <c r="AG23" s="46">
        <v>1</v>
      </c>
      <c r="AH23" s="46">
        <v>1</v>
      </c>
      <c r="AJ23" s="46">
        <v>1</v>
      </c>
      <c r="AK23" s="46">
        <v>1</v>
      </c>
      <c r="AT23" s="46">
        <v>1</v>
      </c>
      <c r="AX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R23" s="134">
        <v>46539</v>
      </c>
    </row>
    <row r="24" spans="1:96">
      <c r="A24" s="46" t="s">
        <v>4883</v>
      </c>
      <c r="B24" s="46" t="s">
        <v>3785</v>
      </c>
      <c r="C24" s="46">
        <v>38</v>
      </c>
      <c r="D24" s="46" t="s">
        <v>1505</v>
      </c>
      <c r="E24" s="46" t="s">
        <v>4884</v>
      </c>
      <c r="F24" s="46" t="s">
        <v>2472</v>
      </c>
      <c r="H24" s="46">
        <v>1</v>
      </c>
      <c r="M24" s="46">
        <v>1</v>
      </c>
      <c r="Q24" s="46">
        <v>1</v>
      </c>
      <c r="T24" s="46">
        <v>1</v>
      </c>
      <c r="W24" s="46">
        <v>17</v>
      </c>
      <c r="X24" s="46">
        <v>19</v>
      </c>
      <c r="Y24" s="46">
        <v>19</v>
      </c>
      <c r="Z24" s="46">
        <v>7</v>
      </c>
      <c r="AA24" s="46">
        <v>7</v>
      </c>
      <c r="AB24" s="46">
        <v>7</v>
      </c>
      <c r="AE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W24" s="46">
        <v>1</v>
      </c>
      <c r="BZ24" s="46">
        <v>1</v>
      </c>
      <c r="CC24" s="46">
        <v>1</v>
      </c>
      <c r="CI24" s="46">
        <v>1</v>
      </c>
      <c r="CP24" s="46">
        <v>1</v>
      </c>
      <c r="CR24" s="134">
        <v>46539</v>
      </c>
    </row>
    <row r="25" spans="1:96">
      <c r="A25" s="46" t="s">
        <v>4885</v>
      </c>
      <c r="B25" s="46" t="s">
        <v>4886</v>
      </c>
      <c r="C25" s="46">
        <v>34</v>
      </c>
      <c r="D25" s="46" t="s">
        <v>4871</v>
      </c>
      <c r="E25" s="46" t="s">
        <v>191</v>
      </c>
      <c r="F25" s="46" t="s">
        <v>2506</v>
      </c>
      <c r="H25" s="46">
        <v>1</v>
      </c>
      <c r="M25" s="46">
        <v>1</v>
      </c>
      <c r="Q25" s="46">
        <v>1</v>
      </c>
      <c r="S25" s="46">
        <v>1</v>
      </c>
      <c r="W25" s="46">
        <v>18</v>
      </c>
      <c r="X25" s="46">
        <v>20</v>
      </c>
      <c r="Y25" s="46">
        <v>20</v>
      </c>
      <c r="Z25" s="46">
        <v>8</v>
      </c>
      <c r="AA25" s="46">
        <v>8</v>
      </c>
      <c r="AB25" s="46">
        <v>6</v>
      </c>
      <c r="AE25" s="46">
        <v>1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CA25" s="46">
        <v>1</v>
      </c>
      <c r="CB25" s="46">
        <v>2023</v>
      </c>
      <c r="CC25" s="46">
        <v>1</v>
      </c>
      <c r="CI25" s="46">
        <v>1</v>
      </c>
      <c r="CP25" s="46">
        <v>1</v>
      </c>
      <c r="CR25" s="134">
        <v>46539</v>
      </c>
    </row>
    <row r="26" spans="1:96">
      <c r="A26" s="46" t="s">
        <v>4887</v>
      </c>
      <c r="B26" s="46" t="s">
        <v>4888</v>
      </c>
      <c r="C26" s="46">
        <v>18</v>
      </c>
      <c r="D26" s="46" t="s">
        <v>1505</v>
      </c>
      <c r="E26" s="46" t="s">
        <v>191</v>
      </c>
      <c r="F26" s="46" t="s">
        <v>2472</v>
      </c>
      <c r="J26" s="46">
        <v>1</v>
      </c>
      <c r="M26" s="46">
        <v>1</v>
      </c>
      <c r="Q26" s="46">
        <v>1</v>
      </c>
      <c r="T26" s="46">
        <v>1</v>
      </c>
      <c r="W26" s="46">
        <v>13</v>
      </c>
      <c r="X26" s="46">
        <v>15</v>
      </c>
      <c r="Y26" s="46">
        <v>0</v>
      </c>
      <c r="Z26" s="46">
        <v>0</v>
      </c>
      <c r="AA26" s="46">
        <v>0</v>
      </c>
      <c r="AB26" s="46">
        <v>0</v>
      </c>
      <c r="AH26" s="46">
        <v>1</v>
      </c>
      <c r="AI26" s="46">
        <v>1</v>
      </c>
      <c r="AM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P26" s="46">
        <v>1</v>
      </c>
      <c r="CR26" s="134">
        <v>46539</v>
      </c>
    </row>
    <row r="27" spans="1:96">
      <c r="A27" s="46" t="s">
        <v>4889</v>
      </c>
      <c r="B27" s="46" t="s">
        <v>4890</v>
      </c>
      <c r="C27" s="46">
        <v>40</v>
      </c>
      <c r="D27" s="46" t="s">
        <v>1505</v>
      </c>
      <c r="E27" s="46" t="s">
        <v>4891</v>
      </c>
      <c r="F27" s="46" t="s">
        <v>2472</v>
      </c>
      <c r="G27" s="46">
        <v>1</v>
      </c>
      <c r="M27" s="46">
        <v>1</v>
      </c>
      <c r="Q27" s="46">
        <v>1</v>
      </c>
      <c r="U27" s="46">
        <v>1</v>
      </c>
      <c r="W27" s="46">
        <v>16</v>
      </c>
      <c r="X27" s="46">
        <v>20</v>
      </c>
      <c r="Y27" s="46">
        <v>20</v>
      </c>
      <c r="Z27" s="46">
        <v>9</v>
      </c>
      <c r="AA27" s="46">
        <v>9</v>
      </c>
      <c r="AB27" s="46">
        <v>8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R27" s="134">
        <v>46539</v>
      </c>
    </row>
    <row r="28" spans="1:96">
      <c r="A28" s="46" t="s">
        <v>4892</v>
      </c>
      <c r="B28" s="46" t="s">
        <v>4893</v>
      </c>
      <c r="C28" s="46">
        <v>43</v>
      </c>
      <c r="D28" s="46" t="s">
        <v>1530</v>
      </c>
      <c r="E28" s="46" t="s">
        <v>191</v>
      </c>
      <c r="F28" s="46" t="s">
        <v>2472</v>
      </c>
      <c r="H28" s="46">
        <v>1</v>
      </c>
      <c r="M28" s="46">
        <v>1</v>
      </c>
      <c r="R28" s="46">
        <v>1</v>
      </c>
      <c r="S28" s="46">
        <v>1</v>
      </c>
      <c r="W28" s="46">
        <v>15</v>
      </c>
      <c r="X28" s="46">
        <v>20</v>
      </c>
      <c r="Y28" s="46">
        <v>21</v>
      </c>
      <c r="Z28" s="46">
        <v>10</v>
      </c>
      <c r="AA28" s="46">
        <v>10</v>
      </c>
      <c r="AB28" s="46">
        <v>9</v>
      </c>
      <c r="AC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P28" s="46">
        <v>1</v>
      </c>
      <c r="CR28" s="134">
        <v>46539</v>
      </c>
    </row>
    <row r="29" spans="1:96">
      <c r="A29" s="46" t="s">
        <v>4894</v>
      </c>
      <c r="B29" s="46" t="s">
        <v>4895</v>
      </c>
      <c r="C29" s="46">
        <v>40</v>
      </c>
      <c r="D29" s="46" t="s">
        <v>1505</v>
      </c>
      <c r="E29" s="46" t="s">
        <v>4896</v>
      </c>
      <c r="F29" s="46" t="s">
        <v>2472</v>
      </c>
      <c r="H29" s="46">
        <v>1</v>
      </c>
      <c r="M29" s="46">
        <v>1</v>
      </c>
      <c r="R29" s="46">
        <v>1</v>
      </c>
      <c r="S29" s="46">
        <v>1</v>
      </c>
      <c r="AM29" s="46">
        <v>1</v>
      </c>
      <c r="BI29" s="46">
        <v>1</v>
      </c>
      <c r="BW29" s="46">
        <v>1</v>
      </c>
      <c r="BZ29" s="46">
        <v>1</v>
      </c>
      <c r="CC29" s="46">
        <v>1</v>
      </c>
      <c r="CI29" s="46">
        <v>1</v>
      </c>
      <c r="CP29" s="46">
        <v>1</v>
      </c>
      <c r="CR29" s="134">
        <v>46539</v>
      </c>
    </row>
    <row r="30" spans="1:96">
      <c r="A30" s="46" t="s">
        <v>4897</v>
      </c>
      <c r="B30" s="46" t="s">
        <v>4898</v>
      </c>
      <c r="C30" s="46">
        <v>29</v>
      </c>
      <c r="D30" s="46" t="s">
        <v>1539</v>
      </c>
      <c r="E30" s="46" t="s">
        <v>4899</v>
      </c>
      <c r="F30" s="46" t="s">
        <v>2472</v>
      </c>
      <c r="J30" s="46">
        <v>1</v>
      </c>
      <c r="M30" s="46">
        <v>1</v>
      </c>
      <c r="Q30" s="46">
        <v>1</v>
      </c>
      <c r="T30" s="46">
        <v>1</v>
      </c>
      <c r="W30" s="46">
        <v>16</v>
      </c>
      <c r="X30" s="46">
        <v>18</v>
      </c>
      <c r="Y30" s="46">
        <v>18</v>
      </c>
      <c r="Z30" s="46">
        <v>5</v>
      </c>
      <c r="AA30" s="46">
        <v>5</v>
      </c>
      <c r="AB30" s="46">
        <v>5</v>
      </c>
      <c r="AE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46">
        <v>1</v>
      </c>
      <c r="CC30" s="46">
        <v>1</v>
      </c>
      <c r="CI30" s="46">
        <v>1</v>
      </c>
      <c r="CP30" s="46">
        <v>1</v>
      </c>
      <c r="CR30" s="134">
        <v>46539</v>
      </c>
    </row>
    <row r="31" spans="1:96">
      <c r="A31" s="46" t="s">
        <v>4900</v>
      </c>
      <c r="B31" s="46" t="s">
        <v>4901</v>
      </c>
      <c r="C31" s="46">
        <v>32</v>
      </c>
      <c r="D31" s="46" t="s">
        <v>4902</v>
      </c>
      <c r="E31" s="46" t="s">
        <v>4903</v>
      </c>
      <c r="F31" s="46" t="s">
        <v>2472</v>
      </c>
      <c r="H31" s="46">
        <v>1</v>
      </c>
      <c r="O31" s="46">
        <v>1</v>
      </c>
      <c r="Q31" s="46">
        <v>1</v>
      </c>
      <c r="T31" s="46">
        <v>1</v>
      </c>
      <c r="W31" s="46">
        <v>16</v>
      </c>
      <c r="X31" s="46">
        <v>16</v>
      </c>
      <c r="Y31" s="46">
        <v>22</v>
      </c>
      <c r="Z31" s="46">
        <v>2</v>
      </c>
      <c r="AA31" s="46">
        <v>2</v>
      </c>
      <c r="AB31" s="46">
        <v>2</v>
      </c>
      <c r="AE31" s="46">
        <v>1</v>
      </c>
      <c r="AI31" s="46">
        <v>1</v>
      </c>
      <c r="AL31" s="46">
        <v>1</v>
      </c>
      <c r="AS31" s="46">
        <v>1</v>
      </c>
      <c r="AT31" s="46">
        <v>1</v>
      </c>
      <c r="AZ31" s="46">
        <v>1</v>
      </c>
      <c r="BB31" s="46">
        <v>1</v>
      </c>
      <c r="BF31" s="46">
        <v>1</v>
      </c>
      <c r="BI31" s="46">
        <v>1</v>
      </c>
      <c r="BZ31" s="46">
        <v>1</v>
      </c>
      <c r="CC31" s="46">
        <v>1</v>
      </c>
      <c r="CI31" s="46">
        <v>1</v>
      </c>
      <c r="CP31" s="46">
        <v>1</v>
      </c>
      <c r="CR31" s="134">
        <v>46539</v>
      </c>
    </row>
    <row r="32" spans="1:96">
      <c r="A32" s="46" t="s">
        <v>4904</v>
      </c>
      <c r="B32" s="46" t="s">
        <v>4905</v>
      </c>
      <c r="C32" s="46">
        <v>38</v>
      </c>
      <c r="D32" s="46" t="s">
        <v>4871</v>
      </c>
      <c r="E32" s="46" t="s">
        <v>191</v>
      </c>
      <c r="F32" s="46" t="s">
        <v>2472</v>
      </c>
      <c r="H32" s="46">
        <v>1</v>
      </c>
      <c r="M32" s="46">
        <v>1</v>
      </c>
      <c r="Q32" s="46">
        <v>1</v>
      </c>
      <c r="T32" s="46">
        <v>1</v>
      </c>
      <c r="W32" s="46">
        <v>16</v>
      </c>
      <c r="X32" s="46">
        <v>18</v>
      </c>
      <c r="Y32" s="46">
        <v>19</v>
      </c>
      <c r="Z32" s="46">
        <v>6</v>
      </c>
      <c r="AA32" s="46">
        <v>6</v>
      </c>
      <c r="AB32" s="46">
        <v>6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C32" s="46">
        <v>1</v>
      </c>
      <c r="CI32" s="46">
        <v>1</v>
      </c>
      <c r="CP32" s="46">
        <v>1</v>
      </c>
      <c r="CR32" s="134">
        <v>46539</v>
      </c>
    </row>
    <row r="33" spans="1:96">
      <c r="A33" s="46" t="s">
        <v>4906</v>
      </c>
      <c r="B33" s="46" t="s">
        <v>4907</v>
      </c>
      <c r="C33" s="46">
        <v>49</v>
      </c>
      <c r="D33" s="46" t="s">
        <v>4871</v>
      </c>
      <c r="E33" s="46" t="s">
        <v>4908</v>
      </c>
      <c r="F33" s="46" t="s">
        <v>145</v>
      </c>
      <c r="H33" s="46">
        <v>1</v>
      </c>
      <c r="M33" s="46">
        <v>1</v>
      </c>
      <c r="Q33" s="46">
        <v>1</v>
      </c>
      <c r="T33" s="46">
        <v>1</v>
      </c>
      <c r="W33" s="46">
        <v>20</v>
      </c>
      <c r="X33" s="46">
        <v>22</v>
      </c>
      <c r="Y33" s="46">
        <v>30</v>
      </c>
      <c r="Z33" s="46">
        <v>11</v>
      </c>
      <c r="AA33" s="46">
        <v>11</v>
      </c>
      <c r="AB33" s="46">
        <v>9</v>
      </c>
      <c r="AC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Z33" s="46">
        <v>1</v>
      </c>
      <c r="CC33" s="46">
        <v>1</v>
      </c>
      <c r="CI33" s="46">
        <v>1</v>
      </c>
      <c r="CP33" s="46">
        <v>1</v>
      </c>
      <c r="CR33" s="134">
        <v>46539</v>
      </c>
    </row>
    <row r="34" spans="1:96">
      <c r="A34" s="46" t="s">
        <v>4909</v>
      </c>
      <c r="B34" s="46" t="s">
        <v>4910</v>
      </c>
      <c r="C34" s="46">
        <v>21</v>
      </c>
      <c r="D34" s="46" t="s">
        <v>4871</v>
      </c>
      <c r="E34" s="46" t="s">
        <v>4911</v>
      </c>
      <c r="F34" s="46" t="s">
        <v>2472</v>
      </c>
      <c r="H34" s="46">
        <v>1</v>
      </c>
      <c r="M34" s="46">
        <v>1</v>
      </c>
      <c r="Q34" s="46">
        <v>1</v>
      </c>
      <c r="T34" s="46">
        <v>1</v>
      </c>
      <c r="W34" s="46">
        <v>15</v>
      </c>
      <c r="X34" s="46">
        <v>15</v>
      </c>
      <c r="Y34" s="46">
        <v>17</v>
      </c>
      <c r="Z34" s="46">
        <v>4</v>
      </c>
      <c r="AA34" s="46">
        <v>3</v>
      </c>
      <c r="AB34" s="46">
        <v>3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C34" s="46">
        <v>1</v>
      </c>
      <c r="CI34" s="46">
        <v>1</v>
      </c>
      <c r="CP34" s="46">
        <v>1</v>
      </c>
      <c r="CR34" s="134">
        <v>46539</v>
      </c>
    </row>
    <row r="35" spans="1:96">
      <c r="A35" s="46" t="s">
        <v>4912</v>
      </c>
      <c r="B35" s="46" t="s">
        <v>4913</v>
      </c>
      <c r="C35" s="46">
        <v>20</v>
      </c>
      <c r="D35" s="46" t="s">
        <v>1505</v>
      </c>
      <c r="E35" s="46" t="s">
        <v>191</v>
      </c>
      <c r="F35" s="46" t="s">
        <v>2472</v>
      </c>
      <c r="H35" s="46">
        <v>1</v>
      </c>
      <c r="M35" s="46">
        <v>1</v>
      </c>
      <c r="Q35" s="46">
        <v>1</v>
      </c>
      <c r="T35" s="46">
        <v>1</v>
      </c>
      <c r="W35" s="46">
        <v>12</v>
      </c>
      <c r="X35" s="46">
        <v>13</v>
      </c>
      <c r="Y35" s="46">
        <v>16</v>
      </c>
      <c r="Z35" s="46">
        <v>2</v>
      </c>
      <c r="AA35" s="46">
        <v>2</v>
      </c>
      <c r="AB35" s="46">
        <v>2</v>
      </c>
      <c r="AG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Z35" s="46">
        <v>1</v>
      </c>
      <c r="CC35" s="46">
        <v>1</v>
      </c>
      <c r="CI35" s="46">
        <v>1</v>
      </c>
      <c r="CP35" s="46">
        <v>1</v>
      </c>
      <c r="CR35" s="134">
        <v>46539</v>
      </c>
    </row>
    <row r="36" spans="1:96">
      <c r="A36" s="46" t="s">
        <v>4914</v>
      </c>
      <c r="B36" s="46" t="s">
        <v>4915</v>
      </c>
      <c r="C36" s="46">
        <v>27</v>
      </c>
      <c r="D36" s="46" t="s">
        <v>1505</v>
      </c>
      <c r="E36" s="46" t="s">
        <v>4916</v>
      </c>
      <c r="F36" s="46" t="s">
        <v>2472</v>
      </c>
      <c r="H36" s="46">
        <v>1</v>
      </c>
      <c r="M36" s="46">
        <v>1</v>
      </c>
      <c r="Q36" s="46">
        <v>1</v>
      </c>
      <c r="T36" s="46">
        <v>1</v>
      </c>
      <c r="W36" s="46">
        <v>18</v>
      </c>
      <c r="X36" s="46">
        <v>18</v>
      </c>
      <c r="Y36" s="46">
        <v>23</v>
      </c>
      <c r="Z36" s="46">
        <v>6</v>
      </c>
      <c r="AA36" s="46">
        <v>6</v>
      </c>
      <c r="AB36" s="46">
        <v>4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W36" s="46">
        <v>1</v>
      </c>
      <c r="BZ36" s="46">
        <v>1</v>
      </c>
      <c r="CC36" s="46">
        <v>1</v>
      </c>
      <c r="CI36" s="46">
        <v>1</v>
      </c>
      <c r="CP36" s="46">
        <v>1</v>
      </c>
      <c r="CR36" s="134">
        <v>46539</v>
      </c>
    </row>
    <row r="37" spans="1:96">
      <c r="A37" s="46" t="s">
        <v>4917</v>
      </c>
      <c r="B37" s="46" t="s">
        <v>4918</v>
      </c>
      <c r="C37" s="46">
        <v>24</v>
      </c>
      <c r="D37" s="46" t="s">
        <v>1505</v>
      </c>
      <c r="E37" s="46" t="s">
        <v>4919</v>
      </c>
      <c r="F37" s="46" t="s">
        <v>2472</v>
      </c>
      <c r="J37" s="46">
        <v>1</v>
      </c>
      <c r="M37" s="46">
        <v>1</v>
      </c>
      <c r="Q37" s="46">
        <v>1</v>
      </c>
      <c r="T37" s="46">
        <v>1</v>
      </c>
      <c r="W37" s="46">
        <v>14</v>
      </c>
      <c r="X37" s="46">
        <v>18</v>
      </c>
      <c r="Y37" s="46">
        <v>19</v>
      </c>
      <c r="Z37" s="46">
        <v>3</v>
      </c>
      <c r="AA37" s="46">
        <v>2</v>
      </c>
      <c r="AB37" s="46">
        <v>2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W37" s="46">
        <v>1</v>
      </c>
      <c r="BZ37" s="46">
        <v>1</v>
      </c>
      <c r="CC37" s="46">
        <v>1</v>
      </c>
      <c r="CI37" s="46">
        <v>1</v>
      </c>
      <c r="CP37" s="46">
        <v>1</v>
      </c>
      <c r="CR37" s="134">
        <v>46539</v>
      </c>
    </row>
    <row r="38" spans="1:96">
      <c r="A38" s="46" t="s">
        <v>4920</v>
      </c>
      <c r="B38" s="46" t="s">
        <v>4921</v>
      </c>
      <c r="C38" s="46">
        <v>48</v>
      </c>
      <c r="D38" s="46" t="s">
        <v>1505</v>
      </c>
      <c r="E38" s="46" t="s">
        <v>4922</v>
      </c>
      <c r="F38" s="46" t="s">
        <v>2484</v>
      </c>
      <c r="H38" s="46">
        <v>1</v>
      </c>
      <c r="O38" s="46">
        <v>1</v>
      </c>
      <c r="R38" s="46">
        <v>1</v>
      </c>
      <c r="T38" s="46">
        <v>1</v>
      </c>
      <c r="W38" s="46">
        <v>16</v>
      </c>
      <c r="X38" s="46">
        <v>18</v>
      </c>
      <c r="Y38" s="46">
        <v>20</v>
      </c>
      <c r="Z38" s="46">
        <v>10</v>
      </c>
      <c r="AA38" s="46">
        <v>10</v>
      </c>
      <c r="AB38" s="46">
        <v>8</v>
      </c>
      <c r="AG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W38" s="46">
        <v>1</v>
      </c>
      <c r="BZ38" s="46">
        <v>1</v>
      </c>
      <c r="CC38" s="46">
        <v>1</v>
      </c>
      <c r="CI38" s="46">
        <v>1</v>
      </c>
      <c r="CP38" s="46">
        <v>1</v>
      </c>
      <c r="CR38" s="134">
        <v>46539</v>
      </c>
    </row>
    <row r="39" spans="1:96">
      <c r="A39" s="46" t="s">
        <v>4923</v>
      </c>
      <c r="B39" s="46" t="s">
        <v>4924</v>
      </c>
      <c r="C39" s="46">
        <v>31</v>
      </c>
      <c r="D39" s="46" t="s">
        <v>4871</v>
      </c>
      <c r="E39" s="46" t="s">
        <v>4925</v>
      </c>
      <c r="F39" s="46" t="s">
        <v>2506</v>
      </c>
      <c r="H39" s="46">
        <v>1</v>
      </c>
      <c r="M39" s="46">
        <v>1</v>
      </c>
      <c r="Q39" s="46">
        <v>1</v>
      </c>
      <c r="T39" s="46">
        <v>1</v>
      </c>
      <c r="W39" s="46">
        <v>18</v>
      </c>
      <c r="X39" s="46">
        <v>19</v>
      </c>
      <c r="Y39" s="46">
        <v>21</v>
      </c>
      <c r="Z39" s="46">
        <v>6</v>
      </c>
      <c r="AA39" s="46">
        <v>6</v>
      </c>
      <c r="AB39" s="46">
        <v>6</v>
      </c>
      <c r="AC39" s="46">
        <v>1</v>
      </c>
      <c r="AJ39" s="46">
        <v>1</v>
      </c>
      <c r="AM39" s="46">
        <v>1</v>
      </c>
      <c r="AT39" s="46">
        <v>1</v>
      </c>
      <c r="AW39" s="46">
        <v>1</v>
      </c>
      <c r="BA39" s="46">
        <v>1</v>
      </c>
      <c r="BI39" s="46">
        <v>1</v>
      </c>
      <c r="BZ39" s="46">
        <v>1</v>
      </c>
      <c r="CC39" s="46">
        <v>1</v>
      </c>
      <c r="CI39" s="46">
        <v>1</v>
      </c>
      <c r="CP39" s="46">
        <v>1</v>
      </c>
      <c r="CR39" s="134">
        <v>46539</v>
      </c>
    </row>
    <row r="40" spans="1:96">
      <c r="A40" s="46" t="s">
        <v>4926</v>
      </c>
      <c r="B40" s="46" t="s">
        <v>4927</v>
      </c>
      <c r="C40" s="46">
        <v>36</v>
      </c>
      <c r="D40" s="46" t="s">
        <v>4928</v>
      </c>
      <c r="E40" s="46" t="s">
        <v>4929</v>
      </c>
      <c r="F40" s="46" t="s">
        <v>2484</v>
      </c>
      <c r="H40" s="46">
        <v>1</v>
      </c>
      <c r="M40" s="46">
        <v>1</v>
      </c>
      <c r="R40" s="46">
        <v>1</v>
      </c>
      <c r="U40" s="46">
        <v>1</v>
      </c>
      <c r="W40" s="46">
        <v>18</v>
      </c>
      <c r="X40" s="46">
        <v>19</v>
      </c>
      <c r="Y40" s="46">
        <v>22</v>
      </c>
      <c r="Z40" s="46">
        <v>4</v>
      </c>
      <c r="AA40" s="46">
        <v>4</v>
      </c>
      <c r="AB40" s="46">
        <v>4</v>
      </c>
      <c r="AE40" s="46">
        <v>1</v>
      </c>
      <c r="AG40" s="46">
        <v>1</v>
      </c>
      <c r="AH40" s="46">
        <v>1</v>
      </c>
      <c r="AJ40" s="46">
        <v>1</v>
      </c>
      <c r="AK40" s="46">
        <v>1</v>
      </c>
      <c r="AT40" s="46">
        <v>1</v>
      </c>
      <c r="AX40" s="46">
        <v>1</v>
      </c>
      <c r="BA40" s="46">
        <v>1</v>
      </c>
      <c r="BI40" s="46">
        <v>1</v>
      </c>
      <c r="BW40" s="46">
        <v>1</v>
      </c>
      <c r="BZ40" s="46">
        <v>1</v>
      </c>
      <c r="CC40" s="46">
        <v>1</v>
      </c>
      <c r="CI40" s="46">
        <v>1</v>
      </c>
      <c r="CP40" s="46">
        <v>1</v>
      </c>
      <c r="CR40" s="134">
        <v>46539</v>
      </c>
    </row>
    <row r="41" spans="1:96">
      <c r="A41" s="46" t="s">
        <v>4930</v>
      </c>
      <c r="B41" s="46" t="s">
        <v>4931</v>
      </c>
      <c r="C41" s="46">
        <v>26</v>
      </c>
      <c r="D41" s="46" t="s">
        <v>1530</v>
      </c>
      <c r="E41" s="46" t="s">
        <v>4932</v>
      </c>
      <c r="F41" s="46" t="s">
        <v>2506</v>
      </c>
      <c r="I41" s="46">
        <v>1</v>
      </c>
      <c r="M41" s="46">
        <v>1</v>
      </c>
      <c r="Q41" s="46">
        <v>1</v>
      </c>
      <c r="U41" s="46">
        <v>1</v>
      </c>
      <c r="W41" s="46">
        <v>13</v>
      </c>
      <c r="X41" s="46">
        <v>15</v>
      </c>
      <c r="Y41" s="46">
        <v>20</v>
      </c>
      <c r="Z41" s="46">
        <v>4</v>
      </c>
      <c r="AA41" s="46">
        <v>3</v>
      </c>
      <c r="AB41" s="46">
        <v>3</v>
      </c>
      <c r="AH41" s="46">
        <v>1</v>
      </c>
      <c r="AJ41" s="46">
        <v>1</v>
      </c>
      <c r="AK41" s="46">
        <v>1</v>
      </c>
      <c r="AT41" s="46">
        <v>1</v>
      </c>
      <c r="AW41" s="46">
        <v>1</v>
      </c>
      <c r="BA41" s="46">
        <v>1</v>
      </c>
      <c r="BI41" s="46">
        <v>1</v>
      </c>
      <c r="BW41" s="46">
        <v>1</v>
      </c>
      <c r="BZ41" s="46">
        <v>1</v>
      </c>
      <c r="CC41" s="46">
        <v>1</v>
      </c>
      <c r="CI41" s="46">
        <v>1</v>
      </c>
      <c r="CP41" s="46">
        <v>1</v>
      </c>
      <c r="CR41" s="134">
        <v>46539</v>
      </c>
    </row>
    <row r="42" spans="1:96">
      <c r="A42" s="46" t="s">
        <v>4933</v>
      </c>
      <c r="B42" s="46" t="s">
        <v>1612</v>
      </c>
      <c r="C42" s="46">
        <v>32</v>
      </c>
      <c r="D42" s="46" t="s">
        <v>4871</v>
      </c>
      <c r="E42" s="46" t="s">
        <v>191</v>
      </c>
      <c r="F42" s="46" t="s">
        <v>4494</v>
      </c>
      <c r="H42" s="46">
        <v>1</v>
      </c>
      <c r="M42" s="46">
        <v>1</v>
      </c>
      <c r="Q42" s="46">
        <v>1</v>
      </c>
      <c r="T42" s="46">
        <v>1</v>
      </c>
      <c r="W42" s="46">
        <v>15</v>
      </c>
      <c r="X42" s="46">
        <v>19</v>
      </c>
      <c r="Y42" s="46">
        <v>20</v>
      </c>
      <c r="Z42" s="46">
        <v>6</v>
      </c>
      <c r="AA42" s="46">
        <v>6</v>
      </c>
      <c r="AB42" s="46">
        <v>5</v>
      </c>
      <c r="AE42" s="46">
        <v>1</v>
      </c>
      <c r="AG42" s="46">
        <v>1</v>
      </c>
      <c r="AH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>
        <v>1</v>
      </c>
      <c r="BZ42" s="46">
        <v>1</v>
      </c>
      <c r="CC42" s="46">
        <v>1</v>
      </c>
      <c r="CI42" s="46">
        <v>1</v>
      </c>
      <c r="CP42" s="46">
        <v>1</v>
      </c>
      <c r="CR42" s="134">
        <v>46539</v>
      </c>
    </row>
    <row r="43" spans="1:96">
      <c r="A43" s="46" t="s">
        <v>4934</v>
      </c>
      <c r="B43" s="46" t="s">
        <v>4935</v>
      </c>
      <c r="C43" s="46">
        <v>24</v>
      </c>
      <c r="D43" s="46" t="s">
        <v>1505</v>
      </c>
      <c r="E43" s="46" t="s">
        <v>4936</v>
      </c>
      <c r="F43" s="46" t="s">
        <v>2574</v>
      </c>
      <c r="J43" s="46">
        <v>1</v>
      </c>
      <c r="M43" s="46">
        <v>1</v>
      </c>
      <c r="Q43" s="46">
        <v>1</v>
      </c>
      <c r="T43" s="46">
        <v>1</v>
      </c>
      <c r="W43" s="46">
        <v>15</v>
      </c>
      <c r="X43" s="46">
        <v>18</v>
      </c>
      <c r="Y43" s="46">
        <v>20</v>
      </c>
      <c r="Z43" s="46">
        <v>5</v>
      </c>
      <c r="AA43" s="46">
        <v>5</v>
      </c>
      <c r="AB43" s="46">
        <v>4</v>
      </c>
      <c r="AH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Z43" s="46">
        <v>1</v>
      </c>
      <c r="CC43" s="46">
        <v>1</v>
      </c>
      <c r="CI43" s="46">
        <v>1</v>
      </c>
      <c r="CP43" s="46">
        <v>1</v>
      </c>
      <c r="CR43" s="134">
        <v>46539</v>
      </c>
    </row>
    <row r="44" spans="1:96">
      <c r="A44" s="46" t="s">
        <v>4937</v>
      </c>
      <c r="B44" s="46" t="s">
        <v>4938</v>
      </c>
      <c r="C44" s="46">
        <v>43</v>
      </c>
      <c r="D44" s="46" t="s">
        <v>4939</v>
      </c>
      <c r="E44" s="46" t="s">
        <v>191</v>
      </c>
      <c r="F44" s="46" t="s">
        <v>2472</v>
      </c>
      <c r="J44" s="46">
        <v>1</v>
      </c>
      <c r="M44" s="46">
        <v>1</v>
      </c>
      <c r="R44" s="46">
        <v>1</v>
      </c>
      <c r="S44" s="46">
        <v>1</v>
      </c>
      <c r="W44" s="46">
        <v>16</v>
      </c>
      <c r="X44" s="46">
        <v>17</v>
      </c>
      <c r="Y44" s="46">
        <v>19</v>
      </c>
      <c r="Z44" s="46">
        <v>8</v>
      </c>
      <c r="AA44" s="46">
        <v>8</v>
      </c>
      <c r="AB44" s="46">
        <v>7</v>
      </c>
      <c r="AE44" s="46">
        <v>1</v>
      </c>
      <c r="AG44" s="46">
        <v>1</v>
      </c>
      <c r="AH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W44" s="46">
        <v>1</v>
      </c>
      <c r="BZ44" s="46">
        <v>1</v>
      </c>
      <c r="CC44" s="46">
        <v>1</v>
      </c>
      <c r="CI44" s="46">
        <v>1</v>
      </c>
      <c r="CP44" s="46">
        <v>1</v>
      </c>
      <c r="CR44" s="134">
        <v>46539</v>
      </c>
    </row>
    <row r="45" spans="1:96">
      <c r="A45" s="46" t="s">
        <v>4940</v>
      </c>
      <c r="B45" s="46" t="s">
        <v>4941</v>
      </c>
      <c r="C45" s="46">
        <v>23</v>
      </c>
      <c r="D45" s="46" t="s">
        <v>1505</v>
      </c>
      <c r="E45" s="46" t="s">
        <v>191</v>
      </c>
      <c r="F45" s="46" t="s">
        <v>2472</v>
      </c>
      <c r="H45" s="46">
        <v>1</v>
      </c>
      <c r="M45" s="46">
        <v>1</v>
      </c>
      <c r="Q45" s="46">
        <v>1</v>
      </c>
      <c r="T45" s="46">
        <v>1</v>
      </c>
      <c r="W45" s="46">
        <v>13</v>
      </c>
      <c r="X45" s="46">
        <v>16</v>
      </c>
      <c r="Y45" s="46">
        <v>19</v>
      </c>
      <c r="Z45" s="46">
        <v>4</v>
      </c>
      <c r="AA45" s="46">
        <v>2</v>
      </c>
      <c r="AB45" s="46">
        <v>2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W45" s="46">
        <v>1</v>
      </c>
      <c r="BZ45" s="46">
        <v>1</v>
      </c>
      <c r="CC45" s="46">
        <v>1</v>
      </c>
      <c r="CI45" s="46">
        <v>1</v>
      </c>
      <c r="CP45" s="46">
        <v>1</v>
      </c>
      <c r="CR45" s="134">
        <v>46539</v>
      </c>
    </row>
    <row r="46" spans="1:96">
      <c r="A46" s="46" t="s">
        <v>4942</v>
      </c>
      <c r="B46" s="46" t="s">
        <v>4943</v>
      </c>
      <c r="C46" s="46">
        <v>40</v>
      </c>
      <c r="D46" s="46" t="s">
        <v>4944</v>
      </c>
      <c r="E46" s="46" t="s">
        <v>191</v>
      </c>
      <c r="F46" s="46" t="s">
        <v>2285</v>
      </c>
      <c r="G46" s="46">
        <v>1</v>
      </c>
      <c r="M46" s="46">
        <v>1</v>
      </c>
      <c r="R46" s="46">
        <v>1</v>
      </c>
      <c r="S46" s="46">
        <v>1</v>
      </c>
      <c r="W46" s="46">
        <v>17</v>
      </c>
      <c r="X46" s="46">
        <v>18</v>
      </c>
      <c r="Y46" s="46">
        <v>18</v>
      </c>
      <c r="Z46" s="46">
        <v>12</v>
      </c>
      <c r="AA46" s="46">
        <v>12</v>
      </c>
      <c r="AB46" s="46">
        <v>7</v>
      </c>
      <c r="AE46" s="46">
        <v>1</v>
      </c>
      <c r="AG46" s="46">
        <v>1</v>
      </c>
      <c r="AH46" s="46">
        <v>1</v>
      </c>
      <c r="AJ46" s="46">
        <v>1</v>
      </c>
      <c r="AK46" s="46">
        <v>1</v>
      </c>
      <c r="AT46" s="46">
        <v>1</v>
      </c>
      <c r="AW46" s="46">
        <v>1</v>
      </c>
      <c r="BA46" s="46">
        <v>1</v>
      </c>
      <c r="BI46" s="46">
        <v>1</v>
      </c>
      <c r="BW46" s="46">
        <v>1</v>
      </c>
      <c r="BZ46" s="46">
        <v>1</v>
      </c>
      <c r="CC46" s="46">
        <v>1</v>
      </c>
      <c r="CI46" s="46">
        <v>1</v>
      </c>
      <c r="CP46" s="46">
        <v>1</v>
      </c>
      <c r="CR46" s="134">
        <v>46539</v>
      </c>
    </row>
    <row r="47" spans="1:96">
      <c r="A47" s="46" t="s">
        <v>4945</v>
      </c>
      <c r="B47" s="46" t="s">
        <v>4946</v>
      </c>
      <c r="C47" s="46">
        <v>39</v>
      </c>
      <c r="D47" s="46" t="s">
        <v>1539</v>
      </c>
      <c r="E47" s="46" t="s">
        <v>4947</v>
      </c>
      <c r="F47" s="46" t="s">
        <v>2472</v>
      </c>
      <c r="G47" s="46">
        <v>1</v>
      </c>
      <c r="M47" s="46">
        <v>1</v>
      </c>
      <c r="Q47" s="46">
        <v>1</v>
      </c>
      <c r="T47" s="46">
        <v>1</v>
      </c>
      <c r="W47" s="46">
        <v>17</v>
      </c>
      <c r="X47" s="46">
        <v>17</v>
      </c>
      <c r="Y47" s="46">
        <v>18</v>
      </c>
      <c r="Z47" s="46">
        <v>7</v>
      </c>
      <c r="AA47" s="46">
        <v>7</v>
      </c>
      <c r="AB47" s="46">
        <v>6</v>
      </c>
      <c r="AG47" s="46">
        <v>1</v>
      </c>
      <c r="AH47" s="46">
        <v>1</v>
      </c>
      <c r="AJ47" s="46">
        <v>1</v>
      </c>
      <c r="AK47" s="46">
        <v>1</v>
      </c>
      <c r="AT47" s="46">
        <v>1</v>
      </c>
      <c r="AW47" s="46">
        <v>1</v>
      </c>
      <c r="BB47" s="46">
        <v>1</v>
      </c>
      <c r="BF47" s="46">
        <v>1</v>
      </c>
      <c r="BI47" s="46">
        <v>1</v>
      </c>
      <c r="BZ47" s="46">
        <v>1</v>
      </c>
      <c r="CC47" s="46">
        <v>1</v>
      </c>
      <c r="CI47" s="46">
        <v>1</v>
      </c>
      <c r="CP47" s="46">
        <v>1</v>
      </c>
      <c r="CR47" s="134">
        <v>46539</v>
      </c>
    </row>
    <row r="48" spans="1:96">
      <c r="A48" s="46" t="s">
        <v>4948</v>
      </c>
      <c r="B48" s="46" t="s">
        <v>4949</v>
      </c>
      <c r="C48" s="46">
        <v>39</v>
      </c>
      <c r="D48" s="46" t="s">
        <v>4830</v>
      </c>
      <c r="E48" s="46" t="s">
        <v>191</v>
      </c>
      <c r="F48" s="46" t="s">
        <v>2472</v>
      </c>
      <c r="H48" s="46">
        <v>1</v>
      </c>
      <c r="M48" s="46">
        <v>1</v>
      </c>
      <c r="R48" s="46">
        <v>1</v>
      </c>
      <c r="S48" s="46">
        <v>1</v>
      </c>
      <c r="W48" s="46">
        <v>13</v>
      </c>
      <c r="X48" s="46">
        <v>13</v>
      </c>
      <c r="Y48" s="46">
        <v>19</v>
      </c>
      <c r="Z48" s="46">
        <v>8</v>
      </c>
      <c r="AA48" s="46">
        <v>6</v>
      </c>
      <c r="AB48" s="46">
        <v>6</v>
      </c>
      <c r="AE48" s="46">
        <v>1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I48" s="46">
        <v>1</v>
      </c>
      <c r="BZ48" s="46">
        <v>1</v>
      </c>
      <c r="CC48" s="46">
        <v>1</v>
      </c>
      <c r="CI48" s="46">
        <v>1</v>
      </c>
      <c r="CP48" s="46">
        <v>1</v>
      </c>
      <c r="CR48" s="134">
        <v>46539</v>
      </c>
    </row>
    <row r="49" spans="1:96">
      <c r="A49" s="46" t="s">
        <v>4950</v>
      </c>
      <c r="B49" s="46" t="s">
        <v>4951</v>
      </c>
      <c r="C49" s="46">
        <v>26</v>
      </c>
      <c r="D49" s="46" t="s">
        <v>1505</v>
      </c>
      <c r="E49" s="46" t="s">
        <v>4952</v>
      </c>
      <c r="F49" s="46" t="s">
        <v>2484</v>
      </c>
      <c r="H49" s="46">
        <v>1</v>
      </c>
      <c r="O49" s="46">
        <v>1</v>
      </c>
      <c r="Q49" s="46">
        <v>1</v>
      </c>
      <c r="T49" s="46">
        <v>1</v>
      </c>
      <c r="W49" s="46">
        <v>15</v>
      </c>
      <c r="X49" s="46">
        <v>18</v>
      </c>
      <c r="Y49" s="46">
        <v>22</v>
      </c>
      <c r="Z49" s="46">
        <v>1</v>
      </c>
      <c r="AA49" s="46">
        <v>1</v>
      </c>
      <c r="AB49" s="46">
        <v>1</v>
      </c>
      <c r="AE49" s="46">
        <v>1</v>
      </c>
      <c r="AG49" s="46">
        <v>1</v>
      </c>
      <c r="AH49" s="46">
        <v>1</v>
      </c>
      <c r="AI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Z49" s="46">
        <v>1</v>
      </c>
      <c r="CC49" s="46">
        <v>1</v>
      </c>
      <c r="CI49" s="46">
        <v>1</v>
      </c>
      <c r="CP49" s="46">
        <v>1</v>
      </c>
      <c r="CR49" s="134">
        <v>46539</v>
      </c>
    </row>
    <row r="50" spans="1:96">
      <c r="A50" s="46" t="s">
        <v>4953</v>
      </c>
      <c r="B50" s="46" t="s">
        <v>4954</v>
      </c>
      <c r="C50" s="46">
        <v>48</v>
      </c>
      <c r="D50" s="46" t="s">
        <v>4955</v>
      </c>
      <c r="E50" s="46" t="s">
        <v>4956</v>
      </c>
      <c r="F50" s="46" t="s">
        <v>2484</v>
      </c>
      <c r="G50" s="46">
        <v>1</v>
      </c>
      <c r="M50" s="46">
        <v>1</v>
      </c>
      <c r="R50" s="46">
        <v>1</v>
      </c>
      <c r="S50" s="46">
        <v>1</v>
      </c>
      <c r="W50" s="46">
        <v>15</v>
      </c>
      <c r="X50" s="46">
        <v>17</v>
      </c>
      <c r="Y50" s="46">
        <v>19</v>
      </c>
      <c r="Z50" s="46">
        <v>7</v>
      </c>
      <c r="AA50" s="46">
        <v>7</v>
      </c>
      <c r="AB50" s="46">
        <v>4</v>
      </c>
      <c r="BJ50" s="46">
        <v>1</v>
      </c>
      <c r="BZ50" s="46">
        <v>1</v>
      </c>
      <c r="CC50" s="46">
        <v>1</v>
      </c>
      <c r="CI50" s="46">
        <v>1</v>
      </c>
      <c r="CP50" s="46">
        <v>1</v>
      </c>
      <c r="CR50" s="134">
        <v>46539</v>
      </c>
    </row>
    <row r="51" spans="1:96">
      <c r="A51" s="46" t="s">
        <v>4957</v>
      </c>
      <c r="B51" s="46" t="s">
        <v>4958</v>
      </c>
      <c r="C51" s="46">
        <v>31</v>
      </c>
      <c r="D51" s="46" t="s">
        <v>1530</v>
      </c>
      <c r="E51" s="46" t="s">
        <v>4959</v>
      </c>
      <c r="F51" s="46" t="s">
        <v>2484</v>
      </c>
      <c r="H51" s="46">
        <v>1</v>
      </c>
      <c r="M51" s="46">
        <v>1</v>
      </c>
      <c r="Q51" s="46">
        <v>1</v>
      </c>
      <c r="U51" s="46">
        <v>1</v>
      </c>
      <c r="W51" s="46">
        <v>14</v>
      </c>
      <c r="X51" s="46">
        <v>17</v>
      </c>
      <c r="Y51" s="46">
        <v>17</v>
      </c>
      <c r="Z51" s="46">
        <v>9</v>
      </c>
      <c r="AA51" s="46">
        <v>9</v>
      </c>
      <c r="AB51" s="46">
        <v>9</v>
      </c>
      <c r="AD51" s="46">
        <v>1</v>
      </c>
      <c r="AG51" s="46">
        <v>1</v>
      </c>
      <c r="AH51" s="46">
        <v>1</v>
      </c>
      <c r="AJ51" s="46">
        <v>1</v>
      </c>
      <c r="AK51" s="46">
        <v>1</v>
      </c>
      <c r="AT51" s="46">
        <v>1</v>
      </c>
      <c r="AW51" s="46">
        <v>1</v>
      </c>
      <c r="BA51" s="46">
        <v>1</v>
      </c>
      <c r="BI51" s="46">
        <v>1</v>
      </c>
      <c r="BZ51" s="46">
        <v>1</v>
      </c>
      <c r="CC51" s="46">
        <v>1</v>
      </c>
      <c r="CI51" s="46">
        <v>1</v>
      </c>
      <c r="CP51" s="46">
        <v>1</v>
      </c>
      <c r="CR51" s="134">
        <v>46539</v>
      </c>
    </row>
    <row r="52" spans="1:96">
      <c r="A52" s="46" t="s">
        <v>4960</v>
      </c>
      <c r="B52" s="46" t="s">
        <v>4961</v>
      </c>
      <c r="C52" s="46">
        <v>47</v>
      </c>
      <c r="D52" s="46" t="s">
        <v>4848</v>
      </c>
      <c r="E52" s="46" t="s">
        <v>4962</v>
      </c>
      <c r="F52" s="46" t="s">
        <v>2484</v>
      </c>
      <c r="H52" s="46">
        <v>1</v>
      </c>
      <c r="M52" s="46">
        <v>1</v>
      </c>
      <c r="Q52" s="46">
        <v>1</v>
      </c>
      <c r="T52" s="46">
        <v>1</v>
      </c>
      <c r="W52" s="46">
        <v>16</v>
      </c>
      <c r="X52" s="46">
        <v>18</v>
      </c>
      <c r="Y52" s="46">
        <v>18</v>
      </c>
      <c r="Z52" s="46">
        <v>9</v>
      </c>
      <c r="AA52" s="46">
        <v>9</v>
      </c>
      <c r="AB52" s="46">
        <v>8</v>
      </c>
      <c r="AE52" s="46">
        <v>1</v>
      </c>
      <c r="AG52" s="46">
        <v>1</v>
      </c>
      <c r="AH52" s="46">
        <v>1</v>
      </c>
      <c r="AJ52" s="46">
        <v>1</v>
      </c>
      <c r="AK52" s="46">
        <v>1</v>
      </c>
      <c r="AT52" s="46">
        <v>1</v>
      </c>
      <c r="AX52" s="46">
        <v>1</v>
      </c>
      <c r="BA52" s="46">
        <v>1</v>
      </c>
      <c r="BI52" s="46">
        <v>1</v>
      </c>
      <c r="BZ52" s="46">
        <v>1</v>
      </c>
      <c r="CC52" s="46">
        <v>1</v>
      </c>
      <c r="CI52" s="46">
        <v>1</v>
      </c>
      <c r="CP52" s="46">
        <v>1</v>
      </c>
      <c r="CR52" s="134">
        <v>46539</v>
      </c>
    </row>
    <row r="53" spans="1:96">
      <c r="A53" s="46" t="s">
        <v>4963</v>
      </c>
      <c r="B53" s="46" t="s">
        <v>4964</v>
      </c>
      <c r="C53" s="46">
        <v>26</v>
      </c>
      <c r="D53" s="46" t="s">
        <v>1505</v>
      </c>
      <c r="E53" s="46" t="s">
        <v>191</v>
      </c>
      <c r="F53" s="46" t="s">
        <v>2523</v>
      </c>
      <c r="I53" s="46">
        <v>1</v>
      </c>
      <c r="M53" s="46">
        <v>1</v>
      </c>
      <c r="Q53" s="46">
        <v>1</v>
      </c>
      <c r="T53" s="46">
        <v>1</v>
      </c>
      <c r="W53" s="46">
        <v>14</v>
      </c>
      <c r="X53" s="46">
        <v>17</v>
      </c>
      <c r="Y53" s="46">
        <v>18</v>
      </c>
      <c r="Z53" s="46">
        <v>3</v>
      </c>
      <c r="AA53" s="46">
        <v>3</v>
      </c>
      <c r="AB53" s="46">
        <v>3</v>
      </c>
      <c r="AH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Z53" s="46">
        <v>1</v>
      </c>
      <c r="CC53" s="46">
        <v>1</v>
      </c>
      <c r="CI53" s="46">
        <v>1</v>
      </c>
      <c r="CP53" s="46">
        <v>1</v>
      </c>
      <c r="CR53" s="134">
        <v>46539</v>
      </c>
    </row>
    <row r="54" spans="1:96">
      <c r="A54" s="46" t="s">
        <v>4965</v>
      </c>
      <c r="B54" s="46" t="s">
        <v>4966</v>
      </c>
      <c r="C54" s="46">
        <v>31</v>
      </c>
      <c r="D54" s="46" t="s">
        <v>1530</v>
      </c>
      <c r="E54" s="46" t="s">
        <v>4967</v>
      </c>
      <c r="F54" s="46" t="s">
        <v>2484</v>
      </c>
      <c r="H54" s="46">
        <v>1</v>
      </c>
      <c r="M54" s="46">
        <v>1</v>
      </c>
      <c r="Q54" s="46">
        <v>1</v>
      </c>
      <c r="U54" s="46">
        <v>1</v>
      </c>
      <c r="W54" s="46">
        <v>15</v>
      </c>
      <c r="X54" s="46">
        <v>21</v>
      </c>
      <c r="Y54" s="46">
        <v>25</v>
      </c>
      <c r="Z54" s="46">
        <v>4</v>
      </c>
      <c r="AA54" s="46">
        <v>4</v>
      </c>
      <c r="AB54" s="46">
        <v>4</v>
      </c>
      <c r="AE54" s="46">
        <v>1</v>
      </c>
      <c r="AG54" s="46">
        <v>1</v>
      </c>
      <c r="AH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I54" s="46">
        <v>1</v>
      </c>
      <c r="BZ54" s="46">
        <v>1</v>
      </c>
      <c r="CC54" s="46">
        <v>1</v>
      </c>
      <c r="CI54" s="46">
        <v>1</v>
      </c>
      <c r="CP54" s="46">
        <v>1</v>
      </c>
      <c r="CR54" s="134">
        <v>46539</v>
      </c>
    </row>
    <row r="55" spans="1:96">
      <c r="A55" s="46" t="s">
        <v>4968</v>
      </c>
      <c r="B55" s="46" t="s">
        <v>4969</v>
      </c>
      <c r="C55" s="46">
        <v>49</v>
      </c>
      <c r="D55" s="46" t="s">
        <v>4871</v>
      </c>
      <c r="E55" s="46" t="s">
        <v>191</v>
      </c>
      <c r="F55" s="46" t="s">
        <v>2484</v>
      </c>
      <c r="H55" s="46">
        <v>1</v>
      </c>
      <c r="M55" s="46">
        <v>1</v>
      </c>
      <c r="Q55" s="46">
        <v>1</v>
      </c>
      <c r="T55" s="46">
        <v>1</v>
      </c>
      <c r="W55" s="46">
        <v>18</v>
      </c>
      <c r="X55" s="46">
        <v>20</v>
      </c>
      <c r="Y55" s="46">
        <v>21</v>
      </c>
      <c r="Z55" s="46">
        <v>7</v>
      </c>
      <c r="AA55" s="46">
        <v>7</v>
      </c>
      <c r="AB55" s="46">
        <v>7</v>
      </c>
      <c r="AE55" s="46">
        <v>1</v>
      </c>
      <c r="AG55" s="46">
        <v>1</v>
      </c>
      <c r="AH55" s="46">
        <v>1</v>
      </c>
      <c r="AI55" s="46">
        <v>1</v>
      </c>
      <c r="AM55" s="46">
        <v>1</v>
      </c>
      <c r="AT55" s="46">
        <v>1</v>
      </c>
      <c r="AW55" s="46">
        <v>1</v>
      </c>
      <c r="BA55" s="46">
        <v>1</v>
      </c>
      <c r="BI55" s="46">
        <v>1</v>
      </c>
      <c r="BZ55" s="46">
        <v>1</v>
      </c>
      <c r="CC55" s="46">
        <v>1</v>
      </c>
      <c r="CI55" s="46">
        <v>1</v>
      </c>
      <c r="CP55" s="46">
        <v>1</v>
      </c>
      <c r="CR55" s="134">
        <v>46539</v>
      </c>
    </row>
    <row r="56" spans="1:96">
      <c r="A56" s="46" t="s">
        <v>4970</v>
      </c>
      <c r="B56" s="46" t="s">
        <v>4971</v>
      </c>
      <c r="C56" s="46">
        <v>34</v>
      </c>
      <c r="D56" s="46" t="s">
        <v>2628</v>
      </c>
      <c r="E56" s="46" t="s">
        <v>4972</v>
      </c>
      <c r="F56" s="46" t="s">
        <v>2484</v>
      </c>
      <c r="G56" s="46">
        <v>1</v>
      </c>
      <c r="M56" s="46">
        <v>1</v>
      </c>
      <c r="Q56" s="46">
        <v>1</v>
      </c>
      <c r="U56" s="46">
        <v>1</v>
      </c>
      <c r="W56" s="46">
        <v>15</v>
      </c>
      <c r="X56" s="46">
        <v>18</v>
      </c>
      <c r="Y56" s="46">
        <v>20</v>
      </c>
      <c r="Z56" s="46">
        <v>5</v>
      </c>
      <c r="AA56" s="46">
        <v>5</v>
      </c>
      <c r="AB56" s="46">
        <v>5</v>
      </c>
      <c r="AD56" s="46">
        <v>1</v>
      </c>
      <c r="AJ56" s="46">
        <v>1</v>
      </c>
      <c r="AK56" s="46">
        <v>1</v>
      </c>
      <c r="AT56" s="46">
        <v>1</v>
      </c>
      <c r="AW56" s="46">
        <v>1</v>
      </c>
      <c r="BA56" s="46">
        <v>1</v>
      </c>
      <c r="BI56" s="46">
        <v>1</v>
      </c>
      <c r="BZ56" s="46">
        <v>1</v>
      </c>
      <c r="CC56" s="46">
        <v>1</v>
      </c>
      <c r="CI56" s="46">
        <v>1</v>
      </c>
      <c r="CP56" s="46">
        <v>1</v>
      </c>
      <c r="CR56" s="134">
        <v>46539</v>
      </c>
    </row>
    <row r="57" spans="1:96">
      <c r="A57" s="46" t="s">
        <v>4973</v>
      </c>
      <c r="B57" s="46" t="s">
        <v>4974</v>
      </c>
      <c r="C57" s="46">
        <v>24</v>
      </c>
      <c r="D57" s="46" t="s">
        <v>4830</v>
      </c>
      <c r="E57" s="46" t="s">
        <v>4975</v>
      </c>
      <c r="F57" s="46" t="s">
        <v>2662</v>
      </c>
      <c r="I57" s="46">
        <v>1</v>
      </c>
      <c r="M57" s="46">
        <v>1</v>
      </c>
      <c r="R57" s="46">
        <v>1</v>
      </c>
      <c r="T57" s="46">
        <v>1</v>
      </c>
      <c r="W57" s="46">
        <v>15</v>
      </c>
      <c r="X57" s="46">
        <v>16</v>
      </c>
      <c r="Y57" s="46">
        <v>17</v>
      </c>
      <c r="Z57" s="46">
        <v>2</v>
      </c>
      <c r="AA57" s="46">
        <v>2</v>
      </c>
      <c r="AB57" s="46">
        <v>2</v>
      </c>
      <c r="AH57" s="46">
        <v>1</v>
      </c>
      <c r="AI57" s="46">
        <v>1</v>
      </c>
      <c r="AK57" s="46">
        <v>1</v>
      </c>
      <c r="AT57" s="46">
        <v>1</v>
      </c>
      <c r="AW57" s="46">
        <v>1</v>
      </c>
      <c r="BA57" s="46">
        <v>1</v>
      </c>
      <c r="BI57" s="46">
        <v>1</v>
      </c>
      <c r="BZ57" s="46">
        <v>1</v>
      </c>
      <c r="CC57" s="46">
        <v>1</v>
      </c>
      <c r="CI57" s="46">
        <v>1</v>
      </c>
      <c r="CP57" s="46">
        <v>1</v>
      </c>
      <c r="CR57" s="134">
        <v>46539</v>
      </c>
    </row>
    <row r="58" spans="1:96">
      <c r="A58" s="46" t="s">
        <v>4976</v>
      </c>
      <c r="B58" s="46" t="s">
        <v>4977</v>
      </c>
      <c r="C58" s="46">
        <v>50</v>
      </c>
      <c r="D58" s="46" t="s">
        <v>1505</v>
      </c>
      <c r="E58" s="46" t="s">
        <v>191</v>
      </c>
      <c r="F58" s="46" t="s">
        <v>2662</v>
      </c>
      <c r="H58" s="46">
        <v>1</v>
      </c>
      <c r="M58" s="46">
        <v>1</v>
      </c>
      <c r="Q58" s="46">
        <v>1</v>
      </c>
      <c r="S58" s="46">
        <v>1</v>
      </c>
      <c r="W58" s="46">
        <v>13</v>
      </c>
      <c r="X58" s="46">
        <v>16</v>
      </c>
      <c r="Y58" s="46">
        <v>18</v>
      </c>
      <c r="Z58" s="46">
        <v>9</v>
      </c>
      <c r="AA58" s="46">
        <v>9</v>
      </c>
      <c r="AB58" s="46">
        <v>8</v>
      </c>
      <c r="AD58" s="46">
        <v>1</v>
      </c>
      <c r="AE58" s="46">
        <v>1</v>
      </c>
      <c r="AG58" s="46">
        <v>1</v>
      </c>
      <c r="AH58" s="46">
        <v>1</v>
      </c>
      <c r="AJ58" s="46">
        <v>1</v>
      </c>
      <c r="AM58" s="46">
        <v>1</v>
      </c>
      <c r="AT58" s="46">
        <v>1</v>
      </c>
      <c r="AX58" s="46">
        <v>1</v>
      </c>
      <c r="BA58" s="46">
        <v>1</v>
      </c>
      <c r="BI58" s="46">
        <v>1</v>
      </c>
      <c r="BZ58" s="46">
        <v>1</v>
      </c>
      <c r="CC58" s="46">
        <v>1</v>
      </c>
      <c r="CI58" s="46">
        <v>1</v>
      </c>
      <c r="CP58" s="46">
        <v>1</v>
      </c>
      <c r="CR58" s="134">
        <v>46539</v>
      </c>
    </row>
    <row r="59" spans="1:96">
      <c r="A59" s="46" t="s">
        <v>4978</v>
      </c>
      <c r="B59" s="46" t="s">
        <v>4979</v>
      </c>
      <c r="C59" s="46">
        <v>21</v>
      </c>
      <c r="D59" s="46" t="s">
        <v>1505</v>
      </c>
      <c r="E59" s="46" t="s">
        <v>4980</v>
      </c>
      <c r="F59" s="46" t="s">
        <v>2484</v>
      </c>
      <c r="I59" s="46">
        <v>1</v>
      </c>
      <c r="M59" s="46">
        <v>1</v>
      </c>
      <c r="Q59" s="46">
        <v>1</v>
      </c>
      <c r="T59" s="46">
        <v>1</v>
      </c>
      <c r="W59" s="46">
        <v>16</v>
      </c>
      <c r="X59" s="46">
        <v>17</v>
      </c>
      <c r="Y59" s="46">
        <v>19</v>
      </c>
      <c r="Z59" s="46">
        <v>2</v>
      </c>
      <c r="AA59" s="46">
        <v>2</v>
      </c>
      <c r="AB59" s="46">
        <v>2</v>
      </c>
      <c r="AC59" s="46">
        <v>1</v>
      </c>
      <c r="AJ59" s="46">
        <v>1</v>
      </c>
      <c r="AK59" s="46">
        <v>1</v>
      </c>
      <c r="AT59" s="46">
        <v>1</v>
      </c>
      <c r="AW59" s="46">
        <v>1</v>
      </c>
      <c r="BA59" s="46">
        <v>1</v>
      </c>
      <c r="BI59" s="46">
        <v>1</v>
      </c>
      <c r="BW59" s="46">
        <v>1</v>
      </c>
      <c r="BZ59" s="46">
        <v>1</v>
      </c>
      <c r="CC59" s="46">
        <v>1</v>
      </c>
      <c r="CI59" s="46">
        <v>1</v>
      </c>
      <c r="CP59" s="46">
        <v>1</v>
      </c>
      <c r="CR59" s="134">
        <v>46539</v>
      </c>
    </row>
    <row r="60" spans="1:96">
      <c r="A60" s="46" t="s">
        <v>4981</v>
      </c>
      <c r="B60" s="46" t="s">
        <v>4982</v>
      </c>
      <c r="C60" s="46">
        <v>19</v>
      </c>
      <c r="D60" s="46" t="s">
        <v>1192</v>
      </c>
      <c r="E60" s="46" t="s">
        <v>4983</v>
      </c>
      <c r="F60" s="46" t="s">
        <v>1509</v>
      </c>
      <c r="G60" s="46">
        <v>1</v>
      </c>
      <c r="M60" s="46">
        <v>1</v>
      </c>
      <c r="R60" s="46">
        <v>1</v>
      </c>
      <c r="T60" s="46">
        <v>1</v>
      </c>
      <c r="W60" s="46">
        <v>14</v>
      </c>
      <c r="X60" s="46">
        <v>16</v>
      </c>
      <c r="Y60" s="46">
        <v>17</v>
      </c>
      <c r="Z60" s="46">
        <v>3</v>
      </c>
      <c r="AA60" s="46">
        <v>3</v>
      </c>
      <c r="AB60" s="46">
        <v>2</v>
      </c>
      <c r="AD60" s="46">
        <v>1</v>
      </c>
      <c r="AJ60" s="46">
        <v>1</v>
      </c>
      <c r="AK60" s="46">
        <v>1</v>
      </c>
      <c r="AT60" s="46">
        <v>1</v>
      </c>
      <c r="AW60" s="46">
        <v>1</v>
      </c>
      <c r="BA60" s="46">
        <v>1</v>
      </c>
      <c r="BI60" s="46">
        <v>1</v>
      </c>
      <c r="BZ60" s="46">
        <v>1</v>
      </c>
      <c r="CC60" s="46">
        <v>1</v>
      </c>
      <c r="CI60" s="46">
        <v>1</v>
      </c>
      <c r="CP60" s="46">
        <v>1</v>
      </c>
      <c r="CR60" s="134">
        <v>46539</v>
      </c>
    </row>
    <row r="61" spans="1:96">
      <c r="A61" s="46" t="s">
        <v>4984</v>
      </c>
      <c r="B61" s="46" t="s">
        <v>4985</v>
      </c>
      <c r="C61" s="46">
        <v>22</v>
      </c>
      <c r="D61" s="46" t="s">
        <v>1530</v>
      </c>
      <c r="E61" s="46" t="s">
        <v>4986</v>
      </c>
      <c r="F61" s="46" t="s">
        <v>2484</v>
      </c>
      <c r="H61" s="46">
        <v>1</v>
      </c>
      <c r="M61" s="46">
        <v>1</v>
      </c>
      <c r="Q61" s="46">
        <v>1</v>
      </c>
      <c r="U61" s="46">
        <v>1</v>
      </c>
      <c r="W61" s="46">
        <v>16</v>
      </c>
      <c r="X61" s="46">
        <v>17</v>
      </c>
      <c r="Y61" s="46">
        <v>18</v>
      </c>
      <c r="Z61" s="46">
        <v>2</v>
      </c>
      <c r="AA61" s="46">
        <v>2</v>
      </c>
      <c r="AB61" s="46">
        <v>2</v>
      </c>
      <c r="AH61" s="46">
        <v>1</v>
      </c>
      <c r="AJ61" s="46">
        <v>1</v>
      </c>
      <c r="AK61" s="46">
        <v>1</v>
      </c>
      <c r="AT61" s="46">
        <v>1</v>
      </c>
      <c r="AW61" s="46">
        <v>1</v>
      </c>
      <c r="BA61" s="46">
        <v>1</v>
      </c>
      <c r="BI61" s="46">
        <v>1</v>
      </c>
      <c r="BW61" s="46">
        <v>1</v>
      </c>
      <c r="BZ61" s="46">
        <v>1</v>
      </c>
      <c r="CC61" s="46">
        <v>1</v>
      </c>
      <c r="CI61" s="46">
        <v>1</v>
      </c>
      <c r="CP61" s="46">
        <v>1</v>
      </c>
      <c r="CR61" s="134">
        <v>46539</v>
      </c>
    </row>
    <row r="62" spans="1:96">
      <c r="A62" s="46" t="s">
        <v>4987</v>
      </c>
      <c r="B62" s="46" t="s">
        <v>4988</v>
      </c>
      <c r="C62" s="46">
        <v>32</v>
      </c>
      <c r="D62" s="46" t="s">
        <v>1539</v>
      </c>
      <c r="E62" s="46" t="s">
        <v>4989</v>
      </c>
      <c r="F62" s="46" t="s">
        <v>4990</v>
      </c>
      <c r="I62" s="46">
        <v>1</v>
      </c>
      <c r="M62" s="46">
        <v>1</v>
      </c>
      <c r="R62" s="46">
        <v>1</v>
      </c>
      <c r="T62" s="46">
        <v>1</v>
      </c>
      <c r="W62" s="46">
        <v>14</v>
      </c>
      <c r="X62" s="46">
        <v>15</v>
      </c>
      <c r="Y62" s="46">
        <v>15</v>
      </c>
      <c r="Z62" s="46">
        <v>8</v>
      </c>
      <c r="AA62" s="46">
        <v>8</v>
      </c>
      <c r="AB62" s="46">
        <v>5</v>
      </c>
      <c r="AE62" s="46">
        <v>1</v>
      </c>
      <c r="AG62" s="46">
        <v>1</v>
      </c>
      <c r="AH62" s="46">
        <v>1</v>
      </c>
      <c r="AJ62" s="46">
        <v>1</v>
      </c>
      <c r="AK62" s="46">
        <v>1</v>
      </c>
      <c r="AT62" s="46">
        <v>1</v>
      </c>
      <c r="AW62" s="46">
        <v>1</v>
      </c>
      <c r="BA62" s="46">
        <v>1</v>
      </c>
      <c r="BI62" s="46">
        <v>1</v>
      </c>
      <c r="BZ62" s="46">
        <v>1</v>
      </c>
      <c r="CC62" s="46">
        <v>1</v>
      </c>
      <c r="CI62" s="46">
        <v>1</v>
      </c>
      <c r="CP62" s="46">
        <v>1</v>
      </c>
      <c r="CR62" s="134">
        <v>46539</v>
      </c>
    </row>
    <row r="63" spans="1:96">
      <c r="A63" s="46" t="s">
        <v>4991</v>
      </c>
      <c r="B63" s="46" t="s">
        <v>4992</v>
      </c>
      <c r="C63" s="46">
        <v>37</v>
      </c>
      <c r="D63" s="46" t="s">
        <v>1530</v>
      </c>
      <c r="E63" s="46" t="s">
        <v>191</v>
      </c>
      <c r="F63" s="46" t="s">
        <v>2484</v>
      </c>
      <c r="H63" s="46">
        <v>1</v>
      </c>
      <c r="M63" s="46">
        <v>1</v>
      </c>
      <c r="Q63" s="46">
        <v>1</v>
      </c>
      <c r="S63" s="46">
        <v>1</v>
      </c>
      <c r="W63" s="46">
        <v>12</v>
      </c>
      <c r="X63" s="46">
        <v>16</v>
      </c>
      <c r="Y63" s="46">
        <v>16</v>
      </c>
      <c r="Z63" s="46">
        <v>7</v>
      </c>
      <c r="AA63" s="46">
        <v>7</v>
      </c>
      <c r="AB63" s="46">
        <v>7</v>
      </c>
      <c r="AC63" s="46">
        <v>1</v>
      </c>
      <c r="AJ63" s="46">
        <v>1</v>
      </c>
      <c r="AM63" s="46">
        <v>1</v>
      </c>
      <c r="AT63" s="46">
        <v>1</v>
      </c>
      <c r="AW63" s="46">
        <v>1</v>
      </c>
      <c r="BA63" s="46">
        <v>1</v>
      </c>
      <c r="BI63" s="46">
        <v>1</v>
      </c>
      <c r="BZ63" s="46">
        <v>1</v>
      </c>
      <c r="CC63" s="46">
        <v>1</v>
      </c>
      <c r="CI63" s="46">
        <v>1</v>
      </c>
      <c r="CP63" s="46">
        <v>1</v>
      </c>
      <c r="CR63" s="134">
        <v>46539</v>
      </c>
    </row>
    <row r="64" spans="1:96">
      <c r="A64" s="46" t="s">
        <v>4993</v>
      </c>
      <c r="B64" s="46" t="s">
        <v>4974</v>
      </c>
      <c r="C64" s="46">
        <v>31</v>
      </c>
      <c r="D64" s="46" t="s">
        <v>1549</v>
      </c>
      <c r="E64" s="46" t="s">
        <v>1629</v>
      </c>
      <c r="F64" s="46" t="s">
        <v>2484</v>
      </c>
      <c r="I64" s="46">
        <v>1</v>
      </c>
      <c r="M64" s="46">
        <v>1</v>
      </c>
      <c r="R64" s="46">
        <v>1</v>
      </c>
      <c r="U64" s="46">
        <v>1</v>
      </c>
      <c r="W64" s="46">
        <v>16</v>
      </c>
      <c r="X64" s="46">
        <v>18</v>
      </c>
      <c r="Y64" s="46">
        <v>21</v>
      </c>
      <c r="Z64" s="46">
        <v>5</v>
      </c>
      <c r="AA64" s="46">
        <v>5</v>
      </c>
      <c r="AB64" s="46">
        <v>5</v>
      </c>
      <c r="AG64" s="46">
        <v>1</v>
      </c>
      <c r="AH64" s="46">
        <v>1</v>
      </c>
      <c r="AI64" s="46">
        <v>1</v>
      </c>
      <c r="AK64" s="46">
        <v>1</v>
      </c>
      <c r="AT64" s="46">
        <v>1</v>
      </c>
      <c r="AW64" s="46">
        <v>1</v>
      </c>
      <c r="BA64" s="46">
        <v>1</v>
      </c>
      <c r="BI64" s="46">
        <v>1</v>
      </c>
      <c r="BW64" s="46">
        <v>1</v>
      </c>
      <c r="BZ64" s="46">
        <v>1</v>
      </c>
      <c r="CC64" s="46">
        <v>1</v>
      </c>
      <c r="CI64" s="46">
        <v>1</v>
      </c>
      <c r="CP64" s="46">
        <v>1</v>
      </c>
      <c r="CR64" s="134">
        <v>46539</v>
      </c>
    </row>
    <row r="65" spans="1:96">
      <c r="A65" s="46" t="s">
        <v>4994</v>
      </c>
      <c r="B65" s="46" t="s">
        <v>4995</v>
      </c>
      <c r="C65" s="46">
        <v>25</v>
      </c>
      <c r="D65" s="46" t="s">
        <v>1505</v>
      </c>
      <c r="E65" s="46" t="s">
        <v>191</v>
      </c>
      <c r="F65" s="46" t="s">
        <v>4494</v>
      </c>
      <c r="H65" s="46">
        <v>1</v>
      </c>
      <c r="M65" s="46">
        <v>1</v>
      </c>
      <c r="Q65" s="46">
        <v>1</v>
      </c>
      <c r="T65" s="46">
        <v>1</v>
      </c>
      <c r="W65" s="46">
        <v>15</v>
      </c>
      <c r="X65" s="46">
        <v>17</v>
      </c>
      <c r="Y65" s="46">
        <v>19</v>
      </c>
      <c r="Z65" s="46">
        <v>7</v>
      </c>
      <c r="AA65" s="46">
        <v>3</v>
      </c>
      <c r="AB65" s="46">
        <v>3</v>
      </c>
      <c r="AF65" s="46">
        <v>1</v>
      </c>
      <c r="AI65" s="46">
        <v>1</v>
      </c>
      <c r="AK65" s="46">
        <v>1</v>
      </c>
      <c r="AT65" s="46">
        <v>1</v>
      </c>
      <c r="AX65" s="46">
        <v>1</v>
      </c>
      <c r="BA65" s="46">
        <v>1</v>
      </c>
      <c r="BI65" s="46">
        <v>1</v>
      </c>
      <c r="BZ65" s="46">
        <v>1</v>
      </c>
      <c r="CC65" s="46">
        <v>1</v>
      </c>
      <c r="CI65" s="46">
        <v>1</v>
      </c>
      <c r="CP65" s="46">
        <v>1</v>
      </c>
      <c r="CR65" s="134">
        <v>46539</v>
      </c>
    </row>
    <row r="66" spans="1:96">
      <c r="A66" s="46" t="s">
        <v>4996</v>
      </c>
      <c r="B66" s="46" t="s">
        <v>4997</v>
      </c>
      <c r="C66" s="46">
        <v>47</v>
      </c>
      <c r="D66" s="46" t="s">
        <v>1505</v>
      </c>
      <c r="E66" s="46" t="s">
        <v>4998</v>
      </c>
      <c r="F66" s="46" t="s">
        <v>2484</v>
      </c>
      <c r="J66" s="46">
        <v>1</v>
      </c>
      <c r="M66" s="46">
        <v>1</v>
      </c>
      <c r="Q66" s="46">
        <v>1</v>
      </c>
      <c r="T66" s="46">
        <v>1</v>
      </c>
      <c r="W66" s="46">
        <v>15</v>
      </c>
      <c r="X66" s="46">
        <v>15</v>
      </c>
      <c r="Y66" s="46">
        <v>16</v>
      </c>
      <c r="Z66" s="46">
        <v>11</v>
      </c>
      <c r="AA66" s="46">
        <v>9</v>
      </c>
      <c r="AB66" s="46">
        <v>9</v>
      </c>
      <c r="AD66" s="46">
        <v>1</v>
      </c>
      <c r="AJ66" s="46">
        <v>1</v>
      </c>
      <c r="AK66" s="46">
        <v>1</v>
      </c>
      <c r="AT66" s="46">
        <v>1</v>
      </c>
      <c r="AW66" s="46">
        <v>1</v>
      </c>
      <c r="BA66" s="46">
        <v>1</v>
      </c>
      <c r="BI66" s="46">
        <v>1</v>
      </c>
      <c r="BZ66" s="46">
        <v>1</v>
      </c>
      <c r="CC66" s="46">
        <v>1</v>
      </c>
      <c r="CI66" s="46">
        <v>1</v>
      </c>
      <c r="CP66" s="46">
        <v>1</v>
      </c>
      <c r="CR66" s="134">
        <v>46539</v>
      </c>
    </row>
    <row r="67" spans="1:96">
      <c r="A67" s="46" t="s">
        <v>4999</v>
      </c>
      <c r="B67" s="46" t="s">
        <v>5000</v>
      </c>
      <c r="C67" s="46">
        <v>38</v>
      </c>
      <c r="D67" s="46" t="s">
        <v>1505</v>
      </c>
      <c r="E67" s="46" t="s">
        <v>5001</v>
      </c>
      <c r="F67" s="46" t="s">
        <v>2484</v>
      </c>
      <c r="H67" s="46">
        <v>1</v>
      </c>
      <c r="O67" s="46">
        <v>1</v>
      </c>
      <c r="Q67" s="46">
        <v>1</v>
      </c>
      <c r="T67" s="46">
        <v>1</v>
      </c>
      <c r="W67" s="46">
        <v>15</v>
      </c>
      <c r="X67" s="46">
        <v>18</v>
      </c>
      <c r="Y67" s="46">
        <v>19</v>
      </c>
      <c r="Z67" s="46">
        <v>6</v>
      </c>
      <c r="AA67" s="46">
        <v>6</v>
      </c>
      <c r="AB67" s="46">
        <v>6</v>
      </c>
      <c r="AG67" s="46">
        <v>1</v>
      </c>
      <c r="AH67" s="46">
        <v>1</v>
      </c>
      <c r="AI67" s="46">
        <v>1</v>
      </c>
      <c r="AM67" s="46">
        <v>1</v>
      </c>
      <c r="AT67" s="46">
        <v>1</v>
      </c>
      <c r="AW67" s="46">
        <v>1</v>
      </c>
      <c r="BA67" s="46">
        <v>1</v>
      </c>
      <c r="BI67" s="46">
        <v>1</v>
      </c>
      <c r="BZ67" s="46">
        <v>1</v>
      </c>
      <c r="CC67" s="46">
        <v>1</v>
      </c>
      <c r="CI67" s="46">
        <v>1</v>
      </c>
      <c r="CP67" s="46">
        <v>1</v>
      </c>
      <c r="CR67" s="134">
        <v>46539</v>
      </c>
    </row>
    <row r="68" spans="1:96">
      <c r="A68" s="46" t="s">
        <v>5002</v>
      </c>
      <c r="B68" s="46" t="s">
        <v>5003</v>
      </c>
      <c r="C68" s="46">
        <v>24</v>
      </c>
      <c r="D68" s="46" t="s">
        <v>1505</v>
      </c>
      <c r="E68" s="46" t="s">
        <v>5004</v>
      </c>
      <c r="F68" s="46" t="s">
        <v>2523</v>
      </c>
      <c r="J68" s="46">
        <v>1</v>
      </c>
      <c r="M68" s="46">
        <v>1</v>
      </c>
      <c r="Q68" s="46">
        <v>1</v>
      </c>
      <c r="T68" s="46">
        <v>1</v>
      </c>
      <c r="W68" s="46">
        <v>13</v>
      </c>
      <c r="X68" s="46">
        <v>13</v>
      </c>
      <c r="Y68" s="46">
        <v>15</v>
      </c>
      <c r="Z68" s="46">
        <v>3</v>
      </c>
      <c r="AA68" s="46">
        <v>2</v>
      </c>
      <c r="AB68" s="46">
        <v>2</v>
      </c>
      <c r="AG68" s="46">
        <v>1</v>
      </c>
      <c r="AJ68" s="46">
        <v>1</v>
      </c>
      <c r="AK68" s="46">
        <v>1</v>
      </c>
      <c r="AT68" s="46">
        <v>1</v>
      </c>
      <c r="AW68" s="46">
        <v>1</v>
      </c>
      <c r="BA68" s="46">
        <v>1</v>
      </c>
      <c r="BI68" s="46">
        <v>1</v>
      </c>
      <c r="BZ68" s="46">
        <v>1</v>
      </c>
      <c r="CC68" s="46">
        <v>1</v>
      </c>
      <c r="CI68" s="46">
        <v>1</v>
      </c>
      <c r="CP68" s="46">
        <v>1</v>
      </c>
      <c r="CR68" s="134">
        <v>46539</v>
      </c>
    </row>
    <row r="69" spans="1:96">
      <c r="A69" s="46" t="s">
        <v>5005</v>
      </c>
      <c r="B69" s="46" t="s">
        <v>5006</v>
      </c>
      <c r="C69" s="46">
        <v>24</v>
      </c>
      <c r="D69" s="46" t="s">
        <v>1505</v>
      </c>
      <c r="E69" s="46" t="s">
        <v>5007</v>
      </c>
      <c r="F69" s="46" t="s">
        <v>2484</v>
      </c>
      <c r="J69" s="46">
        <v>1</v>
      </c>
      <c r="M69" s="46">
        <v>1</v>
      </c>
      <c r="Q69" s="46">
        <v>1</v>
      </c>
      <c r="T69" s="46">
        <v>1</v>
      </c>
      <c r="W69" s="46">
        <v>16</v>
      </c>
      <c r="X69" s="46">
        <v>17</v>
      </c>
      <c r="Y69" s="46">
        <v>21</v>
      </c>
      <c r="Z69" s="46">
        <v>2</v>
      </c>
      <c r="AA69" s="46">
        <v>2</v>
      </c>
      <c r="AB69" s="46">
        <v>2</v>
      </c>
      <c r="AH69" s="46">
        <v>1</v>
      </c>
      <c r="AJ69" s="46">
        <v>1</v>
      </c>
      <c r="AK69" s="46">
        <v>1</v>
      </c>
      <c r="AT69" s="46">
        <v>1</v>
      </c>
      <c r="AW69" s="46">
        <v>1</v>
      </c>
      <c r="BA69" s="46">
        <v>1</v>
      </c>
      <c r="BI69" s="46">
        <v>1</v>
      </c>
      <c r="BZ69" s="46">
        <v>1</v>
      </c>
      <c r="CC69" s="46">
        <v>1</v>
      </c>
      <c r="CI69" s="46">
        <v>1</v>
      </c>
      <c r="CP69" s="46">
        <v>1</v>
      </c>
      <c r="CR69" s="134">
        <v>46539</v>
      </c>
    </row>
    <row r="70" spans="1:96">
      <c r="A70" s="46" t="s">
        <v>5008</v>
      </c>
      <c r="B70" s="46" t="s">
        <v>5009</v>
      </c>
      <c r="C70" s="46">
        <v>36</v>
      </c>
      <c r="D70" s="46" t="s">
        <v>1539</v>
      </c>
      <c r="E70" s="46" t="s">
        <v>191</v>
      </c>
      <c r="F70" s="46" t="s">
        <v>2506</v>
      </c>
      <c r="H70" s="46">
        <v>1</v>
      </c>
      <c r="M70" s="46">
        <v>1</v>
      </c>
      <c r="Q70" s="46">
        <v>1</v>
      </c>
      <c r="S70" s="46">
        <v>1</v>
      </c>
      <c r="W70" s="46">
        <v>16</v>
      </c>
      <c r="X70" s="46">
        <v>18</v>
      </c>
      <c r="Y70" s="46">
        <v>19</v>
      </c>
      <c r="Z70" s="46">
        <v>8</v>
      </c>
      <c r="AA70" s="46">
        <v>8</v>
      </c>
      <c r="AB70" s="46">
        <v>8</v>
      </c>
      <c r="AH70" s="46">
        <v>1</v>
      </c>
      <c r="AI70" s="46">
        <v>1</v>
      </c>
      <c r="AK70" s="46">
        <v>1</v>
      </c>
      <c r="AT70" s="46">
        <v>1</v>
      </c>
      <c r="AX70" s="46">
        <v>1</v>
      </c>
      <c r="BA70" s="46">
        <v>1</v>
      </c>
      <c r="BI70" s="46">
        <v>1</v>
      </c>
      <c r="BZ70" s="46">
        <v>1</v>
      </c>
      <c r="CC70" s="46">
        <v>1</v>
      </c>
      <c r="CI70" s="46">
        <v>1</v>
      </c>
      <c r="CP70" s="46">
        <v>1</v>
      </c>
      <c r="CR70" s="134">
        <v>46539</v>
      </c>
    </row>
    <row r="71" spans="1:96">
      <c r="A71" s="46" t="s">
        <v>5010</v>
      </c>
      <c r="B71" s="46" t="s">
        <v>5011</v>
      </c>
      <c r="C71" s="46">
        <v>21</v>
      </c>
      <c r="D71" s="46" t="s">
        <v>1530</v>
      </c>
      <c r="E71" s="46" t="s">
        <v>191</v>
      </c>
      <c r="F71" s="46" t="s">
        <v>2484</v>
      </c>
      <c r="J71" s="46">
        <v>1</v>
      </c>
      <c r="M71" s="46">
        <v>1</v>
      </c>
      <c r="Q71" s="46">
        <v>1</v>
      </c>
      <c r="T71" s="46">
        <v>1</v>
      </c>
      <c r="W71" s="46">
        <v>9</v>
      </c>
      <c r="X71" s="46">
        <v>19</v>
      </c>
      <c r="Y71" s="46">
        <v>19</v>
      </c>
      <c r="Z71" s="46">
        <v>1</v>
      </c>
      <c r="AA71" s="46">
        <v>1</v>
      </c>
      <c r="AB71" s="46">
        <v>1</v>
      </c>
      <c r="AH71" s="46">
        <v>1</v>
      </c>
      <c r="AJ71" s="46">
        <v>1</v>
      </c>
      <c r="AK71" s="46">
        <v>1</v>
      </c>
      <c r="AT71" s="46">
        <v>1</v>
      </c>
      <c r="AW71" s="46">
        <v>1</v>
      </c>
      <c r="BA71" s="46">
        <v>1</v>
      </c>
      <c r="BI71" s="46">
        <v>1</v>
      </c>
      <c r="BZ71" s="46">
        <v>1</v>
      </c>
      <c r="CC71" s="46">
        <v>1</v>
      </c>
      <c r="CI71" s="46">
        <v>1</v>
      </c>
      <c r="CP71" s="46">
        <v>1</v>
      </c>
      <c r="CR71" s="134">
        <v>46539</v>
      </c>
    </row>
    <row r="72" spans="1:96">
      <c r="A72" s="46" t="s">
        <v>5012</v>
      </c>
      <c r="B72" s="46" t="s">
        <v>5013</v>
      </c>
      <c r="C72" s="46">
        <v>57</v>
      </c>
      <c r="D72" s="46" t="s">
        <v>1530</v>
      </c>
      <c r="E72" s="46" t="s">
        <v>5014</v>
      </c>
      <c r="F72" s="46" t="s">
        <v>2662</v>
      </c>
      <c r="H72" s="46">
        <v>1</v>
      </c>
      <c r="M72" s="46">
        <v>1</v>
      </c>
      <c r="Q72" s="46">
        <v>1</v>
      </c>
      <c r="T72" s="46">
        <v>1</v>
      </c>
      <c r="W72" s="46">
        <v>16</v>
      </c>
      <c r="X72" s="46">
        <v>18</v>
      </c>
      <c r="Y72" s="46">
        <v>19</v>
      </c>
      <c r="Z72" s="46">
        <v>10</v>
      </c>
      <c r="AA72" s="46">
        <v>10</v>
      </c>
      <c r="AB72" s="46">
        <v>10</v>
      </c>
      <c r="AE72" s="46">
        <v>1</v>
      </c>
      <c r="AG72" s="46">
        <v>1</v>
      </c>
      <c r="AH72" s="46">
        <v>1</v>
      </c>
      <c r="AJ72" s="46">
        <v>1</v>
      </c>
      <c r="AK72" s="46">
        <v>1</v>
      </c>
      <c r="AT72" s="46">
        <v>1</v>
      </c>
      <c r="AX72" s="46">
        <v>1</v>
      </c>
      <c r="BA72" s="46">
        <v>1</v>
      </c>
      <c r="BI72" s="46">
        <v>1</v>
      </c>
      <c r="BZ72" s="46">
        <v>1</v>
      </c>
      <c r="CC72" s="46">
        <v>1</v>
      </c>
      <c r="CI72" s="46">
        <v>1</v>
      </c>
      <c r="CP72" s="46">
        <v>1</v>
      </c>
      <c r="CR72" s="134">
        <v>46539</v>
      </c>
    </row>
    <row r="73" spans="1:96">
      <c r="A73" s="46" t="s">
        <v>5015</v>
      </c>
      <c r="B73" s="46" t="s">
        <v>5016</v>
      </c>
      <c r="C73" s="46">
        <v>42</v>
      </c>
      <c r="D73" s="46" t="s">
        <v>5017</v>
      </c>
      <c r="E73" s="46" t="s">
        <v>5018</v>
      </c>
      <c r="F73" s="46" t="s">
        <v>2484</v>
      </c>
      <c r="H73" s="46">
        <v>1</v>
      </c>
      <c r="M73" s="46">
        <v>1</v>
      </c>
      <c r="Q73" s="46">
        <v>1</v>
      </c>
      <c r="T73" s="46">
        <v>1</v>
      </c>
      <c r="W73" s="46">
        <v>13</v>
      </c>
      <c r="X73" s="46">
        <v>14</v>
      </c>
      <c r="Y73" s="46">
        <v>15</v>
      </c>
      <c r="Z73" s="46">
        <v>11</v>
      </c>
      <c r="AA73" s="46">
        <v>8</v>
      </c>
      <c r="AB73" s="46">
        <v>8</v>
      </c>
      <c r="AE73" s="46">
        <v>1</v>
      </c>
      <c r="AG73" s="46">
        <v>1</v>
      </c>
      <c r="AH73" s="46">
        <v>1</v>
      </c>
      <c r="AJ73" s="46">
        <v>1</v>
      </c>
      <c r="AK73" s="46">
        <v>1</v>
      </c>
      <c r="AT73" s="46">
        <v>1</v>
      </c>
      <c r="AW73" s="46">
        <v>1</v>
      </c>
      <c r="BA73" s="46">
        <v>1</v>
      </c>
      <c r="BJ73" s="46">
        <v>1</v>
      </c>
      <c r="BW73" s="46">
        <v>1</v>
      </c>
      <c r="BZ73" s="46">
        <v>1</v>
      </c>
      <c r="CC73" s="46">
        <v>1</v>
      </c>
      <c r="CI73" s="46">
        <v>1</v>
      </c>
      <c r="CP73" s="46">
        <v>1</v>
      </c>
      <c r="CR73" s="134">
        <v>46539</v>
      </c>
    </row>
    <row r="74" spans="1:96">
      <c r="A74" s="46" t="s">
        <v>5019</v>
      </c>
      <c r="B74" s="46" t="s">
        <v>5020</v>
      </c>
      <c r="C74" s="46">
        <v>40</v>
      </c>
      <c r="D74" s="46" t="s">
        <v>1505</v>
      </c>
      <c r="E74" s="46" t="s">
        <v>191</v>
      </c>
      <c r="F74" s="46" t="s">
        <v>2484</v>
      </c>
      <c r="H74" s="46">
        <v>1</v>
      </c>
      <c r="L74" s="46">
        <v>1</v>
      </c>
      <c r="Q74" s="46">
        <v>1</v>
      </c>
      <c r="S74" s="46">
        <v>1</v>
      </c>
      <c r="W74" s="46">
        <v>10</v>
      </c>
      <c r="X74" s="46">
        <v>11</v>
      </c>
      <c r="Y74" s="46">
        <v>20</v>
      </c>
      <c r="Z74" s="46">
        <v>7</v>
      </c>
      <c r="AA74" s="46">
        <v>7</v>
      </c>
      <c r="AB74" s="46">
        <v>7</v>
      </c>
      <c r="AG74" s="46">
        <v>1</v>
      </c>
      <c r="AH74" s="46">
        <v>1</v>
      </c>
      <c r="AI74" s="46">
        <v>1</v>
      </c>
      <c r="AK74" s="46">
        <v>1</v>
      </c>
      <c r="AT74" s="46">
        <v>1</v>
      </c>
      <c r="AW74" s="46">
        <v>1</v>
      </c>
      <c r="BA74" s="46">
        <v>1</v>
      </c>
      <c r="BJ74" s="46">
        <v>1</v>
      </c>
      <c r="BZ74" s="46">
        <v>1</v>
      </c>
      <c r="CC74" s="46">
        <v>1</v>
      </c>
      <c r="CI74" s="46">
        <v>1</v>
      </c>
      <c r="CP74" s="46">
        <v>1</v>
      </c>
      <c r="CR74" s="134">
        <v>46539</v>
      </c>
    </row>
    <row r="75" spans="1:96">
      <c r="A75" s="46" t="s">
        <v>5021</v>
      </c>
      <c r="B75" s="46" t="s">
        <v>4844</v>
      </c>
      <c r="C75" s="46">
        <v>53</v>
      </c>
      <c r="D75" s="46" t="s">
        <v>4871</v>
      </c>
      <c r="E75" s="46" t="s">
        <v>191</v>
      </c>
      <c r="F75" s="46" t="s">
        <v>2484</v>
      </c>
      <c r="G75" s="46">
        <v>1</v>
      </c>
      <c r="M75" s="46">
        <v>1</v>
      </c>
      <c r="Q75" s="46">
        <v>1</v>
      </c>
      <c r="S75" s="46">
        <v>1</v>
      </c>
      <c r="W75" s="46">
        <v>10</v>
      </c>
      <c r="X75" s="46">
        <v>15</v>
      </c>
      <c r="Y75" s="46">
        <v>21</v>
      </c>
      <c r="Z75" s="46">
        <v>12</v>
      </c>
      <c r="AA75" s="46">
        <v>12</v>
      </c>
      <c r="AB75" s="46">
        <v>10</v>
      </c>
      <c r="AC75" s="46">
        <v>1</v>
      </c>
      <c r="AJ75" s="46">
        <v>1</v>
      </c>
      <c r="AK75" s="46">
        <v>1</v>
      </c>
      <c r="AT75" s="46">
        <v>1</v>
      </c>
      <c r="AW75" s="46">
        <v>1</v>
      </c>
      <c r="BA75" s="46">
        <v>1</v>
      </c>
      <c r="BJ75" s="46">
        <v>1</v>
      </c>
      <c r="BW75" s="46">
        <v>1</v>
      </c>
      <c r="BZ75" s="46">
        <v>1</v>
      </c>
      <c r="CC75" s="46">
        <v>1</v>
      </c>
      <c r="CI75" s="46">
        <v>1</v>
      </c>
      <c r="CP75" s="46">
        <v>1</v>
      </c>
      <c r="CR75" s="134">
        <v>46539</v>
      </c>
    </row>
    <row r="76" spans="1:96">
      <c r="A76" s="46" t="s">
        <v>5022</v>
      </c>
      <c r="B76" s="46" t="s">
        <v>5023</v>
      </c>
      <c r="C76" s="46">
        <v>56</v>
      </c>
      <c r="D76" s="46" t="s">
        <v>5024</v>
      </c>
      <c r="E76" s="46" t="s">
        <v>5025</v>
      </c>
      <c r="F76" s="46" t="s">
        <v>2484</v>
      </c>
      <c r="H76" s="46">
        <v>1</v>
      </c>
      <c r="M76" s="46">
        <v>1</v>
      </c>
      <c r="Q76" s="46">
        <v>1</v>
      </c>
      <c r="S76" s="46">
        <v>1</v>
      </c>
      <c r="W76" s="46">
        <v>17</v>
      </c>
      <c r="X76" s="46">
        <v>18</v>
      </c>
      <c r="Y76" s="46">
        <v>20</v>
      </c>
      <c r="Z76" s="46">
        <v>9</v>
      </c>
      <c r="AA76" s="46">
        <v>9</v>
      </c>
      <c r="AB76" s="46">
        <v>4</v>
      </c>
      <c r="AE76" s="46">
        <v>1</v>
      </c>
      <c r="AG76" s="46">
        <v>1</v>
      </c>
      <c r="AH76" s="46">
        <v>1</v>
      </c>
      <c r="AI76" s="46">
        <v>1</v>
      </c>
      <c r="AK76" s="46">
        <v>1</v>
      </c>
      <c r="AT76" s="46">
        <v>1</v>
      </c>
      <c r="AW76" s="46">
        <v>1</v>
      </c>
      <c r="BA76" s="46">
        <v>1</v>
      </c>
      <c r="BJ76" s="46">
        <v>1</v>
      </c>
      <c r="BZ76" s="46">
        <v>1</v>
      </c>
      <c r="CC76" s="46">
        <v>1</v>
      </c>
      <c r="CI76" s="46">
        <v>1</v>
      </c>
      <c r="CP76" s="46">
        <v>1</v>
      </c>
      <c r="CR76" s="134">
        <v>46539</v>
      </c>
    </row>
    <row r="77" spans="1:96">
      <c r="A77" s="46" t="s">
        <v>5026</v>
      </c>
      <c r="B77" s="46" t="s">
        <v>5027</v>
      </c>
      <c r="C77" s="46">
        <v>68</v>
      </c>
      <c r="D77" s="46" t="s">
        <v>4830</v>
      </c>
      <c r="E77" s="46" t="s">
        <v>191</v>
      </c>
      <c r="F77" s="46" t="s">
        <v>2662</v>
      </c>
      <c r="G77" s="46">
        <v>1</v>
      </c>
      <c r="P77" s="46">
        <v>1</v>
      </c>
      <c r="Q77" s="46">
        <v>1</v>
      </c>
      <c r="S77" s="46">
        <v>1</v>
      </c>
      <c r="W77" s="46">
        <v>14</v>
      </c>
      <c r="X77" s="46">
        <v>17</v>
      </c>
      <c r="Y77" s="46">
        <v>20</v>
      </c>
      <c r="Z77" s="46">
        <v>10</v>
      </c>
      <c r="AA77" s="46">
        <v>9</v>
      </c>
      <c r="AB77" s="46">
        <v>8</v>
      </c>
      <c r="AE77" s="46">
        <v>1</v>
      </c>
      <c r="AI77" s="46">
        <v>1</v>
      </c>
      <c r="AJ77" s="46">
        <v>1</v>
      </c>
      <c r="AK77" s="46">
        <v>1</v>
      </c>
      <c r="AT77" s="46">
        <v>1</v>
      </c>
      <c r="AW77" s="46">
        <v>1</v>
      </c>
      <c r="BA77" s="46">
        <v>1</v>
      </c>
      <c r="BJ77" s="46">
        <v>1</v>
      </c>
      <c r="BW77" s="46">
        <v>1</v>
      </c>
      <c r="BZ77" s="46">
        <v>1</v>
      </c>
      <c r="CC77" s="46">
        <v>1</v>
      </c>
      <c r="CI77" s="46">
        <v>1</v>
      </c>
      <c r="CP77" s="46">
        <v>1</v>
      </c>
      <c r="CR77" s="134">
        <v>46539</v>
      </c>
    </row>
    <row r="78" spans="1:96">
      <c r="A78" s="46" t="s">
        <v>5028</v>
      </c>
      <c r="B78" s="46" t="s">
        <v>5029</v>
      </c>
      <c r="C78" s="46">
        <v>80</v>
      </c>
      <c r="D78" s="46" t="s">
        <v>5030</v>
      </c>
      <c r="E78" s="46" t="s">
        <v>191</v>
      </c>
      <c r="F78" s="46" t="s">
        <v>2662</v>
      </c>
      <c r="H78" s="46">
        <v>1</v>
      </c>
      <c r="R78" s="46">
        <v>1</v>
      </c>
      <c r="S78" s="46">
        <v>1</v>
      </c>
      <c r="W78" s="46">
        <v>12</v>
      </c>
      <c r="X78" s="46">
        <v>14</v>
      </c>
      <c r="Y78" s="46">
        <v>14</v>
      </c>
      <c r="Z78" s="46">
        <v>12</v>
      </c>
      <c r="AA78" s="46">
        <v>10</v>
      </c>
      <c r="AB78" s="46">
        <v>8</v>
      </c>
      <c r="AE78" s="46">
        <v>1</v>
      </c>
      <c r="AI78" s="46">
        <v>1</v>
      </c>
      <c r="AM78" s="46">
        <v>1</v>
      </c>
      <c r="AT78" s="46">
        <v>1</v>
      </c>
      <c r="AW78" s="46">
        <v>1</v>
      </c>
      <c r="BA78" s="46">
        <v>1</v>
      </c>
      <c r="BJ78" s="46">
        <v>1</v>
      </c>
      <c r="BW78" s="46">
        <v>1</v>
      </c>
      <c r="BZ78" s="46">
        <v>1</v>
      </c>
      <c r="CC78" s="46">
        <v>1</v>
      </c>
      <c r="CI78" s="46">
        <v>1</v>
      </c>
      <c r="CP78" s="46">
        <v>1</v>
      </c>
      <c r="CR78" s="134">
        <v>46539</v>
      </c>
    </row>
    <row r="79" spans="1:96">
      <c r="A79" s="46" t="s">
        <v>5031</v>
      </c>
      <c r="B79" s="46" t="s">
        <v>5032</v>
      </c>
      <c r="C79" s="46">
        <v>56</v>
      </c>
      <c r="D79" s="46" t="s">
        <v>5024</v>
      </c>
      <c r="E79" s="46" t="s">
        <v>191</v>
      </c>
      <c r="F79" s="46" t="s">
        <v>2472</v>
      </c>
      <c r="I79" s="46">
        <v>1</v>
      </c>
      <c r="M79" s="46">
        <v>1</v>
      </c>
      <c r="R79" s="46">
        <v>1</v>
      </c>
      <c r="T79" s="46">
        <v>1</v>
      </c>
      <c r="W79" s="46">
        <v>16</v>
      </c>
      <c r="X79" s="46">
        <v>15</v>
      </c>
      <c r="Y79" s="46">
        <v>18</v>
      </c>
      <c r="Z79" s="46">
        <v>6</v>
      </c>
      <c r="AA79" s="46">
        <v>6</v>
      </c>
      <c r="AB79" s="46">
        <v>6</v>
      </c>
      <c r="AC79" s="46">
        <v>1</v>
      </c>
      <c r="AJ79" s="46">
        <v>1</v>
      </c>
      <c r="AL79" s="46">
        <v>1</v>
      </c>
      <c r="AQ79" s="46" t="s">
        <v>251</v>
      </c>
      <c r="AT79" s="46">
        <v>1</v>
      </c>
      <c r="AW79" s="46">
        <v>1</v>
      </c>
      <c r="BB79" s="46">
        <v>1</v>
      </c>
      <c r="BF79" s="46">
        <v>1</v>
      </c>
      <c r="BJ79" s="46">
        <v>1</v>
      </c>
      <c r="BW79" s="46">
        <v>1</v>
      </c>
      <c r="BZ79" s="46">
        <v>1</v>
      </c>
      <c r="CC79" s="46">
        <v>1</v>
      </c>
      <c r="CI79" s="46">
        <v>1</v>
      </c>
      <c r="CP79" s="46">
        <v>1</v>
      </c>
      <c r="CR79" s="134">
        <v>46539</v>
      </c>
    </row>
    <row r="80" spans="1:96">
      <c r="A80" s="46" t="s">
        <v>5033</v>
      </c>
      <c r="B80" s="46" t="s">
        <v>5034</v>
      </c>
      <c r="C80" s="46">
        <v>55</v>
      </c>
      <c r="D80" s="46" t="s">
        <v>5035</v>
      </c>
      <c r="E80" s="46" t="s">
        <v>191</v>
      </c>
      <c r="F80" s="46" t="s">
        <v>2472</v>
      </c>
      <c r="H80" s="46">
        <v>1</v>
      </c>
      <c r="P80" s="46">
        <v>1</v>
      </c>
      <c r="Q80" s="46">
        <v>1</v>
      </c>
      <c r="S80" s="46">
        <v>1</v>
      </c>
      <c r="W80" s="46">
        <v>13</v>
      </c>
      <c r="X80" s="46">
        <v>15</v>
      </c>
      <c r="Y80" s="46">
        <v>18</v>
      </c>
      <c r="Z80" s="46">
        <v>10</v>
      </c>
      <c r="AA80" s="46">
        <v>10</v>
      </c>
      <c r="AB80" s="46">
        <v>6</v>
      </c>
      <c r="AG80" s="46">
        <v>1</v>
      </c>
      <c r="AH80" s="46">
        <v>1</v>
      </c>
      <c r="AI80" s="46">
        <v>1</v>
      </c>
      <c r="AK80" s="46">
        <v>1</v>
      </c>
      <c r="AT80" s="46">
        <v>1</v>
      </c>
      <c r="AW80" s="46">
        <v>1</v>
      </c>
      <c r="BA80" s="46">
        <v>1</v>
      </c>
      <c r="BJ80" s="46">
        <v>1</v>
      </c>
      <c r="BZ80" s="46">
        <v>1</v>
      </c>
      <c r="CC80" s="46">
        <v>1</v>
      </c>
      <c r="CI80" s="46">
        <v>1</v>
      </c>
      <c r="CP80" s="46">
        <v>1</v>
      </c>
      <c r="CR80" s="134">
        <v>46539</v>
      </c>
    </row>
    <row r="81" spans="1:96">
      <c r="A81" s="46" t="s">
        <v>5036</v>
      </c>
      <c r="B81" s="46" t="s">
        <v>5037</v>
      </c>
      <c r="C81" s="46">
        <v>80</v>
      </c>
      <c r="D81" s="46" t="s">
        <v>4864</v>
      </c>
      <c r="E81" s="46" t="s">
        <v>191</v>
      </c>
      <c r="F81" s="46" t="s">
        <v>2472</v>
      </c>
      <c r="G81" s="46">
        <v>1</v>
      </c>
      <c r="P81" s="46">
        <v>1</v>
      </c>
      <c r="Q81" s="46">
        <v>1</v>
      </c>
      <c r="T81" s="46">
        <v>1</v>
      </c>
      <c r="W81" s="46">
        <v>15</v>
      </c>
      <c r="X81" s="46">
        <v>20</v>
      </c>
      <c r="Y81" s="46">
        <v>22</v>
      </c>
      <c r="Z81" s="46">
        <v>4</v>
      </c>
      <c r="AA81" s="46">
        <v>4</v>
      </c>
      <c r="AB81" s="46">
        <v>4</v>
      </c>
      <c r="AG81" s="46">
        <v>1</v>
      </c>
      <c r="AI81" s="46">
        <v>1</v>
      </c>
      <c r="AL81" s="46">
        <v>1</v>
      </c>
      <c r="AS81" s="46">
        <v>1</v>
      </c>
      <c r="AT81" s="46">
        <v>1</v>
      </c>
      <c r="AW81" s="46">
        <v>1</v>
      </c>
      <c r="BA81" s="46">
        <v>1</v>
      </c>
      <c r="BJ81" s="46">
        <v>1</v>
      </c>
      <c r="BZ81" s="46">
        <v>1</v>
      </c>
      <c r="CC81" s="46">
        <v>1</v>
      </c>
      <c r="CI81" s="46">
        <v>1</v>
      </c>
      <c r="CP81" s="46">
        <v>1</v>
      </c>
      <c r="CR81" s="134">
        <v>46539</v>
      </c>
    </row>
    <row r="82" spans="1:96">
      <c r="A82" s="46" t="s">
        <v>5038</v>
      </c>
      <c r="B82" s="46" t="s">
        <v>5039</v>
      </c>
      <c r="C82" s="46">
        <v>57</v>
      </c>
      <c r="D82" s="46" t="s">
        <v>1581</v>
      </c>
      <c r="E82" s="46" t="s">
        <v>5040</v>
      </c>
      <c r="F82" s="46" t="s">
        <v>2472</v>
      </c>
      <c r="H82" s="46">
        <v>1</v>
      </c>
      <c r="P82" s="46">
        <v>1</v>
      </c>
      <c r="R82" s="46">
        <v>1</v>
      </c>
      <c r="T82" s="46">
        <v>1</v>
      </c>
      <c r="W82" s="46">
        <v>14</v>
      </c>
      <c r="X82" s="46">
        <v>16</v>
      </c>
      <c r="Y82" s="46">
        <v>16</v>
      </c>
      <c r="Z82" s="46">
        <v>7</v>
      </c>
      <c r="AA82" s="46">
        <v>7</v>
      </c>
      <c r="AB82" s="46">
        <v>6</v>
      </c>
      <c r="AC82" s="46">
        <v>1</v>
      </c>
      <c r="AJ82" s="46">
        <v>1</v>
      </c>
      <c r="AL82" s="46">
        <v>1</v>
      </c>
      <c r="AP82" s="46">
        <v>1</v>
      </c>
      <c r="AS82" s="46">
        <v>1</v>
      </c>
      <c r="AT82" s="46">
        <v>1</v>
      </c>
      <c r="AX82" s="46">
        <v>1</v>
      </c>
      <c r="BA82" s="46">
        <v>1</v>
      </c>
      <c r="BJ82" s="46">
        <v>1</v>
      </c>
      <c r="BW82" s="46">
        <v>1</v>
      </c>
      <c r="BZ82" s="46">
        <v>1</v>
      </c>
      <c r="CC82" s="46">
        <v>1</v>
      </c>
      <c r="CI82" s="46">
        <v>1</v>
      </c>
      <c r="CP82" s="46">
        <v>1</v>
      </c>
      <c r="CR82" s="134">
        <v>46539</v>
      </c>
    </row>
    <row r="83" spans="1:96">
      <c r="A83" s="46" t="s">
        <v>5041</v>
      </c>
      <c r="B83" s="46" t="s">
        <v>5042</v>
      </c>
      <c r="C83" s="46">
        <v>62</v>
      </c>
      <c r="D83" s="46" t="s">
        <v>5043</v>
      </c>
      <c r="E83" s="46" t="s">
        <v>5044</v>
      </c>
      <c r="F83" s="46" t="s">
        <v>2484</v>
      </c>
      <c r="H83" s="46">
        <v>1</v>
      </c>
      <c r="O83" s="46">
        <v>1</v>
      </c>
      <c r="R83" s="46">
        <v>1</v>
      </c>
      <c r="T83" s="46">
        <v>1</v>
      </c>
      <c r="W83" s="46">
        <v>14</v>
      </c>
      <c r="X83" s="46">
        <v>14</v>
      </c>
      <c r="Y83" s="46">
        <v>0</v>
      </c>
      <c r="Z83" s="46">
        <v>1</v>
      </c>
      <c r="AA83" s="46">
        <v>0</v>
      </c>
      <c r="AB83" s="46">
        <v>0</v>
      </c>
      <c r="AC83" s="46">
        <v>1</v>
      </c>
      <c r="AI83" s="46">
        <v>1</v>
      </c>
      <c r="AM83" s="46">
        <v>1</v>
      </c>
      <c r="AT83" s="46">
        <v>1</v>
      </c>
      <c r="AX83" s="46">
        <v>1</v>
      </c>
      <c r="BA83" s="46">
        <v>1</v>
      </c>
      <c r="BJ83" s="46">
        <v>1</v>
      </c>
      <c r="BW83" s="46">
        <v>1</v>
      </c>
      <c r="BZ83" s="46">
        <v>1</v>
      </c>
      <c r="CC83" s="46">
        <v>1</v>
      </c>
      <c r="CI83" s="46">
        <v>1</v>
      </c>
      <c r="CP83" s="46">
        <v>1</v>
      </c>
      <c r="CR83" s="134">
        <v>46539</v>
      </c>
    </row>
    <row r="84" spans="1:96">
      <c r="A84" s="46" t="s">
        <v>5045</v>
      </c>
      <c r="B84" s="46" t="s">
        <v>5046</v>
      </c>
      <c r="C84" s="46">
        <v>50</v>
      </c>
      <c r="D84" s="46" t="s">
        <v>1505</v>
      </c>
      <c r="E84" s="46" t="s">
        <v>191</v>
      </c>
      <c r="F84" s="46" t="s">
        <v>2484</v>
      </c>
      <c r="H84" s="46">
        <v>1</v>
      </c>
      <c r="M84" s="46">
        <v>1</v>
      </c>
      <c r="Q84" s="46">
        <v>1</v>
      </c>
      <c r="S84" s="46">
        <v>1</v>
      </c>
      <c r="W84" s="46">
        <v>15</v>
      </c>
      <c r="X84" s="46">
        <v>29</v>
      </c>
      <c r="Y84" s="46">
        <v>25</v>
      </c>
      <c r="Z84" s="46">
        <v>11</v>
      </c>
      <c r="AA84" s="46">
        <v>11</v>
      </c>
      <c r="AB84" s="46">
        <v>6</v>
      </c>
      <c r="AG84" s="46">
        <v>1</v>
      </c>
      <c r="AH84" s="46">
        <v>1</v>
      </c>
      <c r="AI84" s="46">
        <v>1</v>
      </c>
      <c r="AK84" s="46">
        <v>1</v>
      </c>
      <c r="AT84" s="46">
        <v>1</v>
      </c>
      <c r="AW84" s="46">
        <v>1</v>
      </c>
      <c r="BA84" s="46">
        <v>1</v>
      </c>
      <c r="BJ84" s="46">
        <v>1</v>
      </c>
      <c r="BW84" s="46">
        <v>1</v>
      </c>
      <c r="BZ84" s="46">
        <v>1</v>
      </c>
      <c r="CC84" s="46">
        <v>1</v>
      </c>
      <c r="CI84" s="46">
        <v>1</v>
      </c>
      <c r="CP84" s="46">
        <v>1</v>
      </c>
      <c r="CR84" s="134">
        <v>46539</v>
      </c>
    </row>
    <row r="85" spans="1:96">
      <c r="A85" s="46" t="s">
        <v>5047</v>
      </c>
      <c r="B85" s="46" t="s">
        <v>5048</v>
      </c>
      <c r="C85" s="46">
        <v>54</v>
      </c>
      <c r="D85" s="46" t="s">
        <v>1505</v>
      </c>
      <c r="E85" s="46" t="s">
        <v>5049</v>
      </c>
      <c r="F85" s="46" t="s">
        <v>2484</v>
      </c>
      <c r="H85" s="46">
        <v>1</v>
      </c>
      <c r="M85" s="46">
        <v>1</v>
      </c>
      <c r="Q85" s="46">
        <v>1</v>
      </c>
      <c r="T85" s="46">
        <v>1</v>
      </c>
      <c r="W85" s="46">
        <v>15</v>
      </c>
      <c r="X85" s="46">
        <v>16</v>
      </c>
      <c r="Y85" s="46">
        <v>20</v>
      </c>
      <c r="Z85" s="46">
        <v>10</v>
      </c>
      <c r="AA85" s="46">
        <v>10</v>
      </c>
      <c r="AB85" s="46">
        <v>10</v>
      </c>
      <c r="AC85" s="46">
        <v>1</v>
      </c>
      <c r="AJ85" s="46">
        <v>1</v>
      </c>
      <c r="AM85" s="46">
        <v>1</v>
      </c>
      <c r="AT85" s="46">
        <v>1</v>
      </c>
      <c r="AW85" s="46">
        <v>1</v>
      </c>
      <c r="BA85" s="46">
        <v>1</v>
      </c>
      <c r="BJ85" s="46">
        <v>1</v>
      </c>
      <c r="BW85" s="46">
        <v>1</v>
      </c>
      <c r="CA85" s="46">
        <v>1</v>
      </c>
      <c r="CB85" s="46">
        <v>2022</v>
      </c>
      <c r="CC85" s="46">
        <v>1</v>
      </c>
      <c r="CI85" s="46">
        <v>1</v>
      </c>
      <c r="CP85" s="46">
        <v>1</v>
      </c>
      <c r="CR85" s="134">
        <v>46539</v>
      </c>
    </row>
    <row r="86" spans="1:96">
      <c r="A86" s="46" t="s">
        <v>5050</v>
      </c>
      <c r="B86" s="46" t="s">
        <v>5051</v>
      </c>
      <c r="C86" s="46">
        <v>54</v>
      </c>
      <c r="D86" s="46" t="s">
        <v>1505</v>
      </c>
      <c r="E86" s="46" t="s">
        <v>5052</v>
      </c>
      <c r="F86" s="46" t="s">
        <v>2484</v>
      </c>
      <c r="H86" s="46">
        <v>1</v>
      </c>
      <c r="P86" s="46">
        <v>1</v>
      </c>
      <c r="Q86" s="46">
        <v>1</v>
      </c>
      <c r="T86" s="46">
        <v>1</v>
      </c>
      <c r="W86" s="46">
        <v>15</v>
      </c>
      <c r="X86" s="46">
        <v>17</v>
      </c>
      <c r="Y86" s="46">
        <v>19</v>
      </c>
      <c r="Z86" s="46">
        <v>4</v>
      </c>
      <c r="AA86" s="46">
        <v>4</v>
      </c>
      <c r="AB86" s="46">
        <v>4</v>
      </c>
      <c r="AH86" s="46">
        <v>1</v>
      </c>
      <c r="AI86" s="46">
        <v>1</v>
      </c>
      <c r="AK86" s="46">
        <v>1</v>
      </c>
      <c r="AT86" s="46">
        <v>1</v>
      </c>
      <c r="AW86" s="46">
        <v>1</v>
      </c>
      <c r="BA86" s="46">
        <v>1</v>
      </c>
      <c r="BJ86" s="46">
        <v>1</v>
      </c>
      <c r="BZ86" s="46">
        <v>1</v>
      </c>
      <c r="CC86" s="46">
        <v>1</v>
      </c>
      <c r="CI86" s="46">
        <v>1</v>
      </c>
      <c r="CP86" s="46">
        <v>1</v>
      </c>
      <c r="CR86" s="134">
        <v>46539</v>
      </c>
    </row>
    <row r="87" spans="1:96">
      <c r="A87" s="46" t="s">
        <v>5053</v>
      </c>
      <c r="B87" s="46" t="s">
        <v>5054</v>
      </c>
      <c r="C87" s="46">
        <v>48</v>
      </c>
      <c r="D87" s="46" t="s">
        <v>1505</v>
      </c>
      <c r="E87" s="46" t="s">
        <v>5055</v>
      </c>
      <c r="F87" s="46" t="s">
        <v>2484</v>
      </c>
      <c r="H87" s="46">
        <v>1</v>
      </c>
      <c r="M87" s="46">
        <v>1</v>
      </c>
      <c r="Q87" s="46">
        <v>1</v>
      </c>
      <c r="S87" s="46">
        <v>1</v>
      </c>
      <c r="W87" s="46">
        <v>15</v>
      </c>
      <c r="X87" s="46">
        <v>18</v>
      </c>
      <c r="Y87" s="46">
        <v>19</v>
      </c>
      <c r="Z87" s="46">
        <v>11</v>
      </c>
      <c r="AA87" s="46">
        <v>8</v>
      </c>
      <c r="AB87" s="46">
        <v>7</v>
      </c>
      <c r="AE87" s="46">
        <v>1</v>
      </c>
      <c r="AI87" s="46">
        <v>1</v>
      </c>
      <c r="AK87" s="46">
        <v>1</v>
      </c>
      <c r="AT87" s="46">
        <v>1</v>
      </c>
      <c r="AW87" s="46">
        <v>1</v>
      </c>
      <c r="BB87" s="46">
        <v>1</v>
      </c>
      <c r="BF87" s="46">
        <v>1</v>
      </c>
      <c r="BJ87" s="46">
        <v>1</v>
      </c>
      <c r="BZ87" s="46">
        <v>1</v>
      </c>
      <c r="CC87" s="46">
        <v>1</v>
      </c>
      <c r="CI87" s="46">
        <v>1</v>
      </c>
      <c r="CP87" s="46">
        <v>1</v>
      </c>
      <c r="CR87" s="134">
        <v>46539</v>
      </c>
    </row>
    <row r="88" spans="1:96">
      <c r="A88" s="46" t="s">
        <v>5056</v>
      </c>
      <c r="B88" s="46" t="s">
        <v>5057</v>
      </c>
      <c r="C88" s="46">
        <v>40</v>
      </c>
      <c r="D88" s="46" t="s">
        <v>1505</v>
      </c>
      <c r="E88" s="46" t="s">
        <v>5058</v>
      </c>
      <c r="F88" s="46" t="s">
        <v>2472</v>
      </c>
      <c r="H88" s="46">
        <v>1</v>
      </c>
      <c r="M88" s="46">
        <v>1</v>
      </c>
      <c r="Q88" s="46">
        <v>1</v>
      </c>
      <c r="U88" s="46">
        <v>1</v>
      </c>
      <c r="W88" s="46">
        <v>16</v>
      </c>
      <c r="X88" s="46">
        <v>18</v>
      </c>
      <c r="Y88" s="46">
        <v>19</v>
      </c>
      <c r="Z88" s="46">
        <v>9</v>
      </c>
      <c r="AA88" s="46">
        <v>9</v>
      </c>
      <c r="AB88" s="46">
        <v>7</v>
      </c>
      <c r="AG88" s="46">
        <v>1</v>
      </c>
      <c r="AH88" s="46">
        <v>1</v>
      </c>
      <c r="AI88" s="46">
        <v>1</v>
      </c>
      <c r="AK88" s="46">
        <v>1</v>
      </c>
      <c r="AT88" s="46">
        <v>1</v>
      </c>
      <c r="AW88" s="46">
        <v>1</v>
      </c>
      <c r="BA88" s="46">
        <v>1</v>
      </c>
      <c r="BJ88" s="46">
        <v>1</v>
      </c>
      <c r="BZ88" s="46">
        <v>1</v>
      </c>
      <c r="CD88" s="46">
        <v>1</v>
      </c>
      <c r="CE88" s="46">
        <v>2023</v>
      </c>
      <c r="CI88" s="46">
        <v>1</v>
      </c>
      <c r="CP88" s="46">
        <v>1</v>
      </c>
      <c r="CR88" s="134">
        <v>46539</v>
      </c>
    </row>
    <row r="89" spans="1:96">
      <c r="A89" s="46" t="s">
        <v>5059</v>
      </c>
      <c r="B89" s="46" t="s">
        <v>5060</v>
      </c>
      <c r="C89" s="46">
        <v>54</v>
      </c>
      <c r="D89" s="46" t="s">
        <v>4848</v>
      </c>
      <c r="E89" s="46" t="s">
        <v>5061</v>
      </c>
      <c r="F89" s="46" t="s">
        <v>2484</v>
      </c>
      <c r="G89" s="46">
        <v>1</v>
      </c>
      <c r="M89" s="46">
        <v>1</v>
      </c>
      <c r="R89" s="46">
        <v>1</v>
      </c>
      <c r="V89" s="46">
        <v>1</v>
      </c>
      <c r="W89" s="46">
        <v>12</v>
      </c>
      <c r="X89" s="46">
        <v>20</v>
      </c>
      <c r="Y89" s="46">
        <v>22</v>
      </c>
      <c r="Z89" s="46">
        <v>8</v>
      </c>
      <c r="AA89" s="46">
        <v>8</v>
      </c>
      <c r="AB89" s="46">
        <v>6</v>
      </c>
      <c r="AC89" s="46">
        <v>1</v>
      </c>
      <c r="AJ89" s="46">
        <v>1</v>
      </c>
      <c r="AK89" s="46">
        <v>1</v>
      </c>
      <c r="AT89" s="46">
        <v>1</v>
      </c>
      <c r="AW89" s="46">
        <v>1</v>
      </c>
      <c r="BA89" s="46">
        <v>1</v>
      </c>
      <c r="BJ89" s="46">
        <v>1</v>
      </c>
      <c r="BZ89" s="46">
        <v>1</v>
      </c>
      <c r="CC89" s="46">
        <v>1</v>
      </c>
      <c r="CI89" s="46">
        <v>1</v>
      </c>
      <c r="CP89" s="46">
        <v>1</v>
      </c>
      <c r="CR89" s="134">
        <v>46539</v>
      </c>
    </row>
    <row r="90" spans="1:96">
      <c r="A90" s="46" t="s">
        <v>5062</v>
      </c>
      <c r="B90" s="46" t="s">
        <v>5063</v>
      </c>
      <c r="C90" s="46">
        <v>51</v>
      </c>
      <c r="D90" s="46" t="s">
        <v>5035</v>
      </c>
      <c r="E90" s="46" t="s">
        <v>191</v>
      </c>
      <c r="F90" s="46" t="s">
        <v>2484</v>
      </c>
      <c r="H90" s="46">
        <v>1</v>
      </c>
      <c r="M90" s="46">
        <v>1</v>
      </c>
      <c r="R90" s="46">
        <v>1</v>
      </c>
      <c r="T90" s="46">
        <v>1</v>
      </c>
      <c r="W90" s="46">
        <v>15</v>
      </c>
      <c r="X90" s="46">
        <v>19</v>
      </c>
      <c r="Y90" s="46">
        <v>20</v>
      </c>
      <c r="Z90" s="46">
        <v>9</v>
      </c>
      <c r="AA90" s="46">
        <v>9</v>
      </c>
      <c r="AB90" s="46">
        <v>9</v>
      </c>
      <c r="AG90" s="46">
        <v>1</v>
      </c>
      <c r="AH90" s="46">
        <v>1</v>
      </c>
      <c r="AI90" s="46">
        <v>1</v>
      </c>
      <c r="AM90" s="46">
        <v>1</v>
      </c>
      <c r="AT90" s="46">
        <v>1</v>
      </c>
      <c r="AW90" s="46">
        <v>1</v>
      </c>
      <c r="BA90" s="46">
        <v>1</v>
      </c>
      <c r="BJ90" s="46">
        <v>1</v>
      </c>
      <c r="BZ90" s="46">
        <v>1</v>
      </c>
      <c r="CC90" s="46">
        <v>1</v>
      </c>
      <c r="CI90" s="46">
        <v>1</v>
      </c>
      <c r="CP90" s="46">
        <v>1</v>
      </c>
      <c r="CR90" s="134">
        <v>46539</v>
      </c>
    </row>
    <row r="91" spans="1:96">
      <c r="A91" s="46" t="s">
        <v>5064</v>
      </c>
      <c r="B91" s="46" t="s">
        <v>5065</v>
      </c>
      <c r="C91" s="46">
        <v>58</v>
      </c>
      <c r="D91" s="46" t="s">
        <v>5024</v>
      </c>
      <c r="E91" s="46" t="s">
        <v>191</v>
      </c>
      <c r="F91" s="46" t="s">
        <v>2484</v>
      </c>
      <c r="K91" s="46">
        <v>1</v>
      </c>
      <c r="M91" s="46">
        <v>1</v>
      </c>
      <c r="Q91" s="46">
        <v>1</v>
      </c>
      <c r="T91" s="46">
        <v>1</v>
      </c>
      <c r="W91" s="46">
        <v>14</v>
      </c>
      <c r="X91" s="46">
        <v>15</v>
      </c>
      <c r="Y91" s="46">
        <v>17</v>
      </c>
      <c r="Z91" s="46">
        <v>12</v>
      </c>
      <c r="AA91" s="46">
        <v>12</v>
      </c>
      <c r="AB91" s="46">
        <v>8</v>
      </c>
      <c r="AG91" s="46">
        <v>1</v>
      </c>
      <c r="AH91" s="46">
        <v>1</v>
      </c>
      <c r="AI91" s="46">
        <v>1</v>
      </c>
      <c r="AK91" s="46">
        <v>1</v>
      </c>
      <c r="AT91" s="46">
        <v>1</v>
      </c>
      <c r="AX91" s="46">
        <v>1</v>
      </c>
      <c r="BA91" s="46">
        <v>1</v>
      </c>
      <c r="BJ91" s="46">
        <v>1</v>
      </c>
      <c r="BZ91" s="46">
        <v>1</v>
      </c>
      <c r="CC91" s="46">
        <v>1</v>
      </c>
      <c r="CI91" s="46">
        <v>1</v>
      </c>
      <c r="CP91" s="46">
        <v>1</v>
      </c>
      <c r="CR91" s="134">
        <v>46539</v>
      </c>
    </row>
    <row r="92" spans="1:96">
      <c r="A92" s="46" t="s">
        <v>5066</v>
      </c>
      <c r="B92" s="46" t="s">
        <v>5067</v>
      </c>
      <c r="C92" s="46">
        <v>65</v>
      </c>
      <c r="D92" s="46" t="s">
        <v>4871</v>
      </c>
      <c r="E92" s="46" t="s">
        <v>191</v>
      </c>
      <c r="F92" s="46" t="s">
        <v>2484</v>
      </c>
      <c r="G92" s="46">
        <v>1</v>
      </c>
      <c r="M92" s="46">
        <v>1</v>
      </c>
      <c r="Q92" s="46">
        <v>1</v>
      </c>
      <c r="S92" s="46">
        <v>1</v>
      </c>
      <c r="W92" s="46">
        <v>15</v>
      </c>
      <c r="X92" s="46">
        <v>19</v>
      </c>
      <c r="Y92" s="46">
        <v>20</v>
      </c>
      <c r="Z92" s="46">
        <v>11</v>
      </c>
      <c r="AA92" s="46">
        <v>11</v>
      </c>
      <c r="AB92" s="46">
        <v>9</v>
      </c>
      <c r="AG92" s="46">
        <v>1</v>
      </c>
      <c r="AJ92" s="46">
        <v>1</v>
      </c>
      <c r="AK92" s="46">
        <v>1</v>
      </c>
      <c r="AT92" s="46">
        <v>1</v>
      </c>
      <c r="AW92" s="46">
        <v>1</v>
      </c>
      <c r="BA92" s="46">
        <v>1</v>
      </c>
      <c r="BJ92" s="46">
        <v>1</v>
      </c>
      <c r="BZ92" s="46">
        <v>1</v>
      </c>
      <c r="CC92" s="46">
        <v>1</v>
      </c>
      <c r="CI92" s="46">
        <v>1</v>
      </c>
      <c r="CP92" s="46">
        <v>1</v>
      </c>
      <c r="CR92" s="134">
        <v>46539</v>
      </c>
    </row>
    <row r="93" spans="1:96">
      <c r="A93" s="46" t="s">
        <v>5068</v>
      </c>
      <c r="B93" s="46" t="s">
        <v>5069</v>
      </c>
      <c r="C93" s="46">
        <v>72</v>
      </c>
      <c r="D93" s="46" t="s">
        <v>5024</v>
      </c>
      <c r="E93" s="46" t="s">
        <v>5070</v>
      </c>
      <c r="F93" s="46" t="s">
        <v>2484</v>
      </c>
      <c r="G93" s="46">
        <v>1</v>
      </c>
      <c r="M93" s="46">
        <v>1</v>
      </c>
      <c r="Q93" s="46">
        <v>1</v>
      </c>
      <c r="T93" s="46">
        <v>1</v>
      </c>
      <c r="W93" s="46">
        <v>16</v>
      </c>
      <c r="X93" s="46">
        <v>18</v>
      </c>
      <c r="Y93" s="46">
        <v>20</v>
      </c>
      <c r="Z93" s="46">
        <v>11</v>
      </c>
      <c r="AA93" s="46">
        <v>11</v>
      </c>
      <c r="AB93" s="46">
        <v>6</v>
      </c>
      <c r="AF93" s="46">
        <v>1</v>
      </c>
      <c r="AI93" s="46">
        <v>1</v>
      </c>
      <c r="AM93" s="46">
        <v>1</v>
      </c>
      <c r="AT93" s="46">
        <v>1</v>
      </c>
      <c r="AW93" s="46">
        <v>1</v>
      </c>
      <c r="BA93" s="46">
        <v>1</v>
      </c>
      <c r="BM93" s="46" t="s">
        <v>5071</v>
      </c>
      <c r="BZ93" s="46">
        <v>1</v>
      </c>
      <c r="CC93" s="46">
        <v>1</v>
      </c>
      <c r="CI93" s="46">
        <v>1</v>
      </c>
      <c r="CP93" s="46">
        <v>1</v>
      </c>
      <c r="CR93" s="46" t="s">
        <v>5072</v>
      </c>
    </row>
    <row r="94" spans="1:96">
      <c r="A94" s="46" t="s">
        <v>5073</v>
      </c>
      <c r="B94" s="46" t="s">
        <v>5074</v>
      </c>
      <c r="C94" s="46">
        <v>47</v>
      </c>
      <c r="D94" s="46" t="s">
        <v>4944</v>
      </c>
      <c r="E94" s="46" t="s">
        <v>191</v>
      </c>
      <c r="F94" s="46" t="s">
        <v>2484</v>
      </c>
      <c r="J94" s="46">
        <v>1</v>
      </c>
      <c r="M94" s="46">
        <v>1</v>
      </c>
      <c r="R94" s="46">
        <v>1</v>
      </c>
      <c r="S94" s="46">
        <v>1</v>
      </c>
      <c r="W94" s="46">
        <v>12</v>
      </c>
      <c r="X94" s="46">
        <v>14</v>
      </c>
      <c r="Y94" s="46">
        <v>14</v>
      </c>
      <c r="Z94" s="46">
        <v>7</v>
      </c>
      <c r="AA94" s="46">
        <v>7</v>
      </c>
      <c r="AB94" s="46">
        <v>7</v>
      </c>
      <c r="AC94" s="46">
        <v>1</v>
      </c>
      <c r="AI94" s="46">
        <v>1</v>
      </c>
      <c r="AK94" s="46">
        <v>1</v>
      </c>
      <c r="AT94" s="46">
        <v>1</v>
      </c>
      <c r="AW94" s="46">
        <v>1</v>
      </c>
      <c r="BA94" s="46">
        <v>1</v>
      </c>
      <c r="BM94" s="46" t="s">
        <v>5075</v>
      </c>
      <c r="BZ94" s="46">
        <v>1</v>
      </c>
      <c r="CC94" s="46">
        <v>1</v>
      </c>
      <c r="CI94" s="46">
        <v>1</v>
      </c>
      <c r="CP94" s="46">
        <v>1</v>
      </c>
      <c r="CR94" s="134">
        <v>46539</v>
      </c>
    </row>
    <row r="95" spans="1:96">
      <c r="A95" s="46" t="s">
        <v>5076</v>
      </c>
      <c r="B95" s="46" t="s">
        <v>5077</v>
      </c>
      <c r="C95" s="46">
        <v>27</v>
      </c>
      <c r="D95" s="46" t="s">
        <v>5078</v>
      </c>
      <c r="E95" s="46" t="s">
        <v>5079</v>
      </c>
      <c r="F95" s="46" t="s">
        <v>2675</v>
      </c>
      <c r="I95" s="46">
        <v>1</v>
      </c>
      <c r="M95" s="46">
        <v>1</v>
      </c>
      <c r="Q95" s="46">
        <v>1</v>
      </c>
      <c r="T95" s="46">
        <v>1</v>
      </c>
      <c r="W95" s="46">
        <v>12</v>
      </c>
      <c r="X95" s="46">
        <v>13</v>
      </c>
      <c r="Y95" s="46">
        <v>14</v>
      </c>
      <c r="Z95" s="46">
        <v>5</v>
      </c>
      <c r="AA95" s="46">
        <v>5</v>
      </c>
      <c r="AB95" s="46">
        <v>5</v>
      </c>
      <c r="AC95" s="46">
        <v>1</v>
      </c>
      <c r="AI95" s="46">
        <v>1</v>
      </c>
      <c r="AK95" s="46">
        <v>1</v>
      </c>
      <c r="AT95" s="46">
        <v>1</v>
      </c>
      <c r="AW95" s="46">
        <v>1</v>
      </c>
      <c r="BA95" s="46">
        <v>1</v>
      </c>
      <c r="BM95" s="46" t="s">
        <v>5080</v>
      </c>
      <c r="BZ95" s="46">
        <v>1</v>
      </c>
      <c r="CC95" s="46">
        <v>1</v>
      </c>
      <c r="CI95" s="46">
        <v>1</v>
      </c>
      <c r="CP95" s="46">
        <v>1</v>
      </c>
      <c r="CR95" s="134">
        <v>45444</v>
      </c>
    </row>
    <row r="96" spans="1:96">
      <c r="A96" s="46" t="s">
        <v>5081</v>
      </c>
      <c r="B96" s="46" t="s">
        <v>5082</v>
      </c>
      <c r="C96" s="46">
        <v>50</v>
      </c>
      <c r="D96" s="46" t="s">
        <v>1530</v>
      </c>
      <c r="E96" s="46" t="s">
        <v>191</v>
      </c>
      <c r="F96" s="46" t="s">
        <v>2506</v>
      </c>
      <c r="K96" s="46">
        <v>1</v>
      </c>
      <c r="M96" s="46">
        <v>1</v>
      </c>
      <c r="R96" s="46">
        <v>1</v>
      </c>
      <c r="T96" s="46">
        <v>1</v>
      </c>
      <c r="W96" s="46">
        <v>15</v>
      </c>
      <c r="X96" s="46">
        <v>18</v>
      </c>
      <c r="Y96" s="46">
        <v>20</v>
      </c>
      <c r="Z96" s="46">
        <v>12</v>
      </c>
      <c r="AA96" s="46">
        <v>12</v>
      </c>
      <c r="AB96" s="46">
        <v>8</v>
      </c>
      <c r="AG96" s="46">
        <v>1</v>
      </c>
      <c r="AH96" s="46">
        <v>1</v>
      </c>
      <c r="AJ96" s="46">
        <v>1</v>
      </c>
      <c r="AK96" s="46">
        <v>1</v>
      </c>
      <c r="AT96" s="46">
        <v>1</v>
      </c>
      <c r="AX96" s="46">
        <v>1</v>
      </c>
      <c r="BA96" s="46">
        <v>1</v>
      </c>
      <c r="BM96" s="46" t="s">
        <v>5083</v>
      </c>
      <c r="BW96" s="46">
        <v>1</v>
      </c>
      <c r="BZ96" s="46">
        <v>1</v>
      </c>
      <c r="CC96" s="46">
        <v>1</v>
      </c>
      <c r="CI96" s="46">
        <v>1</v>
      </c>
      <c r="CP96" s="46">
        <v>1</v>
      </c>
      <c r="CR96" s="46" t="s">
        <v>46</v>
      </c>
    </row>
    <row r="97" spans="1:96">
      <c r="A97" s="46" t="s">
        <v>5084</v>
      </c>
      <c r="B97" s="46" t="s">
        <v>5085</v>
      </c>
      <c r="C97" s="46">
        <v>40</v>
      </c>
      <c r="D97" s="46" t="s">
        <v>5086</v>
      </c>
      <c r="E97" s="46" t="s">
        <v>191</v>
      </c>
      <c r="F97" s="46" t="s">
        <v>4494</v>
      </c>
      <c r="H97" s="46">
        <v>1</v>
      </c>
      <c r="M97" s="46">
        <v>1</v>
      </c>
      <c r="R97" s="46">
        <v>1</v>
      </c>
      <c r="T97" s="46">
        <v>1</v>
      </c>
      <c r="W97" s="46">
        <v>14</v>
      </c>
      <c r="X97" s="46">
        <v>15</v>
      </c>
      <c r="Y97" s="46">
        <v>17</v>
      </c>
      <c r="Z97" s="46">
        <v>7</v>
      </c>
      <c r="AA97" s="46">
        <v>7</v>
      </c>
      <c r="AB97" s="46">
        <v>6</v>
      </c>
      <c r="AE97" s="46">
        <v>1</v>
      </c>
      <c r="AJ97" s="46">
        <v>1</v>
      </c>
      <c r="AK97" s="46">
        <v>1</v>
      </c>
      <c r="AT97" s="46">
        <v>1</v>
      </c>
      <c r="AW97" s="46">
        <v>1</v>
      </c>
      <c r="BA97" s="46">
        <v>1</v>
      </c>
      <c r="BM97" s="46" t="s">
        <v>2703</v>
      </c>
      <c r="BZ97" s="46">
        <v>1</v>
      </c>
      <c r="CC97" s="46">
        <v>1</v>
      </c>
      <c r="CI97" s="46">
        <v>1</v>
      </c>
      <c r="CP97" s="46">
        <v>1</v>
      </c>
      <c r="CR97" s="46" t="s">
        <v>5087</v>
      </c>
    </row>
    <row r="98" spans="1:96">
      <c r="A98" s="46" t="s">
        <v>5088</v>
      </c>
      <c r="B98" s="46" t="s">
        <v>5089</v>
      </c>
      <c r="C98" s="46">
        <v>21</v>
      </c>
      <c r="D98" s="46" t="s">
        <v>2628</v>
      </c>
      <c r="E98" s="46" t="s">
        <v>5090</v>
      </c>
      <c r="F98" s="46" t="s">
        <v>2484</v>
      </c>
      <c r="G98" s="46"/>
      <c r="I98" s="46">
        <v>1</v>
      </c>
      <c r="L98" s="46">
        <v>1</v>
      </c>
      <c r="M98" s="46"/>
      <c r="Q98" s="46"/>
      <c r="T98" s="46">
        <v>1</v>
      </c>
      <c r="W98" s="46">
        <v>14</v>
      </c>
      <c r="X98" s="46">
        <v>15</v>
      </c>
      <c r="Y98" s="46">
        <v>0</v>
      </c>
      <c r="Z98" s="46">
        <v>0</v>
      </c>
      <c r="AA98" s="46">
        <v>0</v>
      </c>
      <c r="AB98" s="46">
        <v>0</v>
      </c>
      <c r="AE98" s="46">
        <v>1</v>
      </c>
      <c r="AH98" s="46"/>
      <c r="AI98" s="46">
        <v>1</v>
      </c>
      <c r="AM98" s="46">
        <v>1</v>
      </c>
      <c r="AT98" s="46">
        <v>1</v>
      </c>
      <c r="AW98" s="46">
        <v>1</v>
      </c>
      <c r="BA98" s="46">
        <v>1</v>
      </c>
      <c r="BI98" s="46">
        <v>1</v>
      </c>
      <c r="BM98" s="46"/>
      <c r="BZ98" s="46">
        <v>1</v>
      </c>
      <c r="CC98" s="46"/>
      <c r="CI98" s="46">
        <v>1</v>
      </c>
      <c r="CP98" s="46">
        <v>1</v>
      </c>
      <c r="CR98" s="134">
        <v>45444</v>
      </c>
    </row>
    <row r="99" spans="1:96">
      <c r="A99" s="46" t="s">
        <v>5091</v>
      </c>
      <c r="B99" s="46" t="s">
        <v>2732</v>
      </c>
      <c r="C99" s="46">
        <v>22</v>
      </c>
      <c r="D99" s="46" t="s">
        <v>4830</v>
      </c>
      <c r="E99" s="46" t="s">
        <v>5092</v>
      </c>
      <c r="F99" s="46" t="s">
        <v>2484</v>
      </c>
      <c r="G99" s="46">
        <v>1</v>
      </c>
      <c r="M99" s="46">
        <v>1</v>
      </c>
      <c r="Q99" s="46">
        <v>1</v>
      </c>
      <c r="T99" s="46">
        <v>1</v>
      </c>
      <c r="W99" s="46">
        <v>14</v>
      </c>
      <c r="X99" s="46">
        <v>14</v>
      </c>
      <c r="Y99" s="46">
        <v>14</v>
      </c>
      <c r="Z99" s="46">
        <v>4</v>
      </c>
      <c r="AA99" s="46">
        <v>4</v>
      </c>
      <c r="AB99" s="46">
        <v>4</v>
      </c>
      <c r="AH99" s="46">
        <v>1</v>
      </c>
      <c r="AI99" s="46">
        <v>1</v>
      </c>
      <c r="AM99" s="46">
        <v>1</v>
      </c>
      <c r="AT99" s="46">
        <v>1</v>
      </c>
      <c r="AW99" s="46">
        <v>1</v>
      </c>
      <c r="BA99" s="46">
        <v>1</v>
      </c>
      <c r="BM99" s="46" t="s">
        <v>2703</v>
      </c>
      <c r="BZ99" s="46">
        <v>1</v>
      </c>
      <c r="CC99" s="46">
        <v>1</v>
      </c>
      <c r="CI99" s="46">
        <v>1</v>
      </c>
      <c r="CP99" s="46">
        <v>1</v>
      </c>
      <c r="CR99" s="134">
        <v>45505</v>
      </c>
    </row>
    <row r="100" spans="1:96">
      <c r="A100" s="46" t="s">
        <v>5093</v>
      </c>
      <c r="B100" s="46" t="s">
        <v>4057</v>
      </c>
      <c r="C100" s="46">
        <v>50</v>
      </c>
      <c r="D100" s="46" t="s">
        <v>4871</v>
      </c>
      <c r="E100" s="46" t="s">
        <v>191</v>
      </c>
      <c r="F100" s="46" t="s">
        <v>2484</v>
      </c>
      <c r="H100" s="46">
        <v>1</v>
      </c>
      <c r="M100" s="46">
        <v>1</v>
      </c>
      <c r="Q100" s="46">
        <v>1</v>
      </c>
      <c r="S100" s="46">
        <v>1</v>
      </c>
      <c r="W100" s="46">
        <v>16</v>
      </c>
      <c r="X100" s="46">
        <v>20</v>
      </c>
      <c r="Y100" s="46">
        <v>21</v>
      </c>
      <c r="Z100" s="46">
        <v>10</v>
      </c>
      <c r="AA100" s="46">
        <v>10</v>
      </c>
      <c r="AB100" s="46">
        <v>8</v>
      </c>
      <c r="AE100" s="46">
        <v>1</v>
      </c>
      <c r="AF100" s="46">
        <v>1</v>
      </c>
      <c r="AH100" s="46">
        <v>1</v>
      </c>
      <c r="AI100" s="46">
        <v>1</v>
      </c>
      <c r="AK100" s="46">
        <v>1</v>
      </c>
      <c r="AT100" s="46">
        <v>1</v>
      </c>
      <c r="AW100" s="46">
        <v>1</v>
      </c>
      <c r="BA100" s="46">
        <v>1</v>
      </c>
      <c r="BJ100" s="46">
        <v>1</v>
      </c>
      <c r="BZ100" s="46">
        <v>1</v>
      </c>
      <c r="CC100" s="46">
        <v>1</v>
      </c>
      <c r="CI100" s="46">
        <v>1</v>
      </c>
      <c r="CP100" s="46">
        <v>1</v>
      </c>
      <c r="CR100" s="134">
        <v>46539</v>
      </c>
    </row>
  </sheetData>
  <autoFilter ref="A3:CR100"/>
  <mergeCells count="1">
    <mergeCell ref="AV1:AZ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5094</v>
      </c>
      <c r="B3" s="69">
        <v>1</v>
      </c>
      <c r="C3" s="69">
        <v>0</v>
      </c>
      <c r="D3" s="69">
        <v>2</v>
      </c>
      <c r="E3" s="69">
        <f t="shared" ref="E3:E8" si="0">SUM(B3:D3)</f>
        <v>3</v>
      </c>
      <c r="F3" s="70">
        <v>0</v>
      </c>
      <c r="G3" s="70">
        <v>3</v>
      </c>
      <c r="H3" s="70">
        <v>0</v>
      </c>
      <c r="I3" s="70">
        <v>0</v>
      </c>
      <c r="J3" s="71">
        <f t="shared" ref="J3:J9" si="1">SUM(F3:I3)</f>
        <v>3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0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3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3</v>
      </c>
      <c r="AF3" s="73">
        <v>0</v>
      </c>
      <c r="AG3" s="73">
        <v>0</v>
      </c>
    </row>
    <row r="4" spans="1:33">
      <c r="A4" s="74" t="s">
        <v>5095</v>
      </c>
      <c r="B4" s="69">
        <v>21</v>
      </c>
      <c r="C4" s="69">
        <v>0</v>
      </c>
      <c r="D4" s="69">
        <v>2</v>
      </c>
      <c r="E4" s="69">
        <f t="shared" si="0"/>
        <v>23</v>
      </c>
      <c r="F4" s="70">
        <v>2</v>
      </c>
      <c r="G4" s="70">
        <v>19</v>
      </c>
      <c r="H4" s="70">
        <v>0</v>
      </c>
      <c r="I4" s="70"/>
      <c r="J4" s="71">
        <f t="shared" si="1"/>
        <v>21</v>
      </c>
      <c r="K4" s="70">
        <v>0</v>
      </c>
      <c r="L4" s="70">
        <v>0</v>
      </c>
      <c r="M4" s="70">
        <v>0</v>
      </c>
      <c r="N4" s="70">
        <v>2</v>
      </c>
      <c r="O4" s="70">
        <v>0</v>
      </c>
      <c r="P4" s="71">
        <f t="shared" si="2"/>
        <v>2</v>
      </c>
      <c r="Q4" s="70">
        <v>2</v>
      </c>
      <c r="R4" s="70">
        <v>0</v>
      </c>
      <c r="S4" s="70">
        <v>8</v>
      </c>
      <c r="T4" s="71">
        <f t="shared" si="3"/>
        <v>10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22</v>
      </c>
      <c r="AB4" s="73">
        <v>0</v>
      </c>
      <c r="AC4" s="73">
        <v>0</v>
      </c>
      <c r="AD4" s="73">
        <v>1</v>
      </c>
      <c r="AE4" s="186">
        <f t="shared" si="4"/>
        <v>23</v>
      </c>
      <c r="AF4" s="73">
        <v>0</v>
      </c>
      <c r="AG4" s="73">
        <v>0</v>
      </c>
    </row>
    <row r="5" spans="1:33">
      <c r="A5" s="77" t="s">
        <v>5096</v>
      </c>
      <c r="B5" s="69">
        <v>24</v>
      </c>
      <c r="C5" s="69">
        <v>1</v>
      </c>
      <c r="D5" s="69">
        <v>4</v>
      </c>
      <c r="E5" s="69">
        <f t="shared" si="0"/>
        <v>29</v>
      </c>
      <c r="F5" s="70">
        <v>2</v>
      </c>
      <c r="G5" s="70">
        <v>23</v>
      </c>
      <c r="H5" s="70">
        <v>0</v>
      </c>
      <c r="I5" s="70">
        <v>0</v>
      </c>
      <c r="J5" s="71">
        <f t="shared" si="1"/>
        <v>25</v>
      </c>
      <c r="K5" s="70">
        <v>3</v>
      </c>
      <c r="L5" s="70">
        <v>0</v>
      </c>
      <c r="M5" s="70">
        <v>0</v>
      </c>
      <c r="N5" s="70">
        <v>0</v>
      </c>
      <c r="O5" s="70">
        <v>1</v>
      </c>
      <c r="P5" s="71">
        <f t="shared" si="2"/>
        <v>4</v>
      </c>
      <c r="Q5" s="70">
        <v>2</v>
      </c>
      <c r="R5" s="70">
        <v>0</v>
      </c>
      <c r="S5" s="70">
        <v>8</v>
      </c>
      <c r="T5" s="71">
        <f t="shared" si="3"/>
        <v>10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27</v>
      </c>
      <c r="AB5" s="73">
        <v>1</v>
      </c>
      <c r="AC5" s="73">
        <v>0</v>
      </c>
      <c r="AD5" s="73">
        <v>1</v>
      </c>
      <c r="AE5" s="186">
        <f t="shared" si="4"/>
        <v>29</v>
      </c>
      <c r="AF5" s="73">
        <v>0</v>
      </c>
      <c r="AG5" s="73">
        <v>0</v>
      </c>
    </row>
    <row r="6" spans="1:33">
      <c r="A6" s="77" t="s">
        <v>5097</v>
      </c>
      <c r="B6" s="69">
        <v>18</v>
      </c>
      <c r="C6" s="69">
        <v>2</v>
      </c>
      <c r="D6" s="69">
        <v>1</v>
      </c>
      <c r="E6" s="69">
        <f t="shared" si="0"/>
        <v>21</v>
      </c>
      <c r="F6" s="70">
        <v>1</v>
      </c>
      <c r="G6" s="70">
        <v>9</v>
      </c>
      <c r="H6" s="70">
        <v>0</v>
      </c>
      <c r="I6" s="70">
        <v>0</v>
      </c>
      <c r="J6" s="71">
        <f t="shared" si="1"/>
        <v>10</v>
      </c>
      <c r="K6" s="70">
        <v>5</v>
      </c>
      <c r="L6" s="70">
        <v>4</v>
      </c>
      <c r="M6" s="70">
        <v>0</v>
      </c>
      <c r="N6" s="70">
        <v>2</v>
      </c>
      <c r="O6" s="70">
        <v>0</v>
      </c>
      <c r="P6" s="71">
        <f t="shared" si="2"/>
        <v>11</v>
      </c>
      <c r="Q6" s="70">
        <v>1</v>
      </c>
      <c r="R6" s="70">
        <v>0</v>
      </c>
      <c r="S6" s="70">
        <v>8</v>
      </c>
      <c r="T6" s="71">
        <f t="shared" si="3"/>
        <v>9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20</v>
      </c>
      <c r="AB6" s="73">
        <v>1</v>
      </c>
      <c r="AC6" s="73">
        <v>0</v>
      </c>
      <c r="AD6" s="73">
        <v>0</v>
      </c>
      <c r="AE6" s="186">
        <f t="shared" si="4"/>
        <v>21</v>
      </c>
      <c r="AF6" s="73">
        <v>0</v>
      </c>
      <c r="AG6" s="73">
        <v>0</v>
      </c>
    </row>
    <row r="7" spans="1:33">
      <c r="A7" s="77" t="s">
        <v>2943</v>
      </c>
      <c r="B7" s="69">
        <v>8</v>
      </c>
      <c r="C7" s="69">
        <v>2</v>
      </c>
      <c r="D7" s="69">
        <v>2</v>
      </c>
      <c r="E7" s="69">
        <f t="shared" si="0"/>
        <v>12</v>
      </c>
      <c r="F7" s="70">
        <v>0</v>
      </c>
      <c r="G7" s="70">
        <v>1</v>
      </c>
      <c r="H7" s="70">
        <v>0</v>
      </c>
      <c r="I7" s="70">
        <v>0</v>
      </c>
      <c r="J7" s="71">
        <f t="shared" si="1"/>
        <v>1</v>
      </c>
      <c r="K7" s="70">
        <v>10</v>
      </c>
      <c r="L7" s="70">
        <v>1</v>
      </c>
      <c r="M7" s="70">
        <v>0</v>
      </c>
      <c r="N7" s="70">
        <v>0</v>
      </c>
      <c r="O7" s="70">
        <v>0</v>
      </c>
      <c r="P7" s="71">
        <f t="shared" si="2"/>
        <v>11</v>
      </c>
      <c r="Q7" s="70">
        <v>0</v>
      </c>
      <c r="R7" s="70">
        <v>0</v>
      </c>
      <c r="S7" s="70">
        <v>4</v>
      </c>
      <c r="T7" s="71">
        <f t="shared" si="3"/>
        <v>4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12</v>
      </c>
      <c r="AB7" s="73">
        <v>0</v>
      </c>
      <c r="AC7" s="73">
        <v>0</v>
      </c>
      <c r="AD7" s="73">
        <v>0</v>
      </c>
      <c r="AE7" s="186">
        <f t="shared" si="4"/>
        <v>12</v>
      </c>
      <c r="AF7" s="73">
        <v>0</v>
      </c>
      <c r="AG7" s="73">
        <v>0</v>
      </c>
    </row>
    <row r="8" spans="1:33">
      <c r="A8" s="78" t="s">
        <v>5098</v>
      </c>
      <c r="B8" s="79">
        <v>5</v>
      </c>
      <c r="C8" s="79">
        <v>1</v>
      </c>
      <c r="D8" s="79">
        <v>3</v>
      </c>
      <c r="E8" s="69">
        <f t="shared" si="0"/>
        <v>9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5</v>
      </c>
      <c r="L8" s="80">
        <v>3</v>
      </c>
      <c r="M8" s="80">
        <v>0</v>
      </c>
      <c r="N8" s="80">
        <v>1</v>
      </c>
      <c r="O8" s="80">
        <v>0</v>
      </c>
      <c r="P8" s="71">
        <f t="shared" si="2"/>
        <v>9</v>
      </c>
      <c r="Q8" s="80">
        <v>0</v>
      </c>
      <c r="R8" s="80">
        <v>0</v>
      </c>
      <c r="S8" s="80">
        <v>4</v>
      </c>
      <c r="T8" s="71">
        <f t="shared" si="3"/>
        <v>4</v>
      </c>
      <c r="U8" s="80">
        <v>0</v>
      </c>
      <c r="V8" s="80">
        <v>0</v>
      </c>
      <c r="W8" s="80">
        <v>0</v>
      </c>
      <c r="X8" s="80">
        <v>3</v>
      </c>
      <c r="Y8" s="80">
        <v>0</v>
      </c>
      <c r="Z8" s="80"/>
      <c r="AA8" s="82">
        <v>9</v>
      </c>
      <c r="AB8" s="82">
        <v>0</v>
      </c>
      <c r="AC8" s="82">
        <v>0</v>
      </c>
      <c r="AD8" s="82">
        <v>0</v>
      </c>
      <c r="AE8" s="233">
        <f t="shared" si="4"/>
        <v>9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77</v>
      </c>
      <c r="C9" s="69">
        <f t="shared" si="5"/>
        <v>6</v>
      </c>
      <c r="D9" s="69">
        <f t="shared" si="5"/>
        <v>14</v>
      </c>
      <c r="E9" s="69">
        <f t="shared" si="5"/>
        <v>97</v>
      </c>
      <c r="F9" s="69">
        <f t="shared" si="5"/>
        <v>5</v>
      </c>
      <c r="G9" s="69">
        <f t="shared" si="5"/>
        <v>55</v>
      </c>
      <c r="H9" s="69">
        <f t="shared" si="5"/>
        <v>0</v>
      </c>
      <c r="I9" s="69">
        <f t="shared" si="5"/>
        <v>0</v>
      </c>
      <c r="J9" s="71">
        <f t="shared" si="1"/>
        <v>60</v>
      </c>
      <c r="K9" s="114">
        <f>SUM(K3:K8)</f>
        <v>23</v>
      </c>
      <c r="L9" s="114">
        <f>SUM(L3:L8)</f>
        <v>8</v>
      </c>
      <c r="M9" s="114">
        <f>SUM(M3:M8)</f>
        <v>0</v>
      </c>
      <c r="N9" s="114">
        <f>SUM(N3:N8)</f>
        <v>5</v>
      </c>
      <c r="O9" s="114">
        <f>SUM(O3:O8)</f>
        <v>1</v>
      </c>
      <c r="P9" s="71">
        <f>SUM(K9:N9)</f>
        <v>36</v>
      </c>
      <c r="Q9" s="114">
        <f t="shared" ref="Q9:AG9" si="6">SUM(Q3:Q8)</f>
        <v>5</v>
      </c>
      <c r="R9" s="114">
        <f t="shared" si="6"/>
        <v>0</v>
      </c>
      <c r="S9" s="114">
        <f t="shared" si="6"/>
        <v>33</v>
      </c>
      <c r="T9" s="71">
        <f t="shared" si="6"/>
        <v>38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3</v>
      </c>
      <c r="Y9" s="114">
        <f t="shared" si="6"/>
        <v>0</v>
      </c>
      <c r="Z9" s="114">
        <f t="shared" si="6"/>
        <v>0</v>
      </c>
      <c r="AA9" s="73">
        <f t="shared" si="6"/>
        <v>93</v>
      </c>
      <c r="AB9" s="73">
        <f t="shared" si="6"/>
        <v>2</v>
      </c>
      <c r="AC9" s="73">
        <f t="shared" si="6"/>
        <v>0</v>
      </c>
      <c r="AD9" s="73">
        <f t="shared" si="6"/>
        <v>2</v>
      </c>
      <c r="AE9" s="73">
        <f t="shared" si="6"/>
        <v>97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36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defaultColWidth="14.42578125" defaultRowHeight="15" customHeight="1"/>
  <cols>
    <col min="1" max="1" width="8.7109375" customWidth="1"/>
    <col min="2" max="2" width="20" customWidth="1"/>
    <col min="3" max="3" width="10.28515625" customWidth="1"/>
    <col min="5" max="5" width="17.5703125" customWidth="1"/>
  </cols>
  <sheetData>
    <row r="1" spans="1:96">
      <c r="A1" s="189" t="s">
        <v>5099</v>
      </c>
      <c r="B1" s="143"/>
      <c r="C1" s="231" t="s">
        <v>5100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5101</v>
      </c>
      <c r="B4" s="46" t="s">
        <v>5102</v>
      </c>
      <c r="C4" s="46">
        <v>25</v>
      </c>
      <c r="D4" s="46" t="s">
        <v>5103</v>
      </c>
      <c r="E4" s="46" t="s">
        <v>5104</v>
      </c>
      <c r="F4" s="46" t="s">
        <v>2070</v>
      </c>
      <c r="J4" s="46">
        <v>1</v>
      </c>
      <c r="M4" s="46">
        <v>1</v>
      </c>
      <c r="Q4" s="46">
        <v>1</v>
      </c>
      <c r="T4" s="46">
        <v>1</v>
      </c>
      <c r="W4" s="46">
        <v>17</v>
      </c>
      <c r="X4" s="46">
        <v>18</v>
      </c>
      <c r="Y4" s="46">
        <v>18</v>
      </c>
      <c r="Z4" s="46">
        <v>3</v>
      </c>
      <c r="AA4" s="46">
        <v>3</v>
      </c>
      <c r="AB4" s="46">
        <v>3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M4" s="46" t="s">
        <v>2703</v>
      </c>
      <c r="BZ4" s="46">
        <v>1</v>
      </c>
      <c r="CC4" s="46">
        <v>1</v>
      </c>
      <c r="CI4" s="46">
        <v>1</v>
      </c>
      <c r="CR4" s="46" t="s">
        <v>5087</v>
      </c>
    </row>
    <row r="5" spans="1:96">
      <c r="A5" s="46" t="s">
        <v>5105</v>
      </c>
      <c r="B5" s="46" t="s">
        <v>5106</v>
      </c>
      <c r="C5" s="46">
        <v>49</v>
      </c>
      <c r="D5" s="46" t="s">
        <v>5103</v>
      </c>
      <c r="E5" s="46" t="s">
        <v>5107</v>
      </c>
      <c r="F5" s="46" t="s">
        <v>2472</v>
      </c>
      <c r="K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15</v>
      </c>
      <c r="Y5" s="46">
        <v>16</v>
      </c>
      <c r="Z5" s="46">
        <v>6</v>
      </c>
      <c r="AA5" s="46">
        <v>6</v>
      </c>
      <c r="AB5" s="46">
        <v>6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B5" s="46">
        <v>1</v>
      </c>
      <c r="BG5" s="46">
        <v>1</v>
      </c>
      <c r="BM5" s="46" t="s">
        <v>5108</v>
      </c>
      <c r="BZ5" s="46">
        <v>1</v>
      </c>
      <c r="CC5" s="46">
        <v>1</v>
      </c>
      <c r="CI5" s="46">
        <v>1</v>
      </c>
      <c r="CR5" s="46" t="s">
        <v>5109</v>
      </c>
    </row>
    <row r="6" spans="1:96">
      <c r="A6" s="46" t="s">
        <v>5110</v>
      </c>
      <c r="B6" s="46" t="s">
        <v>5111</v>
      </c>
      <c r="C6" s="46">
        <v>21</v>
      </c>
      <c r="D6" s="46" t="s">
        <v>5103</v>
      </c>
      <c r="E6" s="46" t="s">
        <v>5112</v>
      </c>
      <c r="F6" s="46" t="s">
        <v>145</v>
      </c>
      <c r="J6" s="46">
        <v>1</v>
      </c>
      <c r="M6" s="46">
        <v>1</v>
      </c>
      <c r="Q6" s="46">
        <v>1</v>
      </c>
      <c r="T6" s="46">
        <v>1</v>
      </c>
      <c r="W6" s="46">
        <v>16</v>
      </c>
      <c r="X6" s="46">
        <v>19</v>
      </c>
      <c r="Y6" s="46">
        <v>20</v>
      </c>
      <c r="Z6" s="46">
        <v>2</v>
      </c>
      <c r="AA6" s="46">
        <v>2</v>
      </c>
      <c r="AB6" s="46">
        <v>2</v>
      </c>
      <c r="AD6" s="46">
        <v>1</v>
      </c>
      <c r="AE6" s="46">
        <v>1</v>
      </c>
      <c r="AH6" s="46">
        <v>1</v>
      </c>
      <c r="AJ6" s="46">
        <v>1</v>
      </c>
      <c r="AM6" s="46">
        <v>1</v>
      </c>
      <c r="AT6" s="46">
        <v>1</v>
      </c>
      <c r="AW6" s="46">
        <v>1</v>
      </c>
      <c r="BB6" s="46">
        <v>1</v>
      </c>
      <c r="BF6" s="46">
        <v>1</v>
      </c>
      <c r="BM6" s="46" t="s">
        <v>5113</v>
      </c>
      <c r="BZ6" s="46">
        <v>1</v>
      </c>
      <c r="CC6" s="46">
        <v>1</v>
      </c>
      <c r="CI6" s="46">
        <v>1</v>
      </c>
      <c r="CR6" s="134">
        <v>46174</v>
      </c>
    </row>
    <row r="7" spans="1:96">
      <c r="A7" s="46" t="s">
        <v>5114</v>
      </c>
      <c r="B7" s="46" t="s">
        <v>5115</v>
      </c>
      <c r="C7" s="46">
        <v>19</v>
      </c>
      <c r="D7" s="46" t="s">
        <v>5103</v>
      </c>
      <c r="E7" s="46" t="s">
        <v>5116</v>
      </c>
      <c r="F7" s="46" t="s">
        <v>2472</v>
      </c>
      <c r="J7" s="46">
        <v>1</v>
      </c>
      <c r="L7" s="46">
        <v>1</v>
      </c>
      <c r="Q7" s="46">
        <v>1</v>
      </c>
      <c r="T7" s="46">
        <v>1</v>
      </c>
      <c r="W7" s="46">
        <v>11</v>
      </c>
      <c r="X7" s="46">
        <v>12</v>
      </c>
      <c r="Y7" s="46">
        <v>0</v>
      </c>
      <c r="Z7" s="46">
        <v>0</v>
      </c>
      <c r="AA7" s="46">
        <v>0</v>
      </c>
      <c r="AB7" s="46">
        <v>0</v>
      </c>
      <c r="AD7" s="46">
        <v>1</v>
      </c>
      <c r="AE7" s="46">
        <v>1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W7" s="46">
        <v>1</v>
      </c>
      <c r="BZ7" s="46">
        <v>1</v>
      </c>
      <c r="CC7" s="46">
        <v>1</v>
      </c>
      <c r="CI7" s="46">
        <v>1</v>
      </c>
      <c r="CR7" s="46" t="s">
        <v>46</v>
      </c>
    </row>
    <row r="8" spans="1:96">
      <c r="A8" s="46" t="s">
        <v>5117</v>
      </c>
      <c r="B8" s="46" t="s">
        <v>5118</v>
      </c>
      <c r="C8" s="46">
        <v>35</v>
      </c>
      <c r="D8" s="46" t="s">
        <v>5103</v>
      </c>
      <c r="E8" s="46" t="s">
        <v>191</v>
      </c>
      <c r="F8" s="46" t="s">
        <v>5119</v>
      </c>
      <c r="J8" s="46">
        <v>1</v>
      </c>
      <c r="M8" s="46">
        <v>1</v>
      </c>
      <c r="R8" s="46">
        <v>1</v>
      </c>
      <c r="S8" s="46">
        <v>1</v>
      </c>
      <c r="W8" s="46">
        <v>15</v>
      </c>
      <c r="X8" s="46">
        <v>20</v>
      </c>
      <c r="Y8" s="46">
        <v>21</v>
      </c>
      <c r="Z8" s="46">
        <v>5</v>
      </c>
      <c r="AA8" s="46">
        <v>5</v>
      </c>
      <c r="AB8" s="46">
        <v>5</v>
      </c>
      <c r="AC8" s="46">
        <v>1</v>
      </c>
      <c r="AJ8" s="46">
        <v>1</v>
      </c>
      <c r="AK8" s="46">
        <v>1</v>
      </c>
      <c r="AT8" s="46">
        <v>1</v>
      </c>
      <c r="AW8" s="46">
        <v>1</v>
      </c>
      <c r="BB8" s="46">
        <v>1</v>
      </c>
      <c r="BF8" s="46">
        <v>1</v>
      </c>
      <c r="BM8" s="46" t="s">
        <v>5120</v>
      </c>
      <c r="BZ8" s="46">
        <v>1</v>
      </c>
      <c r="CC8" s="46">
        <v>1</v>
      </c>
      <c r="CI8" s="46">
        <v>1</v>
      </c>
      <c r="CR8" s="134">
        <v>46174</v>
      </c>
    </row>
    <row r="9" spans="1:96">
      <c r="A9" s="46" t="s">
        <v>5121</v>
      </c>
      <c r="B9" s="46" t="s">
        <v>5122</v>
      </c>
      <c r="C9" s="46">
        <v>32</v>
      </c>
      <c r="D9" s="46" t="s">
        <v>5123</v>
      </c>
      <c r="E9" s="46" t="s">
        <v>191</v>
      </c>
      <c r="F9" s="46" t="s">
        <v>145</v>
      </c>
      <c r="I9" s="46">
        <v>1</v>
      </c>
      <c r="N9" s="46">
        <v>1</v>
      </c>
      <c r="R9" s="46">
        <v>1</v>
      </c>
      <c r="T9" s="46">
        <v>1</v>
      </c>
      <c r="W9" s="46">
        <v>19</v>
      </c>
      <c r="X9" s="46">
        <v>20</v>
      </c>
      <c r="Y9" s="46">
        <v>20</v>
      </c>
      <c r="Z9" s="46">
        <v>5</v>
      </c>
      <c r="AA9" s="46">
        <v>5</v>
      </c>
      <c r="AB9" s="46">
        <v>5</v>
      </c>
      <c r="AE9" s="46">
        <v>1</v>
      </c>
      <c r="AG9" s="46">
        <v>1</v>
      </c>
      <c r="AH9" s="46">
        <v>1</v>
      </c>
      <c r="AJ9" s="46">
        <v>1</v>
      </c>
      <c r="AM9" s="46">
        <v>1</v>
      </c>
      <c r="AT9" s="46">
        <v>1</v>
      </c>
      <c r="AW9" s="46">
        <v>1</v>
      </c>
      <c r="BA9" s="46">
        <v>1</v>
      </c>
      <c r="BM9" s="46" t="s">
        <v>2703</v>
      </c>
      <c r="BZ9" s="46">
        <v>1</v>
      </c>
      <c r="CC9" s="46">
        <v>1</v>
      </c>
      <c r="CI9" s="46">
        <v>1</v>
      </c>
      <c r="CR9" s="134">
        <v>45444</v>
      </c>
    </row>
    <row r="10" spans="1:96">
      <c r="A10" s="46" t="s">
        <v>5124</v>
      </c>
      <c r="B10" s="46" t="s">
        <v>5125</v>
      </c>
      <c r="C10" s="46">
        <v>40</v>
      </c>
      <c r="D10" s="46" t="s">
        <v>5103</v>
      </c>
      <c r="E10" s="46" t="s">
        <v>5126</v>
      </c>
      <c r="F10" s="46" t="s">
        <v>2472</v>
      </c>
      <c r="H10" s="46">
        <v>1</v>
      </c>
      <c r="M10" s="46">
        <v>1</v>
      </c>
      <c r="R10" s="46">
        <v>1</v>
      </c>
      <c r="T10" s="46">
        <v>1</v>
      </c>
      <c r="W10" s="46">
        <v>14</v>
      </c>
      <c r="X10" s="46">
        <v>15</v>
      </c>
      <c r="Y10" s="46">
        <v>15</v>
      </c>
      <c r="Z10" s="46">
        <v>8</v>
      </c>
      <c r="AA10" s="46">
        <v>8</v>
      </c>
      <c r="AB10" s="46">
        <v>8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Z10" s="46">
        <v>1</v>
      </c>
      <c r="CC10" s="46">
        <v>1</v>
      </c>
      <c r="CI10" s="46">
        <v>1</v>
      </c>
      <c r="CR10" s="46" t="s">
        <v>46</v>
      </c>
    </row>
    <row r="11" spans="1:96">
      <c r="A11" s="46" t="s">
        <v>5127</v>
      </c>
      <c r="B11" s="46" t="s">
        <v>5128</v>
      </c>
      <c r="C11" s="46">
        <v>58</v>
      </c>
      <c r="D11" s="46" t="s">
        <v>5103</v>
      </c>
      <c r="E11" s="46" t="s">
        <v>191</v>
      </c>
      <c r="F11" s="46" t="s">
        <v>2472</v>
      </c>
      <c r="H11" s="46">
        <v>1</v>
      </c>
      <c r="O11" s="46">
        <v>1</v>
      </c>
      <c r="R11" s="46">
        <v>1</v>
      </c>
      <c r="S11" s="46">
        <v>1</v>
      </c>
      <c r="W11" s="46">
        <v>27</v>
      </c>
      <c r="X11" s="46">
        <v>27</v>
      </c>
      <c r="Y11" s="46">
        <v>36</v>
      </c>
      <c r="Z11" s="46">
        <v>5</v>
      </c>
      <c r="AA11" s="46">
        <v>5</v>
      </c>
      <c r="AB11" s="46">
        <v>4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Z11" s="46">
        <v>1</v>
      </c>
      <c r="CC11" s="46">
        <v>1</v>
      </c>
      <c r="CI11" s="46">
        <v>1</v>
      </c>
      <c r="CR11" s="46" t="s">
        <v>46</v>
      </c>
    </row>
    <row r="12" spans="1:96">
      <c r="A12" s="46" t="s">
        <v>5129</v>
      </c>
      <c r="B12" s="46" t="s">
        <v>2291</v>
      </c>
      <c r="C12" s="46">
        <v>48</v>
      </c>
      <c r="D12" s="46" t="s">
        <v>5103</v>
      </c>
      <c r="E12" s="46" t="s">
        <v>191</v>
      </c>
      <c r="F12" s="46" t="s">
        <v>2472</v>
      </c>
      <c r="G12" s="46">
        <v>1</v>
      </c>
      <c r="O12" s="46">
        <v>1</v>
      </c>
      <c r="R12" s="46">
        <v>1</v>
      </c>
      <c r="S12" s="46">
        <v>1</v>
      </c>
      <c r="W12" s="46">
        <v>20</v>
      </c>
      <c r="X12" s="46">
        <v>27</v>
      </c>
      <c r="Y12" s="46">
        <v>27</v>
      </c>
      <c r="Z12" s="46">
        <v>8</v>
      </c>
      <c r="AA12" s="46">
        <v>7</v>
      </c>
      <c r="AB12" s="46">
        <v>7</v>
      </c>
      <c r="AE12" s="46">
        <v>1</v>
      </c>
      <c r="AG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R12" s="134">
        <v>46539</v>
      </c>
    </row>
    <row r="13" spans="1:96">
      <c r="A13" s="46" t="s">
        <v>5130</v>
      </c>
      <c r="B13" s="46" t="s">
        <v>5131</v>
      </c>
      <c r="C13" s="46">
        <v>25</v>
      </c>
      <c r="D13" s="46" t="s">
        <v>5103</v>
      </c>
      <c r="E13" s="46" t="s">
        <v>5132</v>
      </c>
      <c r="F13" s="46" t="s">
        <v>145</v>
      </c>
      <c r="H13" s="46">
        <v>1</v>
      </c>
      <c r="N13" s="46">
        <v>1</v>
      </c>
      <c r="Q13" s="46">
        <v>1</v>
      </c>
      <c r="V13" s="46">
        <v>1</v>
      </c>
      <c r="W13" s="46">
        <v>13</v>
      </c>
      <c r="X13" s="46">
        <v>15</v>
      </c>
      <c r="Y13" s="46">
        <v>20</v>
      </c>
      <c r="Z13" s="46">
        <v>2</v>
      </c>
      <c r="AA13" s="46">
        <v>2</v>
      </c>
      <c r="AB13" s="46">
        <v>2</v>
      </c>
      <c r="AD13" s="46" t="s">
        <v>2492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R13" s="134">
        <v>46539</v>
      </c>
    </row>
    <row r="14" spans="1:96">
      <c r="A14" s="46" t="s">
        <v>5133</v>
      </c>
      <c r="B14" s="46" t="s">
        <v>5134</v>
      </c>
      <c r="C14" s="46">
        <v>32</v>
      </c>
      <c r="D14" s="46" t="s">
        <v>3596</v>
      </c>
      <c r="E14" s="46" t="s">
        <v>5135</v>
      </c>
      <c r="F14" s="46" t="s">
        <v>2472</v>
      </c>
      <c r="G14" s="46">
        <v>1</v>
      </c>
      <c r="M14" s="46">
        <v>1</v>
      </c>
      <c r="Q14" s="46">
        <v>1</v>
      </c>
      <c r="U14" s="46">
        <v>1</v>
      </c>
      <c r="W14" s="46">
        <v>15</v>
      </c>
      <c r="X14" s="46">
        <v>16</v>
      </c>
      <c r="Y14" s="46">
        <v>29</v>
      </c>
      <c r="Z14" s="46">
        <v>3</v>
      </c>
      <c r="AA14" s="46">
        <v>3</v>
      </c>
      <c r="AB14" s="46">
        <v>3</v>
      </c>
      <c r="AE14" s="46">
        <v>1</v>
      </c>
      <c r="AG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I14" s="46">
        <v>1</v>
      </c>
      <c r="CR14" s="134">
        <v>46539</v>
      </c>
    </row>
    <row r="15" spans="1:96">
      <c r="A15" s="46" t="s">
        <v>5136</v>
      </c>
      <c r="B15" s="46" t="s">
        <v>5137</v>
      </c>
      <c r="C15" s="46">
        <v>30</v>
      </c>
      <c r="D15" s="46" t="s">
        <v>5103</v>
      </c>
      <c r="E15" s="46" t="s">
        <v>5138</v>
      </c>
      <c r="F15" s="46" t="s">
        <v>2472</v>
      </c>
      <c r="I15" s="46">
        <v>1</v>
      </c>
      <c r="M15" s="46">
        <v>1</v>
      </c>
      <c r="R15" s="46">
        <v>1</v>
      </c>
      <c r="T15" s="46">
        <v>1</v>
      </c>
      <c r="W15" s="46">
        <v>15</v>
      </c>
      <c r="X15" s="46">
        <v>16</v>
      </c>
      <c r="Y15" s="46">
        <v>18</v>
      </c>
      <c r="Z15" s="46">
        <v>6</v>
      </c>
      <c r="AA15" s="46">
        <v>6</v>
      </c>
      <c r="AB15" s="46">
        <v>6</v>
      </c>
      <c r="AD15" s="46">
        <v>1</v>
      </c>
      <c r="AE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F15" s="46"/>
      <c r="BI15" s="46">
        <v>1</v>
      </c>
      <c r="BW15" s="46">
        <v>1</v>
      </c>
      <c r="BZ15" s="46">
        <v>1</v>
      </c>
      <c r="CC15" s="46">
        <v>1</v>
      </c>
      <c r="CI15" s="46">
        <v>1</v>
      </c>
      <c r="CR15" s="134">
        <v>46539</v>
      </c>
    </row>
    <row r="16" spans="1:96">
      <c r="A16" s="46" t="s">
        <v>5139</v>
      </c>
      <c r="B16" s="46" t="s">
        <v>5140</v>
      </c>
      <c r="C16" s="46">
        <v>20</v>
      </c>
      <c r="D16" s="46" t="s">
        <v>5103</v>
      </c>
      <c r="E16" s="46" t="s">
        <v>5141</v>
      </c>
      <c r="F16" s="46" t="s">
        <v>2472</v>
      </c>
      <c r="J16" s="46">
        <v>1</v>
      </c>
      <c r="N16" s="46">
        <v>1</v>
      </c>
      <c r="R16" s="46">
        <v>1</v>
      </c>
      <c r="U16" s="46">
        <v>1</v>
      </c>
      <c r="W16" s="46">
        <v>16</v>
      </c>
      <c r="X16" s="46">
        <v>17</v>
      </c>
      <c r="Y16" s="46">
        <v>18</v>
      </c>
      <c r="Z16" s="46">
        <v>1</v>
      </c>
      <c r="AA16" s="46">
        <v>1</v>
      </c>
      <c r="AB16" s="46">
        <v>1</v>
      </c>
      <c r="AD16" s="46">
        <v>1</v>
      </c>
      <c r="AE16" s="46">
        <v>1</v>
      </c>
      <c r="AG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R16" s="134">
        <v>46539</v>
      </c>
    </row>
    <row r="17" spans="1:96">
      <c r="A17" s="46" t="s">
        <v>5142</v>
      </c>
      <c r="B17" s="46" t="s">
        <v>5143</v>
      </c>
      <c r="C17" s="46">
        <v>23</v>
      </c>
      <c r="D17" s="46" t="s">
        <v>5103</v>
      </c>
      <c r="E17" s="46" t="s">
        <v>5144</v>
      </c>
      <c r="F17" s="46" t="s">
        <v>2472</v>
      </c>
      <c r="I17" s="46">
        <v>1</v>
      </c>
      <c r="M17" s="46">
        <v>1</v>
      </c>
      <c r="Q17" s="46">
        <v>1</v>
      </c>
      <c r="T17" s="46">
        <v>1</v>
      </c>
      <c r="W17" s="46">
        <v>13</v>
      </c>
      <c r="X17" s="46">
        <v>18</v>
      </c>
      <c r="Y17" s="46">
        <v>21</v>
      </c>
      <c r="Z17" s="46">
        <v>1</v>
      </c>
      <c r="AA17" s="46">
        <v>1</v>
      </c>
      <c r="AB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Z17" s="46">
        <v>1</v>
      </c>
      <c r="CC17" s="46">
        <v>1</v>
      </c>
      <c r="CI17" s="46">
        <v>1</v>
      </c>
      <c r="CR17" s="134">
        <v>46539</v>
      </c>
    </row>
    <row r="18" spans="1:96">
      <c r="A18" s="46" t="s">
        <v>5145</v>
      </c>
      <c r="B18" s="46" t="s">
        <v>5146</v>
      </c>
      <c r="C18" s="46">
        <v>37</v>
      </c>
      <c r="D18" s="46" t="s">
        <v>5103</v>
      </c>
      <c r="E18" s="46" t="s">
        <v>5147</v>
      </c>
      <c r="F18" s="46" t="s">
        <v>2472</v>
      </c>
      <c r="J18" s="46">
        <v>1</v>
      </c>
      <c r="M18" s="46">
        <v>1</v>
      </c>
      <c r="R18" s="46">
        <v>1</v>
      </c>
      <c r="U18" s="46">
        <v>1</v>
      </c>
      <c r="W18" s="46">
        <v>20</v>
      </c>
      <c r="X18" s="46">
        <v>21</v>
      </c>
      <c r="Y18" s="46">
        <v>22</v>
      </c>
      <c r="Z18" s="46">
        <v>6</v>
      </c>
      <c r="AA18" s="46">
        <v>6</v>
      </c>
      <c r="AB18" s="46">
        <v>6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R18" s="134">
        <v>46539</v>
      </c>
    </row>
    <row r="19" spans="1:96">
      <c r="A19" s="46" t="s">
        <v>5148</v>
      </c>
      <c r="B19" s="46" t="s">
        <v>5149</v>
      </c>
      <c r="C19" s="46">
        <v>38</v>
      </c>
      <c r="D19" s="46" t="s">
        <v>5123</v>
      </c>
      <c r="E19" s="46" t="s">
        <v>5150</v>
      </c>
      <c r="F19" s="46" t="s">
        <v>2472</v>
      </c>
      <c r="I19" s="46">
        <v>1</v>
      </c>
      <c r="M19" s="46">
        <v>1</v>
      </c>
      <c r="R19" s="46">
        <v>1</v>
      </c>
      <c r="T19" s="46">
        <v>1</v>
      </c>
      <c r="W19" s="46">
        <v>17</v>
      </c>
      <c r="X19" s="46">
        <v>17</v>
      </c>
      <c r="Y19" s="46">
        <v>18</v>
      </c>
      <c r="Z19" s="46">
        <v>7</v>
      </c>
      <c r="AA19" s="46">
        <v>7</v>
      </c>
      <c r="AB19" s="46">
        <v>7</v>
      </c>
      <c r="AE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I19" s="46">
        <v>1</v>
      </c>
      <c r="CR19" s="134">
        <v>46539</v>
      </c>
    </row>
    <row r="20" spans="1:96">
      <c r="A20" s="46" t="s">
        <v>5151</v>
      </c>
      <c r="B20" s="46" t="s">
        <v>5152</v>
      </c>
      <c r="C20" s="46">
        <v>25</v>
      </c>
      <c r="D20" s="46" t="s">
        <v>5103</v>
      </c>
      <c r="E20" s="46" t="s">
        <v>191</v>
      </c>
      <c r="F20" s="46" t="s">
        <v>2472</v>
      </c>
      <c r="J20" s="46">
        <v>1</v>
      </c>
      <c r="O20" s="46">
        <v>1</v>
      </c>
      <c r="R20" s="46">
        <v>1</v>
      </c>
      <c r="T20" s="46">
        <v>1</v>
      </c>
      <c r="W20" s="46">
        <v>13</v>
      </c>
      <c r="X20" s="46">
        <v>16</v>
      </c>
      <c r="Y20" s="46">
        <v>18</v>
      </c>
      <c r="Z20" s="46">
        <v>3</v>
      </c>
      <c r="AA20" s="46">
        <v>2</v>
      </c>
      <c r="AB20" s="46">
        <v>2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Z20" s="46">
        <v>1</v>
      </c>
      <c r="CC20" s="46">
        <v>1</v>
      </c>
      <c r="CI20" s="46">
        <v>1</v>
      </c>
      <c r="CR20" s="134">
        <v>46539</v>
      </c>
    </row>
    <row r="21" spans="1:96">
      <c r="A21" s="46" t="s">
        <v>5153</v>
      </c>
      <c r="B21" s="46" t="s">
        <v>1548</v>
      </c>
      <c r="C21" s="46">
        <v>41</v>
      </c>
      <c r="D21" s="46" t="s">
        <v>5103</v>
      </c>
      <c r="E21" s="46" t="s">
        <v>191</v>
      </c>
      <c r="F21" s="46" t="s">
        <v>2472</v>
      </c>
      <c r="H21" s="46">
        <v>1</v>
      </c>
      <c r="N21" s="46">
        <v>1</v>
      </c>
      <c r="Q21" s="46">
        <v>1</v>
      </c>
      <c r="S21" s="46">
        <v>1</v>
      </c>
      <c r="W21" s="46">
        <v>13</v>
      </c>
      <c r="X21" s="46">
        <v>13</v>
      </c>
      <c r="Y21" s="46">
        <v>14</v>
      </c>
      <c r="Z21" s="46">
        <v>8</v>
      </c>
      <c r="AA21" s="46">
        <v>8</v>
      </c>
      <c r="AB21" s="46">
        <v>8</v>
      </c>
      <c r="AD21" s="46">
        <v>1</v>
      </c>
      <c r="AE21" s="46">
        <v>1</v>
      </c>
      <c r="AG21" s="46">
        <v>1</v>
      </c>
      <c r="AI21" s="46">
        <v>1</v>
      </c>
      <c r="AK21" s="46">
        <v>1</v>
      </c>
      <c r="AT21" s="46">
        <v>1</v>
      </c>
      <c r="AX21" s="46">
        <v>1</v>
      </c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R21" s="134">
        <v>46539</v>
      </c>
    </row>
    <row r="22" spans="1:96">
      <c r="A22" s="46" t="s">
        <v>5154</v>
      </c>
      <c r="B22" s="46" t="s">
        <v>5155</v>
      </c>
      <c r="C22" s="46">
        <v>60</v>
      </c>
      <c r="D22" s="46" t="s">
        <v>5103</v>
      </c>
      <c r="E22" s="46" t="s">
        <v>191</v>
      </c>
      <c r="F22" s="46" t="s">
        <v>2472</v>
      </c>
      <c r="H22" s="46">
        <v>1</v>
      </c>
      <c r="M22" s="46">
        <v>1</v>
      </c>
      <c r="Q22" s="46">
        <v>1</v>
      </c>
      <c r="T22" s="46">
        <v>1</v>
      </c>
      <c r="W22" s="46">
        <v>0</v>
      </c>
      <c r="X22" s="46">
        <v>0</v>
      </c>
      <c r="Y22" s="46">
        <v>20</v>
      </c>
      <c r="Z22" s="46">
        <v>9</v>
      </c>
      <c r="AA22" s="46">
        <v>9</v>
      </c>
      <c r="AB22" s="46">
        <v>4</v>
      </c>
      <c r="AC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J22" s="46">
        <v>1</v>
      </c>
      <c r="BZ22" s="46">
        <v>1</v>
      </c>
      <c r="CC22" s="46">
        <v>1</v>
      </c>
      <c r="CI22" s="46">
        <v>1</v>
      </c>
      <c r="CR22" s="134">
        <v>46539</v>
      </c>
    </row>
    <row r="23" spans="1:96">
      <c r="A23" s="46" t="s">
        <v>5156</v>
      </c>
      <c r="B23" s="46" t="s">
        <v>5157</v>
      </c>
      <c r="C23" s="46">
        <v>67</v>
      </c>
      <c r="D23" s="46" t="s">
        <v>5158</v>
      </c>
      <c r="E23" s="46" t="s">
        <v>191</v>
      </c>
      <c r="F23" s="46" t="s">
        <v>145</v>
      </c>
      <c r="K23" s="46">
        <v>1</v>
      </c>
      <c r="P23" s="46">
        <v>1</v>
      </c>
      <c r="Q23" s="46">
        <v>1</v>
      </c>
      <c r="T23" s="46">
        <v>1</v>
      </c>
      <c r="W23" s="46">
        <v>0</v>
      </c>
      <c r="X23" s="46">
        <v>0</v>
      </c>
      <c r="Y23" s="46">
        <v>14</v>
      </c>
      <c r="Z23" s="46">
        <v>6</v>
      </c>
      <c r="AA23" s="46">
        <v>6</v>
      </c>
      <c r="AB23" s="46">
        <v>2</v>
      </c>
      <c r="AE23" s="46">
        <v>1</v>
      </c>
      <c r="AG23" s="46">
        <v>1</v>
      </c>
      <c r="AH23" s="46">
        <v>1</v>
      </c>
      <c r="AI23" s="46">
        <v>1</v>
      </c>
      <c r="AK23" s="46">
        <v>1</v>
      </c>
      <c r="AT23" s="46">
        <v>1</v>
      </c>
      <c r="AX23" s="46">
        <v>1</v>
      </c>
      <c r="BA23" s="46">
        <v>1</v>
      </c>
      <c r="BJ23" s="46">
        <v>1</v>
      </c>
      <c r="BZ23" s="46">
        <v>1</v>
      </c>
      <c r="CC23" s="46">
        <v>1</v>
      </c>
      <c r="CI23" s="46">
        <v>1</v>
      </c>
      <c r="CR23" s="134">
        <v>46539</v>
      </c>
    </row>
    <row r="24" spans="1:96">
      <c r="A24" s="46" t="s">
        <v>5159</v>
      </c>
      <c r="B24" s="46" t="s">
        <v>2528</v>
      </c>
      <c r="C24" s="46">
        <v>50</v>
      </c>
      <c r="D24" s="46" t="s">
        <v>5103</v>
      </c>
      <c r="E24" s="46" t="s">
        <v>191</v>
      </c>
      <c r="F24" s="46" t="s">
        <v>2472</v>
      </c>
      <c r="H24" s="46">
        <v>1</v>
      </c>
      <c r="M24" s="46">
        <v>1</v>
      </c>
      <c r="R24" s="46">
        <v>1</v>
      </c>
      <c r="S24" s="46">
        <v>1</v>
      </c>
      <c r="W24" s="46">
        <v>12</v>
      </c>
      <c r="X24" s="46">
        <v>15</v>
      </c>
      <c r="Y24" s="46">
        <v>20</v>
      </c>
      <c r="Z24" s="46">
        <v>10</v>
      </c>
      <c r="AA24" s="46">
        <v>10</v>
      </c>
      <c r="AB24" s="46">
        <v>10</v>
      </c>
      <c r="AE24" s="46">
        <v>1</v>
      </c>
      <c r="AG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J24" s="46">
        <v>1</v>
      </c>
      <c r="BZ24" s="46">
        <v>1</v>
      </c>
      <c r="CC24" s="46">
        <v>1</v>
      </c>
      <c r="CI24" s="46">
        <v>1</v>
      </c>
      <c r="CR24" s="134">
        <v>46539</v>
      </c>
    </row>
    <row r="25" spans="1:96">
      <c r="A25" s="46" t="s">
        <v>5160</v>
      </c>
      <c r="B25" s="46" t="s">
        <v>5161</v>
      </c>
      <c r="C25" s="46">
        <v>55</v>
      </c>
      <c r="D25" s="46" t="s">
        <v>5162</v>
      </c>
      <c r="E25" s="46" t="s">
        <v>5163</v>
      </c>
      <c r="F25" s="46" t="s">
        <v>2472</v>
      </c>
      <c r="H25" s="46">
        <v>1</v>
      </c>
      <c r="P25" s="46">
        <v>1</v>
      </c>
      <c r="R25" s="46">
        <v>1</v>
      </c>
      <c r="S25" s="46">
        <v>1</v>
      </c>
      <c r="W25" s="46">
        <v>12</v>
      </c>
      <c r="X25" s="46">
        <v>14</v>
      </c>
      <c r="Y25" s="46">
        <v>15</v>
      </c>
      <c r="Z25" s="46">
        <v>11</v>
      </c>
      <c r="AA25" s="46">
        <v>6</v>
      </c>
      <c r="AB25" s="46">
        <v>4</v>
      </c>
      <c r="AE25" s="46">
        <v>1</v>
      </c>
      <c r="AH25" s="46">
        <v>1</v>
      </c>
      <c r="AI25" s="46">
        <v>1</v>
      </c>
      <c r="AK25" s="46">
        <v>1</v>
      </c>
      <c r="AT25" s="46">
        <v>1</v>
      </c>
      <c r="AX25" s="46">
        <v>1</v>
      </c>
      <c r="BA25" s="46">
        <v>1</v>
      </c>
      <c r="BJ25" s="46">
        <v>1</v>
      </c>
      <c r="BW25" s="46">
        <v>1</v>
      </c>
      <c r="BZ25" s="46">
        <v>1</v>
      </c>
      <c r="CC25" s="46">
        <v>1</v>
      </c>
      <c r="CI25" s="46">
        <v>1</v>
      </c>
      <c r="CR25" s="234">
        <v>46539</v>
      </c>
    </row>
    <row r="26" spans="1:96">
      <c r="A26" s="46" t="s">
        <v>5164</v>
      </c>
      <c r="B26" s="46" t="s">
        <v>5165</v>
      </c>
      <c r="C26" s="46">
        <v>53</v>
      </c>
      <c r="D26" s="46" t="s">
        <v>5103</v>
      </c>
      <c r="E26" s="46" t="s">
        <v>5166</v>
      </c>
      <c r="F26" s="46" t="s">
        <v>2472</v>
      </c>
      <c r="H26" s="46">
        <v>1</v>
      </c>
      <c r="N26" s="46">
        <v>1</v>
      </c>
      <c r="R26" s="46">
        <v>1</v>
      </c>
      <c r="T26" s="46">
        <v>1</v>
      </c>
      <c r="W26" s="46">
        <v>16</v>
      </c>
      <c r="X26" s="46">
        <v>17</v>
      </c>
      <c r="Y26" s="46">
        <v>18</v>
      </c>
      <c r="Z26" s="46">
        <v>9</v>
      </c>
      <c r="AA26" s="46">
        <v>9</v>
      </c>
      <c r="AB26" s="46">
        <v>9</v>
      </c>
      <c r="AC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J26" s="46">
        <v>1</v>
      </c>
      <c r="BZ26" s="46">
        <v>1</v>
      </c>
      <c r="CC26" s="46">
        <v>1</v>
      </c>
      <c r="CI26" s="46">
        <v>1</v>
      </c>
      <c r="CR26" s="134">
        <v>46539</v>
      </c>
    </row>
    <row r="27" spans="1:96">
      <c r="A27" s="46" t="s">
        <v>5167</v>
      </c>
      <c r="B27" s="46" t="s">
        <v>5168</v>
      </c>
      <c r="C27" s="46">
        <v>23</v>
      </c>
      <c r="D27" s="46" t="s">
        <v>5103</v>
      </c>
      <c r="E27" s="46" t="s">
        <v>5169</v>
      </c>
      <c r="F27" s="46" t="s">
        <v>2472</v>
      </c>
      <c r="J27" s="46">
        <v>1</v>
      </c>
      <c r="M27" s="46">
        <v>1</v>
      </c>
      <c r="Q27" s="46">
        <v>1</v>
      </c>
      <c r="U27" s="46">
        <v>1</v>
      </c>
      <c r="W27" s="46">
        <v>18</v>
      </c>
      <c r="X27" s="46">
        <v>21</v>
      </c>
      <c r="Y27" s="46">
        <v>22</v>
      </c>
      <c r="Z27" s="46">
        <v>1</v>
      </c>
      <c r="AA27" s="46">
        <v>1</v>
      </c>
      <c r="AB27" s="46">
        <v>1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R27" s="134">
        <v>46539</v>
      </c>
    </row>
    <row r="28" spans="1:96">
      <c r="A28" s="46" t="s">
        <v>5170</v>
      </c>
      <c r="B28" s="46" t="s">
        <v>5171</v>
      </c>
      <c r="C28" s="46">
        <v>30</v>
      </c>
      <c r="D28" s="46" t="s">
        <v>5103</v>
      </c>
      <c r="E28" s="46" t="s">
        <v>5172</v>
      </c>
      <c r="F28" s="46" t="s">
        <v>2484</v>
      </c>
      <c r="I28" s="46">
        <v>1</v>
      </c>
      <c r="M28" s="46">
        <v>1</v>
      </c>
      <c r="R28" s="46">
        <v>1</v>
      </c>
      <c r="T28" s="46">
        <v>1</v>
      </c>
      <c r="W28" s="46">
        <v>14</v>
      </c>
      <c r="X28" s="46">
        <v>17</v>
      </c>
      <c r="Y28" s="46">
        <v>19</v>
      </c>
      <c r="Z28" s="46">
        <v>4</v>
      </c>
      <c r="AA28" s="46">
        <v>4</v>
      </c>
      <c r="AB28" s="46">
        <v>4</v>
      </c>
      <c r="AE28" s="46">
        <v>1</v>
      </c>
      <c r="AG28" s="46">
        <v>1</v>
      </c>
      <c r="AH28" s="46">
        <v>1</v>
      </c>
      <c r="AI28" s="46">
        <v>1</v>
      </c>
      <c r="AK28" s="46">
        <v>1</v>
      </c>
      <c r="AT28" s="46">
        <v>1</v>
      </c>
      <c r="AX28" s="46">
        <v>1</v>
      </c>
      <c r="BA28" s="46">
        <v>1</v>
      </c>
      <c r="BI28" s="46">
        <v>1</v>
      </c>
      <c r="BW28" s="46">
        <v>1</v>
      </c>
      <c r="BZ28" s="46">
        <v>1</v>
      </c>
      <c r="CC28" s="46">
        <v>1</v>
      </c>
      <c r="CI28" s="46">
        <v>1</v>
      </c>
      <c r="CR28" s="134">
        <v>46539</v>
      </c>
    </row>
    <row r="29" spans="1:96">
      <c r="A29" s="46" t="s">
        <v>5173</v>
      </c>
      <c r="B29" s="46" t="s">
        <v>5174</v>
      </c>
      <c r="C29" s="46">
        <v>26</v>
      </c>
      <c r="D29" s="46" t="s">
        <v>5158</v>
      </c>
      <c r="E29" s="46" t="s">
        <v>5175</v>
      </c>
      <c r="F29" s="46" t="s">
        <v>2484</v>
      </c>
      <c r="H29" s="46">
        <v>1</v>
      </c>
      <c r="N29" s="46">
        <v>1</v>
      </c>
      <c r="R29" s="46">
        <v>1</v>
      </c>
      <c r="T29" s="46">
        <v>1</v>
      </c>
      <c r="W29" s="46">
        <v>15</v>
      </c>
      <c r="X29" s="46">
        <v>15</v>
      </c>
      <c r="Y29" s="46">
        <v>16</v>
      </c>
      <c r="Z29" s="46">
        <v>4</v>
      </c>
      <c r="AA29" s="46">
        <v>4</v>
      </c>
      <c r="AB29" s="46">
        <v>4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I29" s="46">
        <v>1</v>
      </c>
      <c r="BZ29" s="46">
        <v>1</v>
      </c>
      <c r="CC29" s="46">
        <v>1</v>
      </c>
      <c r="CR29" s="134">
        <v>46539</v>
      </c>
    </row>
    <row r="30" spans="1:96">
      <c r="A30" s="46" t="s">
        <v>5176</v>
      </c>
      <c r="B30" s="46" t="s">
        <v>5177</v>
      </c>
      <c r="C30" s="46">
        <v>29</v>
      </c>
      <c r="D30" s="46" t="s">
        <v>5103</v>
      </c>
      <c r="E30" s="46" t="s">
        <v>5178</v>
      </c>
      <c r="F30" s="46" t="s">
        <v>2484</v>
      </c>
      <c r="I30" s="46">
        <v>1</v>
      </c>
      <c r="M30" s="46">
        <v>1</v>
      </c>
      <c r="R30" s="46">
        <v>1</v>
      </c>
      <c r="U30" s="46">
        <v>1</v>
      </c>
      <c r="W30" s="46">
        <v>0</v>
      </c>
      <c r="X30" s="46">
        <v>0</v>
      </c>
      <c r="Y30" s="46">
        <v>17</v>
      </c>
      <c r="Z30" s="46">
        <v>3</v>
      </c>
      <c r="AA30" s="46">
        <v>3</v>
      </c>
      <c r="AB30" s="46">
        <v>1</v>
      </c>
      <c r="AE30" s="46">
        <v>1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46">
        <v>1</v>
      </c>
      <c r="CC30" s="46">
        <v>1</v>
      </c>
      <c r="CR30" s="134">
        <v>46539</v>
      </c>
    </row>
    <row r="31" spans="1:96">
      <c r="A31" s="46" t="s">
        <v>5179</v>
      </c>
      <c r="B31" s="46" t="s">
        <v>5180</v>
      </c>
      <c r="C31" s="46">
        <v>38</v>
      </c>
      <c r="D31" s="46" t="s">
        <v>5123</v>
      </c>
      <c r="E31" s="46" t="s">
        <v>191</v>
      </c>
      <c r="F31" s="46" t="s">
        <v>2484</v>
      </c>
      <c r="H31" s="46">
        <v>1</v>
      </c>
      <c r="M31" s="46">
        <v>1</v>
      </c>
      <c r="Q31" s="46">
        <v>1</v>
      </c>
      <c r="T31" s="46">
        <v>1</v>
      </c>
      <c r="W31" s="46">
        <v>14</v>
      </c>
      <c r="X31" s="46">
        <v>18</v>
      </c>
      <c r="Y31" s="46">
        <v>18</v>
      </c>
      <c r="Z31" s="46">
        <v>8</v>
      </c>
      <c r="AA31" s="46">
        <v>9</v>
      </c>
      <c r="AB31" s="46">
        <v>8</v>
      </c>
      <c r="AE31" s="46">
        <v>1</v>
      </c>
      <c r="AG31" s="46">
        <v>1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I31" s="46">
        <v>1</v>
      </c>
      <c r="BW31" s="46">
        <v>1</v>
      </c>
      <c r="BZ31" s="46">
        <v>1</v>
      </c>
      <c r="CC31" s="46">
        <v>1</v>
      </c>
      <c r="CR31" s="134">
        <v>46539</v>
      </c>
    </row>
    <row r="32" spans="1:96">
      <c r="A32" s="46" t="s">
        <v>5181</v>
      </c>
      <c r="B32" s="46" t="s">
        <v>5182</v>
      </c>
      <c r="C32" s="46">
        <v>35</v>
      </c>
      <c r="D32" s="46" t="s">
        <v>5103</v>
      </c>
      <c r="E32" s="46" t="s">
        <v>5183</v>
      </c>
      <c r="F32" s="46" t="s">
        <v>2484</v>
      </c>
      <c r="K32" s="46">
        <v>1</v>
      </c>
      <c r="M32" s="46">
        <v>1</v>
      </c>
      <c r="R32" s="46">
        <v>1</v>
      </c>
      <c r="T32" s="46">
        <v>1</v>
      </c>
      <c r="W32" s="46">
        <v>13</v>
      </c>
      <c r="X32" s="46">
        <v>18</v>
      </c>
      <c r="Y32" s="46">
        <v>19</v>
      </c>
      <c r="Z32" s="46">
        <v>5</v>
      </c>
      <c r="AA32" s="46">
        <v>5</v>
      </c>
      <c r="AB32" s="46">
        <v>5</v>
      </c>
      <c r="AE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I32" s="46">
        <v>1</v>
      </c>
      <c r="BZ32" s="46">
        <v>1</v>
      </c>
      <c r="CC32" s="46">
        <v>1</v>
      </c>
      <c r="CR32" s="134">
        <v>46539</v>
      </c>
    </row>
    <row r="33" spans="1:96">
      <c r="A33" s="46" t="s">
        <v>5184</v>
      </c>
      <c r="B33" s="46" t="s">
        <v>5185</v>
      </c>
      <c r="C33" s="46">
        <v>44</v>
      </c>
      <c r="D33" s="46" t="s">
        <v>5103</v>
      </c>
      <c r="E33" s="46" t="s">
        <v>5186</v>
      </c>
      <c r="F33" s="46" t="s">
        <v>2484</v>
      </c>
      <c r="J33" s="46">
        <v>1</v>
      </c>
      <c r="M33" s="46">
        <v>1</v>
      </c>
      <c r="R33" s="46">
        <v>1</v>
      </c>
      <c r="U33" s="46">
        <v>1</v>
      </c>
      <c r="W33" s="46">
        <v>13</v>
      </c>
      <c r="X33" s="46">
        <v>20</v>
      </c>
      <c r="Y33" s="46">
        <v>22</v>
      </c>
      <c r="Z33" s="46">
        <v>6</v>
      </c>
      <c r="AA33" s="46">
        <v>6</v>
      </c>
      <c r="AB33" s="46">
        <v>6</v>
      </c>
      <c r="AC33" s="46">
        <v>1</v>
      </c>
      <c r="AJ33" s="46">
        <v>1</v>
      </c>
      <c r="AK33" s="46">
        <v>1</v>
      </c>
      <c r="AT33" s="46">
        <v>1</v>
      </c>
      <c r="AX33" s="46">
        <v>1</v>
      </c>
      <c r="BA33" s="46">
        <v>1</v>
      </c>
      <c r="BI33" s="46">
        <v>1</v>
      </c>
      <c r="BZ33" s="46">
        <v>1</v>
      </c>
      <c r="CC33" s="46">
        <v>1</v>
      </c>
      <c r="CR33" s="134">
        <v>46539</v>
      </c>
    </row>
    <row r="34" spans="1:96">
      <c r="A34" s="46" t="s">
        <v>5187</v>
      </c>
      <c r="B34" s="46" t="s">
        <v>5188</v>
      </c>
      <c r="C34" s="46">
        <v>25</v>
      </c>
      <c r="D34" s="46" t="s">
        <v>5103</v>
      </c>
      <c r="E34" s="46" t="s">
        <v>5189</v>
      </c>
      <c r="F34" s="46" t="s">
        <v>2484</v>
      </c>
      <c r="H34" s="46">
        <v>1</v>
      </c>
      <c r="M34" s="46">
        <v>1</v>
      </c>
      <c r="Q34" s="46">
        <v>1</v>
      </c>
      <c r="T34" s="46">
        <v>1</v>
      </c>
      <c r="W34" s="46">
        <v>16</v>
      </c>
      <c r="X34" s="46">
        <v>0</v>
      </c>
      <c r="Y34" s="46">
        <v>20</v>
      </c>
      <c r="Z34" s="46">
        <v>2</v>
      </c>
      <c r="AA34" s="46">
        <v>2</v>
      </c>
      <c r="AB34" s="46">
        <v>2</v>
      </c>
      <c r="AC34" s="46">
        <v>1</v>
      </c>
      <c r="AJ34" s="46">
        <v>1</v>
      </c>
      <c r="AM34" s="46">
        <v>1</v>
      </c>
      <c r="AT34" s="46">
        <v>1</v>
      </c>
      <c r="AW34" s="46">
        <v>1</v>
      </c>
      <c r="BA34" s="46">
        <v>1</v>
      </c>
      <c r="BI34" s="46">
        <v>1</v>
      </c>
      <c r="BZ34" s="46">
        <v>1</v>
      </c>
      <c r="CC34" s="46">
        <v>1</v>
      </c>
      <c r="CR34" s="134">
        <v>46539</v>
      </c>
    </row>
    <row r="35" spans="1:96">
      <c r="A35" s="46" t="s">
        <v>5190</v>
      </c>
      <c r="B35" s="46" t="s">
        <v>5191</v>
      </c>
      <c r="C35" s="46">
        <v>54</v>
      </c>
      <c r="D35" s="46" t="s">
        <v>5192</v>
      </c>
      <c r="E35" s="46" t="s">
        <v>191</v>
      </c>
      <c r="F35" s="46" t="s">
        <v>4494</v>
      </c>
      <c r="G35" s="46">
        <v>1</v>
      </c>
      <c r="P35" s="46">
        <v>1</v>
      </c>
      <c r="R35" s="46">
        <v>1</v>
      </c>
      <c r="S35" s="46">
        <v>1</v>
      </c>
      <c r="W35" s="46">
        <v>18</v>
      </c>
      <c r="X35" s="46">
        <v>18</v>
      </c>
      <c r="Y35" s="46">
        <v>20</v>
      </c>
      <c r="Z35" s="46">
        <v>6</v>
      </c>
      <c r="AA35" s="46">
        <v>6</v>
      </c>
      <c r="AB35" s="46">
        <v>2</v>
      </c>
      <c r="AH35" s="46">
        <v>1</v>
      </c>
      <c r="AJ35" s="46">
        <v>1</v>
      </c>
      <c r="AL35" s="46">
        <v>1</v>
      </c>
      <c r="AQ35" s="46" t="s">
        <v>251</v>
      </c>
      <c r="AR35" s="134">
        <v>45413</v>
      </c>
      <c r="AT35" s="46">
        <v>1</v>
      </c>
      <c r="AX35" s="46">
        <v>1</v>
      </c>
      <c r="BA35" s="46">
        <v>1</v>
      </c>
      <c r="BM35" s="46" t="s">
        <v>4404</v>
      </c>
      <c r="BW35" s="46">
        <v>1</v>
      </c>
      <c r="BZ35" s="46">
        <v>1</v>
      </c>
      <c r="CC35" s="46">
        <v>1</v>
      </c>
      <c r="CR35" s="46" t="s">
        <v>2257</v>
      </c>
    </row>
    <row r="36" spans="1:96">
      <c r="A36" s="46" t="s">
        <v>5193</v>
      </c>
      <c r="B36" s="46" t="s">
        <v>5194</v>
      </c>
      <c r="C36" s="46">
        <v>64</v>
      </c>
      <c r="D36" s="46" t="s">
        <v>5103</v>
      </c>
      <c r="E36" s="46" t="s">
        <v>191</v>
      </c>
      <c r="F36" s="46" t="s">
        <v>2484</v>
      </c>
      <c r="H36" s="46">
        <v>1</v>
      </c>
      <c r="M36" s="46">
        <v>1</v>
      </c>
      <c r="R36" s="46">
        <v>1</v>
      </c>
      <c r="T36" s="46">
        <v>1</v>
      </c>
      <c r="W36" s="46">
        <v>13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E36" s="46">
        <v>1</v>
      </c>
      <c r="AG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J36" s="46">
        <v>1</v>
      </c>
      <c r="BZ36" s="46">
        <v>1</v>
      </c>
      <c r="CC36" s="46">
        <v>1</v>
      </c>
      <c r="CR36" s="134">
        <v>46539</v>
      </c>
    </row>
  </sheetData>
  <autoFilter ref="A3:CR36"/>
  <mergeCells count="1">
    <mergeCell ref="AV1:AZ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0</v>
      </c>
      <c r="H3" s="70">
        <v>0</v>
      </c>
      <c r="I3" s="70">
        <v>0</v>
      </c>
      <c r="J3" s="71">
        <f t="shared" ref="J3:J9" si="1">SUM(F3:I3)</f>
        <v>0</v>
      </c>
      <c r="K3" s="70">
        <v>0</v>
      </c>
      <c r="L3" s="70">
        <v>0</v>
      </c>
      <c r="M3" s="70">
        <v>0</v>
      </c>
      <c r="N3" s="70">
        <v>0</v>
      </c>
      <c r="O3" s="70">
        <v>1</v>
      </c>
      <c r="P3" s="71">
        <f t="shared" ref="P3:P9" si="2">SUM(K3:O3)</f>
        <v>1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1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3725</v>
      </c>
      <c r="B4" s="69">
        <v>10</v>
      </c>
      <c r="C4" s="69">
        <v>0</v>
      </c>
      <c r="D4" s="69">
        <v>2</v>
      </c>
      <c r="E4" s="69">
        <f t="shared" si="0"/>
        <v>12</v>
      </c>
      <c r="F4" s="70"/>
      <c r="G4" s="70">
        <v>10</v>
      </c>
      <c r="H4" s="70">
        <v>0</v>
      </c>
      <c r="I4" s="70">
        <v>0</v>
      </c>
      <c r="J4" s="71">
        <f t="shared" si="1"/>
        <v>10</v>
      </c>
      <c r="K4" s="70">
        <v>0</v>
      </c>
      <c r="L4" s="70">
        <v>0</v>
      </c>
      <c r="M4" s="70">
        <v>0</v>
      </c>
      <c r="N4" s="70">
        <v>0</v>
      </c>
      <c r="O4" s="70">
        <v>1</v>
      </c>
      <c r="P4" s="71">
        <f t="shared" si="2"/>
        <v>1</v>
      </c>
      <c r="Q4" s="70">
        <v>0</v>
      </c>
      <c r="R4" s="70">
        <v>0</v>
      </c>
      <c r="S4" s="70">
        <v>2</v>
      </c>
      <c r="T4" s="71">
        <f t="shared" si="3"/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9</v>
      </c>
      <c r="AB4" s="73">
        <v>0</v>
      </c>
      <c r="AC4" s="73">
        <v>0</v>
      </c>
      <c r="AD4" s="73">
        <v>3</v>
      </c>
      <c r="AE4" s="186">
        <f t="shared" si="4"/>
        <v>12</v>
      </c>
      <c r="AF4" s="73">
        <v>0</v>
      </c>
      <c r="AG4" s="73">
        <v>0</v>
      </c>
    </row>
    <row r="5" spans="1:33">
      <c r="A5" s="77" t="s">
        <v>5195</v>
      </c>
      <c r="B5" s="69">
        <v>7</v>
      </c>
      <c r="C5" s="69">
        <v>0</v>
      </c>
      <c r="D5" s="69">
        <v>1</v>
      </c>
      <c r="E5" s="69">
        <f t="shared" si="0"/>
        <v>8</v>
      </c>
      <c r="F5" s="70">
        <v>0</v>
      </c>
      <c r="G5" s="70">
        <v>5</v>
      </c>
      <c r="H5" s="70">
        <v>0</v>
      </c>
      <c r="I5" s="70">
        <v>0</v>
      </c>
      <c r="J5" s="71">
        <f t="shared" si="1"/>
        <v>5</v>
      </c>
      <c r="K5" s="70">
        <v>0</v>
      </c>
      <c r="L5" s="70">
        <v>0</v>
      </c>
      <c r="M5" s="70">
        <v>0</v>
      </c>
      <c r="N5" s="70">
        <v>0</v>
      </c>
      <c r="O5" s="70">
        <v>3</v>
      </c>
      <c r="P5" s="71">
        <f t="shared" si="2"/>
        <v>3</v>
      </c>
      <c r="Q5" s="70">
        <v>0</v>
      </c>
      <c r="R5" s="70">
        <v>0</v>
      </c>
      <c r="S5" s="70">
        <v>1</v>
      </c>
      <c r="T5" s="71">
        <f t="shared" si="3"/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6</v>
      </c>
      <c r="AB5" s="73">
        <v>0</v>
      </c>
      <c r="AC5" s="73">
        <v>0</v>
      </c>
      <c r="AD5" s="73">
        <v>2</v>
      </c>
      <c r="AE5" s="186">
        <f t="shared" si="4"/>
        <v>8</v>
      </c>
      <c r="AF5" s="73">
        <v>0</v>
      </c>
      <c r="AG5" s="73">
        <v>0</v>
      </c>
    </row>
    <row r="6" spans="1:33">
      <c r="A6" s="77" t="s">
        <v>5196</v>
      </c>
      <c r="B6" s="69">
        <v>5</v>
      </c>
      <c r="C6" s="69">
        <v>0</v>
      </c>
      <c r="D6" s="69">
        <v>0</v>
      </c>
      <c r="E6" s="69">
        <f t="shared" si="0"/>
        <v>5</v>
      </c>
      <c r="F6" s="70">
        <v>0</v>
      </c>
      <c r="G6" s="70">
        <v>3</v>
      </c>
      <c r="H6" s="70">
        <v>0</v>
      </c>
      <c r="I6" s="70">
        <v>0</v>
      </c>
      <c r="J6" s="71">
        <f t="shared" si="1"/>
        <v>3</v>
      </c>
      <c r="K6" s="70">
        <v>1</v>
      </c>
      <c r="L6" s="70">
        <v>0</v>
      </c>
      <c r="M6" s="70">
        <v>0</v>
      </c>
      <c r="N6" s="70">
        <v>0</v>
      </c>
      <c r="O6" s="70">
        <v>1</v>
      </c>
      <c r="P6" s="71">
        <f t="shared" si="2"/>
        <v>2</v>
      </c>
      <c r="Q6" s="70">
        <v>0</v>
      </c>
      <c r="R6" s="70">
        <v>0</v>
      </c>
      <c r="S6" s="70">
        <v>0</v>
      </c>
      <c r="T6" s="71">
        <f t="shared" si="3"/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4</v>
      </c>
      <c r="AB6" s="73">
        <v>0</v>
      </c>
      <c r="AC6" s="73">
        <v>0</v>
      </c>
      <c r="AD6" s="73">
        <v>1</v>
      </c>
      <c r="AE6" s="186">
        <f t="shared" si="4"/>
        <v>5</v>
      </c>
      <c r="AF6" s="73">
        <v>0</v>
      </c>
      <c r="AG6" s="73">
        <v>0</v>
      </c>
    </row>
    <row r="7" spans="1:33">
      <c r="A7" s="77" t="s">
        <v>5197</v>
      </c>
      <c r="B7" s="69">
        <v>4</v>
      </c>
      <c r="C7" s="69">
        <v>1</v>
      </c>
      <c r="D7" s="69">
        <v>0</v>
      </c>
      <c r="E7" s="69">
        <f t="shared" si="0"/>
        <v>5</v>
      </c>
      <c r="F7" s="70">
        <v>0</v>
      </c>
      <c r="G7" s="70">
        <v>0</v>
      </c>
      <c r="H7" s="70">
        <v>0</v>
      </c>
      <c r="I7" s="70">
        <v>0</v>
      </c>
      <c r="J7" s="71">
        <f t="shared" si="1"/>
        <v>0</v>
      </c>
      <c r="K7" s="70">
        <v>3</v>
      </c>
      <c r="L7" s="70">
        <v>0</v>
      </c>
      <c r="M7" s="70">
        <v>1</v>
      </c>
      <c r="N7" s="70">
        <v>0</v>
      </c>
      <c r="O7" s="70">
        <v>1</v>
      </c>
      <c r="P7" s="71">
        <f t="shared" si="2"/>
        <v>5</v>
      </c>
      <c r="Q7" s="70">
        <v>0</v>
      </c>
      <c r="R7" s="70">
        <v>0</v>
      </c>
      <c r="S7" s="70">
        <v>2</v>
      </c>
      <c r="T7" s="71">
        <f t="shared" si="3"/>
        <v>2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4</v>
      </c>
      <c r="AB7" s="73">
        <v>0</v>
      </c>
      <c r="AC7" s="73">
        <v>0</v>
      </c>
      <c r="AD7" s="73">
        <v>1</v>
      </c>
      <c r="AE7" s="186">
        <f t="shared" si="4"/>
        <v>5</v>
      </c>
      <c r="AF7" s="73">
        <v>0</v>
      </c>
      <c r="AG7" s="73">
        <v>0</v>
      </c>
    </row>
    <row r="8" spans="1:33">
      <c r="A8" s="78" t="s">
        <v>5198</v>
      </c>
      <c r="B8" s="79">
        <v>2</v>
      </c>
      <c r="C8" s="79">
        <v>0</v>
      </c>
      <c r="D8" s="79">
        <v>0</v>
      </c>
      <c r="E8" s="69">
        <f t="shared" si="0"/>
        <v>2</v>
      </c>
      <c r="F8" s="80">
        <v>0</v>
      </c>
      <c r="G8" s="80">
        <v>0</v>
      </c>
      <c r="H8" s="80">
        <v>0</v>
      </c>
      <c r="I8" s="80">
        <v>0</v>
      </c>
      <c r="J8" s="71">
        <f t="shared" si="1"/>
        <v>0</v>
      </c>
      <c r="K8" s="80">
        <v>2</v>
      </c>
      <c r="L8" s="80">
        <v>0</v>
      </c>
      <c r="M8" s="80">
        <v>0</v>
      </c>
      <c r="N8" s="80">
        <v>0</v>
      </c>
      <c r="O8" s="80">
        <v>0</v>
      </c>
      <c r="P8" s="71">
        <f t="shared" si="2"/>
        <v>2</v>
      </c>
      <c r="Q8" s="80">
        <v>0</v>
      </c>
      <c r="R8" s="80">
        <v>0</v>
      </c>
      <c r="S8" s="80">
        <v>0</v>
      </c>
      <c r="T8" s="71">
        <f t="shared" si="3"/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/>
      <c r="AA8" s="82">
        <v>2</v>
      </c>
      <c r="AB8" s="82">
        <v>0</v>
      </c>
      <c r="AC8" s="82">
        <v>0</v>
      </c>
      <c r="AD8" s="82">
        <v>0</v>
      </c>
      <c r="AE8" s="233">
        <f t="shared" si="4"/>
        <v>2</v>
      </c>
      <c r="AF8" s="82">
        <v>0</v>
      </c>
      <c r="AG8" s="82">
        <v>0</v>
      </c>
    </row>
    <row r="9" spans="1:33">
      <c r="A9" s="69" t="s">
        <v>376</v>
      </c>
      <c r="B9" s="69">
        <f t="shared" ref="B9:I9" si="5">SUM(B3:B8)</f>
        <v>29</v>
      </c>
      <c r="C9" s="69">
        <f t="shared" si="5"/>
        <v>1</v>
      </c>
      <c r="D9" s="69">
        <f t="shared" si="5"/>
        <v>3</v>
      </c>
      <c r="E9" s="69">
        <f t="shared" si="5"/>
        <v>33</v>
      </c>
      <c r="F9" s="69">
        <f t="shared" si="5"/>
        <v>0</v>
      </c>
      <c r="G9" s="69">
        <f t="shared" si="5"/>
        <v>18</v>
      </c>
      <c r="H9" s="69">
        <f t="shared" si="5"/>
        <v>0</v>
      </c>
      <c r="I9" s="69">
        <f t="shared" si="5"/>
        <v>0</v>
      </c>
      <c r="J9" s="71">
        <f t="shared" si="1"/>
        <v>18</v>
      </c>
      <c r="K9" s="114">
        <f>SUM(K3:K8)</f>
        <v>6</v>
      </c>
      <c r="L9" s="114">
        <f>SUM(L3:L8)</f>
        <v>0</v>
      </c>
      <c r="M9" s="114">
        <f>SUM(M3:M8)</f>
        <v>1</v>
      </c>
      <c r="N9" s="114">
        <f>SUM(N3:N8)</f>
        <v>0</v>
      </c>
      <c r="O9" s="114">
        <f>SUM(O3:O8)</f>
        <v>7</v>
      </c>
      <c r="P9" s="71">
        <f t="shared" si="2"/>
        <v>14</v>
      </c>
      <c r="Q9" s="114">
        <f t="shared" ref="Q9:AG9" si="6">SUM(Q3:Q8)</f>
        <v>0</v>
      </c>
      <c r="R9" s="114">
        <f t="shared" si="6"/>
        <v>0</v>
      </c>
      <c r="S9" s="114">
        <f t="shared" si="6"/>
        <v>6</v>
      </c>
      <c r="T9" s="71">
        <f t="shared" si="6"/>
        <v>6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114">
        <f t="shared" si="6"/>
        <v>0</v>
      </c>
      <c r="AA9" s="73">
        <f t="shared" si="6"/>
        <v>26</v>
      </c>
      <c r="AB9" s="73">
        <f t="shared" si="6"/>
        <v>0</v>
      </c>
      <c r="AC9" s="73">
        <f t="shared" si="6"/>
        <v>0</v>
      </c>
      <c r="AD9" s="73">
        <f t="shared" si="6"/>
        <v>7</v>
      </c>
      <c r="AE9" s="73">
        <f t="shared" si="6"/>
        <v>33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23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4.42578125" defaultRowHeight="15" customHeight="1"/>
  <cols>
    <col min="1" max="1" width="8.7109375" customWidth="1"/>
    <col min="2" max="2" width="23.85546875" customWidth="1"/>
    <col min="3" max="3" width="8.42578125" customWidth="1"/>
    <col min="5" max="5" width="16.7109375" customWidth="1"/>
  </cols>
  <sheetData>
    <row r="1" spans="1:96">
      <c r="A1" s="189" t="s">
        <v>5199</v>
      </c>
      <c r="B1" s="143"/>
      <c r="C1" s="231" t="s">
        <v>5200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5201</v>
      </c>
      <c r="B4" s="46" t="s">
        <v>5202</v>
      </c>
      <c r="C4" s="46">
        <v>23</v>
      </c>
      <c r="D4" s="46" t="s">
        <v>1539</v>
      </c>
      <c r="E4" s="46" t="s">
        <v>5203</v>
      </c>
      <c r="F4" s="46" t="s">
        <v>2472</v>
      </c>
      <c r="J4" s="46">
        <v>1</v>
      </c>
      <c r="L4" s="46">
        <v>1</v>
      </c>
      <c r="Q4" s="46">
        <v>1</v>
      </c>
      <c r="V4" s="46">
        <v>1</v>
      </c>
      <c r="W4" s="46">
        <v>15</v>
      </c>
      <c r="X4" s="46">
        <v>19</v>
      </c>
      <c r="Y4" s="46">
        <v>0</v>
      </c>
      <c r="Z4" s="46">
        <v>0</v>
      </c>
      <c r="AA4" s="46">
        <v>0</v>
      </c>
      <c r="AB4" s="46">
        <v>0</v>
      </c>
      <c r="AE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BO4" s="46" t="s">
        <v>5204</v>
      </c>
      <c r="BZ4" s="46">
        <v>1</v>
      </c>
      <c r="CC4" s="46">
        <v>1</v>
      </c>
      <c r="CP4" s="46">
        <v>1</v>
      </c>
      <c r="CR4" s="134">
        <v>45444</v>
      </c>
    </row>
    <row r="5" spans="1:96">
      <c r="A5" s="46" t="s">
        <v>5205</v>
      </c>
      <c r="B5" s="46" t="s">
        <v>5206</v>
      </c>
      <c r="C5" s="46">
        <v>21</v>
      </c>
      <c r="D5" s="46" t="s">
        <v>5207</v>
      </c>
      <c r="E5" s="46" t="s">
        <v>5208</v>
      </c>
      <c r="F5" s="46" t="s">
        <v>3173</v>
      </c>
      <c r="G5" s="46">
        <v>1</v>
      </c>
      <c r="L5" s="46">
        <v>1</v>
      </c>
      <c r="Q5" s="46">
        <v>1</v>
      </c>
      <c r="V5" s="46">
        <v>1</v>
      </c>
      <c r="W5" s="46">
        <v>12</v>
      </c>
      <c r="X5" s="46">
        <v>19</v>
      </c>
      <c r="Y5" s="46">
        <v>0</v>
      </c>
      <c r="Z5" s="46">
        <v>0</v>
      </c>
      <c r="AA5" s="46">
        <v>0</v>
      </c>
      <c r="AB5" s="46">
        <v>0</v>
      </c>
      <c r="AC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I5" s="46">
        <v>1</v>
      </c>
      <c r="CP5" s="46">
        <v>1</v>
      </c>
      <c r="CR5" s="134">
        <v>46539</v>
      </c>
    </row>
    <row r="6" spans="1:96">
      <c r="A6" s="46" t="s">
        <v>5209</v>
      </c>
      <c r="B6" s="46" t="s">
        <v>5210</v>
      </c>
      <c r="C6" s="46">
        <v>24</v>
      </c>
      <c r="D6" s="46" t="s">
        <v>1162</v>
      </c>
      <c r="E6" s="46" t="s">
        <v>5211</v>
      </c>
      <c r="F6" s="46" t="s">
        <v>2472</v>
      </c>
      <c r="G6" s="46">
        <v>1</v>
      </c>
      <c r="L6" s="46">
        <v>1</v>
      </c>
      <c r="Q6" s="46">
        <v>1</v>
      </c>
      <c r="U6" s="46">
        <v>1</v>
      </c>
      <c r="W6" s="46">
        <v>14</v>
      </c>
      <c r="X6" s="46">
        <v>16</v>
      </c>
      <c r="Y6" s="46">
        <v>22</v>
      </c>
      <c r="Z6" s="46">
        <v>1</v>
      </c>
      <c r="AA6" s="46">
        <v>1</v>
      </c>
      <c r="AB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I6" s="46">
        <v>1</v>
      </c>
      <c r="BW6" s="46">
        <v>1</v>
      </c>
      <c r="BZ6" s="46">
        <v>1</v>
      </c>
      <c r="CC6" s="46">
        <v>1</v>
      </c>
      <c r="CI6" s="46">
        <v>1</v>
      </c>
      <c r="CP6" s="46">
        <v>1</v>
      </c>
      <c r="CR6" s="134">
        <v>46539</v>
      </c>
    </row>
    <row r="7" spans="1:96">
      <c r="A7" s="46" t="s">
        <v>5212</v>
      </c>
      <c r="B7" s="46" t="s">
        <v>5213</v>
      </c>
      <c r="C7" s="46">
        <v>22</v>
      </c>
      <c r="D7" s="46" t="s">
        <v>1409</v>
      </c>
      <c r="E7" s="46" t="s">
        <v>5214</v>
      </c>
      <c r="F7" s="46" t="s">
        <v>5215</v>
      </c>
      <c r="H7" s="46">
        <v>1</v>
      </c>
      <c r="L7" s="46">
        <v>1</v>
      </c>
      <c r="Q7" s="46">
        <v>1</v>
      </c>
      <c r="V7" s="46">
        <v>1</v>
      </c>
      <c r="W7" s="46">
        <v>13</v>
      </c>
      <c r="X7" s="46">
        <v>18</v>
      </c>
      <c r="Y7" s="46">
        <v>0</v>
      </c>
      <c r="Z7" s="46">
        <v>0</v>
      </c>
      <c r="AA7" s="46">
        <v>0</v>
      </c>
      <c r="AB7" s="46">
        <v>0</v>
      </c>
      <c r="AE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  <c r="CI7" s="46">
        <v>1</v>
      </c>
      <c r="CP7" s="46">
        <v>1</v>
      </c>
      <c r="CR7" s="134">
        <v>46539</v>
      </c>
    </row>
    <row r="8" spans="1:96">
      <c r="A8" s="46" t="s">
        <v>5216</v>
      </c>
      <c r="B8" s="46" t="s">
        <v>5217</v>
      </c>
      <c r="C8" s="46">
        <v>20</v>
      </c>
      <c r="D8" s="46" t="s">
        <v>5218</v>
      </c>
      <c r="E8" s="46" t="s">
        <v>5219</v>
      </c>
      <c r="F8" s="46" t="s">
        <v>2472</v>
      </c>
      <c r="H8" s="46">
        <v>1</v>
      </c>
      <c r="L8" s="46">
        <v>1</v>
      </c>
      <c r="Q8" s="46">
        <v>1</v>
      </c>
      <c r="V8" s="46">
        <v>1</v>
      </c>
      <c r="W8" s="46">
        <v>14</v>
      </c>
      <c r="X8" s="46">
        <v>19</v>
      </c>
      <c r="Y8" s="46">
        <v>0</v>
      </c>
      <c r="Z8" s="46">
        <v>0</v>
      </c>
      <c r="AA8" s="46">
        <v>0</v>
      </c>
      <c r="AB8" s="46">
        <v>0</v>
      </c>
      <c r="AC8" s="46">
        <v>1</v>
      </c>
      <c r="AJ8" s="46">
        <v>1</v>
      </c>
      <c r="AK8" s="46">
        <v>1</v>
      </c>
      <c r="AT8" s="46">
        <v>1</v>
      </c>
      <c r="AX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  <c r="CP8" s="46">
        <v>1</v>
      </c>
      <c r="CR8" s="134">
        <v>46539</v>
      </c>
    </row>
    <row r="9" spans="1:96">
      <c r="A9" s="46" t="s">
        <v>5220</v>
      </c>
      <c r="B9" s="46" t="s">
        <v>5221</v>
      </c>
      <c r="C9" s="46">
        <v>22</v>
      </c>
      <c r="D9" s="46" t="s">
        <v>5222</v>
      </c>
      <c r="E9" s="46" t="s">
        <v>5223</v>
      </c>
      <c r="F9" s="46" t="s">
        <v>2574</v>
      </c>
      <c r="G9" s="46">
        <v>1</v>
      </c>
      <c r="L9" s="46">
        <v>1</v>
      </c>
      <c r="Q9" s="46">
        <v>1</v>
      </c>
      <c r="V9" s="46">
        <v>1</v>
      </c>
      <c r="W9" s="46">
        <v>14</v>
      </c>
      <c r="X9" s="46">
        <v>18</v>
      </c>
      <c r="Y9" s="46">
        <v>0</v>
      </c>
      <c r="Z9" s="46">
        <v>0</v>
      </c>
      <c r="AA9" s="46">
        <v>0</v>
      </c>
      <c r="AB9" s="46">
        <v>0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BZ9" s="46">
        <v>1</v>
      </c>
      <c r="CC9" s="46">
        <v>1</v>
      </c>
      <c r="CI9" s="46">
        <v>1</v>
      </c>
      <c r="CP9" s="46">
        <v>1</v>
      </c>
      <c r="CR9" s="134">
        <v>46539</v>
      </c>
    </row>
    <row r="10" spans="1:96">
      <c r="A10" s="46" t="s">
        <v>5224</v>
      </c>
      <c r="B10" s="46" t="s">
        <v>5225</v>
      </c>
      <c r="C10" s="46">
        <v>21</v>
      </c>
      <c r="D10" s="46" t="s">
        <v>5226</v>
      </c>
      <c r="E10" s="46" t="s">
        <v>5227</v>
      </c>
      <c r="F10" s="46" t="s">
        <v>145</v>
      </c>
      <c r="G10" s="46">
        <v>1</v>
      </c>
      <c r="L10" s="46">
        <v>1</v>
      </c>
      <c r="Q10" s="46">
        <v>1</v>
      </c>
      <c r="V10" s="46">
        <v>1</v>
      </c>
      <c r="W10" s="46">
        <v>14</v>
      </c>
      <c r="X10" s="46">
        <v>18</v>
      </c>
      <c r="Y10" s="46">
        <v>0</v>
      </c>
      <c r="Z10" s="46">
        <v>0</v>
      </c>
      <c r="AA10" s="46">
        <v>0</v>
      </c>
      <c r="AB10" s="46">
        <v>0</v>
      </c>
      <c r="AG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W10" s="46">
        <v>1</v>
      </c>
      <c r="BZ10" s="46">
        <v>1</v>
      </c>
      <c r="CC10" s="46">
        <v>1</v>
      </c>
      <c r="CI10" s="46">
        <v>1</v>
      </c>
      <c r="CP10" s="46">
        <v>1</v>
      </c>
      <c r="CR10" s="134">
        <v>46539</v>
      </c>
    </row>
    <row r="11" spans="1:96">
      <c r="A11" s="46" t="s">
        <v>5228</v>
      </c>
      <c r="B11" s="46" t="s">
        <v>5229</v>
      </c>
      <c r="C11" s="46">
        <v>23</v>
      </c>
      <c r="D11" s="46" t="s">
        <v>2807</v>
      </c>
      <c r="E11" s="46" t="s">
        <v>5230</v>
      </c>
      <c r="F11" s="46" t="s">
        <v>2070</v>
      </c>
      <c r="H11" s="46">
        <v>1</v>
      </c>
      <c r="L11" s="46">
        <v>1</v>
      </c>
      <c r="Q11" s="46">
        <v>1</v>
      </c>
      <c r="V11" s="46">
        <v>1</v>
      </c>
      <c r="W11" s="46">
        <v>12</v>
      </c>
      <c r="X11" s="46">
        <v>19</v>
      </c>
      <c r="Y11" s="46">
        <v>0</v>
      </c>
      <c r="Z11" s="46">
        <v>0</v>
      </c>
      <c r="AA11" s="46">
        <v>0</v>
      </c>
      <c r="AB11" s="46">
        <v>0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I11" s="46">
        <v>1</v>
      </c>
      <c r="BW11" s="46">
        <v>1</v>
      </c>
      <c r="BZ11" s="46">
        <v>1</v>
      </c>
      <c r="CC11" s="46">
        <v>1</v>
      </c>
      <c r="CI11" s="46">
        <v>1</v>
      </c>
      <c r="CP11" s="46">
        <v>1</v>
      </c>
      <c r="CR11" s="235">
        <v>46540</v>
      </c>
    </row>
    <row r="12" spans="1:96">
      <c r="A12" s="46" t="s">
        <v>5231</v>
      </c>
      <c r="B12" s="46" t="s">
        <v>5232</v>
      </c>
      <c r="C12" s="46">
        <v>20</v>
      </c>
      <c r="D12" s="46" t="s">
        <v>1166</v>
      </c>
      <c r="E12" s="46" t="s">
        <v>5233</v>
      </c>
      <c r="F12" s="46" t="s">
        <v>2506</v>
      </c>
      <c r="J12" s="46">
        <v>1</v>
      </c>
      <c r="L12" s="46">
        <v>1</v>
      </c>
      <c r="Q12" s="46">
        <v>1</v>
      </c>
      <c r="V12" s="46">
        <v>1</v>
      </c>
      <c r="W12" s="46">
        <v>14</v>
      </c>
      <c r="X12" s="46">
        <v>19</v>
      </c>
      <c r="Y12" s="46">
        <v>0</v>
      </c>
      <c r="Z12" s="46">
        <v>0</v>
      </c>
      <c r="AA12" s="46">
        <v>0</v>
      </c>
      <c r="AB12" s="46">
        <v>0</v>
      </c>
      <c r="AD12" s="46">
        <v>1</v>
      </c>
      <c r="AE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I12" s="46">
        <v>1</v>
      </c>
      <c r="CP12" s="46">
        <v>1</v>
      </c>
      <c r="CR12" s="134">
        <v>46539</v>
      </c>
    </row>
    <row r="13" spans="1:96">
      <c r="A13" s="46" t="s">
        <v>5234</v>
      </c>
      <c r="B13" s="46" t="s">
        <v>5235</v>
      </c>
      <c r="C13" s="46">
        <v>19</v>
      </c>
      <c r="D13" s="46" t="s">
        <v>5236</v>
      </c>
      <c r="E13" s="46" t="s">
        <v>5237</v>
      </c>
      <c r="F13" s="46" t="s">
        <v>5238</v>
      </c>
      <c r="G13" s="46">
        <v>1</v>
      </c>
      <c r="L13" s="46">
        <v>1</v>
      </c>
      <c r="Q13" s="46">
        <v>1</v>
      </c>
      <c r="V13" s="46">
        <v>1</v>
      </c>
      <c r="W13" s="46">
        <v>14</v>
      </c>
      <c r="X13" s="46">
        <v>18</v>
      </c>
      <c r="Y13" s="46">
        <v>0</v>
      </c>
      <c r="Z13" s="46">
        <v>0</v>
      </c>
      <c r="AA13" s="46">
        <v>0</v>
      </c>
      <c r="AB13" s="46">
        <v>0</v>
      </c>
      <c r="AC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P13" s="46">
        <v>1</v>
      </c>
      <c r="CR13" s="134">
        <v>46539</v>
      </c>
    </row>
    <row r="14" spans="1:96">
      <c r="A14" s="46" t="s">
        <v>5239</v>
      </c>
      <c r="B14" s="46" t="s">
        <v>5240</v>
      </c>
      <c r="C14" s="46">
        <v>20</v>
      </c>
      <c r="D14" s="46" t="s">
        <v>933</v>
      </c>
      <c r="E14" s="46" t="s">
        <v>5241</v>
      </c>
      <c r="F14" s="46" t="s">
        <v>2523</v>
      </c>
      <c r="J14" s="46">
        <v>1</v>
      </c>
      <c r="L14" s="46">
        <v>1</v>
      </c>
      <c r="Q14" s="46">
        <v>1</v>
      </c>
      <c r="V14" s="46">
        <v>1</v>
      </c>
      <c r="W14" s="46">
        <v>15</v>
      </c>
      <c r="X14" s="46">
        <v>19</v>
      </c>
      <c r="Y14" s="46">
        <v>0</v>
      </c>
      <c r="Z14" s="46">
        <v>0</v>
      </c>
      <c r="AA14" s="46">
        <v>0</v>
      </c>
      <c r="AB14" s="46">
        <v>0</v>
      </c>
      <c r="AE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M14" s="46" t="s">
        <v>5242</v>
      </c>
      <c r="BZ14" s="46">
        <v>1</v>
      </c>
      <c r="CC14" s="46">
        <v>1</v>
      </c>
      <c r="CI14" s="46">
        <v>1</v>
      </c>
      <c r="CP14" s="46">
        <v>1</v>
      </c>
      <c r="CR14" s="134">
        <v>46539</v>
      </c>
    </row>
    <row r="15" spans="1:96">
      <c r="A15" s="46" t="s">
        <v>5243</v>
      </c>
      <c r="B15" s="46" t="s">
        <v>5244</v>
      </c>
      <c r="C15" s="46">
        <v>24</v>
      </c>
      <c r="D15" s="46" t="s">
        <v>5245</v>
      </c>
      <c r="E15" s="46" t="s">
        <v>5246</v>
      </c>
      <c r="F15" s="46" t="s">
        <v>2523</v>
      </c>
      <c r="G15" s="46">
        <v>1</v>
      </c>
      <c r="L15" s="46">
        <v>1</v>
      </c>
      <c r="R15" s="46">
        <v>1</v>
      </c>
      <c r="V15" s="46">
        <v>1</v>
      </c>
      <c r="W15" s="46">
        <v>13</v>
      </c>
      <c r="X15" s="46">
        <v>19</v>
      </c>
      <c r="Y15" s="46">
        <v>0</v>
      </c>
      <c r="Z15" s="46">
        <v>0</v>
      </c>
      <c r="AA15" s="46">
        <v>0</v>
      </c>
      <c r="AB15" s="46">
        <v>0</v>
      </c>
      <c r="AC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Z15" s="46">
        <v>1</v>
      </c>
      <c r="CC15" s="46">
        <v>1</v>
      </c>
      <c r="CP15" s="46">
        <v>1</v>
      </c>
      <c r="CR15" s="134">
        <v>46539</v>
      </c>
    </row>
    <row r="16" spans="1:96">
      <c r="A16" s="46" t="s">
        <v>5247</v>
      </c>
      <c r="B16" s="46" t="s">
        <v>5248</v>
      </c>
      <c r="C16" s="46">
        <v>24</v>
      </c>
      <c r="D16" s="46" t="s">
        <v>1409</v>
      </c>
      <c r="E16" s="46" t="s">
        <v>5249</v>
      </c>
      <c r="F16" s="46" t="s">
        <v>2484</v>
      </c>
      <c r="H16" s="46">
        <v>1</v>
      </c>
      <c r="L16" s="46">
        <v>1</v>
      </c>
      <c r="Q16" s="46">
        <v>1</v>
      </c>
      <c r="V16" s="46">
        <v>1</v>
      </c>
      <c r="W16" s="46">
        <v>12</v>
      </c>
      <c r="X16" s="46">
        <v>18</v>
      </c>
      <c r="Y16" s="46">
        <v>0</v>
      </c>
      <c r="Z16" s="46">
        <v>0</v>
      </c>
      <c r="AA16" s="46">
        <v>0</v>
      </c>
      <c r="AB16" s="46">
        <v>0</v>
      </c>
      <c r="AC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P16" s="46">
        <v>1</v>
      </c>
      <c r="CR16" s="134">
        <v>46539</v>
      </c>
    </row>
    <row r="17" spans="1:96">
      <c r="A17" s="46" t="s">
        <v>5250</v>
      </c>
      <c r="B17" s="46" t="s">
        <v>5251</v>
      </c>
      <c r="C17" s="46">
        <v>24</v>
      </c>
      <c r="D17" s="46" t="s">
        <v>5252</v>
      </c>
      <c r="E17" s="46" t="s">
        <v>5253</v>
      </c>
      <c r="F17" s="46" t="s">
        <v>145</v>
      </c>
      <c r="G17" s="46">
        <v>1</v>
      </c>
      <c r="L17" s="46">
        <v>1</v>
      </c>
      <c r="Q17" s="46">
        <v>1</v>
      </c>
      <c r="V17" s="46">
        <v>1</v>
      </c>
      <c r="W17" s="46">
        <v>16</v>
      </c>
      <c r="X17" s="46">
        <v>20</v>
      </c>
      <c r="Y17" s="46">
        <v>0</v>
      </c>
      <c r="Z17" s="46">
        <v>0</v>
      </c>
      <c r="AA17" s="46">
        <v>0</v>
      </c>
      <c r="AB17" s="46">
        <v>0</v>
      </c>
      <c r="AC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I17" s="46">
        <v>1</v>
      </c>
      <c r="BW17" s="46">
        <v>1</v>
      </c>
      <c r="BZ17" s="46">
        <v>1</v>
      </c>
      <c r="CC17" s="46">
        <v>1</v>
      </c>
      <c r="CP17" s="46">
        <v>1</v>
      </c>
      <c r="CR17" s="134">
        <v>46539</v>
      </c>
    </row>
    <row r="18" spans="1:96">
      <c r="A18" s="46" t="s">
        <v>5254</v>
      </c>
      <c r="B18" s="46" t="s">
        <v>5255</v>
      </c>
      <c r="C18" s="46">
        <v>24</v>
      </c>
      <c r="D18" s="46" t="s">
        <v>5236</v>
      </c>
      <c r="E18" s="46" t="s">
        <v>5256</v>
      </c>
      <c r="F18" s="46" t="s">
        <v>2484</v>
      </c>
      <c r="H18" s="46">
        <v>1</v>
      </c>
      <c r="L18" s="46">
        <v>1</v>
      </c>
      <c r="Q18" s="46">
        <v>1</v>
      </c>
      <c r="V18" s="46">
        <v>1</v>
      </c>
      <c r="W18" s="46">
        <v>13</v>
      </c>
      <c r="X18" s="46">
        <v>18</v>
      </c>
      <c r="Y18" s="46">
        <v>0</v>
      </c>
      <c r="Z18" s="46">
        <v>0</v>
      </c>
      <c r="AA18" s="46">
        <v>0</v>
      </c>
      <c r="AB18" s="46">
        <v>0</v>
      </c>
      <c r="AD18" s="46">
        <v>1</v>
      </c>
      <c r="AE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Z18" s="46">
        <v>1</v>
      </c>
      <c r="CC18" s="46">
        <v>1</v>
      </c>
      <c r="CP18" s="46">
        <v>1</v>
      </c>
      <c r="CR18" s="134">
        <v>46539</v>
      </c>
    </row>
    <row r="19" spans="1:96">
      <c r="A19" s="46" t="s">
        <v>5257</v>
      </c>
      <c r="B19" s="46" t="s">
        <v>5258</v>
      </c>
      <c r="C19" s="46">
        <v>20</v>
      </c>
      <c r="D19" s="46" t="s">
        <v>5259</v>
      </c>
      <c r="E19" s="46" t="s">
        <v>5260</v>
      </c>
      <c r="F19" s="46" t="s">
        <v>2523</v>
      </c>
      <c r="J19" s="46">
        <v>1</v>
      </c>
      <c r="L19" s="46">
        <v>1</v>
      </c>
      <c r="Q19" s="46">
        <v>1</v>
      </c>
      <c r="V19" s="46">
        <v>1</v>
      </c>
      <c r="W19" s="46">
        <v>12</v>
      </c>
      <c r="X19" s="46">
        <v>20</v>
      </c>
      <c r="Y19" s="46">
        <v>0</v>
      </c>
      <c r="Z19" s="46">
        <v>0</v>
      </c>
      <c r="AA19" s="46">
        <v>0</v>
      </c>
      <c r="AB19" s="46">
        <v>0</v>
      </c>
      <c r="AD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Z19" s="46">
        <v>1</v>
      </c>
      <c r="CC19" s="46">
        <v>1</v>
      </c>
      <c r="CP19" s="46">
        <v>1</v>
      </c>
      <c r="CR19" s="134">
        <v>46539</v>
      </c>
    </row>
    <row r="20" spans="1:96">
      <c r="A20" s="46" t="s">
        <v>5261</v>
      </c>
      <c r="B20" s="46" t="s">
        <v>5262</v>
      </c>
      <c r="C20" s="46">
        <v>20</v>
      </c>
      <c r="D20" s="46" t="s">
        <v>5263</v>
      </c>
      <c r="E20" s="46" t="s">
        <v>5264</v>
      </c>
      <c r="F20" s="46" t="s">
        <v>5265</v>
      </c>
      <c r="H20" s="46">
        <v>1</v>
      </c>
      <c r="L20" s="46">
        <v>1</v>
      </c>
      <c r="R20" s="46">
        <v>1</v>
      </c>
      <c r="V20" s="46">
        <v>1</v>
      </c>
      <c r="W20" s="46">
        <v>13</v>
      </c>
      <c r="X20" s="46">
        <v>15</v>
      </c>
      <c r="Y20" s="46">
        <v>0</v>
      </c>
      <c r="Z20" s="46">
        <v>0</v>
      </c>
      <c r="AA20" s="46">
        <v>0</v>
      </c>
      <c r="AB20" s="46">
        <v>0</v>
      </c>
      <c r="AE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W20" s="46">
        <v>1</v>
      </c>
      <c r="BZ20" s="46">
        <v>1</v>
      </c>
      <c r="CC20" s="46">
        <v>1</v>
      </c>
      <c r="CP20" s="46">
        <v>1</v>
      </c>
      <c r="CR20" s="134">
        <v>46539</v>
      </c>
    </row>
    <row r="21" spans="1:96">
      <c r="A21" s="46" t="s">
        <v>5266</v>
      </c>
      <c r="B21" s="46" t="s">
        <v>5267</v>
      </c>
      <c r="C21" s="46">
        <v>20</v>
      </c>
      <c r="D21" s="46" t="s">
        <v>5268</v>
      </c>
      <c r="E21" s="46" t="s">
        <v>5269</v>
      </c>
      <c r="F21" s="46" t="s">
        <v>2484</v>
      </c>
      <c r="G21" s="46">
        <v>1</v>
      </c>
      <c r="L21" s="46">
        <v>1</v>
      </c>
      <c r="Q21" s="46">
        <v>1</v>
      </c>
      <c r="V21" s="46">
        <v>1</v>
      </c>
      <c r="W21" s="46">
        <v>14</v>
      </c>
      <c r="X21" s="46">
        <v>19</v>
      </c>
      <c r="Y21" s="46">
        <v>0</v>
      </c>
      <c r="Z21" s="46">
        <v>0</v>
      </c>
      <c r="AA21" s="46">
        <v>0</v>
      </c>
      <c r="AB21" s="46">
        <v>0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W21" s="46">
        <v>1</v>
      </c>
      <c r="BZ21" s="46">
        <v>1</v>
      </c>
      <c r="CC21" s="46">
        <v>1</v>
      </c>
      <c r="CP21" s="46">
        <v>1</v>
      </c>
      <c r="CR21" s="134">
        <v>46539</v>
      </c>
    </row>
    <row r="22" spans="1:96">
      <c r="A22" s="46" t="s">
        <v>5270</v>
      </c>
      <c r="B22" s="46" t="s">
        <v>5271</v>
      </c>
      <c r="C22" s="46">
        <v>20</v>
      </c>
      <c r="D22" s="46" t="s">
        <v>5272</v>
      </c>
      <c r="E22" s="46" t="s">
        <v>5273</v>
      </c>
      <c r="F22" s="46" t="s">
        <v>2523</v>
      </c>
      <c r="J22" s="46">
        <v>1</v>
      </c>
      <c r="L22" s="46">
        <v>1</v>
      </c>
      <c r="Q22" s="46">
        <v>1</v>
      </c>
      <c r="V22" s="46">
        <v>1</v>
      </c>
      <c r="W22" s="46">
        <v>14</v>
      </c>
      <c r="X22" s="46">
        <v>18</v>
      </c>
      <c r="Y22" s="46">
        <v>0</v>
      </c>
      <c r="Z22" s="46">
        <v>0</v>
      </c>
      <c r="AA22" s="46">
        <v>0</v>
      </c>
      <c r="AB22" s="46">
        <v>0</v>
      </c>
      <c r="AC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  <c r="CP22" s="46">
        <v>1</v>
      </c>
      <c r="CR22" s="134">
        <v>46539</v>
      </c>
    </row>
    <row r="23" spans="1:96">
      <c r="A23" s="46" t="s">
        <v>5274</v>
      </c>
      <c r="B23" s="46" t="s">
        <v>5275</v>
      </c>
      <c r="C23" s="46">
        <v>21</v>
      </c>
      <c r="D23" s="46" t="s">
        <v>1409</v>
      </c>
      <c r="E23" s="46" t="s">
        <v>5276</v>
      </c>
      <c r="F23" s="46" t="s">
        <v>145</v>
      </c>
      <c r="H23" s="46">
        <v>1</v>
      </c>
      <c r="L23" s="46">
        <v>1</v>
      </c>
      <c r="Q23" s="46">
        <v>1</v>
      </c>
      <c r="V23" s="46">
        <v>1</v>
      </c>
      <c r="W23" s="46">
        <v>15</v>
      </c>
      <c r="X23" s="46">
        <v>18</v>
      </c>
      <c r="Y23" s="46">
        <v>0</v>
      </c>
      <c r="Z23" s="46">
        <v>0</v>
      </c>
      <c r="AA23" s="46">
        <v>0</v>
      </c>
      <c r="AB23" s="46">
        <v>0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M23" s="46" t="s">
        <v>5277</v>
      </c>
      <c r="BW23" s="46">
        <v>1</v>
      </c>
      <c r="BZ23" s="46">
        <v>1</v>
      </c>
      <c r="CC23" s="46">
        <v>1</v>
      </c>
      <c r="CP23" s="46">
        <v>1</v>
      </c>
      <c r="CR23" s="46" t="s">
        <v>5278</v>
      </c>
    </row>
  </sheetData>
  <autoFilter ref="A3:CR23"/>
  <mergeCells count="1">
    <mergeCell ref="AV1:AZ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236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0</v>
      </c>
      <c r="R3" s="70">
        <v>0</v>
      </c>
      <c r="S3" s="70">
        <v>0</v>
      </c>
      <c r="T3" s="71">
        <f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2"/>
      <c r="AA3" s="73">
        <v>1</v>
      </c>
      <c r="AB3" s="73">
        <v>0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4" t="s">
        <v>5279</v>
      </c>
      <c r="B4" s="69">
        <v>19</v>
      </c>
      <c r="C4" s="69">
        <v>0</v>
      </c>
      <c r="D4" s="69">
        <v>0</v>
      </c>
      <c r="E4" s="69">
        <f>SUM(B4:D4)</f>
        <v>19</v>
      </c>
      <c r="F4" s="70">
        <v>0</v>
      </c>
      <c r="G4" s="70">
        <v>0</v>
      </c>
      <c r="H4" s="70">
        <v>0</v>
      </c>
      <c r="I4" s="70">
        <v>0</v>
      </c>
      <c r="J4" s="71">
        <f>SUM(F4:I4)</f>
        <v>0</v>
      </c>
      <c r="K4" s="70">
        <v>15</v>
      </c>
      <c r="L4" s="70">
        <v>1</v>
      </c>
      <c r="M4" s="70">
        <v>0</v>
      </c>
      <c r="N4" s="70">
        <v>2</v>
      </c>
      <c r="O4" s="70">
        <v>1</v>
      </c>
      <c r="P4" s="71">
        <f>SUM(K4:O4)</f>
        <v>19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237"/>
      <c r="AA4" s="73">
        <v>1</v>
      </c>
      <c r="AB4" s="73">
        <v>0</v>
      </c>
      <c r="AC4" s="73">
        <v>0</v>
      </c>
      <c r="AD4" s="73">
        <v>18</v>
      </c>
      <c r="AE4" s="186">
        <f>SUM(AA4,AB4,AC4,AD4)</f>
        <v>19</v>
      </c>
      <c r="AF4" s="73"/>
      <c r="AG4" s="73"/>
    </row>
    <row r="5" spans="1:33">
      <c r="A5" s="69" t="s">
        <v>376</v>
      </c>
      <c r="B5" s="69">
        <f t="shared" ref="B5:I5" si="0">SUM(B3:B4)</f>
        <v>20</v>
      </c>
      <c r="C5" s="69">
        <f t="shared" si="0"/>
        <v>0</v>
      </c>
      <c r="D5" s="69">
        <f t="shared" si="0"/>
        <v>0</v>
      </c>
      <c r="E5" s="69">
        <f t="shared" si="0"/>
        <v>20</v>
      </c>
      <c r="F5" s="69">
        <f t="shared" si="0"/>
        <v>0</v>
      </c>
      <c r="G5" s="69">
        <f t="shared" si="0"/>
        <v>1</v>
      </c>
      <c r="H5" s="69">
        <f t="shared" si="0"/>
        <v>0</v>
      </c>
      <c r="I5" s="69">
        <f t="shared" si="0"/>
        <v>0</v>
      </c>
      <c r="J5" s="71">
        <f>SUM(F5:I5)</f>
        <v>1</v>
      </c>
      <c r="K5" s="114">
        <f>SUM(K3:K4)</f>
        <v>15</v>
      </c>
      <c r="L5" s="114">
        <f>SUM(L3:L4)</f>
        <v>1</v>
      </c>
      <c r="M5" s="114">
        <f>SUM(M3:M4)</f>
        <v>0</v>
      </c>
      <c r="N5" s="114">
        <f>SUM(N3:N4)</f>
        <v>2</v>
      </c>
      <c r="O5" s="114">
        <f>SUM(O3:O4)</f>
        <v>1</v>
      </c>
      <c r="P5" s="71">
        <f>SUM(K5:N5)</f>
        <v>18</v>
      </c>
      <c r="Q5" s="114">
        <f t="shared" ref="Q5:AG5" si="1">SUM(Q3:Q4)</f>
        <v>0</v>
      </c>
      <c r="R5" s="114">
        <f t="shared" si="1"/>
        <v>0</v>
      </c>
      <c r="S5" s="114">
        <f t="shared" si="1"/>
        <v>1</v>
      </c>
      <c r="T5" s="71">
        <f t="shared" si="1"/>
        <v>1</v>
      </c>
      <c r="U5" s="114">
        <f t="shared" si="1"/>
        <v>0</v>
      </c>
      <c r="V5" s="114">
        <f t="shared" si="1"/>
        <v>0</v>
      </c>
      <c r="W5" s="114">
        <f t="shared" si="1"/>
        <v>0</v>
      </c>
      <c r="X5" s="114">
        <f t="shared" si="1"/>
        <v>0</v>
      </c>
      <c r="Y5" s="114">
        <f t="shared" si="1"/>
        <v>0</v>
      </c>
      <c r="Z5" s="72">
        <f t="shared" si="1"/>
        <v>0</v>
      </c>
      <c r="AA5" s="73">
        <f t="shared" si="1"/>
        <v>2</v>
      </c>
      <c r="AB5" s="73">
        <f t="shared" si="1"/>
        <v>0</v>
      </c>
      <c r="AC5" s="73">
        <f t="shared" si="1"/>
        <v>0</v>
      </c>
      <c r="AD5" s="73">
        <f t="shared" si="1"/>
        <v>18</v>
      </c>
      <c r="AE5" s="73">
        <f t="shared" si="1"/>
        <v>20</v>
      </c>
      <c r="AF5" s="73">
        <f t="shared" si="1"/>
        <v>0</v>
      </c>
      <c r="AG5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26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defaultColWidth="14.42578125" defaultRowHeight="15" customHeight="1"/>
  <cols>
    <col min="1" max="1" width="9.140625" customWidth="1"/>
    <col min="2" max="2" width="22.42578125" customWidth="1"/>
    <col min="3" max="3" width="9.28515625" customWidth="1"/>
    <col min="5" max="5" width="18.140625" customWidth="1"/>
  </cols>
  <sheetData>
    <row r="1" spans="1:96">
      <c r="A1" s="189" t="s">
        <v>5280</v>
      </c>
      <c r="B1" s="143"/>
      <c r="C1" s="231" t="s">
        <v>5281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5282</v>
      </c>
      <c r="B4" s="46" t="s">
        <v>5283</v>
      </c>
      <c r="C4" s="46">
        <v>38</v>
      </c>
      <c r="D4" s="46" t="s">
        <v>5284</v>
      </c>
      <c r="E4" s="46" t="s">
        <v>5285</v>
      </c>
      <c r="F4" s="46" t="s">
        <v>2523</v>
      </c>
      <c r="I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18</v>
      </c>
      <c r="Y4" s="46">
        <v>18</v>
      </c>
      <c r="Z4" s="46">
        <v>5</v>
      </c>
      <c r="AA4" s="46">
        <v>5</v>
      </c>
      <c r="AB4" s="46">
        <v>5</v>
      </c>
      <c r="AC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H4" s="46">
        <v>1</v>
      </c>
      <c r="BV4" s="46">
        <v>1</v>
      </c>
      <c r="BW4" s="46">
        <v>1</v>
      </c>
      <c r="BZ4" s="46">
        <v>1</v>
      </c>
      <c r="CC4" s="46">
        <v>1</v>
      </c>
      <c r="CP4" s="46">
        <v>1</v>
      </c>
      <c r="CR4" s="134">
        <v>45839</v>
      </c>
    </row>
    <row r="5" spans="1:96">
      <c r="A5" s="46" t="s">
        <v>5286</v>
      </c>
      <c r="B5" s="46" t="s">
        <v>5287</v>
      </c>
      <c r="C5" s="46">
        <v>27</v>
      </c>
      <c r="D5" s="46" t="s">
        <v>1112</v>
      </c>
      <c r="E5" s="46" t="s">
        <v>5288</v>
      </c>
      <c r="F5" s="46" t="s">
        <v>2973</v>
      </c>
      <c r="G5" s="46">
        <v>1</v>
      </c>
      <c r="L5" s="46">
        <v>1</v>
      </c>
      <c r="Q5" s="46">
        <v>1</v>
      </c>
      <c r="U5" s="46">
        <v>1</v>
      </c>
      <c r="W5" s="46">
        <v>16</v>
      </c>
      <c r="X5" s="46">
        <v>19</v>
      </c>
      <c r="Y5" s="46">
        <v>21</v>
      </c>
      <c r="Z5" s="46">
        <v>1</v>
      </c>
      <c r="AA5" s="46">
        <v>1</v>
      </c>
      <c r="AB5" s="46">
        <v>1</v>
      </c>
      <c r="AF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H5" s="46">
        <v>1</v>
      </c>
      <c r="BV5" s="46">
        <v>1</v>
      </c>
      <c r="BW5" s="46">
        <v>1</v>
      </c>
      <c r="BZ5" s="46">
        <v>1</v>
      </c>
      <c r="CC5" s="46">
        <v>1</v>
      </c>
      <c r="CI5" s="46">
        <v>1</v>
      </c>
      <c r="CP5" s="46">
        <v>1</v>
      </c>
      <c r="CR5" s="134">
        <v>45839</v>
      </c>
    </row>
    <row r="6" spans="1:96">
      <c r="A6" s="46" t="s">
        <v>5289</v>
      </c>
      <c r="B6" s="46" t="s">
        <v>5290</v>
      </c>
      <c r="C6" s="46">
        <v>27</v>
      </c>
      <c r="D6" s="46" t="s">
        <v>5284</v>
      </c>
      <c r="E6" s="46" t="s">
        <v>5291</v>
      </c>
      <c r="F6" s="46" t="s">
        <v>2523</v>
      </c>
      <c r="I6" s="46">
        <v>1</v>
      </c>
      <c r="N6" s="46">
        <v>1</v>
      </c>
      <c r="Q6" s="46">
        <v>1</v>
      </c>
      <c r="U6" s="46">
        <v>1</v>
      </c>
      <c r="W6" s="46">
        <v>13</v>
      </c>
      <c r="X6" s="46">
        <v>13</v>
      </c>
      <c r="Y6" s="46">
        <v>14</v>
      </c>
      <c r="Z6" s="46">
        <v>3</v>
      </c>
      <c r="AA6" s="46">
        <v>3</v>
      </c>
      <c r="AB6" s="46">
        <v>3</v>
      </c>
      <c r="AF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H6" s="46">
        <v>1</v>
      </c>
      <c r="BV6" s="46">
        <v>1</v>
      </c>
      <c r="BW6" s="46">
        <v>1</v>
      </c>
      <c r="BZ6" s="46">
        <v>1</v>
      </c>
      <c r="CC6" s="46">
        <v>1</v>
      </c>
      <c r="CD6" s="46"/>
      <c r="CI6" s="46">
        <v>1</v>
      </c>
      <c r="CP6" s="46">
        <v>1</v>
      </c>
      <c r="CR6" s="134">
        <v>45839</v>
      </c>
    </row>
    <row r="7" spans="1:96">
      <c r="A7" s="46" t="s">
        <v>5292</v>
      </c>
      <c r="B7" s="46" t="s">
        <v>5293</v>
      </c>
      <c r="C7" s="46">
        <v>24</v>
      </c>
      <c r="D7" s="46" t="s">
        <v>5294</v>
      </c>
      <c r="E7" s="46" t="s">
        <v>5295</v>
      </c>
      <c r="F7" s="46" t="s">
        <v>2523</v>
      </c>
      <c r="G7" s="46">
        <v>1</v>
      </c>
      <c r="L7" s="46">
        <v>1</v>
      </c>
      <c r="Q7" s="46">
        <v>1</v>
      </c>
      <c r="T7" s="46">
        <v>1</v>
      </c>
      <c r="W7" s="46">
        <v>0</v>
      </c>
      <c r="X7" s="46">
        <v>20</v>
      </c>
      <c r="Y7" s="46">
        <v>0</v>
      </c>
      <c r="Z7" s="46">
        <v>0</v>
      </c>
      <c r="AA7" s="46">
        <v>0</v>
      </c>
      <c r="AB7" s="46">
        <v>0</v>
      </c>
      <c r="AE7" s="46">
        <v>1</v>
      </c>
      <c r="AF7" s="46">
        <v>1</v>
      </c>
      <c r="AH7" s="46">
        <v>1</v>
      </c>
      <c r="AI7" s="46">
        <v>1</v>
      </c>
      <c r="AL7" s="46">
        <v>1</v>
      </c>
      <c r="AS7" s="46">
        <v>1</v>
      </c>
      <c r="AT7" s="46">
        <v>1</v>
      </c>
      <c r="AW7" s="46">
        <v>1</v>
      </c>
      <c r="BA7" s="46">
        <v>1</v>
      </c>
      <c r="BM7" s="46" t="s">
        <v>5296</v>
      </c>
      <c r="BZ7" s="46">
        <v>1</v>
      </c>
      <c r="CC7" s="46">
        <v>1</v>
      </c>
      <c r="CI7" s="46">
        <v>1</v>
      </c>
      <c r="CP7" s="46">
        <v>1</v>
      </c>
      <c r="CR7" s="46" t="s">
        <v>46</v>
      </c>
    </row>
    <row r="8" spans="1:96">
      <c r="A8" s="46" t="s">
        <v>5297</v>
      </c>
      <c r="B8" s="46" t="s">
        <v>5298</v>
      </c>
      <c r="C8" s="46">
        <v>32</v>
      </c>
      <c r="D8" s="46" t="s">
        <v>5284</v>
      </c>
      <c r="E8" s="46" t="s">
        <v>5299</v>
      </c>
      <c r="F8" s="46" t="s">
        <v>2973</v>
      </c>
      <c r="J8" s="46">
        <v>1</v>
      </c>
      <c r="N8" s="46">
        <v>1</v>
      </c>
      <c r="R8" s="46">
        <v>1</v>
      </c>
      <c r="T8" s="46">
        <v>1</v>
      </c>
      <c r="W8" s="46">
        <v>15</v>
      </c>
      <c r="X8" s="46">
        <v>15</v>
      </c>
      <c r="Y8" s="46">
        <v>22</v>
      </c>
      <c r="Z8" s="46">
        <v>5</v>
      </c>
      <c r="AA8" s="46">
        <v>5</v>
      </c>
      <c r="AB8" s="46">
        <v>5</v>
      </c>
      <c r="AC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I8" s="46">
        <v>1</v>
      </c>
      <c r="BZ8" s="46">
        <v>1</v>
      </c>
      <c r="CC8" s="46">
        <v>1</v>
      </c>
      <c r="CI8" s="46">
        <v>1</v>
      </c>
      <c r="CP8" s="46">
        <v>1</v>
      </c>
      <c r="CR8" s="134">
        <v>46569</v>
      </c>
    </row>
    <row r="9" spans="1:96">
      <c r="A9" s="46" t="s">
        <v>5300</v>
      </c>
      <c r="B9" s="46" t="s">
        <v>5301</v>
      </c>
      <c r="C9" s="46">
        <v>24</v>
      </c>
      <c r="D9" s="46" t="s">
        <v>5284</v>
      </c>
      <c r="E9" s="46" t="s">
        <v>191</v>
      </c>
      <c r="F9" s="46" t="s">
        <v>2523</v>
      </c>
      <c r="I9" s="46">
        <v>1</v>
      </c>
      <c r="N9" s="46">
        <v>1</v>
      </c>
      <c r="Q9" s="46">
        <v>1</v>
      </c>
      <c r="U9" s="46">
        <v>1</v>
      </c>
      <c r="W9" s="46">
        <v>14</v>
      </c>
      <c r="X9" s="46">
        <v>15</v>
      </c>
      <c r="Y9" s="46">
        <v>17</v>
      </c>
      <c r="Z9" s="46">
        <v>4</v>
      </c>
      <c r="AA9" s="46">
        <v>4</v>
      </c>
      <c r="AB9" s="46">
        <v>4</v>
      </c>
      <c r="AE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M9" s="46" t="s">
        <v>5277</v>
      </c>
      <c r="BW9" s="46">
        <v>1</v>
      </c>
      <c r="BZ9" s="46">
        <v>1</v>
      </c>
      <c r="CC9" s="46">
        <v>1</v>
      </c>
      <c r="CP9" s="46">
        <v>1</v>
      </c>
      <c r="CR9" s="46" t="s">
        <v>2257</v>
      </c>
    </row>
    <row r="10" spans="1:96">
      <c r="A10" s="46" t="s">
        <v>5302</v>
      </c>
      <c r="B10" s="46" t="s">
        <v>5303</v>
      </c>
      <c r="C10" s="46">
        <v>40</v>
      </c>
      <c r="D10" s="46" t="s">
        <v>5284</v>
      </c>
      <c r="E10" s="46" t="s">
        <v>5304</v>
      </c>
      <c r="F10" s="46" t="s">
        <v>2523</v>
      </c>
      <c r="H10" s="46">
        <v>1</v>
      </c>
      <c r="N10" s="46">
        <v>1</v>
      </c>
      <c r="R10" s="46">
        <v>1</v>
      </c>
      <c r="U10" s="46">
        <v>1</v>
      </c>
      <c r="W10" s="46">
        <v>14</v>
      </c>
      <c r="X10" s="46">
        <v>16</v>
      </c>
      <c r="Y10" s="46">
        <v>20</v>
      </c>
      <c r="Z10" s="46">
        <v>4</v>
      </c>
      <c r="AA10" s="46">
        <v>4</v>
      </c>
      <c r="AB10" s="46">
        <v>4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I10" s="46">
        <v>1</v>
      </c>
      <c r="BZ10" s="46">
        <v>1</v>
      </c>
      <c r="CC10" s="46">
        <v>1</v>
      </c>
      <c r="CP10" s="46">
        <v>1</v>
      </c>
      <c r="CR10" s="134">
        <v>46569</v>
      </c>
    </row>
    <row r="11" spans="1:96">
      <c r="A11" s="46" t="s">
        <v>5305</v>
      </c>
      <c r="B11" s="46" t="s">
        <v>5306</v>
      </c>
      <c r="C11" s="46">
        <v>18</v>
      </c>
      <c r="D11" s="46" t="s">
        <v>5284</v>
      </c>
      <c r="E11" s="46" t="s">
        <v>5307</v>
      </c>
      <c r="F11" s="46" t="s">
        <v>2523</v>
      </c>
      <c r="G11" s="46">
        <v>1</v>
      </c>
      <c r="N11" s="46">
        <v>1</v>
      </c>
      <c r="Q11" s="46">
        <v>1</v>
      </c>
      <c r="T11" s="46">
        <v>1</v>
      </c>
      <c r="W11" s="46">
        <v>14</v>
      </c>
      <c r="X11" s="46">
        <v>17</v>
      </c>
      <c r="Y11" s="46">
        <v>0</v>
      </c>
      <c r="Z11" s="46">
        <v>0</v>
      </c>
      <c r="AA11" s="46">
        <v>0</v>
      </c>
      <c r="AB11" s="46">
        <v>0</v>
      </c>
      <c r="AE11" s="46">
        <v>1</v>
      </c>
      <c r="AF11" s="46">
        <v>1</v>
      </c>
      <c r="AH11" s="46">
        <v>1</v>
      </c>
      <c r="AJ11" s="46">
        <v>1</v>
      </c>
      <c r="AM11" s="46">
        <v>1</v>
      </c>
      <c r="AT11" s="46">
        <v>1</v>
      </c>
      <c r="AW11" s="46">
        <v>1</v>
      </c>
      <c r="BA11" s="46">
        <v>1</v>
      </c>
      <c r="BI11" s="46">
        <v>1</v>
      </c>
      <c r="BZ11" s="46">
        <v>1</v>
      </c>
      <c r="CC11" s="46">
        <v>1</v>
      </c>
      <c r="CP11" s="46">
        <v>1</v>
      </c>
      <c r="CR11" s="134">
        <v>46569</v>
      </c>
    </row>
    <row r="12" spans="1:96">
      <c r="A12" s="46" t="s">
        <v>5308</v>
      </c>
      <c r="B12" s="46" t="s">
        <v>5309</v>
      </c>
      <c r="C12" s="46">
        <v>27</v>
      </c>
      <c r="D12" s="46" t="s">
        <v>5310</v>
      </c>
      <c r="E12" s="46" t="s">
        <v>5311</v>
      </c>
      <c r="F12" s="46" t="s">
        <v>2506</v>
      </c>
      <c r="I12" s="46">
        <v>1</v>
      </c>
      <c r="N12" s="46">
        <v>1</v>
      </c>
      <c r="R12" s="46">
        <v>1</v>
      </c>
      <c r="T12" s="46">
        <v>1</v>
      </c>
      <c r="W12" s="46">
        <v>15</v>
      </c>
      <c r="X12" s="46">
        <v>16</v>
      </c>
      <c r="Y12" s="46">
        <v>17</v>
      </c>
      <c r="Z12" s="46">
        <v>3</v>
      </c>
      <c r="AA12" s="46">
        <v>3</v>
      </c>
      <c r="AB12" s="46">
        <v>3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Z12" s="46">
        <v>1</v>
      </c>
      <c r="CC12" s="46">
        <v>1</v>
      </c>
      <c r="CP12" s="46">
        <v>1</v>
      </c>
      <c r="CR12" s="134">
        <v>46569</v>
      </c>
    </row>
    <row r="13" spans="1:96">
      <c r="A13" s="46" t="s">
        <v>5312</v>
      </c>
      <c r="B13" s="46" t="s">
        <v>5313</v>
      </c>
      <c r="C13" s="46">
        <v>38</v>
      </c>
      <c r="D13" s="46" t="s">
        <v>5284</v>
      </c>
      <c r="E13" s="46" t="s">
        <v>191</v>
      </c>
      <c r="F13" s="46" t="s">
        <v>2523</v>
      </c>
      <c r="I13" s="46">
        <v>1</v>
      </c>
      <c r="M13" s="46">
        <v>1</v>
      </c>
      <c r="Q13" s="46">
        <v>1</v>
      </c>
      <c r="S13" s="46">
        <v>1</v>
      </c>
      <c r="W13" s="46">
        <v>14</v>
      </c>
      <c r="X13" s="46">
        <v>16</v>
      </c>
      <c r="Y13" s="46">
        <v>18</v>
      </c>
      <c r="Z13" s="46">
        <v>9</v>
      </c>
      <c r="AA13" s="46">
        <v>10</v>
      </c>
      <c r="AB13" s="46">
        <v>8</v>
      </c>
      <c r="AE13" s="46">
        <v>1</v>
      </c>
      <c r="AF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P13" s="46">
        <v>1</v>
      </c>
      <c r="CR13" s="134">
        <v>46569</v>
      </c>
    </row>
    <row r="14" spans="1:96">
      <c r="A14" s="46" t="s">
        <v>5314</v>
      </c>
      <c r="B14" s="46" t="s">
        <v>5315</v>
      </c>
      <c r="C14" s="46">
        <v>20</v>
      </c>
      <c r="D14" s="46" t="s">
        <v>5284</v>
      </c>
      <c r="E14" s="46" t="s">
        <v>5316</v>
      </c>
      <c r="F14" s="46" t="s">
        <v>2523</v>
      </c>
      <c r="G14" s="46">
        <v>1</v>
      </c>
      <c r="N14" s="46">
        <v>1</v>
      </c>
      <c r="Q14" s="46">
        <v>1</v>
      </c>
      <c r="T14" s="46">
        <v>1</v>
      </c>
      <c r="W14" s="46">
        <v>15</v>
      </c>
      <c r="X14" s="46">
        <v>18</v>
      </c>
      <c r="Y14" s="46">
        <v>19</v>
      </c>
      <c r="Z14" s="46">
        <v>1</v>
      </c>
      <c r="AA14" s="46">
        <v>1</v>
      </c>
      <c r="AB14" s="46">
        <v>1</v>
      </c>
      <c r="AF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C14" s="46">
        <v>1</v>
      </c>
      <c r="CP14" s="46">
        <v>1</v>
      </c>
      <c r="CR14" s="134">
        <v>46569</v>
      </c>
    </row>
    <row r="15" spans="1:96">
      <c r="A15" s="46" t="s">
        <v>5317</v>
      </c>
      <c r="B15" s="46" t="s">
        <v>5318</v>
      </c>
      <c r="C15" s="46">
        <v>42</v>
      </c>
      <c r="D15" s="46" t="s">
        <v>5284</v>
      </c>
      <c r="E15" s="46" t="s">
        <v>5319</v>
      </c>
      <c r="F15" s="46" t="s">
        <v>2523</v>
      </c>
      <c r="H15" s="46">
        <v>1</v>
      </c>
      <c r="O15" s="46">
        <v>1</v>
      </c>
      <c r="R15" s="46">
        <v>1</v>
      </c>
      <c r="U15" s="46">
        <v>1</v>
      </c>
      <c r="W15" s="46">
        <v>17</v>
      </c>
      <c r="X15" s="46">
        <v>17</v>
      </c>
      <c r="Y15" s="46">
        <v>18</v>
      </c>
      <c r="Z15" s="46">
        <v>5</v>
      </c>
      <c r="AA15" s="46">
        <v>6</v>
      </c>
      <c r="AB15" s="46">
        <v>6</v>
      </c>
      <c r="AC15" s="46">
        <v>1</v>
      </c>
      <c r="AJ15" s="46">
        <v>1</v>
      </c>
      <c r="AL15" s="46">
        <v>1</v>
      </c>
      <c r="AO15" s="46">
        <v>1</v>
      </c>
      <c r="AQ15" s="46" t="s">
        <v>2954</v>
      </c>
      <c r="AR15" s="46">
        <v>2023</v>
      </c>
      <c r="AT15" s="46">
        <v>1</v>
      </c>
      <c r="AW15" s="46">
        <v>1</v>
      </c>
      <c r="BB15" s="46">
        <v>1</v>
      </c>
      <c r="BF15" s="46">
        <v>1</v>
      </c>
      <c r="BI15" s="46">
        <v>1</v>
      </c>
      <c r="BZ15" s="46">
        <v>1</v>
      </c>
      <c r="CC15" s="46">
        <v>1</v>
      </c>
      <c r="CP15" s="46">
        <v>1</v>
      </c>
      <c r="CR15" s="134">
        <v>46569</v>
      </c>
    </row>
    <row r="16" spans="1:96">
      <c r="A16" s="46" t="s">
        <v>5320</v>
      </c>
      <c r="B16" s="46" t="s">
        <v>5321</v>
      </c>
      <c r="C16" s="46">
        <v>45</v>
      </c>
      <c r="D16" s="46" t="s">
        <v>5284</v>
      </c>
      <c r="E16" s="46" t="s">
        <v>191</v>
      </c>
      <c r="F16" s="46" t="s">
        <v>2472</v>
      </c>
      <c r="H16" s="46">
        <v>1</v>
      </c>
      <c r="N16" s="46">
        <v>1</v>
      </c>
      <c r="R16" s="46">
        <v>1</v>
      </c>
      <c r="S16" s="46">
        <v>1</v>
      </c>
      <c r="W16" s="46">
        <v>18</v>
      </c>
      <c r="X16" s="46">
        <v>20</v>
      </c>
      <c r="Y16" s="46">
        <v>24</v>
      </c>
      <c r="Z16" s="46">
        <v>5</v>
      </c>
      <c r="AA16" s="46">
        <v>5</v>
      </c>
      <c r="AB16" s="46">
        <v>5</v>
      </c>
      <c r="AC16" s="46">
        <v>1</v>
      </c>
      <c r="AI16" s="46">
        <v>1</v>
      </c>
      <c r="AK16" s="46">
        <v>1</v>
      </c>
      <c r="AT16" s="46">
        <v>1</v>
      </c>
      <c r="AW16" s="46">
        <v>1</v>
      </c>
      <c r="BB16" s="46">
        <v>1</v>
      </c>
      <c r="BF16" s="46">
        <v>1</v>
      </c>
      <c r="BI16" s="46">
        <v>1</v>
      </c>
      <c r="BW16" s="46">
        <v>1</v>
      </c>
      <c r="BZ16" s="46">
        <v>1</v>
      </c>
      <c r="CC16" s="46">
        <v>1</v>
      </c>
      <c r="CP16" s="46">
        <v>1</v>
      </c>
      <c r="CR16" s="134">
        <v>46569</v>
      </c>
    </row>
    <row r="17" spans="1:96">
      <c r="A17" s="46" t="s">
        <v>5322</v>
      </c>
      <c r="B17" s="46" t="s">
        <v>5323</v>
      </c>
      <c r="C17" s="46">
        <v>33</v>
      </c>
      <c r="D17" s="46" t="s">
        <v>5324</v>
      </c>
      <c r="E17" s="46" t="s">
        <v>5325</v>
      </c>
      <c r="F17" s="46" t="s">
        <v>2472</v>
      </c>
      <c r="H17" s="46">
        <v>1</v>
      </c>
      <c r="N17" s="46">
        <v>1</v>
      </c>
      <c r="Q17" s="46">
        <v>1</v>
      </c>
      <c r="T17" s="46">
        <v>1</v>
      </c>
      <c r="W17" s="46">
        <v>14</v>
      </c>
      <c r="X17" s="46">
        <v>17</v>
      </c>
      <c r="Y17" s="46">
        <v>18</v>
      </c>
      <c r="Z17" s="46">
        <v>6</v>
      </c>
      <c r="AA17" s="46">
        <v>6</v>
      </c>
      <c r="AB17" s="46">
        <v>6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B17" s="46">
        <v>1</v>
      </c>
      <c r="BF17" s="46">
        <v>1</v>
      </c>
      <c r="BI17" s="46">
        <v>1</v>
      </c>
      <c r="BZ17" s="46">
        <v>1</v>
      </c>
      <c r="CC17" s="46">
        <v>1</v>
      </c>
      <c r="CP17" s="46">
        <v>1</v>
      </c>
      <c r="CR17" s="134">
        <v>46569</v>
      </c>
    </row>
    <row r="18" spans="1:96">
      <c r="A18" s="46" t="s">
        <v>5326</v>
      </c>
      <c r="B18" s="46" t="s">
        <v>5327</v>
      </c>
      <c r="C18" s="46">
        <v>26</v>
      </c>
      <c r="D18" s="46" t="s">
        <v>5284</v>
      </c>
      <c r="E18" s="46" t="s">
        <v>5328</v>
      </c>
      <c r="F18" s="46" t="s">
        <v>2675</v>
      </c>
      <c r="J18" s="46">
        <v>1</v>
      </c>
      <c r="N18" s="46">
        <v>1</v>
      </c>
      <c r="Q18" s="46">
        <v>1</v>
      </c>
      <c r="U18" s="46">
        <v>1</v>
      </c>
      <c r="W18" s="46">
        <v>15</v>
      </c>
      <c r="X18" s="46">
        <v>17</v>
      </c>
      <c r="Y18" s="46">
        <v>21</v>
      </c>
      <c r="Z18" s="46">
        <v>2</v>
      </c>
      <c r="AA18" s="46">
        <v>2</v>
      </c>
      <c r="AB18" s="46">
        <v>2</v>
      </c>
      <c r="AF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P18" s="46">
        <v>1</v>
      </c>
      <c r="CR18" s="134">
        <v>46569</v>
      </c>
    </row>
    <row r="19" spans="1:96">
      <c r="A19" s="46" t="s">
        <v>5329</v>
      </c>
      <c r="B19" s="46" t="s">
        <v>5330</v>
      </c>
      <c r="C19" s="46">
        <v>27</v>
      </c>
      <c r="D19" s="46" t="s">
        <v>5284</v>
      </c>
      <c r="E19" s="46" t="s">
        <v>5331</v>
      </c>
      <c r="F19" s="46" t="s">
        <v>2472</v>
      </c>
      <c r="I19" s="46">
        <v>1</v>
      </c>
      <c r="N19" s="46">
        <v>1</v>
      </c>
      <c r="Q19" s="46">
        <v>1</v>
      </c>
      <c r="U19" s="46">
        <v>1</v>
      </c>
      <c r="W19" s="46">
        <v>14</v>
      </c>
      <c r="X19" s="46">
        <v>15</v>
      </c>
      <c r="Y19" s="46">
        <v>16</v>
      </c>
      <c r="Z19" s="46">
        <v>3</v>
      </c>
      <c r="AA19" s="46">
        <v>3</v>
      </c>
      <c r="AB19" s="46">
        <v>3</v>
      </c>
      <c r="AE19" s="46">
        <v>1</v>
      </c>
      <c r="AJ19" s="46">
        <v>1</v>
      </c>
      <c r="AK19" s="46">
        <v>1</v>
      </c>
      <c r="AT19" s="46">
        <v>1</v>
      </c>
      <c r="AX19" s="46">
        <v>1</v>
      </c>
      <c r="BA19" s="46">
        <v>1</v>
      </c>
      <c r="BI19" s="46">
        <v>1</v>
      </c>
      <c r="BW19" s="46">
        <v>1</v>
      </c>
      <c r="BZ19" s="46">
        <v>1</v>
      </c>
      <c r="CC19" s="46">
        <v>1</v>
      </c>
      <c r="CI19" s="46">
        <v>1</v>
      </c>
      <c r="CP19" s="46">
        <v>1</v>
      </c>
      <c r="CR19" s="134">
        <v>46569</v>
      </c>
    </row>
    <row r="20" spans="1:96">
      <c r="A20" s="46" t="s">
        <v>5332</v>
      </c>
      <c r="B20" s="46" t="s">
        <v>5333</v>
      </c>
      <c r="C20" s="46">
        <v>20</v>
      </c>
      <c r="D20" s="46" t="s">
        <v>5284</v>
      </c>
      <c r="E20" s="46" t="s">
        <v>5334</v>
      </c>
      <c r="F20" s="46" t="s">
        <v>2675</v>
      </c>
      <c r="I20" s="46">
        <v>1</v>
      </c>
      <c r="N20" s="46">
        <v>1</v>
      </c>
      <c r="Q20" s="46">
        <v>1</v>
      </c>
      <c r="U20" s="46">
        <v>1</v>
      </c>
      <c r="W20" s="46">
        <v>13</v>
      </c>
      <c r="X20" s="46">
        <v>15</v>
      </c>
      <c r="Y20" s="46">
        <v>19</v>
      </c>
      <c r="Z20" s="46">
        <v>1</v>
      </c>
      <c r="AA20" s="46">
        <v>1</v>
      </c>
      <c r="AB20" s="46">
        <v>1</v>
      </c>
      <c r="AF20" s="46">
        <v>1</v>
      </c>
      <c r="AH20" s="46">
        <v>1</v>
      </c>
      <c r="AJ20" s="46">
        <v>1</v>
      </c>
      <c r="AK20" s="46">
        <v>1</v>
      </c>
      <c r="AT20" s="46">
        <v>1</v>
      </c>
      <c r="AZ20" s="46">
        <v>1</v>
      </c>
      <c r="BA20" s="46">
        <v>1</v>
      </c>
      <c r="BI20" s="46">
        <v>1</v>
      </c>
      <c r="BZ20" s="46">
        <v>1</v>
      </c>
      <c r="CC20" s="46">
        <v>1</v>
      </c>
      <c r="CI20" s="46">
        <v>1</v>
      </c>
      <c r="CP20" s="46">
        <v>1</v>
      </c>
      <c r="CR20" s="134">
        <v>46569</v>
      </c>
    </row>
    <row r="21" spans="1:96">
      <c r="A21" s="46" t="s">
        <v>5335</v>
      </c>
      <c r="B21" s="46" t="s">
        <v>4758</v>
      </c>
      <c r="C21" s="46">
        <v>37</v>
      </c>
      <c r="D21" s="46" t="s">
        <v>5284</v>
      </c>
      <c r="E21" s="46" t="s">
        <v>5336</v>
      </c>
      <c r="F21" s="46" t="s">
        <v>2472</v>
      </c>
      <c r="H21" s="46">
        <v>1</v>
      </c>
      <c r="N21" s="46">
        <v>1</v>
      </c>
      <c r="Q21" s="46">
        <v>1</v>
      </c>
      <c r="T21" s="46">
        <v>1</v>
      </c>
      <c r="W21" s="46">
        <v>17</v>
      </c>
      <c r="X21" s="46">
        <v>18</v>
      </c>
      <c r="Y21" s="46">
        <v>18</v>
      </c>
      <c r="Z21" s="46">
        <v>3</v>
      </c>
      <c r="AA21" s="46">
        <v>3</v>
      </c>
      <c r="AB21" s="46">
        <v>2</v>
      </c>
      <c r="AD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I21" s="46">
        <v>1</v>
      </c>
      <c r="BZ21" s="46">
        <v>1</v>
      </c>
      <c r="CC21" s="46">
        <v>1</v>
      </c>
      <c r="CI21" s="46">
        <v>1</v>
      </c>
      <c r="CP21" s="46">
        <v>1</v>
      </c>
      <c r="CR21" s="134">
        <v>46569</v>
      </c>
    </row>
    <row r="22" spans="1:96">
      <c r="A22" s="46" t="s">
        <v>5337</v>
      </c>
      <c r="B22" s="46" t="s">
        <v>5338</v>
      </c>
      <c r="C22" s="46">
        <v>28</v>
      </c>
      <c r="D22" s="46" t="s">
        <v>5284</v>
      </c>
      <c r="E22" s="46" t="s">
        <v>5339</v>
      </c>
      <c r="F22" s="46" t="s">
        <v>2472</v>
      </c>
      <c r="G22" s="46">
        <v>1</v>
      </c>
      <c r="N22" s="46">
        <v>1</v>
      </c>
      <c r="Q22" s="46">
        <v>1</v>
      </c>
      <c r="U22" s="46">
        <v>1</v>
      </c>
      <c r="W22" s="46">
        <v>13</v>
      </c>
      <c r="X22" s="46">
        <v>15</v>
      </c>
      <c r="Y22" s="46">
        <v>15</v>
      </c>
      <c r="Z22" s="46">
        <v>2</v>
      </c>
      <c r="AA22" s="46">
        <v>2</v>
      </c>
      <c r="AB22" s="46">
        <v>2</v>
      </c>
      <c r="AH22" s="46">
        <v>1</v>
      </c>
      <c r="AJ22" s="46">
        <v>1</v>
      </c>
      <c r="AK22" s="46">
        <v>1</v>
      </c>
      <c r="AT22" s="46">
        <v>1</v>
      </c>
      <c r="AY22" s="46">
        <v>1</v>
      </c>
      <c r="BA22" s="46">
        <v>1</v>
      </c>
      <c r="BI22" s="46">
        <v>1</v>
      </c>
      <c r="BZ22" s="46">
        <v>1</v>
      </c>
      <c r="CC22" s="46">
        <v>1</v>
      </c>
      <c r="CI22" s="46">
        <v>1</v>
      </c>
      <c r="CP22" s="46">
        <v>1</v>
      </c>
      <c r="CR22" s="134">
        <v>46569</v>
      </c>
    </row>
    <row r="23" spans="1:96">
      <c r="A23" s="46" t="s">
        <v>5340</v>
      </c>
      <c r="B23" s="46" t="s">
        <v>5341</v>
      </c>
      <c r="C23" s="46">
        <v>34</v>
      </c>
      <c r="D23" s="46" t="s">
        <v>5284</v>
      </c>
      <c r="E23" s="46" t="s">
        <v>5342</v>
      </c>
      <c r="F23" s="46" t="s">
        <v>2523</v>
      </c>
      <c r="G23" s="46">
        <v>1</v>
      </c>
      <c r="N23" s="46">
        <v>1</v>
      </c>
      <c r="Q23" s="46">
        <v>1</v>
      </c>
      <c r="T23" s="46">
        <v>1</v>
      </c>
      <c r="W23" s="46">
        <v>18</v>
      </c>
      <c r="X23" s="46">
        <v>22</v>
      </c>
      <c r="Y23" s="46">
        <v>22</v>
      </c>
      <c r="Z23" s="46">
        <v>6</v>
      </c>
      <c r="AA23" s="46">
        <v>6</v>
      </c>
      <c r="AB23" s="46">
        <v>6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R23" s="134">
        <v>46569</v>
      </c>
    </row>
    <row r="24" spans="1:96">
      <c r="A24" s="46" t="s">
        <v>5343</v>
      </c>
      <c r="B24" s="46" t="s">
        <v>5344</v>
      </c>
      <c r="C24" s="46">
        <v>41</v>
      </c>
      <c r="D24" s="46" t="s">
        <v>5284</v>
      </c>
      <c r="E24" s="46" t="s">
        <v>5345</v>
      </c>
      <c r="F24" s="46" t="s">
        <v>2523</v>
      </c>
      <c r="H24" s="46">
        <v>1</v>
      </c>
      <c r="M24" s="46">
        <v>1</v>
      </c>
      <c r="Q24" s="46">
        <v>1</v>
      </c>
      <c r="U24" s="46">
        <v>1</v>
      </c>
      <c r="W24" s="46">
        <v>15</v>
      </c>
      <c r="X24" s="46">
        <v>24</v>
      </c>
      <c r="Y24" s="46">
        <v>29</v>
      </c>
      <c r="Z24" s="46">
        <v>2</v>
      </c>
      <c r="AA24" s="46">
        <v>2</v>
      </c>
      <c r="AB24" s="46">
        <v>1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Z24" s="46">
        <v>1</v>
      </c>
      <c r="CC24" s="46">
        <v>1</v>
      </c>
      <c r="CI24" s="46">
        <v>1</v>
      </c>
      <c r="CL24" s="46" t="s">
        <v>5346</v>
      </c>
      <c r="CP24" s="46">
        <v>1</v>
      </c>
      <c r="CR24" s="134">
        <v>46569</v>
      </c>
    </row>
    <row r="25" spans="1:96">
      <c r="A25" s="46" t="s">
        <v>5347</v>
      </c>
      <c r="B25" s="46" t="s">
        <v>5348</v>
      </c>
      <c r="C25" s="46">
        <v>22</v>
      </c>
      <c r="D25" s="46" t="s">
        <v>5284</v>
      </c>
      <c r="E25" s="46" t="s">
        <v>5349</v>
      </c>
      <c r="F25" s="46" t="s">
        <v>2484</v>
      </c>
      <c r="I25" s="46">
        <v>1</v>
      </c>
      <c r="N25" s="46">
        <v>1</v>
      </c>
      <c r="Q25" s="46">
        <v>1</v>
      </c>
      <c r="U25" s="46">
        <v>1</v>
      </c>
      <c r="W25" s="46">
        <v>14</v>
      </c>
      <c r="X25" s="46">
        <v>15</v>
      </c>
      <c r="Y25" s="46">
        <v>16</v>
      </c>
      <c r="Z25" s="46">
        <v>2</v>
      </c>
      <c r="AA25" s="46">
        <v>2</v>
      </c>
      <c r="AB25" s="46">
        <v>2</v>
      </c>
      <c r="AC25" s="46">
        <v>1</v>
      </c>
      <c r="AJ25" s="46">
        <v>1</v>
      </c>
      <c r="AK25" s="46">
        <v>1</v>
      </c>
      <c r="AT25" s="46">
        <v>1</v>
      </c>
      <c r="AX25" s="46">
        <v>1</v>
      </c>
      <c r="BA25" s="46">
        <v>1</v>
      </c>
      <c r="BI25" s="46">
        <v>1</v>
      </c>
      <c r="BW25" s="46">
        <v>1</v>
      </c>
      <c r="BZ25" s="46">
        <v>1</v>
      </c>
      <c r="CC25" s="46">
        <v>1</v>
      </c>
      <c r="CI25" s="46">
        <v>1</v>
      </c>
      <c r="CP25" s="46">
        <v>1</v>
      </c>
      <c r="CR25" s="134">
        <v>46569</v>
      </c>
    </row>
    <row r="26" spans="1:96">
      <c r="A26" s="46" t="s">
        <v>5350</v>
      </c>
      <c r="B26" s="46" t="s">
        <v>5351</v>
      </c>
      <c r="C26" s="46">
        <v>21</v>
      </c>
      <c r="D26" s="46" t="s">
        <v>5284</v>
      </c>
      <c r="E26" s="46" t="s">
        <v>191</v>
      </c>
      <c r="F26" s="46" t="s">
        <v>2523</v>
      </c>
      <c r="G26" s="46">
        <v>1</v>
      </c>
      <c r="N26" s="46">
        <v>1</v>
      </c>
      <c r="Q26" s="46">
        <v>1</v>
      </c>
      <c r="U26" s="46">
        <v>1</v>
      </c>
      <c r="W26" s="46">
        <v>17</v>
      </c>
      <c r="X26" s="46">
        <v>19</v>
      </c>
      <c r="Y26" s="46">
        <v>20</v>
      </c>
      <c r="Z26" s="46">
        <v>1</v>
      </c>
      <c r="AA26" s="46">
        <v>1</v>
      </c>
      <c r="AB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Z26" s="46">
        <v>1</v>
      </c>
      <c r="CC26" s="46">
        <v>1</v>
      </c>
      <c r="CI26" s="46">
        <v>1</v>
      </c>
      <c r="CP26" s="46">
        <v>1</v>
      </c>
      <c r="CR26" s="134">
        <v>46569</v>
      </c>
    </row>
  </sheetData>
  <autoFilter ref="A3:CR26"/>
  <mergeCells count="1">
    <mergeCell ref="AV1:AZ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7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0</v>
      </c>
      <c r="C3" s="69">
        <v>0</v>
      </c>
      <c r="D3" s="69">
        <v>1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1</v>
      </c>
      <c r="P3" s="71">
        <f>SUM(K3:O3)</f>
        <v>1</v>
      </c>
      <c r="Q3" s="70">
        <v>0</v>
      </c>
      <c r="R3" s="70">
        <v>0</v>
      </c>
      <c r="S3" s="70">
        <v>0</v>
      </c>
      <c r="T3" s="71">
        <f>SUM(Q3:S3)</f>
        <v>0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0</v>
      </c>
      <c r="AC3" s="73">
        <v>0</v>
      </c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4" t="s">
        <v>3725</v>
      </c>
      <c r="B4" s="69">
        <v>11</v>
      </c>
      <c r="C4" s="69">
        <v>1</v>
      </c>
      <c r="D4" s="69">
        <v>0</v>
      </c>
      <c r="E4" s="69">
        <f>SUM(B4:D4)</f>
        <v>12</v>
      </c>
      <c r="F4" s="70">
        <v>2</v>
      </c>
      <c r="G4" s="70">
        <v>8</v>
      </c>
      <c r="H4" s="70">
        <v>0</v>
      </c>
      <c r="I4" s="70">
        <v>0</v>
      </c>
      <c r="J4" s="71">
        <f>SUM(F4:I4)</f>
        <v>10</v>
      </c>
      <c r="K4" s="70">
        <v>0</v>
      </c>
      <c r="L4" s="70">
        <v>0</v>
      </c>
      <c r="M4" s="70">
        <v>0</v>
      </c>
      <c r="N4" s="70">
        <v>0</v>
      </c>
      <c r="O4" s="70">
        <v>1</v>
      </c>
      <c r="P4" s="71">
        <f>SUM(K4:O4)</f>
        <v>1</v>
      </c>
      <c r="Q4" s="70">
        <v>2</v>
      </c>
      <c r="R4" s="70">
        <v>0</v>
      </c>
      <c r="S4" s="70">
        <v>5</v>
      </c>
      <c r="T4" s="71">
        <f>SUM(Q4:S4)</f>
        <v>7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9</v>
      </c>
      <c r="AB4" s="73">
        <v>0</v>
      </c>
      <c r="AC4" s="73">
        <v>0</v>
      </c>
      <c r="AD4" s="73">
        <v>3</v>
      </c>
      <c r="AE4" s="186">
        <f>SUM(AA4,AB4,AC4,AD4)</f>
        <v>12</v>
      </c>
      <c r="AF4" s="73">
        <v>0</v>
      </c>
      <c r="AG4" s="73">
        <v>0</v>
      </c>
    </row>
    <row r="5" spans="1:33">
      <c r="A5" s="77" t="s">
        <v>3842</v>
      </c>
      <c r="B5" s="69">
        <v>7</v>
      </c>
      <c r="C5" s="69">
        <v>0</v>
      </c>
      <c r="D5" s="69">
        <v>0</v>
      </c>
      <c r="E5" s="69">
        <f>SUM(B5:D5)</f>
        <v>7</v>
      </c>
      <c r="F5" s="70">
        <v>1</v>
      </c>
      <c r="G5" s="70">
        <v>6</v>
      </c>
      <c r="H5" s="70">
        <v>0</v>
      </c>
      <c r="I5" s="70">
        <v>0</v>
      </c>
      <c r="J5" s="71">
        <f>SUM(F5:I5)</f>
        <v>7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1</v>
      </c>
      <c r="R5" s="70">
        <v>0</v>
      </c>
      <c r="S5" s="70">
        <v>1</v>
      </c>
      <c r="T5" s="71">
        <f>SUM(Q5:S5)</f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3</v>
      </c>
      <c r="AB5" s="73">
        <v>0</v>
      </c>
      <c r="AC5" s="73">
        <v>0</v>
      </c>
      <c r="AD5" s="73">
        <v>4</v>
      </c>
      <c r="AE5" s="186">
        <f>SUM(AA5,AB5,AC5,AD5)</f>
        <v>7</v>
      </c>
      <c r="AF5" s="73">
        <v>0</v>
      </c>
      <c r="AG5" s="73">
        <v>0</v>
      </c>
    </row>
    <row r="6" spans="1:33">
      <c r="A6" s="77" t="s">
        <v>5352</v>
      </c>
      <c r="B6" s="69">
        <v>2</v>
      </c>
      <c r="C6" s="69">
        <v>1</v>
      </c>
      <c r="D6" s="69">
        <v>0</v>
      </c>
      <c r="E6" s="69">
        <f>SUM(B6:D6)</f>
        <v>3</v>
      </c>
      <c r="F6" s="70">
        <v>0</v>
      </c>
      <c r="G6" s="70">
        <v>3</v>
      </c>
      <c r="H6" s="70">
        <v>0</v>
      </c>
      <c r="I6" s="70">
        <v>0</v>
      </c>
      <c r="J6" s="71">
        <f>SUM(F6:I6)</f>
        <v>3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1">
        <f>SUM(K6:O6)</f>
        <v>0</v>
      </c>
      <c r="Q6" s="70">
        <v>0</v>
      </c>
      <c r="R6" s="70">
        <v>0</v>
      </c>
      <c r="S6" s="70">
        <v>1</v>
      </c>
      <c r="T6" s="71">
        <f>SUM(Q6:S6)</f>
        <v>1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</v>
      </c>
      <c r="AB6" s="73">
        <v>0</v>
      </c>
      <c r="AC6" s="73">
        <v>0</v>
      </c>
      <c r="AD6" s="73">
        <v>2</v>
      </c>
      <c r="AE6" s="186">
        <f>SUM(AA6,AB6,AC6,AD6)</f>
        <v>3</v>
      </c>
      <c r="AF6" s="73">
        <v>0</v>
      </c>
      <c r="AG6" s="73">
        <v>0</v>
      </c>
    </row>
    <row r="7" spans="1:33">
      <c r="A7" s="69" t="s">
        <v>376</v>
      </c>
      <c r="B7" s="69">
        <f t="shared" ref="B7:I7" si="0">SUM(B3:B6)</f>
        <v>20</v>
      </c>
      <c r="C7" s="69">
        <f t="shared" si="0"/>
        <v>2</v>
      </c>
      <c r="D7" s="69">
        <f t="shared" si="0"/>
        <v>1</v>
      </c>
      <c r="E7" s="69">
        <f t="shared" si="0"/>
        <v>23</v>
      </c>
      <c r="F7" s="69">
        <f t="shared" si="0"/>
        <v>3</v>
      </c>
      <c r="G7" s="69">
        <f t="shared" si="0"/>
        <v>18</v>
      </c>
      <c r="H7" s="69">
        <f t="shared" si="0"/>
        <v>0</v>
      </c>
      <c r="I7" s="69">
        <f t="shared" si="0"/>
        <v>0</v>
      </c>
      <c r="J7" s="71">
        <f>SUM(F7:I7)</f>
        <v>21</v>
      </c>
      <c r="K7" s="114">
        <f>SUM(K3:K6)</f>
        <v>0</v>
      </c>
      <c r="L7" s="114">
        <f>SUM(L3:L6)</f>
        <v>0</v>
      </c>
      <c r="M7" s="114">
        <f>SUM(M3:M6)</f>
        <v>0</v>
      </c>
      <c r="N7" s="114">
        <f>SUM(N3:N6)</f>
        <v>0</v>
      </c>
      <c r="O7" s="114">
        <f>SUM(O3:O6)</f>
        <v>2</v>
      </c>
      <c r="P7" s="71">
        <f>SUM(K7:N7)</f>
        <v>0</v>
      </c>
      <c r="Q7" s="114">
        <f t="shared" ref="Q7:AG7" si="1">SUM(Q3:Q6)</f>
        <v>3</v>
      </c>
      <c r="R7" s="114">
        <f t="shared" si="1"/>
        <v>0</v>
      </c>
      <c r="S7" s="114">
        <f t="shared" si="1"/>
        <v>7</v>
      </c>
      <c r="T7" s="71">
        <f t="shared" si="1"/>
        <v>10</v>
      </c>
      <c r="U7" s="114">
        <f t="shared" si="1"/>
        <v>0</v>
      </c>
      <c r="V7" s="114">
        <f t="shared" si="1"/>
        <v>0</v>
      </c>
      <c r="W7" s="114">
        <f t="shared" si="1"/>
        <v>0</v>
      </c>
      <c r="X7" s="114">
        <f t="shared" si="1"/>
        <v>0</v>
      </c>
      <c r="Y7" s="114">
        <f t="shared" si="1"/>
        <v>0</v>
      </c>
      <c r="Z7" s="114">
        <f t="shared" si="1"/>
        <v>0</v>
      </c>
      <c r="AA7" s="73">
        <f t="shared" si="1"/>
        <v>13</v>
      </c>
      <c r="AB7" s="73">
        <f t="shared" si="1"/>
        <v>0</v>
      </c>
      <c r="AC7" s="73">
        <f t="shared" si="1"/>
        <v>0</v>
      </c>
      <c r="AD7" s="73">
        <f t="shared" si="1"/>
        <v>10</v>
      </c>
      <c r="AE7" s="73">
        <f t="shared" si="1"/>
        <v>23</v>
      </c>
      <c r="AF7" s="73">
        <f t="shared" si="1"/>
        <v>0</v>
      </c>
      <c r="AG7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8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9" customWidth="1"/>
    <col min="2" max="2" width="19.5703125" customWidth="1"/>
    <col min="3" max="3" width="9.85546875" customWidth="1"/>
    <col min="4" max="4" width="16.28515625" customWidth="1"/>
    <col min="5" max="5" width="25.28515625" customWidth="1"/>
  </cols>
  <sheetData>
    <row r="1" spans="1:96">
      <c r="A1" s="189" t="s">
        <v>5353</v>
      </c>
      <c r="B1" s="143"/>
      <c r="C1" s="231" t="s">
        <v>5354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5355</v>
      </c>
      <c r="B4" s="46" t="s">
        <v>5356</v>
      </c>
      <c r="C4" s="46">
        <v>39</v>
      </c>
      <c r="D4" s="46" t="s">
        <v>5357</v>
      </c>
      <c r="E4" s="46" t="s">
        <v>5358</v>
      </c>
      <c r="F4" s="46" t="s">
        <v>2472</v>
      </c>
      <c r="I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15</v>
      </c>
      <c r="Y4" s="46">
        <v>16</v>
      </c>
      <c r="Z4" s="46">
        <v>6</v>
      </c>
      <c r="AA4" s="46">
        <v>5</v>
      </c>
      <c r="AB4" s="46">
        <v>5</v>
      </c>
      <c r="AD4" s="46">
        <v>1</v>
      </c>
      <c r="AE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K4" s="46">
        <v>1</v>
      </c>
      <c r="BN4" s="46">
        <v>1</v>
      </c>
      <c r="BO4" s="46" t="s">
        <v>952</v>
      </c>
      <c r="BW4" s="46">
        <v>1</v>
      </c>
      <c r="BZ4" s="46">
        <v>1</v>
      </c>
      <c r="CC4" s="46">
        <v>1</v>
      </c>
      <c r="CI4" s="46">
        <v>1</v>
      </c>
      <c r="CP4" s="46">
        <v>1</v>
      </c>
      <c r="CR4" s="46" t="s">
        <v>5359</v>
      </c>
    </row>
    <row r="5" spans="1:96">
      <c r="A5" s="46" t="s">
        <v>5360</v>
      </c>
      <c r="B5" s="46" t="s">
        <v>5361</v>
      </c>
      <c r="C5" s="46">
        <v>41</v>
      </c>
      <c r="D5" s="46" t="s">
        <v>5362</v>
      </c>
      <c r="E5" s="46" t="s">
        <v>5363</v>
      </c>
      <c r="F5" s="46" t="s">
        <v>2472</v>
      </c>
      <c r="I5" s="46">
        <v>1</v>
      </c>
      <c r="M5" s="46">
        <v>1</v>
      </c>
      <c r="R5" s="46">
        <v>1</v>
      </c>
      <c r="U5" s="46">
        <v>1</v>
      </c>
      <c r="W5" s="46">
        <v>14</v>
      </c>
      <c r="X5" s="46">
        <v>21</v>
      </c>
      <c r="Y5" s="46">
        <v>23</v>
      </c>
      <c r="Z5" s="46">
        <v>6</v>
      </c>
      <c r="AA5" s="46">
        <v>6</v>
      </c>
      <c r="AB5" s="46">
        <v>5</v>
      </c>
      <c r="AD5" s="46">
        <v>1</v>
      </c>
      <c r="AE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I5" s="46">
        <v>1</v>
      </c>
      <c r="BZ5" s="46">
        <v>1</v>
      </c>
      <c r="CC5" s="46">
        <v>1</v>
      </c>
      <c r="CI5" s="46">
        <v>1</v>
      </c>
      <c r="CP5" s="46">
        <v>1</v>
      </c>
      <c r="CR5" s="134">
        <v>46569</v>
      </c>
    </row>
    <row r="6" spans="1:96">
      <c r="A6" s="46" t="s">
        <v>5364</v>
      </c>
      <c r="B6" s="46" t="s">
        <v>5365</v>
      </c>
      <c r="C6" s="46">
        <v>39</v>
      </c>
      <c r="D6" s="46" t="s">
        <v>5366</v>
      </c>
      <c r="E6" s="46" t="s">
        <v>5367</v>
      </c>
      <c r="F6" s="46" t="s">
        <v>2523</v>
      </c>
      <c r="J6" s="46">
        <v>1</v>
      </c>
      <c r="O6" s="46">
        <v>1</v>
      </c>
      <c r="Q6" s="46">
        <v>1</v>
      </c>
      <c r="T6" s="46">
        <v>1</v>
      </c>
      <c r="W6" s="46">
        <v>16</v>
      </c>
      <c r="X6" s="46">
        <v>15</v>
      </c>
      <c r="Y6" s="46">
        <v>17</v>
      </c>
      <c r="Z6" s="46">
        <v>6</v>
      </c>
      <c r="AA6" s="46">
        <v>4</v>
      </c>
      <c r="AB6" s="46">
        <v>4</v>
      </c>
      <c r="AD6" s="46">
        <v>1</v>
      </c>
      <c r="AE6" s="46">
        <v>1</v>
      </c>
      <c r="AH6" s="46">
        <v>1</v>
      </c>
      <c r="AJ6" s="46">
        <v>1</v>
      </c>
      <c r="AK6" s="46">
        <v>1</v>
      </c>
      <c r="AT6" s="46">
        <v>1</v>
      </c>
      <c r="AX6" s="46">
        <v>1</v>
      </c>
      <c r="BA6" s="46">
        <v>1</v>
      </c>
      <c r="BI6" s="46">
        <v>1</v>
      </c>
      <c r="BZ6" s="46">
        <v>1</v>
      </c>
      <c r="CC6" s="46">
        <v>1</v>
      </c>
      <c r="CI6" s="46">
        <v>1</v>
      </c>
      <c r="CP6" s="46">
        <v>1</v>
      </c>
      <c r="CR6" s="134">
        <v>46569</v>
      </c>
    </row>
    <row r="7" spans="1:96">
      <c r="A7" s="46" t="s">
        <v>5368</v>
      </c>
      <c r="B7" s="46" t="s">
        <v>5369</v>
      </c>
      <c r="C7" s="46">
        <v>30</v>
      </c>
      <c r="D7" s="46" t="s">
        <v>5370</v>
      </c>
      <c r="E7" s="46" t="s">
        <v>5371</v>
      </c>
      <c r="F7" s="46" t="s">
        <v>2484</v>
      </c>
      <c r="I7" s="46">
        <v>1</v>
      </c>
      <c r="M7" s="46">
        <v>1</v>
      </c>
      <c r="Q7" s="46">
        <v>1</v>
      </c>
      <c r="T7" s="46">
        <v>1</v>
      </c>
      <c r="W7" s="46">
        <v>11</v>
      </c>
      <c r="X7" s="46">
        <v>19</v>
      </c>
      <c r="Y7" s="46">
        <v>20</v>
      </c>
      <c r="Z7" s="46">
        <v>8</v>
      </c>
      <c r="AA7" s="46">
        <v>8</v>
      </c>
      <c r="AB7" s="46">
        <v>8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  <c r="CI7" s="46">
        <v>1</v>
      </c>
      <c r="CP7" s="46">
        <v>1</v>
      </c>
      <c r="CR7" s="134">
        <v>46569</v>
      </c>
    </row>
    <row r="8" spans="1:96">
      <c r="A8" s="46" t="s">
        <v>5372</v>
      </c>
      <c r="B8" s="46" t="s">
        <v>5373</v>
      </c>
      <c r="C8" s="46">
        <v>79</v>
      </c>
      <c r="D8" s="46" t="s">
        <v>5374</v>
      </c>
      <c r="E8" s="46" t="s">
        <v>191</v>
      </c>
      <c r="F8" s="46" t="s">
        <v>2484</v>
      </c>
      <c r="I8" s="46">
        <v>1</v>
      </c>
      <c r="O8" s="46">
        <v>1</v>
      </c>
      <c r="R8" s="46">
        <v>1</v>
      </c>
      <c r="T8" s="46">
        <v>1</v>
      </c>
      <c r="W8" s="46">
        <v>16</v>
      </c>
      <c r="X8" s="46">
        <v>18</v>
      </c>
      <c r="Y8" s="46">
        <v>19</v>
      </c>
      <c r="Z8" s="46">
        <v>8</v>
      </c>
      <c r="AA8" s="46">
        <v>8</v>
      </c>
      <c r="AB8" s="46">
        <v>7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X8" s="46">
        <v>1</v>
      </c>
      <c r="BA8" s="46">
        <v>1</v>
      </c>
      <c r="BM8" s="46" t="s">
        <v>5375</v>
      </c>
      <c r="BZ8" s="46">
        <v>1</v>
      </c>
      <c r="CC8" s="46">
        <v>1</v>
      </c>
      <c r="CI8" s="46">
        <v>1</v>
      </c>
      <c r="CP8" s="46">
        <v>1</v>
      </c>
      <c r="CR8" s="134">
        <v>46569</v>
      </c>
    </row>
  </sheetData>
  <autoFilter ref="A3:CR8"/>
  <mergeCells count="1">
    <mergeCell ref="AV1:AZ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7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5376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0</v>
      </c>
      <c r="R3" s="70">
        <v>0</v>
      </c>
      <c r="S3" s="70">
        <v>0</v>
      </c>
      <c r="T3" s="71">
        <f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</v>
      </c>
      <c r="AB3" s="73">
        <v>0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5377</v>
      </c>
      <c r="B4" s="69">
        <v>2</v>
      </c>
      <c r="C4" s="69">
        <v>0</v>
      </c>
      <c r="D4" s="69">
        <v>0</v>
      </c>
      <c r="E4" s="69">
        <f>SUM(B4:D4)</f>
        <v>2</v>
      </c>
      <c r="F4" s="70">
        <v>0</v>
      </c>
      <c r="G4" s="70">
        <v>1</v>
      </c>
      <c r="H4" s="70">
        <v>0</v>
      </c>
      <c r="I4" s="70">
        <v>0</v>
      </c>
      <c r="J4" s="71">
        <f>SUM(F4:I4)</f>
        <v>1</v>
      </c>
      <c r="K4" s="70">
        <v>1</v>
      </c>
      <c r="L4" s="70">
        <v>0</v>
      </c>
      <c r="M4" s="70">
        <v>0</v>
      </c>
      <c r="N4" s="70">
        <v>0</v>
      </c>
      <c r="O4" s="70">
        <v>0</v>
      </c>
      <c r="P4" s="71">
        <f>SUM(K4:O4)</f>
        <v>1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1</v>
      </c>
      <c r="X4" s="75">
        <v>0</v>
      </c>
      <c r="Y4" s="75">
        <v>0</v>
      </c>
      <c r="Z4" s="75"/>
      <c r="AA4" s="73">
        <v>2</v>
      </c>
      <c r="AB4" s="73">
        <v>0</v>
      </c>
      <c r="AC4" s="73">
        <v>0</v>
      </c>
      <c r="AD4" s="73">
        <v>0</v>
      </c>
      <c r="AE4" s="186">
        <f>SUM(AA4,AB4,AC4,AD4)</f>
        <v>2</v>
      </c>
      <c r="AF4" s="73">
        <v>0</v>
      </c>
      <c r="AG4" s="73">
        <v>0</v>
      </c>
    </row>
    <row r="5" spans="1:33">
      <c r="A5" s="77" t="s">
        <v>3432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1">
        <f>SUM(F5:I5)</f>
        <v>1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</v>
      </c>
      <c r="AB5" s="73">
        <v>0</v>
      </c>
      <c r="AC5" s="73">
        <v>0</v>
      </c>
      <c r="AD5" s="73">
        <v>0</v>
      </c>
      <c r="AE5" s="186">
        <f>SUM(AA5,AB5,AC5,AD5)</f>
        <v>1</v>
      </c>
      <c r="AF5" s="73">
        <v>0</v>
      </c>
      <c r="AG5" s="73">
        <v>0</v>
      </c>
    </row>
    <row r="6" spans="1:33">
      <c r="A6" s="78" t="s">
        <v>926</v>
      </c>
      <c r="B6" s="79">
        <v>1</v>
      </c>
      <c r="C6" s="79">
        <v>0</v>
      </c>
      <c r="D6" s="79">
        <v>0</v>
      </c>
      <c r="E6" s="69">
        <f>SUM(B6:D6)</f>
        <v>1</v>
      </c>
      <c r="F6" s="80">
        <v>0</v>
      </c>
      <c r="G6" s="80">
        <v>0</v>
      </c>
      <c r="H6" s="80">
        <v>0</v>
      </c>
      <c r="I6" s="80">
        <v>0</v>
      </c>
      <c r="J6" s="71">
        <f>SUM(F6:I6)</f>
        <v>0</v>
      </c>
      <c r="K6" s="80">
        <v>0</v>
      </c>
      <c r="L6" s="80">
        <v>0</v>
      </c>
      <c r="M6" s="80">
        <v>0</v>
      </c>
      <c r="N6" s="80">
        <v>0</v>
      </c>
      <c r="O6" s="80">
        <v>1</v>
      </c>
      <c r="P6" s="71">
        <f>SUM(K6:O6)</f>
        <v>1</v>
      </c>
      <c r="Q6" s="80">
        <v>0</v>
      </c>
      <c r="R6" s="80">
        <v>0</v>
      </c>
      <c r="S6" s="80">
        <v>0</v>
      </c>
      <c r="T6" s="71">
        <f>SUM(Q6:S6)</f>
        <v>0</v>
      </c>
      <c r="U6" s="80">
        <v>0</v>
      </c>
      <c r="V6" s="80">
        <v>0</v>
      </c>
      <c r="W6" s="80">
        <v>0</v>
      </c>
      <c r="X6" s="80">
        <v>0</v>
      </c>
      <c r="Y6" s="80">
        <v>0</v>
      </c>
      <c r="Z6" s="80"/>
      <c r="AA6" s="82">
        <v>1</v>
      </c>
      <c r="AB6" s="82">
        <v>0</v>
      </c>
      <c r="AC6" s="82">
        <v>0</v>
      </c>
      <c r="AD6" s="82">
        <v>0</v>
      </c>
      <c r="AE6" s="233">
        <f>SUM(AA6,AB6,AC6,AD6)</f>
        <v>1</v>
      </c>
      <c r="AF6" s="82">
        <v>0</v>
      </c>
      <c r="AG6" s="82">
        <v>0</v>
      </c>
    </row>
    <row r="7" spans="1:33">
      <c r="A7" s="69" t="s">
        <v>376</v>
      </c>
      <c r="B7" s="69">
        <f t="shared" ref="B7:I7" si="0">SUM(B3:B6)</f>
        <v>5</v>
      </c>
      <c r="C7" s="69">
        <f t="shared" si="0"/>
        <v>0</v>
      </c>
      <c r="D7" s="69">
        <f t="shared" si="0"/>
        <v>0</v>
      </c>
      <c r="E7" s="69">
        <f t="shared" si="0"/>
        <v>5</v>
      </c>
      <c r="F7" s="69">
        <f t="shared" si="0"/>
        <v>0</v>
      </c>
      <c r="G7" s="69">
        <f t="shared" si="0"/>
        <v>3</v>
      </c>
      <c r="H7" s="69">
        <f t="shared" si="0"/>
        <v>0</v>
      </c>
      <c r="I7" s="69">
        <f t="shared" si="0"/>
        <v>0</v>
      </c>
      <c r="J7" s="71">
        <f>SUM(F7:I7)</f>
        <v>3</v>
      </c>
      <c r="K7" s="114">
        <f>SUM(K3:K6)</f>
        <v>1</v>
      </c>
      <c r="L7" s="114">
        <f>SUM(L3:L6)</f>
        <v>0</v>
      </c>
      <c r="M7" s="114">
        <f>SUM(M3:M6)</f>
        <v>0</v>
      </c>
      <c r="N7" s="114">
        <f>SUM(N3:N6)</f>
        <v>0</v>
      </c>
      <c r="O7" s="114">
        <f>SUM(O3:O6)</f>
        <v>1</v>
      </c>
      <c r="P7" s="71">
        <f>SUM(K7:N7)</f>
        <v>1</v>
      </c>
      <c r="Q7" s="114">
        <f t="shared" ref="Q7:AG7" si="1">SUM(Q3:Q6)</f>
        <v>0</v>
      </c>
      <c r="R7" s="114">
        <f t="shared" si="1"/>
        <v>0</v>
      </c>
      <c r="S7" s="114">
        <f t="shared" si="1"/>
        <v>1</v>
      </c>
      <c r="T7" s="71">
        <f t="shared" si="1"/>
        <v>1</v>
      </c>
      <c r="U7" s="114">
        <f t="shared" si="1"/>
        <v>0</v>
      </c>
      <c r="V7" s="114">
        <f t="shared" si="1"/>
        <v>0</v>
      </c>
      <c r="W7" s="114">
        <f t="shared" si="1"/>
        <v>1</v>
      </c>
      <c r="X7" s="114">
        <f t="shared" si="1"/>
        <v>0</v>
      </c>
      <c r="Y7" s="114">
        <f t="shared" si="1"/>
        <v>0</v>
      </c>
      <c r="Z7" s="114">
        <f t="shared" si="1"/>
        <v>0</v>
      </c>
      <c r="AA7" s="73">
        <f t="shared" si="1"/>
        <v>5</v>
      </c>
      <c r="AB7" s="73">
        <f t="shared" si="1"/>
        <v>0</v>
      </c>
      <c r="AC7" s="73">
        <f t="shared" si="1"/>
        <v>0</v>
      </c>
      <c r="AD7" s="73">
        <f t="shared" si="1"/>
        <v>0</v>
      </c>
      <c r="AE7" s="73">
        <f t="shared" si="1"/>
        <v>5</v>
      </c>
      <c r="AF7" s="73">
        <f t="shared" si="1"/>
        <v>0</v>
      </c>
      <c r="AG7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30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defaultColWidth="14.42578125" defaultRowHeight="15" customHeight="1"/>
  <cols>
    <col min="1" max="1" width="9.140625" customWidth="1"/>
    <col min="2" max="2" width="20.140625" customWidth="1"/>
    <col min="3" max="3" width="9.85546875" customWidth="1"/>
    <col min="5" max="5" width="18.42578125" customWidth="1"/>
  </cols>
  <sheetData>
    <row r="1" spans="1:96">
      <c r="A1" s="189" t="s">
        <v>5378</v>
      </c>
      <c r="B1" s="143"/>
      <c r="C1" s="231" t="s">
        <v>5379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75" t="s">
        <v>3542</v>
      </c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43"/>
      <c r="BU1" s="176" t="s">
        <v>19</v>
      </c>
      <c r="BV1" s="143"/>
      <c r="BW1" s="143"/>
      <c r="BX1" s="143"/>
      <c r="BY1" s="143"/>
      <c r="BZ1" s="176" t="s">
        <v>20</v>
      </c>
      <c r="CA1" s="143"/>
      <c r="CB1" s="143"/>
      <c r="CC1" s="176" t="s">
        <v>21</v>
      </c>
      <c r="CD1" s="143"/>
      <c r="CE1" s="143" t="s">
        <v>22</v>
      </c>
      <c r="CF1" s="176" t="s">
        <v>23</v>
      </c>
      <c r="CG1" s="143"/>
      <c r="CH1" s="143"/>
      <c r="CI1" s="143" t="s">
        <v>16</v>
      </c>
      <c r="CJ1" s="143"/>
      <c r="CK1" s="143"/>
      <c r="CL1" s="143"/>
      <c r="CM1" s="143" t="s">
        <v>24</v>
      </c>
      <c r="CN1" s="143"/>
      <c r="CO1" s="176" t="s">
        <v>25</v>
      </c>
      <c r="CP1" s="143"/>
      <c r="CQ1" s="143"/>
      <c r="CR1" s="143" t="s">
        <v>26</v>
      </c>
    </row>
    <row r="2" spans="1:96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 t="s">
        <v>893</v>
      </c>
      <c r="CR2" s="147"/>
    </row>
    <row r="3" spans="1:96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47"/>
      <c r="BU3" s="180" t="s">
        <v>90</v>
      </c>
      <c r="BV3" s="180" t="s">
        <v>91</v>
      </c>
      <c r="BW3" s="180" t="s">
        <v>92</v>
      </c>
      <c r="BX3" s="180" t="s">
        <v>93</v>
      </c>
      <c r="BY3" s="180" t="s">
        <v>94</v>
      </c>
      <c r="BZ3" s="180" t="s">
        <v>56</v>
      </c>
      <c r="CA3" s="180" t="s">
        <v>73</v>
      </c>
      <c r="CB3" s="180" t="s">
        <v>22</v>
      </c>
      <c r="CC3" s="180" t="s">
        <v>56</v>
      </c>
      <c r="CD3" s="180" t="s">
        <v>73</v>
      </c>
      <c r="CE3" s="180" t="s">
        <v>1275</v>
      </c>
      <c r="CF3" s="180" t="s">
        <v>83</v>
      </c>
      <c r="CG3" s="180" t="s">
        <v>88</v>
      </c>
      <c r="CH3" s="180" t="s">
        <v>896</v>
      </c>
      <c r="CI3" s="180" t="s">
        <v>96</v>
      </c>
      <c r="CJ3" s="180" t="s">
        <v>97</v>
      </c>
      <c r="CK3" s="180" t="s">
        <v>98</v>
      </c>
      <c r="CL3" s="180" t="s">
        <v>1276</v>
      </c>
      <c r="CM3" s="180" t="s">
        <v>73</v>
      </c>
      <c r="CN3" s="180" t="s">
        <v>56</v>
      </c>
      <c r="CO3" s="180" t="s">
        <v>99</v>
      </c>
      <c r="CP3" s="180" t="s">
        <v>56</v>
      </c>
      <c r="CQ3" s="147"/>
      <c r="CR3" s="180" t="s">
        <v>100</v>
      </c>
    </row>
    <row r="4" spans="1:96">
      <c r="A4" s="46" t="s">
        <v>5380</v>
      </c>
      <c r="B4" s="46" t="s">
        <v>5381</v>
      </c>
      <c r="C4" s="46">
        <v>44</v>
      </c>
      <c r="D4" s="46" t="s">
        <v>300</v>
      </c>
      <c r="E4" s="46" t="s">
        <v>5382</v>
      </c>
      <c r="F4" s="46" t="s">
        <v>2523</v>
      </c>
      <c r="I4" s="46">
        <v>1</v>
      </c>
      <c r="P4" s="46">
        <v>1</v>
      </c>
      <c r="R4" s="46">
        <v>1</v>
      </c>
      <c r="T4" s="46">
        <v>1</v>
      </c>
      <c r="W4" s="46">
        <v>16</v>
      </c>
      <c r="X4" s="46">
        <v>18</v>
      </c>
      <c r="Y4" s="46">
        <v>19</v>
      </c>
      <c r="Z4" s="46">
        <v>7</v>
      </c>
      <c r="AA4" s="46">
        <v>7</v>
      </c>
      <c r="AB4" s="46">
        <v>7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F4" s="46">
        <v>1</v>
      </c>
      <c r="BK4" s="46">
        <v>1</v>
      </c>
      <c r="BS4" s="46">
        <v>1</v>
      </c>
      <c r="BZ4" s="46">
        <v>1</v>
      </c>
      <c r="CC4" s="46">
        <v>1</v>
      </c>
      <c r="CI4" s="46">
        <v>1</v>
      </c>
      <c r="CP4" s="46">
        <v>1</v>
      </c>
      <c r="CR4" s="134">
        <v>45474</v>
      </c>
    </row>
    <row r="5" spans="1:96">
      <c r="A5" s="46" t="s">
        <v>5383</v>
      </c>
      <c r="B5" s="46" t="s">
        <v>5384</v>
      </c>
      <c r="C5" s="46">
        <v>34</v>
      </c>
      <c r="D5" s="46" t="s">
        <v>300</v>
      </c>
      <c r="E5" s="46" t="s">
        <v>5385</v>
      </c>
      <c r="F5" s="46" t="s">
        <v>2973</v>
      </c>
      <c r="I5" s="46">
        <v>1</v>
      </c>
      <c r="M5" s="46">
        <v>1</v>
      </c>
      <c r="Q5" s="46">
        <v>1</v>
      </c>
      <c r="T5" s="46">
        <v>1</v>
      </c>
      <c r="W5" s="46">
        <v>13</v>
      </c>
      <c r="X5" s="46">
        <v>15</v>
      </c>
      <c r="Y5" s="46">
        <v>15</v>
      </c>
      <c r="Z5" s="46">
        <v>7</v>
      </c>
      <c r="AA5" s="46">
        <v>7</v>
      </c>
      <c r="AB5" s="46">
        <v>7</v>
      </c>
      <c r="AD5" s="46">
        <v>1</v>
      </c>
      <c r="AE5" s="46">
        <v>1</v>
      </c>
      <c r="AH5" s="46">
        <v>1</v>
      </c>
      <c r="AJ5" s="46">
        <v>1</v>
      </c>
      <c r="AK5" s="46">
        <v>1</v>
      </c>
      <c r="AT5" s="46">
        <v>1</v>
      </c>
      <c r="AX5" s="46">
        <v>1</v>
      </c>
      <c r="BA5" s="46">
        <v>1</v>
      </c>
      <c r="BH5" s="46">
        <v>1</v>
      </c>
      <c r="BV5" s="46">
        <v>1</v>
      </c>
      <c r="BW5" s="46">
        <v>1</v>
      </c>
      <c r="BZ5" s="46">
        <v>1</v>
      </c>
      <c r="CC5" s="46">
        <v>1</v>
      </c>
      <c r="CI5" s="46">
        <v>1</v>
      </c>
      <c r="CP5" s="46">
        <v>1</v>
      </c>
      <c r="CR5" s="134">
        <v>45839</v>
      </c>
    </row>
    <row r="6" spans="1:96">
      <c r="A6" s="46" t="s">
        <v>5386</v>
      </c>
      <c r="B6" s="46" t="s">
        <v>5387</v>
      </c>
      <c r="C6" s="46">
        <v>26</v>
      </c>
      <c r="D6" s="46" t="s">
        <v>300</v>
      </c>
      <c r="E6" s="46" t="s">
        <v>5388</v>
      </c>
      <c r="F6" s="46" t="s">
        <v>2523</v>
      </c>
      <c r="I6" s="46">
        <v>1</v>
      </c>
      <c r="M6" s="46">
        <v>1</v>
      </c>
      <c r="Q6" s="46">
        <v>1</v>
      </c>
      <c r="T6" s="46">
        <v>1</v>
      </c>
      <c r="W6" s="46">
        <v>17</v>
      </c>
      <c r="X6" s="46">
        <v>17</v>
      </c>
      <c r="Y6" s="46">
        <v>18</v>
      </c>
      <c r="Z6" s="46">
        <v>2</v>
      </c>
      <c r="AA6" s="46">
        <v>2</v>
      </c>
      <c r="AB6" s="46">
        <v>2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X6" s="46">
        <v>1</v>
      </c>
      <c r="BA6" s="46">
        <v>1</v>
      </c>
      <c r="BM6" s="46" t="s">
        <v>4404</v>
      </c>
      <c r="BW6" s="46">
        <v>1</v>
      </c>
      <c r="BZ6" s="46">
        <v>1</v>
      </c>
      <c r="CC6" s="46">
        <v>1</v>
      </c>
      <c r="CL6" s="46">
        <v>1</v>
      </c>
      <c r="CP6" s="46">
        <v>1</v>
      </c>
      <c r="CR6" s="46" t="s">
        <v>2257</v>
      </c>
    </row>
    <row r="7" spans="1:96">
      <c r="A7" s="46" t="s">
        <v>5389</v>
      </c>
      <c r="B7" s="46" t="s">
        <v>5390</v>
      </c>
      <c r="C7" s="46">
        <v>34</v>
      </c>
      <c r="D7" s="46" t="s">
        <v>143</v>
      </c>
      <c r="E7" s="46" t="s">
        <v>5391</v>
      </c>
      <c r="F7" s="46" t="s">
        <v>2472</v>
      </c>
      <c r="K7" s="46">
        <v>1</v>
      </c>
      <c r="M7" s="46">
        <v>1</v>
      </c>
      <c r="Q7" s="46">
        <v>1</v>
      </c>
      <c r="U7" s="46">
        <v>1</v>
      </c>
      <c r="W7" s="46">
        <v>12</v>
      </c>
      <c r="X7" s="46">
        <v>14</v>
      </c>
      <c r="Y7" s="46">
        <v>16</v>
      </c>
      <c r="Z7" s="46">
        <v>2</v>
      </c>
      <c r="AA7" s="46">
        <v>2</v>
      </c>
      <c r="AB7" s="46">
        <v>2</v>
      </c>
      <c r="AE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I7" s="46">
        <v>1</v>
      </c>
      <c r="BZ7" s="46">
        <v>1</v>
      </c>
      <c r="CC7" s="46">
        <v>1</v>
      </c>
      <c r="CP7" s="46">
        <v>1</v>
      </c>
      <c r="CR7" s="134">
        <v>46569</v>
      </c>
    </row>
    <row r="8" spans="1:96">
      <c r="A8" s="46" t="s">
        <v>5392</v>
      </c>
      <c r="B8" s="46" t="s">
        <v>5393</v>
      </c>
      <c r="C8" s="46">
        <v>19</v>
      </c>
      <c r="D8" s="46" t="s">
        <v>5394</v>
      </c>
      <c r="E8" s="46" t="s">
        <v>191</v>
      </c>
      <c r="F8" s="46" t="s">
        <v>2472</v>
      </c>
      <c r="J8" s="46">
        <v>1</v>
      </c>
      <c r="N8" s="46">
        <v>1</v>
      </c>
      <c r="Q8" s="46">
        <v>1</v>
      </c>
      <c r="U8" s="46">
        <v>1</v>
      </c>
      <c r="W8" s="46">
        <v>16</v>
      </c>
      <c r="X8" s="46">
        <v>16</v>
      </c>
      <c r="Y8" s="46">
        <v>18</v>
      </c>
      <c r="Z8" s="46">
        <v>1</v>
      </c>
      <c r="AA8" s="46">
        <v>1</v>
      </c>
      <c r="AB8" s="46">
        <v>1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M8" s="46" t="s">
        <v>5395</v>
      </c>
      <c r="BW8" s="46">
        <v>1</v>
      </c>
      <c r="BZ8" s="46">
        <v>1</v>
      </c>
      <c r="CC8" s="46">
        <v>1</v>
      </c>
      <c r="CI8" s="46">
        <v>1</v>
      </c>
      <c r="CP8" s="46">
        <v>1</v>
      </c>
      <c r="CR8" s="46" t="s">
        <v>3369</v>
      </c>
    </row>
    <row r="9" spans="1:96">
      <c r="A9" s="46" t="s">
        <v>5396</v>
      </c>
      <c r="B9" s="46" t="s">
        <v>5397</v>
      </c>
      <c r="C9" s="46">
        <v>22</v>
      </c>
      <c r="D9" s="46" t="s">
        <v>5398</v>
      </c>
      <c r="E9" s="46" t="s">
        <v>191</v>
      </c>
      <c r="F9" s="46" t="s">
        <v>594</v>
      </c>
      <c r="H9" s="46">
        <v>1</v>
      </c>
      <c r="O9" s="46">
        <v>1</v>
      </c>
      <c r="R9" s="46">
        <v>1</v>
      </c>
      <c r="T9" s="46">
        <v>1</v>
      </c>
      <c r="W9" s="46">
        <v>13</v>
      </c>
      <c r="X9" s="46">
        <v>18</v>
      </c>
      <c r="Y9" s="46">
        <v>0</v>
      </c>
      <c r="Z9" s="46">
        <v>0</v>
      </c>
      <c r="AA9" s="46">
        <v>0</v>
      </c>
      <c r="AB9" s="46">
        <v>0</v>
      </c>
      <c r="AE9" s="46">
        <v>1</v>
      </c>
      <c r="AG9" s="46">
        <v>1</v>
      </c>
      <c r="AH9" s="46">
        <v>1</v>
      </c>
      <c r="AI9" s="46">
        <v>1</v>
      </c>
      <c r="AL9" s="46">
        <v>1</v>
      </c>
      <c r="AT9" s="46">
        <v>1</v>
      </c>
      <c r="AX9" s="46">
        <v>1</v>
      </c>
      <c r="BA9" s="46">
        <v>1</v>
      </c>
      <c r="BM9" s="46" t="s">
        <v>2703</v>
      </c>
      <c r="BZ9" s="46">
        <v>1</v>
      </c>
      <c r="CC9" s="46">
        <v>1</v>
      </c>
      <c r="CI9" s="46">
        <v>1</v>
      </c>
      <c r="CP9" s="46">
        <v>1</v>
      </c>
      <c r="CR9" s="46" t="s">
        <v>3307</v>
      </c>
    </row>
    <row r="10" spans="1:96">
      <c r="A10" s="46" t="s">
        <v>5399</v>
      </c>
      <c r="B10" s="46" t="s">
        <v>5400</v>
      </c>
      <c r="C10" s="46">
        <v>30</v>
      </c>
      <c r="D10" s="46" t="s">
        <v>5401</v>
      </c>
      <c r="E10" s="46" t="s">
        <v>191</v>
      </c>
      <c r="F10" s="46" t="s">
        <v>3173</v>
      </c>
      <c r="G10" s="46">
        <v>1</v>
      </c>
      <c r="M10" s="46">
        <v>1</v>
      </c>
      <c r="Q10" s="46">
        <v>1</v>
      </c>
      <c r="T10" s="46">
        <v>1</v>
      </c>
      <c r="W10" s="46">
        <v>0</v>
      </c>
      <c r="X10" s="46">
        <v>18</v>
      </c>
      <c r="Y10" s="46">
        <v>20</v>
      </c>
      <c r="Z10" s="46">
        <v>3</v>
      </c>
      <c r="AA10" s="46">
        <v>3</v>
      </c>
      <c r="AB10" s="46">
        <v>3</v>
      </c>
      <c r="AE10" s="46">
        <v>1</v>
      </c>
      <c r="AJ10" s="46">
        <v>1</v>
      </c>
      <c r="AL10" s="46">
        <v>1</v>
      </c>
      <c r="AS10" s="46">
        <v>1</v>
      </c>
      <c r="AT10" s="46">
        <v>1</v>
      </c>
      <c r="AW10" s="46">
        <v>1</v>
      </c>
      <c r="BB10" s="46">
        <v>1</v>
      </c>
      <c r="BG10" s="46">
        <v>1</v>
      </c>
      <c r="BJ10" s="46">
        <v>1</v>
      </c>
      <c r="BW10" s="46">
        <v>1</v>
      </c>
      <c r="BZ10" s="46">
        <v>1</v>
      </c>
      <c r="CC10" s="46">
        <v>1</v>
      </c>
      <c r="CI10" s="46">
        <v>1</v>
      </c>
      <c r="CP10" s="46">
        <v>1</v>
      </c>
      <c r="CR10" s="134">
        <v>45839</v>
      </c>
    </row>
    <row r="11" spans="1:96">
      <c r="A11" s="46" t="s">
        <v>5402</v>
      </c>
      <c r="B11" s="46" t="s">
        <v>5403</v>
      </c>
      <c r="C11" s="46">
        <v>40</v>
      </c>
      <c r="D11" s="46" t="s">
        <v>5404</v>
      </c>
      <c r="E11" s="46" t="s">
        <v>5405</v>
      </c>
      <c r="F11" s="46" t="s">
        <v>2523</v>
      </c>
      <c r="I11" s="46">
        <v>1</v>
      </c>
      <c r="O11" s="46">
        <v>1</v>
      </c>
      <c r="R11" s="46">
        <v>1</v>
      </c>
      <c r="T11" s="46">
        <v>1</v>
      </c>
      <c r="W11" s="46">
        <v>18</v>
      </c>
      <c r="X11" s="46">
        <v>19</v>
      </c>
      <c r="Y11" s="46">
        <v>19</v>
      </c>
      <c r="Z11" s="46">
        <v>8</v>
      </c>
      <c r="AA11" s="46">
        <v>7</v>
      </c>
      <c r="AB11" s="46">
        <v>4</v>
      </c>
      <c r="AC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Z11" s="46">
        <v>1</v>
      </c>
      <c r="CC11" s="46">
        <v>1</v>
      </c>
      <c r="CI11" s="46">
        <v>1</v>
      </c>
      <c r="CP11" s="46">
        <v>1</v>
      </c>
      <c r="CR11" s="134">
        <v>46569</v>
      </c>
    </row>
    <row r="12" spans="1:96">
      <c r="A12" s="46" t="s">
        <v>5406</v>
      </c>
      <c r="B12" s="46" t="s">
        <v>5407</v>
      </c>
      <c r="C12" s="46">
        <v>52</v>
      </c>
      <c r="D12" s="46" t="s">
        <v>5408</v>
      </c>
      <c r="E12" s="46" t="s">
        <v>5409</v>
      </c>
      <c r="F12" s="46" t="s">
        <v>2523</v>
      </c>
      <c r="J12" s="46">
        <v>1</v>
      </c>
      <c r="M12" s="46">
        <v>1</v>
      </c>
      <c r="Q12" s="46">
        <v>1</v>
      </c>
      <c r="U12" s="46">
        <v>1</v>
      </c>
      <c r="W12" s="46">
        <v>15</v>
      </c>
      <c r="X12" s="46">
        <v>17</v>
      </c>
      <c r="Y12" s="46">
        <v>17</v>
      </c>
      <c r="Z12" s="46">
        <v>12</v>
      </c>
      <c r="AA12" s="46">
        <v>12</v>
      </c>
      <c r="AB12" s="46">
        <v>11</v>
      </c>
      <c r="AC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J12" s="46">
        <v>1</v>
      </c>
      <c r="BZ12" s="46">
        <v>1</v>
      </c>
      <c r="CC12" s="46">
        <v>1</v>
      </c>
      <c r="CI12" s="46">
        <v>1</v>
      </c>
      <c r="CP12" s="46">
        <v>1</v>
      </c>
      <c r="CR12" s="134">
        <v>46569</v>
      </c>
    </row>
    <row r="13" spans="1:96">
      <c r="A13" s="46" t="s">
        <v>5410</v>
      </c>
      <c r="B13" s="46" t="s">
        <v>5411</v>
      </c>
      <c r="C13" s="46">
        <v>32</v>
      </c>
      <c r="D13" s="46" t="s">
        <v>5412</v>
      </c>
      <c r="E13" s="46" t="s">
        <v>5413</v>
      </c>
      <c r="F13" s="46" t="s">
        <v>2523</v>
      </c>
      <c r="K13" s="46">
        <v>1</v>
      </c>
      <c r="M13" s="46">
        <v>1</v>
      </c>
      <c r="Q13" s="46">
        <v>1</v>
      </c>
      <c r="U13" s="46">
        <v>1</v>
      </c>
      <c r="W13" s="46">
        <v>15</v>
      </c>
      <c r="X13" s="46">
        <v>20</v>
      </c>
      <c r="Y13" s="46">
        <v>20</v>
      </c>
      <c r="Z13" s="46">
        <v>4</v>
      </c>
      <c r="AA13" s="46">
        <v>4</v>
      </c>
      <c r="AB13" s="46">
        <v>4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I13" s="46">
        <v>1</v>
      </c>
      <c r="BZ13" s="46">
        <v>1</v>
      </c>
      <c r="CC13" s="46">
        <v>1</v>
      </c>
      <c r="CI13" s="46">
        <v>1</v>
      </c>
      <c r="CP13" s="46">
        <v>1</v>
      </c>
      <c r="CR13" s="134">
        <v>46569</v>
      </c>
    </row>
    <row r="14" spans="1:96">
      <c r="A14" s="46" t="s">
        <v>5414</v>
      </c>
      <c r="B14" s="46" t="s">
        <v>5415</v>
      </c>
      <c r="C14" s="46">
        <v>46</v>
      </c>
      <c r="D14" s="46" t="s">
        <v>5416</v>
      </c>
      <c r="E14" s="46" t="s">
        <v>191</v>
      </c>
      <c r="F14" s="46" t="s">
        <v>2472</v>
      </c>
      <c r="I14" s="46">
        <v>1</v>
      </c>
      <c r="M14" s="46">
        <v>1</v>
      </c>
      <c r="Q14" s="46">
        <v>1</v>
      </c>
      <c r="T14" s="46">
        <v>1</v>
      </c>
      <c r="W14" s="46">
        <v>11</v>
      </c>
      <c r="X14" s="46">
        <v>14</v>
      </c>
      <c r="Y14" s="46">
        <v>14</v>
      </c>
      <c r="Z14" s="46">
        <v>3</v>
      </c>
      <c r="AA14" s="46">
        <v>3</v>
      </c>
      <c r="AB14" s="46">
        <v>3</v>
      </c>
      <c r="AC14" s="46">
        <v>1</v>
      </c>
      <c r="AJ14" s="46">
        <v>1</v>
      </c>
      <c r="AL14" s="46">
        <v>1</v>
      </c>
      <c r="AP14" s="46">
        <v>1</v>
      </c>
      <c r="AS14" s="46">
        <v>1</v>
      </c>
      <c r="AT14" s="46">
        <v>1</v>
      </c>
      <c r="AW14" s="46">
        <v>1</v>
      </c>
      <c r="BB14" s="46">
        <v>1</v>
      </c>
      <c r="BF14" s="46">
        <v>1</v>
      </c>
      <c r="BI14" s="46">
        <v>1</v>
      </c>
      <c r="BZ14" s="46">
        <v>1</v>
      </c>
      <c r="CC14" s="46">
        <v>1</v>
      </c>
      <c r="CI14" s="46">
        <v>1</v>
      </c>
      <c r="CP14" s="46">
        <v>1</v>
      </c>
      <c r="CR14" s="134">
        <v>46569</v>
      </c>
    </row>
    <row r="15" spans="1:96">
      <c r="A15" s="46" t="s">
        <v>5417</v>
      </c>
      <c r="B15" s="46" t="s">
        <v>5418</v>
      </c>
      <c r="C15" s="46">
        <v>26</v>
      </c>
      <c r="D15" s="46" t="s">
        <v>5419</v>
      </c>
      <c r="E15" s="46" t="s">
        <v>5420</v>
      </c>
      <c r="F15" s="46" t="s">
        <v>2472</v>
      </c>
      <c r="I15" s="46">
        <v>1</v>
      </c>
      <c r="M15" s="46">
        <v>1</v>
      </c>
      <c r="Q15" s="46">
        <v>1</v>
      </c>
      <c r="T15" s="46">
        <v>1</v>
      </c>
      <c r="W15" s="46">
        <v>13</v>
      </c>
      <c r="X15" s="46">
        <v>14</v>
      </c>
      <c r="Y15" s="46">
        <v>15</v>
      </c>
      <c r="Z15" s="46">
        <v>3</v>
      </c>
      <c r="AA15" s="46">
        <v>3</v>
      </c>
      <c r="AB15" s="46">
        <v>3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W15" s="46">
        <v>1</v>
      </c>
      <c r="BZ15" s="46">
        <v>1</v>
      </c>
      <c r="CC15" s="46">
        <v>1</v>
      </c>
      <c r="CI15" s="46">
        <v>1</v>
      </c>
      <c r="CP15" s="46">
        <v>1</v>
      </c>
      <c r="CR15" s="134">
        <v>46569</v>
      </c>
    </row>
    <row r="16" spans="1:96">
      <c r="A16" s="46" t="s">
        <v>5421</v>
      </c>
      <c r="B16" s="46" t="s">
        <v>5422</v>
      </c>
      <c r="C16" s="46">
        <v>25</v>
      </c>
      <c r="D16" s="46" t="s">
        <v>5423</v>
      </c>
      <c r="E16" s="46" t="s">
        <v>5424</v>
      </c>
      <c r="F16" s="46" t="s">
        <v>2675</v>
      </c>
      <c r="G16" s="46">
        <v>1</v>
      </c>
      <c r="M16" s="46">
        <v>1</v>
      </c>
      <c r="Q16" s="46">
        <v>1</v>
      </c>
      <c r="U16" s="46">
        <v>1</v>
      </c>
      <c r="W16" s="46">
        <v>15</v>
      </c>
      <c r="X16" s="46">
        <v>20</v>
      </c>
      <c r="Y16" s="46">
        <v>0</v>
      </c>
      <c r="Z16" s="46">
        <v>2</v>
      </c>
      <c r="AA16" s="46">
        <v>0</v>
      </c>
      <c r="AB16" s="46">
        <v>0</v>
      </c>
      <c r="AD16" s="46">
        <v>1</v>
      </c>
      <c r="AE16" s="46">
        <v>1</v>
      </c>
      <c r="AG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I16" s="46">
        <v>1</v>
      </c>
      <c r="BZ16" s="46">
        <v>1</v>
      </c>
      <c r="CC16" s="46">
        <v>1</v>
      </c>
      <c r="CI16" s="46">
        <v>1</v>
      </c>
      <c r="CP16" s="46">
        <v>1</v>
      </c>
      <c r="CR16" s="134">
        <v>46569</v>
      </c>
    </row>
    <row r="17" spans="1:96">
      <c r="A17" s="46" t="s">
        <v>5425</v>
      </c>
      <c r="B17" s="46" t="s">
        <v>5426</v>
      </c>
      <c r="C17" s="46">
        <v>21</v>
      </c>
      <c r="D17" s="46" t="s">
        <v>5427</v>
      </c>
      <c r="E17" s="46" t="s">
        <v>5428</v>
      </c>
      <c r="F17" s="46" t="s">
        <v>2675</v>
      </c>
      <c r="I17" s="46">
        <v>1</v>
      </c>
      <c r="M17" s="46">
        <v>1</v>
      </c>
      <c r="Q17" s="46">
        <v>1</v>
      </c>
      <c r="U17" s="46">
        <v>1</v>
      </c>
      <c r="W17" s="46">
        <v>14</v>
      </c>
      <c r="X17" s="46">
        <v>16</v>
      </c>
      <c r="Y17" s="46">
        <v>21</v>
      </c>
      <c r="Z17" s="46">
        <v>1</v>
      </c>
      <c r="AA17" s="46">
        <v>1</v>
      </c>
      <c r="AB17" s="46">
        <v>1</v>
      </c>
      <c r="AH17" s="46">
        <v>1</v>
      </c>
      <c r="AJ17" s="46">
        <v>1</v>
      </c>
      <c r="AK17" s="46">
        <v>1</v>
      </c>
      <c r="AT17" s="46">
        <v>1</v>
      </c>
      <c r="AX17" s="46">
        <v>1</v>
      </c>
      <c r="BA17" s="46">
        <v>1</v>
      </c>
      <c r="BI17" s="46">
        <v>1</v>
      </c>
      <c r="BW17" s="46">
        <v>1</v>
      </c>
      <c r="BZ17" s="46">
        <v>1</v>
      </c>
      <c r="CC17" s="46">
        <v>1</v>
      </c>
      <c r="CI17" s="46">
        <v>1</v>
      </c>
      <c r="CP17" s="46">
        <v>1</v>
      </c>
      <c r="CR17" s="134">
        <v>46569</v>
      </c>
    </row>
    <row r="18" spans="1:96">
      <c r="A18" s="46" t="s">
        <v>5429</v>
      </c>
      <c r="B18" s="46" t="s">
        <v>5430</v>
      </c>
      <c r="C18" s="46">
        <v>39</v>
      </c>
      <c r="D18" s="46" t="s">
        <v>5427</v>
      </c>
      <c r="E18" s="46" t="s">
        <v>5431</v>
      </c>
      <c r="F18" s="46" t="s">
        <v>2472</v>
      </c>
      <c r="H18" s="46">
        <v>1</v>
      </c>
      <c r="M18" s="46">
        <v>1</v>
      </c>
      <c r="R18" s="46">
        <v>1</v>
      </c>
      <c r="T18" s="46">
        <v>1</v>
      </c>
      <c r="W18" s="46">
        <v>14</v>
      </c>
      <c r="X18" s="46">
        <v>20</v>
      </c>
      <c r="Y18" s="46">
        <v>20</v>
      </c>
      <c r="Z18" s="46">
        <v>8</v>
      </c>
      <c r="AA18" s="46">
        <v>6</v>
      </c>
      <c r="AB18" s="46">
        <v>6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Z18" s="46">
        <v>1</v>
      </c>
      <c r="CC18" s="46">
        <v>1</v>
      </c>
      <c r="CI18" s="46">
        <v>1</v>
      </c>
      <c r="CP18" s="46">
        <v>1</v>
      </c>
      <c r="CR18" s="134">
        <v>46569</v>
      </c>
    </row>
    <row r="19" spans="1:96">
      <c r="A19" s="46" t="s">
        <v>5432</v>
      </c>
      <c r="B19" s="46" t="s">
        <v>5433</v>
      </c>
      <c r="C19" s="46">
        <v>20</v>
      </c>
      <c r="D19" s="46" t="s">
        <v>5434</v>
      </c>
      <c r="E19" s="46" t="s">
        <v>5435</v>
      </c>
      <c r="F19" s="46" t="s">
        <v>5119</v>
      </c>
      <c r="I19" s="46">
        <v>1</v>
      </c>
      <c r="M19" s="46">
        <v>1</v>
      </c>
      <c r="Q19" s="46">
        <v>1</v>
      </c>
      <c r="U19" s="46">
        <v>1</v>
      </c>
      <c r="W19" s="46">
        <v>12</v>
      </c>
      <c r="X19" s="46">
        <v>16</v>
      </c>
      <c r="Y19" s="46">
        <v>16</v>
      </c>
      <c r="Z19" s="46">
        <v>1</v>
      </c>
      <c r="AA19" s="46">
        <v>1</v>
      </c>
      <c r="AB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W19" s="46">
        <v>1</v>
      </c>
      <c r="BZ19" s="46">
        <v>1</v>
      </c>
      <c r="CC19" s="46">
        <v>1</v>
      </c>
      <c r="CI19" s="46">
        <v>1</v>
      </c>
      <c r="CP19" s="46">
        <v>1</v>
      </c>
      <c r="CR19" s="134">
        <v>46569</v>
      </c>
    </row>
    <row r="20" spans="1:96">
      <c r="A20" s="46" t="s">
        <v>5436</v>
      </c>
      <c r="B20" s="46" t="s">
        <v>5437</v>
      </c>
      <c r="C20" s="46">
        <v>40</v>
      </c>
      <c r="D20" s="46" t="s">
        <v>5438</v>
      </c>
      <c r="E20" s="46" t="s">
        <v>5439</v>
      </c>
      <c r="F20" s="46" t="s">
        <v>2472</v>
      </c>
      <c r="J20" s="46">
        <v>1</v>
      </c>
      <c r="M20" s="46">
        <v>1</v>
      </c>
      <c r="Q20" s="46">
        <v>1</v>
      </c>
      <c r="U20" s="46">
        <v>1</v>
      </c>
      <c r="W20" s="46">
        <v>14</v>
      </c>
      <c r="X20" s="46">
        <v>28</v>
      </c>
      <c r="Y20" s="46">
        <v>34</v>
      </c>
      <c r="Z20" s="46">
        <v>6</v>
      </c>
      <c r="AA20" s="46">
        <v>2</v>
      </c>
      <c r="AB20" s="46">
        <v>2</v>
      </c>
      <c r="AC20" s="46">
        <v>1</v>
      </c>
      <c r="AI20" s="46">
        <v>1</v>
      </c>
      <c r="AK20" s="46">
        <v>1</v>
      </c>
      <c r="AT20" s="46">
        <v>1</v>
      </c>
      <c r="AW20" s="46">
        <v>1</v>
      </c>
      <c r="BB20" s="46">
        <v>1</v>
      </c>
      <c r="BF20" s="46">
        <v>1</v>
      </c>
      <c r="BI20" s="46">
        <v>1</v>
      </c>
      <c r="BZ20" s="46">
        <v>1</v>
      </c>
      <c r="CC20" s="46">
        <v>1</v>
      </c>
      <c r="CI20" s="46">
        <v>1</v>
      </c>
      <c r="CP20" s="46">
        <v>1</v>
      </c>
      <c r="CR20" s="134">
        <v>46569</v>
      </c>
    </row>
    <row r="21" spans="1:96">
      <c r="A21" s="46" t="s">
        <v>5440</v>
      </c>
      <c r="B21" s="46" t="s">
        <v>5441</v>
      </c>
      <c r="C21" s="46">
        <v>27</v>
      </c>
      <c r="D21" s="46" t="s">
        <v>300</v>
      </c>
      <c r="E21" s="46" t="s">
        <v>5442</v>
      </c>
      <c r="F21" s="46" t="s">
        <v>2523</v>
      </c>
      <c r="H21" s="46">
        <v>1</v>
      </c>
      <c r="M21" s="46">
        <v>1</v>
      </c>
      <c r="Q21" s="46">
        <v>1</v>
      </c>
      <c r="T21" s="46">
        <v>1</v>
      </c>
      <c r="W21" s="46">
        <v>15</v>
      </c>
      <c r="X21" s="46">
        <v>16</v>
      </c>
      <c r="Y21" s="46">
        <v>19</v>
      </c>
      <c r="Z21" s="46">
        <v>3</v>
      </c>
      <c r="AA21" s="46">
        <v>3</v>
      </c>
      <c r="AB21" s="46">
        <v>3</v>
      </c>
      <c r="AD21" s="46">
        <v>1</v>
      </c>
      <c r="AE21" s="46">
        <v>1</v>
      </c>
      <c r="AG21" s="46">
        <v>1</v>
      </c>
      <c r="AH21" s="46">
        <v>1</v>
      </c>
      <c r="AJ21" s="46">
        <v>1</v>
      </c>
      <c r="AK21" s="46">
        <v>1</v>
      </c>
      <c r="AT21" s="46">
        <v>1</v>
      </c>
      <c r="AZ21" s="46">
        <v>1</v>
      </c>
      <c r="BA21" s="46">
        <v>1</v>
      </c>
      <c r="BI21" s="46">
        <v>1</v>
      </c>
      <c r="BW21" s="46">
        <v>1</v>
      </c>
      <c r="BZ21" s="46">
        <v>1</v>
      </c>
      <c r="CC21" s="46">
        <v>1</v>
      </c>
      <c r="CI21" s="46">
        <v>1</v>
      </c>
      <c r="CP21" s="46">
        <v>1</v>
      </c>
      <c r="CR21" s="134">
        <v>46569</v>
      </c>
    </row>
    <row r="22" spans="1:96">
      <c r="A22" s="46" t="s">
        <v>5443</v>
      </c>
      <c r="B22" s="46" t="s">
        <v>5444</v>
      </c>
      <c r="C22" s="46">
        <v>40</v>
      </c>
      <c r="D22" s="46" t="s">
        <v>300</v>
      </c>
      <c r="E22" s="46" t="s">
        <v>5445</v>
      </c>
      <c r="F22" s="46" t="s">
        <v>2523</v>
      </c>
      <c r="I22" s="46">
        <v>1</v>
      </c>
      <c r="O22" s="46">
        <v>1</v>
      </c>
      <c r="R22" s="46">
        <v>1</v>
      </c>
      <c r="T22" s="46">
        <v>1</v>
      </c>
      <c r="W22" s="46">
        <v>15</v>
      </c>
      <c r="X22" s="46">
        <v>19</v>
      </c>
      <c r="Y22" s="46">
        <v>19</v>
      </c>
      <c r="Z22" s="46">
        <v>6</v>
      </c>
      <c r="AA22" s="46">
        <v>6</v>
      </c>
      <c r="AB22" s="46">
        <v>5</v>
      </c>
      <c r="AG22" s="46">
        <v>1</v>
      </c>
      <c r="AH22" s="46">
        <v>1</v>
      </c>
      <c r="AJ22" s="46">
        <v>1</v>
      </c>
      <c r="AL22" s="46">
        <v>1</v>
      </c>
      <c r="AP22" s="46">
        <v>1</v>
      </c>
      <c r="AQ22" s="46" t="s">
        <v>251</v>
      </c>
      <c r="AR22" s="50">
        <v>45292</v>
      </c>
      <c r="AT22" s="46">
        <v>1</v>
      </c>
      <c r="AX22" s="46">
        <v>1</v>
      </c>
      <c r="BA22" s="46">
        <v>1</v>
      </c>
      <c r="BI22" s="46">
        <v>1</v>
      </c>
      <c r="BW22" s="46">
        <v>1</v>
      </c>
      <c r="BZ22" s="46">
        <v>1</v>
      </c>
      <c r="CC22" s="46">
        <v>1</v>
      </c>
      <c r="CI22" s="46">
        <v>1</v>
      </c>
      <c r="CP22" s="46">
        <v>1</v>
      </c>
      <c r="CR22" s="134">
        <v>46569</v>
      </c>
    </row>
    <row r="23" spans="1:96">
      <c r="A23" s="46" t="s">
        <v>5446</v>
      </c>
      <c r="B23" s="46" t="s">
        <v>5447</v>
      </c>
      <c r="C23" s="46">
        <v>25</v>
      </c>
      <c r="D23" s="46" t="s">
        <v>5448</v>
      </c>
      <c r="E23" s="46" t="s">
        <v>5449</v>
      </c>
      <c r="F23" s="46" t="s">
        <v>2472</v>
      </c>
      <c r="I23" s="46">
        <v>1</v>
      </c>
      <c r="M23" s="46">
        <v>1</v>
      </c>
      <c r="Q23" s="46">
        <v>1</v>
      </c>
      <c r="S23" s="46">
        <v>1</v>
      </c>
      <c r="W23" s="46">
        <v>11</v>
      </c>
      <c r="X23" s="46">
        <v>15</v>
      </c>
      <c r="Y23" s="46">
        <v>15</v>
      </c>
      <c r="Z23" s="46">
        <v>4</v>
      </c>
      <c r="AA23" s="46">
        <v>4</v>
      </c>
      <c r="AB23" s="46">
        <v>4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I23" s="46">
        <v>1</v>
      </c>
      <c r="BZ23" s="46">
        <v>1</v>
      </c>
      <c r="CC23" s="46">
        <v>1</v>
      </c>
      <c r="CI23" s="46">
        <v>1</v>
      </c>
      <c r="CP23" s="46">
        <v>1</v>
      </c>
      <c r="CR23" s="134">
        <v>46569</v>
      </c>
    </row>
    <row r="24" spans="1:96">
      <c r="A24" s="46" t="s">
        <v>5450</v>
      </c>
      <c r="B24" s="46" t="s">
        <v>5451</v>
      </c>
      <c r="C24" s="46">
        <v>20</v>
      </c>
      <c r="D24" s="46" t="s">
        <v>2283</v>
      </c>
      <c r="E24" s="46" t="s">
        <v>5452</v>
      </c>
      <c r="F24" s="46" t="s">
        <v>5119</v>
      </c>
      <c r="J24" s="46">
        <v>1</v>
      </c>
      <c r="M24" s="46">
        <v>1</v>
      </c>
      <c r="Q24" s="46">
        <v>1</v>
      </c>
      <c r="T24" s="46">
        <v>1</v>
      </c>
      <c r="W24" s="46">
        <v>14</v>
      </c>
      <c r="X24" s="46">
        <v>19</v>
      </c>
      <c r="Y24" s="46">
        <v>19</v>
      </c>
      <c r="Z24" s="46">
        <v>1</v>
      </c>
      <c r="AA24" s="46">
        <v>1</v>
      </c>
      <c r="AB24" s="46">
        <v>1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W24" s="46">
        <v>1</v>
      </c>
      <c r="BZ24" s="46">
        <v>1</v>
      </c>
      <c r="CC24" s="46">
        <v>1</v>
      </c>
      <c r="CI24" s="46">
        <v>1</v>
      </c>
      <c r="CP24" s="46">
        <v>1</v>
      </c>
      <c r="CR24" s="134">
        <v>46569</v>
      </c>
    </row>
    <row r="25" spans="1:96">
      <c r="A25" s="46" t="s">
        <v>5453</v>
      </c>
      <c r="B25" s="46" t="s">
        <v>5454</v>
      </c>
      <c r="C25" s="46">
        <v>18</v>
      </c>
      <c r="D25" s="46" t="s">
        <v>3331</v>
      </c>
      <c r="E25" s="46" t="s">
        <v>5455</v>
      </c>
      <c r="F25" s="46" t="s">
        <v>2472</v>
      </c>
      <c r="I25" s="46">
        <v>1</v>
      </c>
      <c r="N25" s="46">
        <v>1</v>
      </c>
      <c r="Q25" s="46">
        <v>1</v>
      </c>
      <c r="T25" s="46">
        <v>1</v>
      </c>
      <c r="W25" s="46">
        <v>13</v>
      </c>
      <c r="X25" s="46">
        <v>15</v>
      </c>
      <c r="Y25" s="46">
        <v>0</v>
      </c>
      <c r="Z25" s="46">
        <v>0</v>
      </c>
      <c r="AA25" s="46">
        <v>0</v>
      </c>
      <c r="AB25" s="46">
        <v>0</v>
      </c>
      <c r="AG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Z25" s="46">
        <v>1</v>
      </c>
      <c r="CC25" s="46">
        <v>1</v>
      </c>
      <c r="CI25" s="46">
        <v>1</v>
      </c>
      <c r="CP25" s="46">
        <v>1</v>
      </c>
      <c r="CR25" s="134">
        <v>46569</v>
      </c>
    </row>
    <row r="26" spans="1:96">
      <c r="A26" s="46" t="s">
        <v>5456</v>
      </c>
      <c r="B26" s="46" t="s">
        <v>5457</v>
      </c>
      <c r="C26" s="46">
        <v>18</v>
      </c>
      <c r="D26" s="46" t="s">
        <v>5458</v>
      </c>
      <c r="E26" s="46" t="s">
        <v>5459</v>
      </c>
      <c r="F26" s="46" t="s">
        <v>2675</v>
      </c>
      <c r="I26" s="46">
        <v>1</v>
      </c>
      <c r="N26" s="46">
        <v>1</v>
      </c>
      <c r="Q26" s="46">
        <v>1</v>
      </c>
      <c r="T26" s="46">
        <v>1</v>
      </c>
      <c r="W26" s="46">
        <v>13</v>
      </c>
      <c r="X26" s="46">
        <v>16</v>
      </c>
      <c r="Y26" s="46">
        <v>17</v>
      </c>
      <c r="Z26" s="46">
        <v>1</v>
      </c>
      <c r="AA26" s="46">
        <v>1</v>
      </c>
      <c r="AB26" s="46">
        <v>0</v>
      </c>
      <c r="AD26" s="46">
        <v>1</v>
      </c>
      <c r="AE26" s="46">
        <v>1</v>
      </c>
      <c r="AI26" s="46">
        <v>1</v>
      </c>
      <c r="AL26" s="46">
        <v>1</v>
      </c>
      <c r="AO26" s="46">
        <v>1</v>
      </c>
      <c r="AS26" s="46">
        <v>1</v>
      </c>
      <c r="AT26" s="46">
        <v>1</v>
      </c>
      <c r="AW26" s="46">
        <v>1</v>
      </c>
      <c r="BA26" s="46">
        <v>1</v>
      </c>
      <c r="BI26" s="46">
        <v>1</v>
      </c>
      <c r="BW26" s="46">
        <v>1</v>
      </c>
      <c r="BZ26" s="46">
        <v>1</v>
      </c>
      <c r="CC26" s="46">
        <v>1</v>
      </c>
      <c r="CI26" s="46">
        <v>1</v>
      </c>
      <c r="CP26" s="46">
        <v>1</v>
      </c>
      <c r="CR26" s="134">
        <v>46569</v>
      </c>
    </row>
    <row r="27" spans="1:96">
      <c r="A27" s="46" t="s">
        <v>5460</v>
      </c>
      <c r="B27" s="46" t="s">
        <v>5461</v>
      </c>
      <c r="C27" s="46">
        <v>21</v>
      </c>
      <c r="D27" s="46" t="s">
        <v>3331</v>
      </c>
      <c r="E27" s="46" t="s">
        <v>191</v>
      </c>
      <c r="F27" s="46" t="s">
        <v>2472</v>
      </c>
      <c r="I27" s="46">
        <v>1</v>
      </c>
      <c r="M27" s="46">
        <v>1</v>
      </c>
      <c r="Q27" s="46">
        <v>1</v>
      </c>
      <c r="U27" s="46">
        <v>1</v>
      </c>
      <c r="W27" s="46">
        <v>15</v>
      </c>
      <c r="X27" s="46">
        <v>0</v>
      </c>
      <c r="Y27" s="46">
        <v>21</v>
      </c>
      <c r="Z27" s="46">
        <v>2</v>
      </c>
      <c r="AA27" s="46">
        <v>1</v>
      </c>
      <c r="AB27" s="46">
        <v>1</v>
      </c>
      <c r="AG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Z27" s="46">
        <v>1</v>
      </c>
      <c r="CC27" s="46">
        <v>1</v>
      </c>
      <c r="CI27" s="46">
        <v>1</v>
      </c>
      <c r="CP27" s="46">
        <v>1</v>
      </c>
      <c r="CR27" s="134">
        <v>46569</v>
      </c>
    </row>
    <row r="28" spans="1:96">
      <c r="A28" s="46" t="s">
        <v>5462</v>
      </c>
      <c r="B28" s="46" t="s">
        <v>5463</v>
      </c>
      <c r="C28" s="46">
        <v>25</v>
      </c>
      <c r="D28" s="46" t="s">
        <v>5464</v>
      </c>
      <c r="E28" s="46" t="s">
        <v>5465</v>
      </c>
      <c r="F28" s="46" t="s">
        <v>2484</v>
      </c>
      <c r="I28" s="46">
        <v>1</v>
      </c>
      <c r="O28" s="46">
        <v>1</v>
      </c>
      <c r="Q28" s="46">
        <v>1</v>
      </c>
      <c r="U28" s="46">
        <v>1</v>
      </c>
      <c r="W28" s="46">
        <v>15</v>
      </c>
      <c r="X28" s="46">
        <v>17</v>
      </c>
      <c r="Y28" s="46">
        <v>18</v>
      </c>
      <c r="Z28" s="46">
        <v>2</v>
      </c>
      <c r="AA28" s="46">
        <v>2</v>
      </c>
      <c r="AB28" s="46">
        <v>2</v>
      </c>
      <c r="AD28" s="46">
        <v>1</v>
      </c>
      <c r="AE28" s="46">
        <v>1</v>
      </c>
      <c r="AJ28" s="46">
        <v>1</v>
      </c>
      <c r="AL28" s="46">
        <v>1</v>
      </c>
      <c r="AQ28" s="46" t="s">
        <v>2954</v>
      </c>
      <c r="AT28" s="46">
        <v>1</v>
      </c>
      <c r="AX28" s="46">
        <v>1</v>
      </c>
      <c r="BA28" s="46">
        <v>1</v>
      </c>
      <c r="BI28" s="46">
        <v>1</v>
      </c>
      <c r="BZ28" s="46">
        <v>1</v>
      </c>
      <c r="CC28" s="46">
        <v>1</v>
      </c>
      <c r="CI28" s="46">
        <v>1</v>
      </c>
      <c r="CP28" s="46">
        <v>1</v>
      </c>
      <c r="CR28" s="134">
        <v>46569</v>
      </c>
    </row>
    <row r="29" spans="1:96">
      <c r="A29" s="46" t="s">
        <v>5466</v>
      </c>
      <c r="B29" s="46" t="s">
        <v>5467</v>
      </c>
      <c r="C29" s="46">
        <v>49</v>
      </c>
      <c r="D29" s="46" t="s">
        <v>300</v>
      </c>
      <c r="E29" s="46" t="s">
        <v>5468</v>
      </c>
      <c r="F29" s="46" t="s">
        <v>2484</v>
      </c>
      <c r="G29" s="46">
        <v>1</v>
      </c>
      <c r="M29" s="46">
        <v>1</v>
      </c>
      <c r="R29" s="46">
        <v>1</v>
      </c>
      <c r="T29" s="46">
        <v>1</v>
      </c>
      <c r="W29" s="46">
        <v>0</v>
      </c>
      <c r="X29" s="46">
        <v>16</v>
      </c>
      <c r="Y29" s="46">
        <v>18</v>
      </c>
      <c r="Z29" s="46">
        <v>7</v>
      </c>
      <c r="AA29" s="46">
        <v>6</v>
      </c>
      <c r="AB29" s="46">
        <v>6</v>
      </c>
      <c r="AC29" s="46">
        <v>1</v>
      </c>
      <c r="AJ29" s="46">
        <v>1</v>
      </c>
      <c r="AK29" s="46">
        <v>1</v>
      </c>
      <c r="AT29" s="46">
        <v>1</v>
      </c>
      <c r="AW29" s="46">
        <v>1</v>
      </c>
      <c r="BB29" s="46">
        <v>1</v>
      </c>
      <c r="BF29" s="46">
        <v>1</v>
      </c>
      <c r="BI29" s="46">
        <v>1</v>
      </c>
      <c r="BZ29" s="46">
        <v>1</v>
      </c>
      <c r="CC29" s="46">
        <v>1</v>
      </c>
      <c r="CI29" s="46">
        <v>1</v>
      </c>
      <c r="CP29" s="46">
        <v>1</v>
      </c>
      <c r="CR29" s="134">
        <v>46569</v>
      </c>
    </row>
    <row r="30" spans="1:96">
      <c r="A30" s="46" t="s">
        <v>5469</v>
      </c>
      <c r="B30" s="46" t="s">
        <v>5470</v>
      </c>
      <c r="C30" s="46">
        <v>23</v>
      </c>
      <c r="D30" s="46" t="s">
        <v>300</v>
      </c>
      <c r="E30" s="46" t="s">
        <v>5471</v>
      </c>
      <c r="F30" s="46" t="s">
        <v>2523</v>
      </c>
      <c r="I30" s="46">
        <v>1</v>
      </c>
      <c r="O30" s="46">
        <v>1</v>
      </c>
      <c r="Q30" s="46">
        <v>1</v>
      </c>
      <c r="T30" s="46">
        <v>1</v>
      </c>
      <c r="W30" s="46">
        <v>15</v>
      </c>
      <c r="X30" s="46">
        <v>18</v>
      </c>
      <c r="Y30" s="46">
        <v>23</v>
      </c>
      <c r="Z30" s="46">
        <v>1</v>
      </c>
      <c r="AA30" s="46">
        <v>2</v>
      </c>
      <c r="AB30" s="46">
        <v>2</v>
      </c>
      <c r="AH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Z30" s="46">
        <v>1</v>
      </c>
      <c r="CC30" s="46">
        <v>1</v>
      </c>
      <c r="CI30" s="46">
        <v>1</v>
      </c>
      <c r="CP30" s="46">
        <v>1</v>
      </c>
      <c r="CR30" s="134">
        <v>46569</v>
      </c>
    </row>
  </sheetData>
  <autoFilter ref="A3:CR30"/>
  <mergeCells count="1">
    <mergeCell ref="AV1:AZ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5094</v>
      </c>
      <c r="B3" s="69">
        <v>2</v>
      </c>
      <c r="C3" s="69">
        <v>1</v>
      </c>
      <c r="D3" s="69">
        <v>0</v>
      </c>
      <c r="E3" s="69">
        <f>SUM(B3:D3)</f>
        <v>3</v>
      </c>
      <c r="F3" s="70">
        <v>0</v>
      </c>
      <c r="G3" s="70">
        <v>2</v>
      </c>
      <c r="H3" s="70">
        <v>0</v>
      </c>
      <c r="I3" s="70">
        <v>0</v>
      </c>
      <c r="J3" s="71">
        <f t="shared" ref="J3:J8" si="0">SUM(F3:I3)</f>
        <v>2</v>
      </c>
      <c r="K3" s="70">
        <v>0</v>
      </c>
      <c r="L3" s="70">
        <v>0</v>
      </c>
      <c r="M3" s="70">
        <v>0</v>
      </c>
      <c r="N3" s="70">
        <v>1</v>
      </c>
      <c r="O3" s="70">
        <v>0</v>
      </c>
      <c r="P3" s="71">
        <f>SUM(K3:O3)</f>
        <v>1</v>
      </c>
      <c r="Q3" s="70">
        <v>0</v>
      </c>
      <c r="R3" s="70">
        <v>0</v>
      </c>
      <c r="S3" s="70">
        <v>2</v>
      </c>
      <c r="T3" s="71">
        <f>SUM(Q3:S3)</f>
        <v>2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3</v>
      </c>
      <c r="AB3" s="73">
        <v>0</v>
      </c>
      <c r="AC3" s="73">
        <v>0</v>
      </c>
      <c r="AD3" s="73">
        <v>0</v>
      </c>
      <c r="AE3" s="186">
        <f>SUM(AA3,AB3,AC3,AD3)</f>
        <v>3</v>
      </c>
      <c r="AF3" s="73">
        <v>0</v>
      </c>
      <c r="AG3" s="73">
        <v>0</v>
      </c>
    </row>
    <row r="4" spans="1:33">
      <c r="A4" s="74" t="s">
        <v>5472</v>
      </c>
      <c r="B4" s="69">
        <v>10</v>
      </c>
      <c r="C4" s="69">
        <v>3</v>
      </c>
      <c r="D4" s="69">
        <v>0</v>
      </c>
      <c r="E4" s="69">
        <f>SUM(B4:D4)</f>
        <v>13</v>
      </c>
      <c r="F4" s="70">
        <v>0</v>
      </c>
      <c r="G4" s="70">
        <v>10</v>
      </c>
      <c r="H4" s="70">
        <v>0</v>
      </c>
      <c r="I4" s="70">
        <v>0</v>
      </c>
      <c r="J4" s="71">
        <f t="shared" si="0"/>
        <v>10</v>
      </c>
      <c r="K4" s="70">
        <v>1</v>
      </c>
      <c r="L4" s="70">
        <v>0</v>
      </c>
      <c r="M4" s="70">
        <v>0</v>
      </c>
      <c r="N4" s="70">
        <v>1</v>
      </c>
      <c r="O4" s="70">
        <v>1</v>
      </c>
      <c r="P4" s="71">
        <f>SUM(K4:O4)</f>
        <v>3</v>
      </c>
      <c r="Q4" s="70">
        <v>0</v>
      </c>
      <c r="R4" s="70">
        <v>0</v>
      </c>
      <c r="S4" s="70">
        <v>7</v>
      </c>
      <c r="T4" s="71">
        <f>SUM(Q4:S4)</f>
        <v>7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12</v>
      </c>
      <c r="AB4" s="73">
        <v>0</v>
      </c>
      <c r="AC4" s="73">
        <v>0</v>
      </c>
      <c r="AD4" s="73">
        <v>1</v>
      </c>
      <c r="AE4" s="186">
        <f>SUM(AA4,AB4,AC4,AD4)</f>
        <v>13</v>
      </c>
      <c r="AF4" s="73">
        <v>0</v>
      </c>
      <c r="AG4" s="73">
        <v>0</v>
      </c>
    </row>
    <row r="5" spans="1:33">
      <c r="A5" s="77" t="s">
        <v>3842</v>
      </c>
      <c r="B5" s="69">
        <v>6</v>
      </c>
      <c r="C5" s="69">
        <v>1</v>
      </c>
      <c r="D5" s="69">
        <v>0</v>
      </c>
      <c r="E5" s="69">
        <f>SUM(B5:D5)</f>
        <v>7</v>
      </c>
      <c r="F5" s="70">
        <v>1</v>
      </c>
      <c r="G5" s="70">
        <v>5</v>
      </c>
      <c r="H5" s="70">
        <v>0</v>
      </c>
      <c r="I5" s="70">
        <v>0</v>
      </c>
      <c r="J5" s="71">
        <f t="shared" si="0"/>
        <v>6</v>
      </c>
      <c r="K5" s="70">
        <v>1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1</v>
      </c>
      <c r="Q5" s="70">
        <v>1</v>
      </c>
      <c r="R5" s="70">
        <v>0</v>
      </c>
      <c r="S5" s="70">
        <v>2</v>
      </c>
      <c r="T5" s="71">
        <f>SUM(Q5:S5)</f>
        <v>3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6</v>
      </c>
      <c r="AB5" s="73">
        <v>0</v>
      </c>
      <c r="AC5" s="73">
        <v>0</v>
      </c>
      <c r="AD5" s="73">
        <v>1</v>
      </c>
      <c r="AE5" s="186">
        <f>SUM(AA5,AB5,AC5,AD5)</f>
        <v>7</v>
      </c>
      <c r="AF5" s="73">
        <v>0</v>
      </c>
      <c r="AG5" s="73">
        <v>0</v>
      </c>
    </row>
    <row r="6" spans="1:33">
      <c r="A6" s="77" t="s">
        <v>5352</v>
      </c>
      <c r="B6" s="69">
        <v>2</v>
      </c>
      <c r="C6" s="69">
        <v>1</v>
      </c>
      <c r="D6" s="69">
        <v>0</v>
      </c>
      <c r="E6" s="69">
        <f>SUM(B6:D6)</f>
        <v>3</v>
      </c>
      <c r="F6" s="70">
        <v>0</v>
      </c>
      <c r="G6" s="70">
        <v>2</v>
      </c>
      <c r="H6" s="70">
        <v>0</v>
      </c>
      <c r="I6" s="70">
        <v>0</v>
      </c>
      <c r="J6" s="71">
        <f t="shared" si="0"/>
        <v>2</v>
      </c>
      <c r="K6" s="70">
        <v>0</v>
      </c>
      <c r="L6" s="70">
        <v>1</v>
      </c>
      <c r="M6" s="70">
        <v>0</v>
      </c>
      <c r="N6" s="70">
        <v>0</v>
      </c>
      <c r="O6" s="70">
        <v>0</v>
      </c>
      <c r="P6" s="71">
        <f>SUM(K6:O6)</f>
        <v>1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1</v>
      </c>
      <c r="Y6" s="75">
        <v>0</v>
      </c>
      <c r="Z6" s="75"/>
      <c r="AA6" s="73">
        <v>3</v>
      </c>
      <c r="AB6" s="73">
        <v>0</v>
      </c>
      <c r="AC6" s="73">
        <v>0</v>
      </c>
      <c r="AD6" s="73">
        <v>0</v>
      </c>
      <c r="AE6" s="186">
        <f>SUM(AA6,AB6,AC6,AD6)</f>
        <v>3</v>
      </c>
      <c r="AF6" s="73">
        <v>0</v>
      </c>
      <c r="AG6" s="73">
        <v>0</v>
      </c>
    </row>
    <row r="7" spans="1:33">
      <c r="A7" s="77" t="s">
        <v>5473</v>
      </c>
      <c r="B7" s="69">
        <v>1</v>
      </c>
      <c r="C7" s="69">
        <v>0</v>
      </c>
      <c r="D7" s="69">
        <v>0</v>
      </c>
      <c r="E7" s="69">
        <f>SUM(B7:D7)</f>
        <v>1</v>
      </c>
      <c r="F7" s="70">
        <v>0</v>
      </c>
      <c r="G7" s="70">
        <v>0</v>
      </c>
      <c r="H7" s="70">
        <v>0</v>
      </c>
      <c r="I7" s="70">
        <v>0</v>
      </c>
      <c r="J7" s="71">
        <f t="shared" si="0"/>
        <v>0</v>
      </c>
      <c r="K7" s="70">
        <v>1</v>
      </c>
      <c r="L7" s="70">
        <v>0</v>
      </c>
      <c r="M7" s="70">
        <v>0</v>
      </c>
      <c r="N7" s="70">
        <v>0</v>
      </c>
      <c r="O7" s="70">
        <v>0</v>
      </c>
      <c r="P7" s="71">
        <f>SUM(K7:O7)</f>
        <v>1</v>
      </c>
      <c r="Q7" s="70">
        <v>0</v>
      </c>
      <c r="R7" s="70">
        <v>0</v>
      </c>
      <c r="S7" s="70">
        <v>0</v>
      </c>
      <c r="T7" s="71">
        <f>SUM(Q7:S7)</f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1</v>
      </c>
      <c r="AB7" s="73">
        <v>0</v>
      </c>
      <c r="AC7" s="73">
        <v>0</v>
      </c>
      <c r="AD7" s="73">
        <v>0</v>
      </c>
      <c r="AE7" s="186">
        <f>SUM(AA7,AB7,AC7,AD7)</f>
        <v>1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1">SUM(B3:B7)</f>
        <v>21</v>
      </c>
      <c r="C8" s="69">
        <f t="shared" si="1"/>
        <v>6</v>
      </c>
      <c r="D8" s="69">
        <f t="shared" si="1"/>
        <v>0</v>
      </c>
      <c r="E8" s="69">
        <f t="shared" si="1"/>
        <v>27</v>
      </c>
      <c r="F8" s="69">
        <f t="shared" si="1"/>
        <v>1</v>
      </c>
      <c r="G8" s="69">
        <f t="shared" si="1"/>
        <v>19</v>
      </c>
      <c r="H8" s="69">
        <f t="shared" si="1"/>
        <v>0</v>
      </c>
      <c r="I8" s="69">
        <f t="shared" si="1"/>
        <v>0</v>
      </c>
      <c r="J8" s="71">
        <f t="shared" si="0"/>
        <v>20</v>
      </c>
      <c r="K8" s="114">
        <f>SUM(K3:K7)</f>
        <v>3</v>
      </c>
      <c r="L8" s="114">
        <f>SUM(L3:L7)</f>
        <v>1</v>
      </c>
      <c r="M8" s="114">
        <f>SUM(M3:M7)</f>
        <v>0</v>
      </c>
      <c r="N8" s="114">
        <f>SUM(N3:N7)</f>
        <v>2</v>
      </c>
      <c r="O8" s="114">
        <f>SUM(O3:O7)</f>
        <v>1</v>
      </c>
      <c r="P8" s="71">
        <f>SUM(K8:N8)</f>
        <v>6</v>
      </c>
      <c r="Q8" s="114">
        <f t="shared" ref="Q8:AG8" si="2">SUM(Q3:Q7)</f>
        <v>1</v>
      </c>
      <c r="R8" s="114">
        <f t="shared" si="2"/>
        <v>0</v>
      </c>
      <c r="S8" s="114">
        <f t="shared" si="2"/>
        <v>11</v>
      </c>
      <c r="T8" s="71">
        <f t="shared" si="2"/>
        <v>12</v>
      </c>
      <c r="U8" s="114">
        <f t="shared" si="2"/>
        <v>0</v>
      </c>
      <c r="V8" s="114">
        <f t="shared" si="2"/>
        <v>0</v>
      </c>
      <c r="W8" s="114">
        <f t="shared" si="2"/>
        <v>0</v>
      </c>
      <c r="X8" s="114">
        <f t="shared" si="2"/>
        <v>1</v>
      </c>
      <c r="Y8" s="114">
        <f t="shared" si="2"/>
        <v>0</v>
      </c>
      <c r="Z8" s="114">
        <f t="shared" si="2"/>
        <v>0</v>
      </c>
      <c r="AA8" s="73">
        <f t="shared" si="2"/>
        <v>25</v>
      </c>
      <c r="AB8" s="73">
        <f t="shared" si="2"/>
        <v>0</v>
      </c>
      <c r="AC8" s="73">
        <f t="shared" si="2"/>
        <v>0</v>
      </c>
      <c r="AD8" s="73">
        <f t="shared" si="2"/>
        <v>2</v>
      </c>
      <c r="AE8" s="73">
        <f t="shared" si="2"/>
        <v>27</v>
      </c>
      <c r="AF8" s="73">
        <f t="shared" si="2"/>
        <v>0</v>
      </c>
      <c r="AG8" s="73">
        <f t="shared" si="2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R39"/>
  <sheetViews>
    <sheetView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9" sqref="G9"/>
    </sheetView>
  </sheetViews>
  <sheetFormatPr defaultColWidth="14.42578125" defaultRowHeight="15" customHeight="1"/>
  <cols>
    <col min="1" max="1" width="8.140625" customWidth="1"/>
    <col min="2" max="2" width="20.85546875" customWidth="1"/>
    <col min="3" max="3" width="8.140625" customWidth="1"/>
    <col min="5" max="5" width="18" customWidth="1"/>
  </cols>
  <sheetData>
    <row r="2" spans="1:96">
      <c r="A2" s="479" t="s">
        <v>5474</v>
      </c>
      <c r="B2" s="480"/>
      <c r="C2" s="479" t="s">
        <v>5475</v>
      </c>
      <c r="D2" s="481"/>
      <c r="E2" s="480"/>
      <c r="F2" s="1"/>
      <c r="G2" s="482" t="s">
        <v>2</v>
      </c>
      <c r="H2" s="468"/>
      <c r="I2" s="468"/>
      <c r="J2" s="468"/>
      <c r="K2" s="469"/>
      <c r="L2" s="462" t="s">
        <v>3</v>
      </c>
      <c r="M2" s="456"/>
      <c r="N2" s="456"/>
      <c r="O2" s="456"/>
      <c r="P2" s="461"/>
      <c r="Q2" s="483" t="s">
        <v>4</v>
      </c>
      <c r="R2" s="461"/>
      <c r="S2" s="462" t="s">
        <v>5</v>
      </c>
      <c r="T2" s="456"/>
      <c r="U2" s="456"/>
      <c r="V2" s="461"/>
      <c r="W2" s="463" t="s">
        <v>6</v>
      </c>
      <c r="X2" s="456"/>
      <c r="Y2" s="456"/>
      <c r="Z2" s="456"/>
      <c r="AA2" s="456"/>
      <c r="AB2" s="464"/>
      <c r="AC2" s="460" t="s">
        <v>7</v>
      </c>
      <c r="AD2" s="456"/>
      <c r="AE2" s="456"/>
      <c r="AF2" s="456"/>
      <c r="AG2" s="456"/>
      <c r="AH2" s="461"/>
      <c r="AI2" s="463" t="s">
        <v>8</v>
      </c>
      <c r="AJ2" s="461"/>
      <c r="AK2" s="462" t="s">
        <v>9</v>
      </c>
      <c r="AL2" s="456"/>
      <c r="AM2" s="461"/>
      <c r="AN2" s="460" t="s">
        <v>10</v>
      </c>
      <c r="AO2" s="456"/>
      <c r="AP2" s="461"/>
      <c r="AQ2" s="462" t="s">
        <v>11</v>
      </c>
      <c r="AR2" s="456"/>
      <c r="AS2" s="456"/>
      <c r="AT2" s="463" t="s">
        <v>12</v>
      </c>
      <c r="AU2" s="464"/>
      <c r="AV2" s="460" t="s">
        <v>13</v>
      </c>
      <c r="AW2" s="456"/>
      <c r="AX2" s="456"/>
      <c r="AY2" s="456"/>
      <c r="AZ2" s="461"/>
      <c r="BA2" s="467" t="s">
        <v>14</v>
      </c>
      <c r="BB2" s="468"/>
      <c r="BC2" s="468"/>
      <c r="BD2" s="468"/>
      <c r="BE2" s="469"/>
      <c r="BF2" s="470" t="s">
        <v>15</v>
      </c>
      <c r="BG2" s="471"/>
      <c r="BH2" s="472" t="s">
        <v>16</v>
      </c>
      <c r="BI2" s="473"/>
      <c r="BJ2" s="473"/>
      <c r="BK2" s="473"/>
      <c r="BL2" s="474"/>
      <c r="BM2" s="455" t="s">
        <v>17</v>
      </c>
      <c r="BN2" s="456"/>
      <c r="BO2" s="461"/>
      <c r="BP2" s="475" t="s">
        <v>18</v>
      </c>
      <c r="BQ2" s="476"/>
      <c r="BR2" s="3"/>
      <c r="BS2" s="3"/>
      <c r="BT2" s="475" t="s">
        <v>19</v>
      </c>
      <c r="BU2" s="473"/>
      <c r="BV2" s="473"/>
      <c r="BW2" s="473"/>
      <c r="BX2" s="473"/>
      <c r="BY2" s="463" t="s">
        <v>20</v>
      </c>
      <c r="BZ2" s="456"/>
      <c r="CA2" s="461"/>
      <c r="CB2" s="465" t="s">
        <v>21</v>
      </c>
      <c r="CC2" s="466"/>
      <c r="CD2" s="4" t="s">
        <v>22</v>
      </c>
      <c r="CE2" s="465" t="s">
        <v>23</v>
      </c>
      <c r="CF2" s="469"/>
      <c r="CG2" s="463" t="s">
        <v>16</v>
      </c>
      <c r="CH2" s="456"/>
      <c r="CI2" s="464"/>
      <c r="CJ2" s="455" t="s">
        <v>24</v>
      </c>
      <c r="CK2" s="456"/>
      <c r="CL2" s="457" t="s">
        <v>25</v>
      </c>
      <c r="CM2" s="456"/>
      <c r="CN2" s="5"/>
      <c r="CO2" s="6" t="s">
        <v>26</v>
      </c>
      <c r="CP2" s="7"/>
      <c r="CQ2" s="8"/>
      <c r="CR2" s="9"/>
    </row>
    <row r="3" spans="1:96">
      <c r="BM3" s="477" t="s">
        <v>27</v>
      </c>
      <c r="BN3" s="478"/>
      <c r="BO3" s="478"/>
      <c r="BP3" s="478"/>
      <c r="BQ3" s="478"/>
      <c r="BR3" s="478"/>
      <c r="BS3" s="478"/>
    </row>
    <row r="4" spans="1:96" ht="17.25" customHeight="1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1" t="s">
        <v>33</v>
      </c>
      <c r="G4" s="12" t="s">
        <v>34</v>
      </c>
      <c r="H4" s="13" t="s">
        <v>35</v>
      </c>
      <c r="I4" s="13" t="s">
        <v>36</v>
      </c>
      <c r="J4" s="14" t="s">
        <v>37</v>
      </c>
      <c r="K4" s="15" t="s">
        <v>38</v>
      </c>
      <c r="L4" s="16" t="s">
        <v>39</v>
      </c>
      <c r="M4" s="10" t="s">
        <v>40</v>
      </c>
      <c r="N4" s="10" t="s">
        <v>41</v>
      </c>
      <c r="O4" s="10" t="s">
        <v>42</v>
      </c>
      <c r="P4" s="17" t="s">
        <v>43</v>
      </c>
      <c r="Q4" s="18" t="s">
        <v>44</v>
      </c>
      <c r="R4" s="19" t="s">
        <v>45</v>
      </c>
      <c r="S4" s="16" t="s">
        <v>46</v>
      </c>
      <c r="T4" s="10" t="s">
        <v>47</v>
      </c>
      <c r="U4" s="10" t="s">
        <v>48</v>
      </c>
      <c r="V4" s="11" t="s">
        <v>49</v>
      </c>
      <c r="W4" s="20" t="s">
        <v>50</v>
      </c>
      <c r="X4" s="21" t="s">
        <v>51</v>
      </c>
      <c r="Y4" s="21" t="s">
        <v>52</v>
      </c>
      <c r="Z4" s="21" t="s">
        <v>53</v>
      </c>
      <c r="AA4" s="21" t="s">
        <v>54</v>
      </c>
      <c r="AB4" s="22" t="s">
        <v>55</v>
      </c>
      <c r="AC4" s="20" t="s">
        <v>56</v>
      </c>
      <c r="AD4" s="21" t="s">
        <v>57</v>
      </c>
      <c r="AE4" s="21" t="s">
        <v>58</v>
      </c>
      <c r="AF4" s="21" t="s">
        <v>59</v>
      </c>
      <c r="AG4" s="21" t="s">
        <v>60</v>
      </c>
      <c r="AH4" s="23" t="s">
        <v>61</v>
      </c>
      <c r="AI4" s="24" t="s">
        <v>62</v>
      </c>
      <c r="AJ4" s="25" t="s">
        <v>63</v>
      </c>
      <c r="AK4" s="16" t="s">
        <v>64</v>
      </c>
      <c r="AL4" s="10" t="s">
        <v>65</v>
      </c>
      <c r="AM4" s="26" t="s">
        <v>66</v>
      </c>
      <c r="AN4" s="20" t="s">
        <v>67</v>
      </c>
      <c r="AO4" s="21" t="s">
        <v>68</v>
      </c>
      <c r="AP4" s="23" t="s">
        <v>69</v>
      </c>
      <c r="AQ4" s="20" t="s">
        <v>70</v>
      </c>
      <c r="AR4" s="21" t="s">
        <v>71</v>
      </c>
      <c r="AS4" s="22" t="s">
        <v>72</v>
      </c>
      <c r="AT4" s="20" t="s">
        <v>56</v>
      </c>
      <c r="AU4" s="22" t="s">
        <v>73</v>
      </c>
      <c r="AV4" s="20" t="s">
        <v>46</v>
      </c>
      <c r="AW4" s="21" t="s">
        <v>74</v>
      </c>
      <c r="AX4" s="27" t="s">
        <v>75</v>
      </c>
      <c r="AY4" s="27" t="s">
        <v>76</v>
      </c>
      <c r="AZ4" s="23" t="s">
        <v>77</v>
      </c>
      <c r="BA4" s="28" t="s">
        <v>56</v>
      </c>
      <c r="BB4" s="29" t="s">
        <v>78</v>
      </c>
      <c r="BC4" s="29" t="s">
        <v>79</v>
      </c>
      <c r="BD4" s="29" t="s">
        <v>80</v>
      </c>
      <c r="BE4" s="30" t="s">
        <v>38</v>
      </c>
      <c r="BF4" s="31" t="s">
        <v>81</v>
      </c>
      <c r="BG4" s="32" t="s">
        <v>82</v>
      </c>
      <c r="BH4" s="33" t="s">
        <v>83</v>
      </c>
      <c r="BI4" s="29" t="s">
        <v>81</v>
      </c>
      <c r="BJ4" s="29" t="s">
        <v>84</v>
      </c>
      <c r="BK4" s="29" t="s">
        <v>85</v>
      </c>
      <c r="BL4" s="111" t="s">
        <v>96</v>
      </c>
      <c r="BM4" s="21" t="s">
        <v>73</v>
      </c>
      <c r="BN4" s="34" t="s">
        <v>87</v>
      </c>
      <c r="BO4" s="22" t="s">
        <v>56</v>
      </c>
      <c r="BP4" s="35" t="s">
        <v>83</v>
      </c>
      <c r="BQ4" s="36" t="s">
        <v>88</v>
      </c>
      <c r="BR4" s="37" t="s">
        <v>89</v>
      </c>
      <c r="BS4" s="37"/>
      <c r="BT4" s="35" t="s">
        <v>90</v>
      </c>
      <c r="BU4" s="38" t="s">
        <v>91</v>
      </c>
      <c r="BV4" s="38" t="s">
        <v>92</v>
      </c>
      <c r="BW4" s="38" t="s">
        <v>93</v>
      </c>
      <c r="BX4" s="39" t="s">
        <v>94</v>
      </c>
      <c r="BY4" s="40" t="s">
        <v>56</v>
      </c>
      <c r="BZ4" s="40" t="s">
        <v>73</v>
      </c>
      <c r="CA4" s="41" t="s">
        <v>22</v>
      </c>
      <c r="CB4" s="40" t="s">
        <v>56</v>
      </c>
      <c r="CC4" s="29" t="s">
        <v>73</v>
      </c>
      <c r="CD4" s="29" t="s">
        <v>95</v>
      </c>
      <c r="CE4" s="29" t="s">
        <v>83</v>
      </c>
      <c r="CF4" s="29" t="s">
        <v>88</v>
      </c>
      <c r="CG4" s="20" t="s">
        <v>96</v>
      </c>
      <c r="CH4" s="42" t="s">
        <v>97</v>
      </c>
      <c r="CI4" s="21" t="s">
        <v>98</v>
      </c>
      <c r="CJ4" s="21" t="s">
        <v>73</v>
      </c>
      <c r="CK4" s="22" t="s">
        <v>56</v>
      </c>
      <c r="CL4" s="20" t="s">
        <v>99</v>
      </c>
      <c r="CM4" s="22" t="s">
        <v>56</v>
      </c>
      <c r="CN4" s="43"/>
      <c r="CO4" s="458" t="s">
        <v>100</v>
      </c>
      <c r="CP4" s="459"/>
      <c r="CQ4" s="44" t="s">
        <v>101</v>
      </c>
      <c r="CR4" s="45" t="s">
        <v>102</v>
      </c>
    </row>
    <row r="5" spans="1:96">
      <c r="A5" s="46" t="s">
        <v>5392</v>
      </c>
      <c r="B5" s="46" t="s">
        <v>5476</v>
      </c>
      <c r="C5" s="46">
        <v>30</v>
      </c>
      <c r="D5" s="46" t="s">
        <v>5477</v>
      </c>
      <c r="E5" s="46" t="s">
        <v>5478</v>
      </c>
      <c r="F5" s="46" t="s">
        <v>112</v>
      </c>
      <c r="I5" s="46">
        <v>1</v>
      </c>
      <c r="O5" s="46">
        <v>1</v>
      </c>
      <c r="R5" s="46">
        <v>1</v>
      </c>
      <c r="S5" s="46">
        <v>1</v>
      </c>
      <c r="Y5" s="46">
        <v>21</v>
      </c>
      <c r="Z5" s="46">
        <v>3</v>
      </c>
      <c r="AB5" s="46">
        <v>3</v>
      </c>
      <c r="AH5" s="46">
        <v>1</v>
      </c>
      <c r="AI5" s="46">
        <v>1</v>
      </c>
      <c r="AL5" s="46">
        <v>1</v>
      </c>
      <c r="AT5" s="46">
        <v>1</v>
      </c>
      <c r="AW5" s="46">
        <v>1</v>
      </c>
      <c r="BE5" s="46">
        <v>1</v>
      </c>
      <c r="BG5" s="46">
        <v>1</v>
      </c>
      <c r="BI5" s="46">
        <v>1</v>
      </c>
      <c r="BU5" s="46">
        <v>1</v>
      </c>
      <c r="BV5" s="46">
        <v>1</v>
      </c>
      <c r="BY5" s="46">
        <v>1</v>
      </c>
      <c r="CC5" s="46">
        <v>1</v>
      </c>
      <c r="CF5" s="46">
        <v>1</v>
      </c>
      <c r="CM5" s="46">
        <v>1</v>
      </c>
      <c r="CR5" s="46" t="s">
        <v>5479</v>
      </c>
    </row>
    <row r="6" spans="1:96">
      <c r="A6" s="46" t="s">
        <v>5396</v>
      </c>
      <c r="B6" s="46" t="s">
        <v>5480</v>
      </c>
      <c r="C6" s="46">
        <v>29</v>
      </c>
      <c r="D6" s="46" t="s">
        <v>5481</v>
      </c>
      <c r="E6" s="46" t="s">
        <v>5482</v>
      </c>
      <c r="M6" s="46">
        <v>1</v>
      </c>
      <c r="T6" s="46">
        <v>1</v>
      </c>
      <c r="W6" s="46">
        <v>15</v>
      </c>
      <c r="X6" s="46">
        <v>15</v>
      </c>
      <c r="Y6" s="46">
        <v>19</v>
      </c>
      <c r="Z6" s="46">
        <v>3</v>
      </c>
      <c r="AA6" s="46">
        <v>3</v>
      </c>
      <c r="AB6" s="46">
        <v>3</v>
      </c>
      <c r="AG6" s="46">
        <v>1</v>
      </c>
      <c r="AL6" s="46">
        <v>1</v>
      </c>
      <c r="AO6" s="46">
        <v>1</v>
      </c>
      <c r="AS6" s="46">
        <v>1</v>
      </c>
      <c r="AT6" s="46">
        <v>1</v>
      </c>
      <c r="AX6" s="46">
        <v>1</v>
      </c>
      <c r="BE6" s="46">
        <v>1</v>
      </c>
      <c r="BG6" s="46">
        <v>1</v>
      </c>
      <c r="BI6" s="46">
        <v>1</v>
      </c>
      <c r="BU6" s="46">
        <v>1</v>
      </c>
      <c r="BV6" s="46">
        <v>1</v>
      </c>
      <c r="BY6" s="46">
        <v>1</v>
      </c>
      <c r="CG6" s="46">
        <v>1</v>
      </c>
      <c r="CM6" s="46">
        <v>1</v>
      </c>
      <c r="CR6" s="46" t="s">
        <v>5479</v>
      </c>
    </row>
    <row r="7" spans="1:96">
      <c r="A7" s="46" t="s">
        <v>5399</v>
      </c>
      <c r="B7" s="46" t="s">
        <v>5483</v>
      </c>
      <c r="C7" s="46">
        <v>24</v>
      </c>
      <c r="D7" s="46" t="s">
        <v>5484</v>
      </c>
      <c r="E7" s="46" t="s">
        <v>5485</v>
      </c>
      <c r="F7" s="46" t="s">
        <v>112</v>
      </c>
      <c r="I7" s="46">
        <v>1</v>
      </c>
      <c r="M7" s="46">
        <v>1</v>
      </c>
      <c r="Q7" s="46">
        <v>1</v>
      </c>
      <c r="T7" s="46">
        <v>1</v>
      </c>
      <c r="W7" s="46">
        <v>14</v>
      </c>
      <c r="X7" s="46">
        <v>16</v>
      </c>
      <c r="Y7" s="46">
        <v>18</v>
      </c>
      <c r="Z7" s="46">
        <v>2</v>
      </c>
      <c r="AA7" s="46">
        <v>2</v>
      </c>
      <c r="AB7" s="46">
        <v>2</v>
      </c>
      <c r="AH7" s="46">
        <v>1</v>
      </c>
      <c r="AI7" s="46">
        <v>1</v>
      </c>
      <c r="AK7" s="46">
        <v>1</v>
      </c>
      <c r="AT7" s="46">
        <v>1</v>
      </c>
      <c r="AX7" s="46">
        <v>1</v>
      </c>
      <c r="BA7" s="46">
        <v>1</v>
      </c>
      <c r="BH7" s="46">
        <v>1</v>
      </c>
      <c r="BU7" s="46">
        <v>1</v>
      </c>
      <c r="BV7" s="46">
        <v>1</v>
      </c>
      <c r="BY7" s="46">
        <v>1</v>
      </c>
      <c r="CB7" s="46">
        <v>1</v>
      </c>
      <c r="CG7" s="46">
        <v>1</v>
      </c>
      <c r="CM7" s="46">
        <v>1</v>
      </c>
      <c r="CR7" s="46" t="s">
        <v>5479</v>
      </c>
    </row>
    <row r="8" spans="1:96">
      <c r="A8" s="46" t="s">
        <v>5402</v>
      </c>
      <c r="B8" s="46" t="s">
        <v>5486</v>
      </c>
      <c r="C8" s="46">
        <v>30</v>
      </c>
      <c r="D8" s="46" t="s">
        <v>5487</v>
      </c>
      <c r="E8" s="46" t="s">
        <v>5488</v>
      </c>
      <c r="F8" s="46" t="s">
        <v>112</v>
      </c>
      <c r="H8" s="46">
        <v>1</v>
      </c>
      <c r="M8" s="46">
        <v>1</v>
      </c>
      <c r="R8" s="46">
        <v>1</v>
      </c>
      <c r="T8" s="46">
        <v>1</v>
      </c>
      <c r="W8" s="46">
        <v>14</v>
      </c>
      <c r="X8" s="46">
        <v>16</v>
      </c>
      <c r="Y8" s="46">
        <v>17</v>
      </c>
      <c r="Z8" s="46">
        <v>4</v>
      </c>
      <c r="AA8" s="46">
        <v>4</v>
      </c>
      <c r="AB8" s="46">
        <v>4</v>
      </c>
      <c r="AH8" s="46">
        <v>1</v>
      </c>
      <c r="AJ8" s="46">
        <v>1</v>
      </c>
      <c r="AL8" s="46">
        <v>1</v>
      </c>
      <c r="AP8" s="46">
        <v>1</v>
      </c>
      <c r="AQ8" s="46" t="s">
        <v>736</v>
      </c>
      <c r="AT8" s="46">
        <v>1</v>
      </c>
      <c r="AW8" s="46">
        <v>1</v>
      </c>
      <c r="BE8" s="46">
        <v>1</v>
      </c>
      <c r="BG8" s="46">
        <v>1</v>
      </c>
      <c r="BH8" s="46">
        <v>1</v>
      </c>
      <c r="BU8" s="46">
        <v>1</v>
      </c>
      <c r="BV8" s="46">
        <v>1</v>
      </c>
      <c r="BY8" s="46">
        <v>1</v>
      </c>
      <c r="CB8" s="46">
        <v>1</v>
      </c>
      <c r="CG8" s="46">
        <v>1</v>
      </c>
      <c r="CM8" s="46">
        <v>1</v>
      </c>
      <c r="CR8" s="46" t="s">
        <v>5479</v>
      </c>
    </row>
    <row r="9" spans="1:96">
      <c r="A9" s="46" t="s">
        <v>5406</v>
      </c>
      <c r="B9" s="46" t="s">
        <v>5489</v>
      </c>
      <c r="C9" s="46">
        <v>36</v>
      </c>
      <c r="D9" s="46" t="s">
        <v>1373</v>
      </c>
      <c r="E9" s="46" t="s">
        <v>5490</v>
      </c>
      <c r="F9" s="46" t="s">
        <v>1045</v>
      </c>
      <c r="J9" s="46">
        <v>1</v>
      </c>
      <c r="M9" s="46">
        <v>1</v>
      </c>
      <c r="Q9" s="46">
        <v>1</v>
      </c>
      <c r="U9" s="46">
        <v>1</v>
      </c>
      <c r="W9" s="46">
        <v>17</v>
      </c>
      <c r="X9" s="46">
        <v>18</v>
      </c>
      <c r="Y9" s="46">
        <v>20</v>
      </c>
      <c r="Z9" s="46">
        <v>6</v>
      </c>
      <c r="AA9" s="46">
        <v>6</v>
      </c>
      <c r="AB9" s="46">
        <v>6</v>
      </c>
      <c r="AE9" s="46">
        <v>1</v>
      </c>
      <c r="AG9" s="46">
        <v>1</v>
      </c>
      <c r="AH9" s="46">
        <v>1</v>
      </c>
      <c r="AJ9" s="46">
        <v>1</v>
      </c>
      <c r="AK9" s="46">
        <v>1</v>
      </c>
      <c r="AT9" s="46">
        <v>1</v>
      </c>
      <c r="AX9" s="46">
        <v>1</v>
      </c>
      <c r="BA9" s="46">
        <v>1</v>
      </c>
      <c r="BH9" s="46">
        <v>1</v>
      </c>
      <c r="BW9" s="46" t="s">
        <v>5491</v>
      </c>
      <c r="BY9" s="46">
        <v>1</v>
      </c>
      <c r="CB9" s="46">
        <v>1</v>
      </c>
      <c r="CG9" s="46">
        <v>1</v>
      </c>
      <c r="CM9" s="46">
        <v>1</v>
      </c>
      <c r="CR9" s="139">
        <v>45299</v>
      </c>
    </row>
    <row r="10" spans="1:96">
      <c r="A10" s="46" t="s">
        <v>5410</v>
      </c>
      <c r="B10" s="46" t="s">
        <v>5492</v>
      </c>
      <c r="C10" s="46">
        <v>50</v>
      </c>
      <c r="D10" s="46" t="s">
        <v>5493</v>
      </c>
      <c r="E10" s="46" t="s">
        <v>5494</v>
      </c>
      <c r="F10" s="46" t="s">
        <v>112</v>
      </c>
      <c r="J10" s="46">
        <v>1</v>
      </c>
      <c r="M10" s="46">
        <v>1</v>
      </c>
      <c r="Q10" s="46">
        <v>1</v>
      </c>
      <c r="T10" s="46">
        <v>1</v>
      </c>
      <c r="W10" s="46">
        <v>15</v>
      </c>
      <c r="X10" s="46">
        <v>18</v>
      </c>
      <c r="Z10" s="46">
        <v>11</v>
      </c>
      <c r="AA10" s="46">
        <v>5</v>
      </c>
      <c r="AB10" s="46">
        <v>5</v>
      </c>
      <c r="AE10" s="46">
        <v>1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B10" s="46">
        <v>1</v>
      </c>
      <c r="BF10" s="46">
        <v>1</v>
      </c>
      <c r="BJ10" s="46">
        <v>1</v>
      </c>
      <c r="BY10" s="46">
        <v>1</v>
      </c>
      <c r="CB10" s="46">
        <v>1</v>
      </c>
      <c r="CG10" s="46">
        <v>1</v>
      </c>
      <c r="CM10" s="46">
        <v>1</v>
      </c>
      <c r="CR10" s="139">
        <v>45299</v>
      </c>
    </row>
    <row r="11" spans="1:96">
      <c r="A11" s="46" t="s">
        <v>5414</v>
      </c>
      <c r="B11" s="46" t="s">
        <v>5495</v>
      </c>
      <c r="C11" s="46">
        <v>24</v>
      </c>
      <c r="D11" s="46" t="s">
        <v>5496</v>
      </c>
      <c r="E11" s="46" t="s">
        <v>5497</v>
      </c>
      <c r="F11" s="46" t="s">
        <v>112</v>
      </c>
      <c r="M11" s="46">
        <v>1</v>
      </c>
      <c r="Q11" s="46">
        <v>1</v>
      </c>
      <c r="T11" s="46">
        <v>1</v>
      </c>
      <c r="W11" s="46">
        <v>13</v>
      </c>
      <c r="X11" s="46">
        <v>15</v>
      </c>
      <c r="Y11" s="46">
        <v>18</v>
      </c>
      <c r="Z11" s="46">
        <v>2</v>
      </c>
      <c r="AA11" s="46">
        <v>2</v>
      </c>
      <c r="AB11" s="46">
        <v>2</v>
      </c>
      <c r="AH11" s="46">
        <v>1</v>
      </c>
      <c r="AJ11" s="46">
        <v>1</v>
      </c>
      <c r="AL11" s="46">
        <v>1</v>
      </c>
      <c r="AP11" s="46">
        <v>1</v>
      </c>
      <c r="AT11" s="46">
        <v>1</v>
      </c>
      <c r="AX11" s="46">
        <v>1</v>
      </c>
      <c r="BE11" s="46">
        <v>1</v>
      </c>
      <c r="BG11" s="46">
        <v>1</v>
      </c>
      <c r="BI11" s="46">
        <v>1</v>
      </c>
      <c r="BU11" s="46">
        <v>1</v>
      </c>
      <c r="BV11" s="46">
        <v>1</v>
      </c>
      <c r="BY11" s="46">
        <v>1</v>
      </c>
      <c r="CB11" s="46">
        <v>1</v>
      </c>
      <c r="CM11" s="46">
        <v>1</v>
      </c>
      <c r="CR11" s="46" t="s">
        <v>5479</v>
      </c>
    </row>
    <row r="12" spans="1:96">
      <c r="A12" s="46" t="s">
        <v>5417</v>
      </c>
      <c r="B12" s="46" t="s">
        <v>5498</v>
      </c>
      <c r="C12" s="46">
        <v>30</v>
      </c>
      <c r="D12" s="46" t="s">
        <v>2337</v>
      </c>
      <c r="E12" s="46" t="s">
        <v>5499</v>
      </c>
      <c r="F12" s="46" t="s">
        <v>112</v>
      </c>
      <c r="J12" s="46">
        <v>1</v>
      </c>
      <c r="M12" s="46">
        <v>1</v>
      </c>
      <c r="Q12" s="46">
        <v>1</v>
      </c>
      <c r="T12" s="46">
        <v>1</v>
      </c>
      <c r="W12" s="46">
        <v>13</v>
      </c>
      <c r="X12" s="46">
        <v>14</v>
      </c>
      <c r="Y12" s="46">
        <v>16</v>
      </c>
      <c r="Z12" s="46">
        <v>5</v>
      </c>
      <c r="AA12" s="46">
        <v>5</v>
      </c>
      <c r="AB12" s="46">
        <v>5</v>
      </c>
      <c r="AH12" s="46">
        <v>1</v>
      </c>
      <c r="AI12" s="46">
        <v>1</v>
      </c>
      <c r="AL12" s="46">
        <v>1</v>
      </c>
      <c r="AP12" s="46">
        <v>1</v>
      </c>
      <c r="AT12" s="46">
        <v>1</v>
      </c>
      <c r="AW12" s="46">
        <v>1</v>
      </c>
      <c r="BE12" s="46">
        <v>1</v>
      </c>
      <c r="BG12" s="46">
        <v>1</v>
      </c>
      <c r="BH12" s="46">
        <v>1</v>
      </c>
      <c r="BU12" s="46">
        <v>1</v>
      </c>
      <c r="BV12" s="46">
        <v>1</v>
      </c>
      <c r="CB12" s="46">
        <v>1</v>
      </c>
      <c r="CM12" s="46">
        <v>1</v>
      </c>
      <c r="CR12" s="46" t="s">
        <v>5479</v>
      </c>
    </row>
    <row r="13" spans="1:96">
      <c r="A13" s="46" t="s">
        <v>5421</v>
      </c>
      <c r="B13" s="46" t="s">
        <v>5500</v>
      </c>
      <c r="C13" s="46">
        <v>45</v>
      </c>
      <c r="D13" s="46" t="s">
        <v>1381</v>
      </c>
      <c r="E13" s="46" t="s">
        <v>5501</v>
      </c>
      <c r="F13" s="46" t="s">
        <v>112</v>
      </c>
      <c r="H13" s="46">
        <v>1</v>
      </c>
      <c r="O13" s="46">
        <v>1</v>
      </c>
      <c r="T13" s="46">
        <v>1</v>
      </c>
      <c r="W13" s="46">
        <v>12</v>
      </c>
      <c r="X13" s="46">
        <v>18</v>
      </c>
      <c r="Y13" s="46">
        <v>19</v>
      </c>
      <c r="Z13" s="46">
        <v>5</v>
      </c>
      <c r="AA13" s="46">
        <v>5</v>
      </c>
      <c r="AB13" s="46">
        <v>5</v>
      </c>
      <c r="AE13" s="46">
        <v>1</v>
      </c>
      <c r="AI13" s="46">
        <v>1</v>
      </c>
      <c r="AL13" s="46">
        <v>1</v>
      </c>
      <c r="AP13" s="46">
        <v>1</v>
      </c>
      <c r="AT13" s="46">
        <v>1</v>
      </c>
      <c r="AW13" s="46">
        <v>1</v>
      </c>
      <c r="BA13" s="46">
        <v>1</v>
      </c>
      <c r="BJ13" s="46">
        <v>1</v>
      </c>
      <c r="BY13" s="46">
        <v>1</v>
      </c>
      <c r="CB13" s="46">
        <v>1</v>
      </c>
      <c r="CG13" s="46">
        <v>1</v>
      </c>
      <c r="CM13" s="46">
        <v>1</v>
      </c>
      <c r="CR13" s="139">
        <v>45299</v>
      </c>
    </row>
    <row r="14" spans="1:96">
      <c r="A14" s="46" t="s">
        <v>5425</v>
      </c>
      <c r="B14" s="46" t="s">
        <v>5502</v>
      </c>
      <c r="C14" s="46">
        <v>17</v>
      </c>
      <c r="D14" s="46" t="s">
        <v>2625</v>
      </c>
      <c r="E14" s="46" t="s">
        <v>5503</v>
      </c>
      <c r="F14" s="46" t="s">
        <v>107</v>
      </c>
      <c r="I14" s="46">
        <v>1</v>
      </c>
      <c r="M14" s="46">
        <v>1</v>
      </c>
      <c r="Q14" s="46">
        <v>1</v>
      </c>
      <c r="U14" s="46">
        <v>1</v>
      </c>
      <c r="W14" s="46">
        <v>15</v>
      </c>
      <c r="X14" s="46">
        <v>17</v>
      </c>
      <c r="Y14" s="46">
        <v>17</v>
      </c>
      <c r="Z14" s="46">
        <v>1</v>
      </c>
      <c r="AA14" s="46">
        <v>1</v>
      </c>
      <c r="AB14" s="46">
        <v>1</v>
      </c>
      <c r="AE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I14" s="46">
        <v>1</v>
      </c>
      <c r="BZ14" s="46">
        <v>1</v>
      </c>
      <c r="CA14" s="50">
        <v>45292</v>
      </c>
      <c r="CB14" s="46">
        <v>1</v>
      </c>
      <c r="CH14" s="46">
        <v>1</v>
      </c>
      <c r="CM14" s="46">
        <v>1</v>
      </c>
      <c r="CR14" s="46" t="s">
        <v>5504</v>
      </c>
    </row>
    <row r="15" spans="1:96">
      <c r="A15" s="46" t="s">
        <v>5429</v>
      </c>
      <c r="B15" s="46" t="s">
        <v>5505</v>
      </c>
      <c r="C15" s="46">
        <v>27</v>
      </c>
      <c r="D15" s="46" t="s">
        <v>1373</v>
      </c>
      <c r="E15" s="46" t="s">
        <v>5506</v>
      </c>
      <c r="F15" s="46" t="s">
        <v>112</v>
      </c>
      <c r="M15" s="46">
        <v>1</v>
      </c>
      <c r="R15" s="46">
        <v>1</v>
      </c>
      <c r="U15" s="46">
        <v>1</v>
      </c>
      <c r="W15" s="46">
        <v>15</v>
      </c>
      <c r="X15" s="46">
        <v>16</v>
      </c>
      <c r="Y15" s="46">
        <v>23</v>
      </c>
      <c r="Z15" s="46">
        <v>2</v>
      </c>
      <c r="AA15" s="46">
        <v>2</v>
      </c>
      <c r="AB15" s="46">
        <v>2</v>
      </c>
      <c r="AC15" s="46">
        <v>1</v>
      </c>
      <c r="AJ15" s="46">
        <v>1</v>
      </c>
      <c r="AK15" s="46">
        <v>1</v>
      </c>
      <c r="AT15" s="46">
        <v>1</v>
      </c>
      <c r="BA15" s="46">
        <v>1</v>
      </c>
      <c r="BH15" s="46">
        <v>1</v>
      </c>
      <c r="BU15" s="46">
        <v>1</v>
      </c>
      <c r="BV15" s="46">
        <v>1</v>
      </c>
      <c r="BY15" s="46">
        <v>1</v>
      </c>
      <c r="CB15" s="46">
        <v>1</v>
      </c>
      <c r="CH15" s="46">
        <v>1</v>
      </c>
      <c r="CM15" s="46">
        <v>1</v>
      </c>
      <c r="CR15" s="46" t="s">
        <v>5479</v>
      </c>
    </row>
    <row r="16" spans="1:96">
      <c r="A16" s="46" t="s">
        <v>5432</v>
      </c>
      <c r="B16" s="46" t="s">
        <v>5507</v>
      </c>
      <c r="C16" s="46">
        <v>58</v>
      </c>
      <c r="D16" s="46" t="s">
        <v>5508</v>
      </c>
      <c r="F16" s="46" t="s">
        <v>112</v>
      </c>
      <c r="H16" s="46">
        <v>1</v>
      </c>
      <c r="P16" s="46">
        <v>1</v>
      </c>
      <c r="R16" s="46">
        <v>1</v>
      </c>
      <c r="T16" s="46">
        <v>1</v>
      </c>
      <c r="W16" s="46">
        <v>13</v>
      </c>
      <c r="X16" s="46">
        <v>15</v>
      </c>
      <c r="Y16" s="46">
        <v>15</v>
      </c>
      <c r="Z16" s="46">
        <v>6</v>
      </c>
      <c r="AA16" s="46">
        <v>6</v>
      </c>
      <c r="AB16" s="46">
        <v>6</v>
      </c>
      <c r="AG16" s="46">
        <v>1</v>
      </c>
      <c r="AH16" s="46">
        <v>1</v>
      </c>
      <c r="AI16" s="46">
        <v>1</v>
      </c>
      <c r="AL16" s="46">
        <v>1</v>
      </c>
      <c r="AP16" s="46">
        <v>1</v>
      </c>
      <c r="AQ16" s="46" t="s">
        <v>736</v>
      </c>
      <c r="AR16" s="134">
        <v>45444</v>
      </c>
      <c r="AT16" s="46">
        <v>1</v>
      </c>
      <c r="AW16" s="46">
        <v>1</v>
      </c>
      <c r="BE16" s="46">
        <v>1</v>
      </c>
      <c r="BG16" s="46">
        <v>1</v>
      </c>
      <c r="BL16" s="46">
        <v>1</v>
      </c>
      <c r="BY16" s="46">
        <v>1</v>
      </c>
      <c r="CB16" s="46">
        <v>1</v>
      </c>
      <c r="CG16" s="46">
        <v>1</v>
      </c>
      <c r="CM16" s="46">
        <v>1</v>
      </c>
      <c r="CR16" s="46" t="s">
        <v>5504</v>
      </c>
    </row>
    <row r="17" spans="1:96">
      <c r="A17" s="46" t="s">
        <v>5436</v>
      </c>
      <c r="B17" s="46" t="s">
        <v>5509</v>
      </c>
      <c r="C17" s="46">
        <v>52</v>
      </c>
      <c r="D17" s="46" t="s">
        <v>1394</v>
      </c>
      <c r="E17" s="46" t="s">
        <v>5510</v>
      </c>
      <c r="F17" s="46" t="s">
        <v>112</v>
      </c>
      <c r="I17" s="46">
        <v>1</v>
      </c>
      <c r="P17" s="46">
        <v>1</v>
      </c>
      <c r="R17" s="46">
        <v>1</v>
      </c>
      <c r="U17" s="46">
        <v>1</v>
      </c>
      <c r="W17" s="46">
        <v>14</v>
      </c>
      <c r="X17" s="46">
        <v>16</v>
      </c>
      <c r="Y17" s="46">
        <v>18</v>
      </c>
      <c r="Z17" s="46">
        <v>6</v>
      </c>
      <c r="AA17" s="46">
        <v>6</v>
      </c>
      <c r="AB17" s="46">
        <v>4</v>
      </c>
      <c r="AE17" s="46">
        <v>1</v>
      </c>
      <c r="AG17" s="46">
        <v>1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L17" s="46">
        <v>1</v>
      </c>
      <c r="BV17" s="46">
        <v>1</v>
      </c>
      <c r="BY17" s="46">
        <v>1</v>
      </c>
      <c r="CB17" s="46">
        <v>1</v>
      </c>
      <c r="CG17" s="46">
        <v>1</v>
      </c>
      <c r="CM17" s="46">
        <v>1</v>
      </c>
      <c r="CR17" s="46" t="s">
        <v>5504</v>
      </c>
    </row>
    <row r="18" spans="1:96">
      <c r="A18" s="46" t="s">
        <v>5440</v>
      </c>
      <c r="B18" s="46" t="s">
        <v>5511</v>
      </c>
      <c r="C18" s="46">
        <v>50</v>
      </c>
      <c r="D18" s="46" t="s">
        <v>5512</v>
      </c>
      <c r="E18" s="46" t="s">
        <v>5513</v>
      </c>
      <c r="F18" s="46" t="s">
        <v>112</v>
      </c>
      <c r="H18" s="46">
        <v>1</v>
      </c>
      <c r="P18" s="46">
        <v>1</v>
      </c>
      <c r="U18" s="46">
        <v>1</v>
      </c>
      <c r="W18" s="46">
        <v>14</v>
      </c>
      <c r="X18" s="46">
        <v>18</v>
      </c>
      <c r="Y18" s="46">
        <v>18</v>
      </c>
      <c r="Z18" s="46">
        <v>7</v>
      </c>
      <c r="AA18" s="46">
        <v>6</v>
      </c>
      <c r="AB18" s="46">
        <v>6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L18" s="46">
        <v>1</v>
      </c>
      <c r="BV18" s="46">
        <v>1</v>
      </c>
      <c r="BY18" s="46">
        <v>1</v>
      </c>
      <c r="CB18" s="46">
        <v>1</v>
      </c>
      <c r="CG18" s="46">
        <v>1</v>
      </c>
      <c r="CM18" s="46">
        <v>1</v>
      </c>
      <c r="CR18" s="46" t="s">
        <v>5504</v>
      </c>
    </row>
    <row r="19" spans="1:96">
      <c r="A19" s="46" t="s">
        <v>5443</v>
      </c>
      <c r="B19" s="46" t="s">
        <v>5514</v>
      </c>
      <c r="C19" s="46">
        <v>51</v>
      </c>
      <c r="D19" s="46" t="s">
        <v>5515</v>
      </c>
      <c r="F19" s="46" t="s">
        <v>112</v>
      </c>
      <c r="H19" s="46">
        <v>1</v>
      </c>
      <c r="P19" s="46">
        <v>1</v>
      </c>
      <c r="R19" s="46">
        <v>1</v>
      </c>
      <c r="T19" s="46">
        <v>1</v>
      </c>
      <c r="W19" s="46">
        <v>12</v>
      </c>
      <c r="X19" s="46">
        <v>16</v>
      </c>
      <c r="Y19" s="46">
        <v>17</v>
      </c>
      <c r="Z19" s="46">
        <v>5</v>
      </c>
      <c r="AA19" s="46">
        <v>5</v>
      </c>
      <c r="AB19" s="46">
        <v>4</v>
      </c>
      <c r="AE19" s="46">
        <v>1</v>
      </c>
      <c r="AI19" s="46">
        <v>1</v>
      </c>
      <c r="AK19" s="46">
        <v>1</v>
      </c>
      <c r="AT19" s="46">
        <v>1</v>
      </c>
      <c r="AZ19" s="46">
        <v>1</v>
      </c>
      <c r="BB19" s="46">
        <v>1</v>
      </c>
      <c r="BF19" s="46">
        <v>1</v>
      </c>
      <c r="BL19" s="46">
        <v>1</v>
      </c>
      <c r="BV19" s="46">
        <v>1</v>
      </c>
      <c r="BY19" s="46">
        <v>1</v>
      </c>
      <c r="CB19" s="46">
        <v>1</v>
      </c>
      <c r="CG19" s="46">
        <v>1</v>
      </c>
      <c r="CM19" s="46">
        <v>1</v>
      </c>
      <c r="CR19" s="46" t="s">
        <v>5504</v>
      </c>
    </row>
    <row r="20" spans="1:96">
      <c r="A20" s="46" t="s">
        <v>5446</v>
      </c>
      <c r="B20" s="46" t="s">
        <v>5516</v>
      </c>
      <c r="C20" s="46">
        <v>51</v>
      </c>
      <c r="D20" s="46" t="s">
        <v>5517</v>
      </c>
      <c r="E20" s="46" t="s">
        <v>5518</v>
      </c>
      <c r="F20" s="46" t="s">
        <v>145</v>
      </c>
      <c r="L20" s="46">
        <v>1</v>
      </c>
      <c r="T20" s="46">
        <v>1</v>
      </c>
      <c r="Z20" s="46">
        <v>3</v>
      </c>
      <c r="AA20" s="46">
        <v>3</v>
      </c>
      <c r="AB20" s="46">
        <v>3</v>
      </c>
      <c r="AH20" s="46">
        <v>1</v>
      </c>
      <c r="AI20" s="46">
        <v>1</v>
      </c>
      <c r="AL20" s="46">
        <v>1</v>
      </c>
      <c r="AT20" s="46">
        <v>1</v>
      </c>
      <c r="AW20" s="46">
        <v>1</v>
      </c>
      <c r="BE20" s="46">
        <v>1</v>
      </c>
      <c r="BG20" s="46">
        <v>1</v>
      </c>
      <c r="BL20" s="46">
        <v>1</v>
      </c>
      <c r="BU20" s="46">
        <v>1</v>
      </c>
      <c r="BV20" s="46">
        <v>1</v>
      </c>
      <c r="BY20" s="46">
        <v>1</v>
      </c>
      <c r="CB20" s="46">
        <v>1</v>
      </c>
      <c r="CG20" s="46">
        <v>1</v>
      </c>
      <c r="CM20" s="46">
        <v>1</v>
      </c>
      <c r="CR20" s="46" t="s">
        <v>5479</v>
      </c>
    </row>
    <row r="21" spans="1:96">
      <c r="A21" s="46" t="s">
        <v>5450</v>
      </c>
      <c r="B21" s="46" t="s">
        <v>5519</v>
      </c>
      <c r="C21" s="46">
        <v>50</v>
      </c>
      <c r="D21" s="46" t="s">
        <v>5520</v>
      </c>
      <c r="E21" s="46" t="s">
        <v>5521</v>
      </c>
      <c r="F21" s="46" t="s">
        <v>112</v>
      </c>
      <c r="J21" s="46">
        <v>1</v>
      </c>
      <c r="O21" s="46">
        <v>1</v>
      </c>
      <c r="Q21" s="46">
        <v>1</v>
      </c>
      <c r="T21" s="46">
        <v>1</v>
      </c>
      <c r="W21" s="46">
        <v>16</v>
      </c>
      <c r="X21" s="46">
        <v>20</v>
      </c>
      <c r="Y21" s="46">
        <v>21</v>
      </c>
      <c r="Z21" s="46">
        <v>6</v>
      </c>
      <c r="AA21" s="46">
        <v>6</v>
      </c>
      <c r="AB21" s="46">
        <v>6</v>
      </c>
      <c r="AH21" s="46">
        <v>1</v>
      </c>
      <c r="AI21" s="46">
        <v>1</v>
      </c>
      <c r="AM21" s="46">
        <v>1</v>
      </c>
      <c r="AT21" s="46">
        <v>1</v>
      </c>
      <c r="AW21" s="46">
        <v>1</v>
      </c>
      <c r="BA21" s="46">
        <v>1</v>
      </c>
      <c r="BY21" s="46">
        <v>1</v>
      </c>
      <c r="CB21" s="46">
        <v>1</v>
      </c>
      <c r="CG21" s="46">
        <v>1</v>
      </c>
      <c r="CM21" s="46">
        <v>1</v>
      </c>
      <c r="CR21" s="46" t="s">
        <v>5504</v>
      </c>
    </row>
    <row r="22" spans="1:96">
      <c r="A22" s="46" t="s">
        <v>5453</v>
      </c>
      <c r="B22" s="46" t="s">
        <v>5522</v>
      </c>
      <c r="C22" s="46">
        <v>30</v>
      </c>
      <c r="D22" s="46" t="s">
        <v>2625</v>
      </c>
      <c r="E22" s="46" t="s">
        <v>5523</v>
      </c>
      <c r="F22" s="46" t="s">
        <v>173</v>
      </c>
      <c r="J22" s="46">
        <v>1</v>
      </c>
      <c r="O22" s="46">
        <v>1</v>
      </c>
      <c r="Q22" s="46">
        <v>1</v>
      </c>
      <c r="U22" s="46">
        <v>1</v>
      </c>
      <c r="W22" s="46">
        <v>14</v>
      </c>
      <c r="X22" s="46">
        <v>19</v>
      </c>
      <c r="Y22" s="46">
        <v>20</v>
      </c>
      <c r="Z22" s="46">
        <v>2</v>
      </c>
      <c r="AA22" s="46">
        <v>2</v>
      </c>
      <c r="AB22" s="46">
        <v>2</v>
      </c>
      <c r="AH22" s="46">
        <v>1</v>
      </c>
      <c r="AJ22" s="46">
        <v>1</v>
      </c>
      <c r="AK22" s="46">
        <v>1</v>
      </c>
      <c r="AT22" s="46">
        <v>1</v>
      </c>
      <c r="AX22" s="46">
        <v>1</v>
      </c>
      <c r="BA22" s="46">
        <v>1</v>
      </c>
      <c r="BI22" s="46">
        <v>1</v>
      </c>
      <c r="BY22" s="46">
        <v>1</v>
      </c>
      <c r="CB22" s="46">
        <v>1</v>
      </c>
      <c r="CG22" s="46">
        <v>1</v>
      </c>
      <c r="CM22" s="46">
        <v>1</v>
      </c>
      <c r="CR22" s="46" t="s">
        <v>5504</v>
      </c>
    </row>
    <row r="23" spans="1:96">
      <c r="A23" s="46" t="s">
        <v>5456</v>
      </c>
      <c r="B23" s="46" t="s">
        <v>5524</v>
      </c>
      <c r="C23" s="46">
        <v>24</v>
      </c>
      <c r="D23" s="46" t="s">
        <v>5515</v>
      </c>
      <c r="E23" s="46" t="s">
        <v>5525</v>
      </c>
      <c r="F23" s="46" t="s">
        <v>107</v>
      </c>
      <c r="G23" s="46">
        <v>1</v>
      </c>
      <c r="N23" s="46">
        <v>1</v>
      </c>
      <c r="R23" s="46">
        <v>1</v>
      </c>
      <c r="U23" s="46">
        <v>1</v>
      </c>
      <c r="W23" s="46">
        <v>10</v>
      </c>
      <c r="X23" s="46">
        <v>18</v>
      </c>
      <c r="Y23" s="46">
        <v>19</v>
      </c>
      <c r="Z23" s="46">
        <v>2</v>
      </c>
      <c r="AA23" s="46">
        <v>2</v>
      </c>
      <c r="AB23" s="46">
        <v>2</v>
      </c>
      <c r="AC23" s="46">
        <v>1</v>
      </c>
      <c r="AI23" s="46">
        <v>1</v>
      </c>
      <c r="AK23" s="46">
        <v>1</v>
      </c>
      <c r="AT23" s="46">
        <v>1</v>
      </c>
      <c r="AX23" s="46">
        <v>1</v>
      </c>
      <c r="BA23" s="46">
        <v>1</v>
      </c>
      <c r="BI23" s="46">
        <v>1</v>
      </c>
      <c r="BY23" s="46">
        <v>1</v>
      </c>
      <c r="CB23" s="46">
        <v>1</v>
      </c>
      <c r="CG23" s="46">
        <v>1</v>
      </c>
      <c r="CM23" s="46">
        <v>1</v>
      </c>
      <c r="CR23" s="46" t="s">
        <v>5504</v>
      </c>
    </row>
    <row r="24" spans="1:96">
      <c r="A24" s="46" t="s">
        <v>5460</v>
      </c>
      <c r="B24" s="46" t="s">
        <v>5526</v>
      </c>
      <c r="C24" s="46">
        <v>40</v>
      </c>
      <c r="D24" s="46" t="s">
        <v>5527</v>
      </c>
      <c r="E24" s="46" t="s">
        <v>5528</v>
      </c>
      <c r="F24" s="46" t="s">
        <v>112</v>
      </c>
      <c r="H24" s="46">
        <v>1</v>
      </c>
      <c r="M24" s="46">
        <v>1</v>
      </c>
      <c r="R24" s="46">
        <v>1</v>
      </c>
      <c r="U24" s="46">
        <v>1</v>
      </c>
      <c r="W24" s="46">
        <v>15</v>
      </c>
      <c r="X24" s="46">
        <v>19</v>
      </c>
      <c r="Y24" s="46">
        <v>29</v>
      </c>
      <c r="Z24" s="46">
        <v>3</v>
      </c>
      <c r="AA24" s="46">
        <v>3</v>
      </c>
      <c r="AB24" s="46">
        <v>2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I24" s="46">
        <v>1</v>
      </c>
      <c r="BY24" s="46">
        <v>1</v>
      </c>
      <c r="CB24" s="46">
        <v>1</v>
      </c>
      <c r="CG24" s="46">
        <v>1</v>
      </c>
      <c r="CM24" s="46">
        <v>1</v>
      </c>
      <c r="CR24" s="46" t="s">
        <v>5504</v>
      </c>
    </row>
    <row r="25" spans="1:96">
      <c r="A25" s="46" t="s">
        <v>5462</v>
      </c>
      <c r="B25" s="46" t="s">
        <v>5529</v>
      </c>
      <c r="C25" s="46">
        <v>50</v>
      </c>
      <c r="D25" s="46" t="s">
        <v>5530</v>
      </c>
      <c r="E25" s="46" t="s">
        <v>5531</v>
      </c>
      <c r="F25" s="46" t="s">
        <v>112</v>
      </c>
      <c r="H25" s="46">
        <v>1</v>
      </c>
      <c r="M25" s="46">
        <v>1</v>
      </c>
      <c r="R25" s="46">
        <v>1</v>
      </c>
      <c r="T25" s="46">
        <v>1</v>
      </c>
      <c r="W25" s="46">
        <v>16</v>
      </c>
      <c r="X25" s="46">
        <v>17</v>
      </c>
      <c r="Y25" s="46">
        <v>18</v>
      </c>
      <c r="Z25" s="46">
        <v>10</v>
      </c>
      <c r="AA25" s="46">
        <v>9</v>
      </c>
      <c r="AB25" s="46">
        <v>8</v>
      </c>
      <c r="AD25" s="46">
        <v>1</v>
      </c>
      <c r="AJ25" s="46">
        <v>1</v>
      </c>
      <c r="AK25" s="46">
        <v>1</v>
      </c>
      <c r="AT25" s="46">
        <v>1</v>
      </c>
      <c r="AX25" s="46">
        <v>1</v>
      </c>
      <c r="BA25" s="46">
        <v>1</v>
      </c>
      <c r="BI25" s="46">
        <v>1</v>
      </c>
      <c r="BY25" s="46">
        <v>1</v>
      </c>
      <c r="CB25" s="46">
        <v>1</v>
      </c>
      <c r="CG25" s="46">
        <v>1</v>
      </c>
      <c r="CM25" s="46">
        <v>1</v>
      </c>
      <c r="CR25" s="46" t="s">
        <v>5504</v>
      </c>
    </row>
    <row r="26" spans="1:96">
      <c r="A26" s="46" t="s">
        <v>5466</v>
      </c>
      <c r="B26" s="46" t="s">
        <v>5532</v>
      </c>
      <c r="C26" s="46">
        <v>34</v>
      </c>
      <c r="D26" s="46" t="s">
        <v>3084</v>
      </c>
      <c r="E26" s="46" t="s">
        <v>5533</v>
      </c>
      <c r="F26" s="46" t="s">
        <v>4499</v>
      </c>
      <c r="J26" s="46">
        <v>1</v>
      </c>
      <c r="M26" s="46">
        <v>1</v>
      </c>
      <c r="R26" s="46">
        <v>1</v>
      </c>
      <c r="U26" s="46">
        <v>1</v>
      </c>
      <c r="W26" s="46">
        <v>16</v>
      </c>
      <c r="X26" s="46">
        <v>17</v>
      </c>
      <c r="Z26" s="46">
        <v>8</v>
      </c>
      <c r="AA26" s="46">
        <v>8</v>
      </c>
      <c r="AB26" s="46">
        <v>8</v>
      </c>
      <c r="AD26" s="46">
        <v>1</v>
      </c>
      <c r="AE26" s="46">
        <v>1</v>
      </c>
      <c r="AJ26" s="46">
        <v>1</v>
      </c>
      <c r="AK26" s="46">
        <v>1</v>
      </c>
      <c r="AT26" s="46">
        <v>1</v>
      </c>
      <c r="AZ26" s="46">
        <v>1</v>
      </c>
      <c r="BA26" s="46">
        <v>1</v>
      </c>
      <c r="BI26" s="46">
        <v>1</v>
      </c>
      <c r="BV26" s="46">
        <v>1</v>
      </c>
      <c r="BY26" s="46">
        <v>1</v>
      </c>
      <c r="CB26" s="46">
        <v>1</v>
      </c>
      <c r="CG26" s="46">
        <v>1</v>
      </c>
      <c r="CM26" s="46">
        <v>1</v>
      </c>
      <c r="CR26" s="46" t="s">
        <v>5504</v>
      </c>
    </row>
    <row r="27" spans="1:96">
      <c r="A27" s="46" t="s">
        <v>5469</v>
      </c>
      <c r="B27" s="46" t="s">
        <v>5534</v>
      </c>
      <c r="C27" s="46">
        <v>47</v>
      </c>
      <c r="D27" s="46" t="s">
        <v>5535</v>
      </c>
      <c r="E27" s="46" t="s">
        <v>5536</v>
      </c>
      <c r="F27" s="46" t="s">
        <v>112</v>
      </c>
      <c r="H27" s="46">
        <v>1</v>
      </c>
      <c r="M27" s="46">
        <v>1</v>
      </c>
      <c r="R27" s="46">
        <v>1</v>
      </c>
      <c r="T27" s="46">
        <v>1</v>
      </c>
      <c r="W27" s="46">
        <v>14</v>
      </c>
      <c r="X27" s="46">
        <v>14</v>
      </c>
      <c r="Y27" s="46">
        <v>16</v>
      </c>
      <c r="Z27" s="46">
        <v>12</v>
      </c>
      <c r="AA27" s="46">
        <v>8</v>
      </c>
      <c r="AB27" s="46">
        <v>8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V27" s="46">
        <v>1</v>
      </c>
      <c r="BY27" s="46">
        <v>1</v>
      </c>
      <c r="CB27" s="46">
        <v>1</v>
      </c>
      <c r="CG27" s="46">
        <v>1</v>
      </c>
      <c r="CM27" s="46">
        <v>1</v>
      </c>
      <c r="CR27" s="46" t="s">
        <v>5504</v>
      </c>
    </row>
    <row r="28" spans="1:96">
      <c r="A28" s="46" t="s">
        <v>5537</v>
      </c>
      <c r="B28" s="46" t="s">
        <v>5538</v>
      </c>
      <c r="C28" s="46">
        <v>28</v>
      </c>
      <c r="D28" s="46" t="s">
        <v>5539</v>
      </c>
      <c r="E28" s="46" t="s">
        <v>5540</v>
      </c>
      <c r="F28" s="46" t="s">
        <v>112</v>
      </c>
      <c r="J28" s="46">
        <v>1</v>
      </c>
      <c r="M28" s="46">
        <v>1</v>
      </c>
      <c r="Q28" s="46">
        <v>1</v>
      </c>
      <c r="U28" s="46">
        <v>1</v>
      </c>
      <c r="W28" s="46">
        <v>17</v>
      </c>
      <c r="X28" s="46">
        <v>17</v>
      </c>
      <c r="Y28" s="46">
        <v>17</v>
      </c>
      <c r="Z28" s="46">
        <v>3</v>
      </c>
      <c r="AA28" s="46">
        <v>3</v>
      </c>
      <c r="AB28" s="46">
        <v>3</v>
      </c>
      <c r="AE28" s="46">
        <v>1</v>
      </c>
      <c r="AH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V28" s="46">
        <v>1</v>
      </c>
      <c r="BY28" s="46">
        <v>1</v>
      </c>
      <c r="CB28" s="46">
        <v>1</v>
      </c>
      <c r="CG28" s="46">
        <v>1</v>
      </c>
      <c r="CM28" s="46">
        <v>1</v>
      </c>
      <c r="CR28" s="46" t="s">
        <v>5504</v>
      </c>
    </row>
    <row r="29" spans="1:96">
      <c r="A29" s="46" t="s">
        <v>5541</v>
      </c>
      <c r="B29" s="46" t="s">
        <v>5542</v>
      </c>
      <c r="C29" s="46">
        <v>37</v>
      </c>
      <c r="D29" s="46" t="s">
        <v>5481</v>
      </c>
      <c r="E29" s="46" t="s">
        <v>5543</v>
      </c>
      <c r="F29" s="46" t="s">
        <v>162</v>
      </c>
      <c r="I29" s="46">
        <v>1</v>
      </c>
      <c r="M29" s="46">
        <v>1</v>
      </c>
      <c r="Q29" s="46">
        <v>1</v>
      </c>
      <c r="U29" s="46">
        <v>1</v>
      </c>
      <c r="W29" s="46">
        <v>14</v>
      </c>
      <c r="X29" s="46">
        <v>20</v>
      </c>
      <c r="Y29" s="46">
        <v>21</v>
      </c>
      <c r="Z29" s="46">
        <v>7</v>
      </c>
      <c r="AA29" s="46">
        <v>5</v>
      </c>
      <c r="AB29" s="46">
        <v>5</v>
      </c>
      <c r="AG29" s="46">
        <v>1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B29" s="46">
        <v>1</v>
      </c>
      <c r="BF29" s="46">
        <v>1</v>
      </c>
      <c r="BI29" s="46">
        <v>1</v>
      </c>
      <c r="BY29" s="46">
        <v>1</v>
      </c>
      <c r="CB29" s="46">
        <v>1</v>
      </c>
      <c r="CG29" s="46">
        <v>1</v>
      </c>
      <c r="CM29" s="46">
        <v>1</v>
      </c>
      <c r="CR29" s="46" t="s">
        <v>5504</v>
      </c>
    </row>
    <row r="30" spans="1:96">
      <c r="A30" s="46" t="s">
        <v>5544</v>
      </c>
      <c r="B30" s="46" t="s">
        <v>5545</v>
      </c>
      <c r="C30" s="46">
        <v>37</v>
      </c>
      <c r="D30" s="46" t="s">
        <v>5546</v>
      </c>
      <c r="F30" s="46" t="s">
        <v>112</v>
      </c>
      <c r="G30" s="46">
        <v>1</v>
      </c>
      <c r="M30" s="46">
        <v>1</v>
      </c>
      <c r="S30" s="46">
        <v>1</v>
      </c>
      <c r="W30" s="46">
        <v>13</v>
      </c>
      <c r="X30" s="46">
        <v>14</v>
      </c>
      <c r="AH30" s="46">
        <v>1</v>
      </c>
      <c r="AI30" s="46">
        <v>1</v>
      </c>
      <c r="AL30" s="46">
        <v>1</v>
      </c>
      <c r="AT30" s="46">
        <v>1</v>
      </c>
      <c r="AX30" s="46">
        <v>1</v>
      </c>
      <c r="BE30" s="46">
        <v>1</v>
      </c>
      <c r="BG30" s="46">
        <v>1</v>
      </c>
      <c r="BI30" s="46">
        <v>1</v>
      </c>
      <c r="BW30" s="46" t="s">
        <v>952</v>
      </c>
      <c r="BY30" s="46">
        <v>1</v>
      </c>
      <c r="CB30" s="46">
        <v>1</v>
      </c>
      <c r="CG30" s="46">
        <v>1</v>
      </c>
      <c r="CM30" s="46">
        <v>1</v>
      </c>
      <c r="CR30" s="46" t="s">
        <v>5479</v>
      </c>
    </row>
    <row r="31" spans="1:96">
      <c r="A31" s="46" t="s">
        <v>5547</v>
      </c>
      <c r="B31" s="46" t="s">
        <v>5548</v>
      </c>
      <c r="C31" s="46">
        <v>34</v>
      </c>
      <c r="D31" s="46" t="s">
        <v>5549</v>
      </c>
      <c r="E31" s="46" t="s">
        <v>5550</v>
      </c>
      <c r="F31" s="46" t="s">
        <v>112</v>
      </c>
      <c r="J31" s="46">
        <v>1</v>
      </c>
      <c r="O31" s="46">
        <v>1</v>
      </c>
      <c r="Q31" s="46">
        <v>1</v>
      </c>
      <c r="U31" s="46">
        <v>1</v>
      </c>
      <c r="W31" s="46">
        <v>15</v>
      </c>
      <c r="X31" s="46">
        <v>20</v>
      </c>
      <c r="Y31" s="46">
        <v>20</v>
      </c>
      <c r="Z31" s="46">
        <v>2</v>
      </c>
      <c r="AA31" s="46">
        <v>2</v>
      </c>
      <c r="AB31" s="46">
        <v>2</v>
      </c>
      <c r="AE31" s="46">
        <v>1</v>
      </c>
      <c r="AI31" s="46">
        <v>1</v>
      </c>
      <c r="AK31" s="46">
        <v>1</v>
      </c>
      <c r="AT31" s="46">
        <v>1</v>
      </c>
      <c r="AX31" s="46">
        <v>1</v>
      </c>
      <c r="BA31" s="46">
        <v>1</v>
      </c>
      <c r="BI31" s="46">
        <v>1</v>
      </c>
      <c r="BV31" s="46">
        <v>1</v>
      </c>
      <c r="BY31" s="46">
        <v>1</v>
      </c>
      <c r="CB31" s="46">
        <v>1</v>
      </c>
      <c r="CG31" s="46">
        <v>1</v>
      </c>
      <c r="CM31" s="46">
        <v>1</v>
      </c>
      <c r="CR31" s="46" t="s">
        <v>5504</v>
      </c>
    </row>
    <row r="32" spans="1:96">
      <c r="A32" s="46" t="s">
        <v>5551</v>
      </c>
      <c r="B32" s="46" t="s">
        <v>5552</v>
      </c>
      <c r="C32" s="46">
        <v>40</v>
      </c>
      <c r="D32" s="46" t="s">
        <v>5553</v>
      </c>
      <c r="E32" s="46" t="s">
        <v>5554</v>
      </c>
      <c r="F32" s="46" t="s">
        <v>662</v>
      </c>
      <c r="J32" s="46">
        <v>1</v>
      </c>
      <c r="M32" s="46">
        <v>1</v>
      </c>
      <c r="R32" s="46">
        <v>1</v>
      </c>
      <c r="T32" s="46">
        <v>1</v>
      </c>
      <c r="X32" s="46">
        <v>16</v>
      </c>
      <c r="Z32" s="46">
        <v>8</v>
      </c>
      <c r="AA32" s="46">
        <v>6</v>
      </c>
      <c r="AB32" s="46">
        <v>9</v>
      </c>
      <c r="AE32" s="46">
        <v>1</v>
      </c>
      <c r="AG32" s="46">
        <v>1</v>
      </c>
      <c r="AH32" s="46">
        <v>1</v>
      </c>
      <c r="AI32" s="46">
        <v>1</v>
      </c>
      <c r="AK32" s="46">
        <v>1</v>
      </c>
      <c r="AT32" s="46">
        <v>1</v>
      </c>
      <c r="AY32" s="46">
        <v>1</v>
      </c>
      <c r="BA32" s="46">
        <v>1</v>
      </c>
      <c r="BI32" s="46">
        <v>1</v>
      </c>
      <c r="BY32" s="46">
        <v>1</v>
      </c>
      <c r="CB32" s="46">
        <v>1</v>
      </c>
      <c r="CG32" s="46">
        <v>1</v>
      </c>
      <c r="CM32" s="46">
        <v>1</v>
      </c>
      <c r="CR32" s="46" t="s">
        <v>5504</v>
      </c>
    </row>
    <row r="33" spans="1:96">
      <c r="A33" s="46" t="s">
        <v>5555</v>
      </c>
      <c r="B33" s="46" t="s">
        <v>5556</v>
      </c>
      <c r="C33" s="46">
        <v>36</v>
      </c>
      <c r="D33" s="46" t="s">
        <v>5557</v>
      </c>
      <c r="E33" s="46" t="s">
        <v>5558</v>
      </c>
      <c r="F33" s="46" t="s">
        <v>112</v>
      </c>
      <c r="H33" s="46">
        <v>1</v>
      </c>
      <c r="M33" s="46">
        <v>1</v>
      </c>
      <c r="T33" s="46">
        <v>1</v>
      </c>
      <c r="W33" s="46">
        <v>15</v>
      </c>
      <c r="X33" s="46">
        <v>18</v>
      </c>
      <c r="Y33" s="46">
        <v>20</v>
      </c>
      <c r="Z33" s="46">
        <v>7</v>
      </c>
      <c r="AA33" s="46">
        <v>7</v>
      </c>
      <c r="AB33" s="46">
        <v>7</v>
      </c>
      <c r="AF33" s="46">
        <v>1</v>
      </c>
      <c r="AJ33" s="46">
        <v>1</v>
      </c>
      <c r="AL33" s="46">
        <v>1</v>
      </c>
      <c r="AT33" s="46">
        <v>1</v>
      </c>
      <c r="AW33" s="46">
        <v>1</v>
      </c>
      <c r="BE33" s="46">
        <v>1</v>
      </c>
      <c r="BG33" s="46">
        <v>1</v>
      </c>
      <c r="BI33" s="46">
        <v>1</v>
      </c>
      <c r="BU33" s="46">
        <v>1</v>
      </c>
      <c r="BV33" s="46">
        <v>1</v>
      </c>
      <c r="BY33" s="46">
        <v>1</v>
      </c>
      <c r="CB33" s="46">
        <v>1</v>
      </c>
      <c r="CG33" s="46">
        <v>1</v>
      </c>
      <c r="CM33" s="46">
        <v>1</v>
      </c>
      <c r="CR33" s="46" t="s">
        <v>5479</v>
      </c>
    </row>
    <row r="34" spans="1:96">
      <c r="A34" s="46" t="s">
        <v>5559</v>
      </c>
      <c r="B34" s="46" t="s">
        <v>5560</v>
      </c>
      <c r="C34" s="46">
        <v>27</v>
      </c>
      <c r="D34" s="46" t="s">
        <v>2625</v>
      </c>
      <c r="E34" s="46" t="s">
        <v>5561</v>
      </c>
      <c r="F34" s="46" t="s">
        <v>112</v>
      </c>
      <c r="J34" s="46">
        <v>1</v>
      </c>
      <c r="M34" s="46">
        <v>1</v>
      </c>
      <c r="Q34" s="46">
        <v>1</v>
      </c>
      <c r="U34" s="46">
        <v>1</v>
      </c>
      <c r="W34" s="46">
        <v>13</v>
      </c>
      <c r="X34" s="46">
        <v>21</v>
      </c>
      <c r="Y34" s="46">
        <v>22</v>
      </c>
      <c r="Z34" s="46">
        <v>2</v>
      </c>
      <c r="AA34" s="46">
        <v>2</v>
      </c>
      <c r="AB34" s="46">
        <v>2</v>
      </c>
      <c r="AD34" s="46">
        <v>1</v>
      </c>
      <c r="AE34" s="46">
        <v>1</v>
      </c>
      <c r="AH34" s="46">
        <v>1</v>
      </c>
      <c r="AI34" s="46">
        <v>1</v>
      </c>
      <c r="AK34" s="46">
        <v>1</v>
      </c>
      <c r="AT34" s="46">
        <v>1</v>
      </c>
      <c r="AX34" s="46">
        <v>1</v>
      </c>
      <c r="BA34" s="46">
        <v>1</v>
      </c>
      <c r="BI34" s="46">
        <v>1</v>
      </c>
      <c r="BY34" s="46">
        <v>1</v>
      </c>
      <c r="CB34" s="46">
        <v>1</v>
      </c>
      <c r="CG34" s="46">
        <v>1</v>
      </c>
      <c r="CM34" s="46">
        <v>1</v>
      </c>
      <c r="CR34" s="46" t="s">
        <v>5504</v>
      </c>
    </row>
    <row r="35" spans="1:96">
      <c r="A35" s="46" t="s">
        <v>5562</v>
      </c>
      <c r="B35" s="46" t="s">
        <v>5563</v>
      </c>
      <c r="C35" s="46">
        <v>36</v>
      </c>
      <c r="D35" s="46" t="s">
        <v>3033</v>
      </c>
      <c r="E35" s="46" t="s">
        <v>5564</v>
      </c>
      <c r="F35" s="46" t="s">
        <v>112</v>
      </c>
      <c r="G35" s="46">
        <v>1</v>
      </c>
      <c r="M35" s="46">
        <v>1</v>
      </c>
      <c r="Q35" s="46">
        <v>1</v>
      </c>
      <c r="T35" s="46">
        <v>1</v>
      </c>
      <c r="W35" s="46">
        <v>14</v>
      </c>
      <c r="X35" s="46">
        <v>19</v>
      </c>
      <c r="Y35" s="46">
        <v>23</v>
      </c>
      <c r="Z35" s="46">
        <v>4</v>
      </c>
      <c r="AA35" s="46">
        <v>3</v>
      </c>
      <c r="AB35" s="46">
        <v>3</v>
      </c>
      <c r="AG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Y35" s="46">
        <v>1</v>
      </c>
      <c r="CB35" s="46">
        <v>1</v>
      </c>
      <c r="CM35" s="46">
        <v>1</v>
      </c>
      <c r="CR35" s="46" t="s">
        <v>5504</v>
      </c>
    </row>
    <row r="36" spans="1:96">
      <c r="A36" s="46" t="s">
        <v>5565</v>
      </c>
      <c r="B36" s="46" t="s">
        <v>5566</v>
      </c>
      <c r="C36" s="46">
        <v>49</v>
      </c>
      <c r="D36" s="46" t="s">
        <v>5567</v>
      </c>
      <c r="E36" s="46" t="s">
        <v>5568</v>
      </c>
      <c r="F36" s="46" t="s">
        <v>330</v>
      </c>
      <c r="I36" s="46">
        <v>1</v>
      </c>
      <c r="O36" s="46">
        <v>1</v>
      </c>
      <c r="R36" s="46">
        <v>1</v>
      </c>
      <c r="S36" s="46">
        <v>1</v>
      </c>
      <c r="W36" s="46">
        <v>15</v>
      </c>
      <c r="X36" s="46">
        <v>20</v>
      </c>
      <c r="Y36" s="46">
        <v>30</v>
      </c>
      <c r="Z36" s="46">
        <v>8</v>
      </c>
      <c r="AA36" s="46">
        <v>8</v>
      </c>
      <c r="AB36" s="46">
        <v>8</v>
      </c>
      <c r="AD36" s="46">
        <v>1</v>
      </c>
      <c r="AG36" s="46">
        <v>1</v>
      </c>
      <c r="AH36" s="46">
        <v>1</v>
      </c>
      <c r="AI36" s="46">
        <v>1</v>
      </c>
      <c r="AM36" s="46">
        <v>1</v>
      </c>
      <c r="AT36" s="46">
        <v>1</v>
      </c>
      <c r="AW36" s="46">
        <v>1</v>
      </c>
      <c r="BA36" s="46">
        <v>1</v>
      </c>
      <c r="BL36" s="46">
        <v>1</v>
      </c>
      <c r="BY36" s="46">
        <v>1</v>
      </c>
      <c r="CB36" s="46">
        <v>1</v>
      </c>
      <c r="CM36" s="46">
        <v>1</v>
      </c>
      <c r="CR36" s="139">
        <v>45299</v>
      </c>
    </row>
    <row r="37" spans="1:96">
      <c r="A37" s="46" t="s">
        <v>5569</v>
      </c>
      <c r="B37" s="46" t="s">
        <v>2768</v>
      </c>
      <c r="C37" s="46">
        <v>49</v>
      </c>
      <c r="D37" s="46" t="s">
        <v>5570</v>
      </c>
      <c r="E37" s="46" t="s">
        <v>5571</v>
      </c>
      <c r="F37" s="46" t="s">
        <v>112</v>
      </c>
      <c r="H37" s="46">
        <v>1</v>
      </c>
      <c r="M37" s="46">
        <v>1</v>
      </c>
      <c r="R37" s="46">
        <v>1</v>
      </c>
      <c r="T37" s="46">
        <v>1</v>
      </c>
      <c r="W37" s="46">
        <v>18</v>
      </c>
      <c r="X37" s="46">
        <v>20</v>
      </c>
      <c r="Y37" s="46">
        <v>21</v>
      </c>
      <c r="Z37" s="46">
        <v>10</v>
      </c>
      <c r="AA37" s="46">
        <v>10</v>
      </c>
      <c r="AB37" s="46">
        <v>6</v>
      </c>
      <c r="AD37" s="46">
        <v>1</v>
      </c>
      <c r="AE37" s="46">
        <v>1</v>
      </c>
      <c r="AG37" s="46">
        <v>1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Y37" s="46">
        <v>1</v>
      </c>
      <c r="CB37" s="46">
        <v>1</v>
      </c>
      <c r="CM37" s="46">
        <v>1</v>
      </c>
      <c r="CR37" s="46" t="s">
        <v>5572</v>
      </c>
    </row>
    <row r="38" spans="1:96">
      <c r="A38" s="46" t="s">
        <v>5573</v>
      </c>
      <c r="B38" s="46" t="s">
        <v>5574</v>
      </c>
      <c r="C38" s="46">
        <v>27</v>
      </c>
      <c r="D38" s="46" t="s">
        <v>5575</v>
      </c>
      <c r="E38" s="46" t="s">
        <v>5576</v>
      </c>
      <c r="F38" s="46" t="s">
        <v>112</v>
      </c>
      <c r="I38" s="46">
        <v>1</v>
      </c>
      <c r="O38" s="46">
        <v>1</v>
      </c>
      <c r="Q38" s="46">
        <v>1</v>
      </c>
      <c r="U38" s="46">
        <v>1</v>
      </c>
      <c r="W38" s="46">
        <v>13</v>
      </c>
      <c r="X38" s="46">
        <v>15</v>
      </c>
      <c r="Y38" s="46">
        <v>15</v>
      </c>
      <c r="Z38" s="46">
        <v>3</v>
      </c>
      <c r="AA38" s="46">
        <v>3</v>
      </c>
      <c r="AB38" s="46">
        <v>3</v>
      </c>
      <c r="AE38" s="46">
        <v>1</v>
      </c>
      <c r="AH38" s="46">
        <v>1</v>
      </c>
      <c r="AI38" s="46">
        <v>1</v>
      </c>
      <c r="AL38" s="46">
        <v>1</v>
      </c>
      <c r="AO38" s="46">
        <v>1</v>
      </c>
      <c r="AQ38" s="46" t="s">
        <v>736</v>
      </c>
      <c r="AR38" s="134">
        <v>45413</v>
      </c>
      <c r="AT38" s="46">
        <v>1</v>
      </c>
      <c r="AW38" s="46">
        <v>1</v>
      </c>
      <c r="BE38" s="46">
        <v>1</v>
      </c>
      <c r="BG38" s="46">
        <v>1</v>
      </c>
      <c r="BJ38" s="46">
        <v>1</v>
      </c>
      <c r="BM38" s="46">
        <v>1</v>
      </c>
      <c r="BN38" s="46" t="s">
        <v>4623</v>
      </c>
      <c r="BY38" s="46">
        <v>1</v>
      </c>
      <c r="CB38" s="46">
        <v>1</v>
      </c>
      <c r="CM38" s="46">
        <v>1</v>
      </c>
      <c r="CR38" s="139">
        <v>45299</v>
      </c>
    </row>
    <row r="39" spans="1:96">
      <c r="A39" s="46" t="s">
        <v>5577</v>
      </c>
      <c r="B39" s="46" t="s">
        <v>5578</v>
      </c>
      <c r="C39" s="46">
        <v>41</v>
      </c>
      <c r="D39" s="46" t="s">
        <v>1416</v>
      </c>
      <c r="E39" s="46" t="s">
        <v>3069</v>
      </c>
      <c r="F39" s="46" t="s">
        <v>107</v>
      </c>
      <c r="G39" s="46">
        <v>1</v>
      </c>
      <c r="M39" s="46">
        <v>1</v>
      </c>
      <c r="U39" s="46">
        <v>1</v>
      </c>
      <c r="Z39" s="46">
        <v>2</v>
      </c>
      <c r="AA39" s="46">
        <v>2</v>
      </c>
      <c r="AB39" s="46">
        <v>2</v>
      </c>
      <c r="AH39" s="46">
        <v>1</v>
      </c>
      <c r="AJ39" s="46">
        <v>1</v>
      </c>
      <c r="AL39" s="46">
        <v>1</v>
      </c>
      <c r="AT39" s="46">
        <v>1</v>
      </c>
      <c r="AW39" s="46">
        <v>1</v>
      </c>
      <c r="BE39" s="46">
        <v>1</v>
      </c>
      <c r="BG39" s="46">
        <v>1</v>
      </c>
      <c r="BJ39" s="46">
        <v>1</v>
      </c>
      <c r="BM39" s="46">
        <v>1</v>
      </c>
      <c r="BN39" s="46" t="s">
        <v>4623</v>
      </c>
      <c r="CG39" s="46">
        <v>1</v>
      </c>
      <c r="CM39" s="46">
        <v>1</v>
      </c>
      <c r="CR39" s="139">
        <v>45299</v>
      </c>
    </row>
  </sheetData>
  <autoFilter ref="A4:CR39"/>
  <mergeCells count="28">
    <mergeCell ref="A2:B2"/>
    <mergeCell ref="C2:E2"/>
    <mergeCell ref="G2:K2"/>
    <mergeCell ref="L2:P2"/>
    <mergeCell ref="Q2:R2"/>
    <mergeCell ref="CE2:CF2"/>
    <mergeCell ref="CG2:CI2"/>
    <mergeCell ref="S2:V2"/>
    <mergeCell ref="W2:AB2"/>
    <mergeCell ref="AC2:AH2"/>
    <mergeCell ref="AI2:AJ2"/>
    <mergeCell ref="AK2:AM2"/>
    <mergeCell ref="CJ2:CK2"/>
    <mergeCell ref="CL2:CM2"/>
    <mergeCell ref="CO4:CP4"/>
    <mergeCell ref="AN2:AP2"/>
    <mergeCell ref="AQ2:AS2"/>
    <mergeCell ref="AT2:AU2"/>
    <mergeCell ref="AV2:AZ2"/>
    <mergeCell ref="CB2:CC2"/>
    <mergeCell ref="BA2:BE2"/>
    <mergeCell ref="BF2:BG2"/>
    <mergeCell ref="BH2:BL2"/>
    <mergeCell ref="BM2:BO2"/>
    <mergeCell ref="BP2:BQ2"/>
    <mergeCell ref="BT2:BX2"/>
    <mergeCell ref="BY2:CA2"/>
    <mergeCell ref="BM3:BS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1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4" t="s">
        <v>3725</v>
      </c>
      <c r="B4" s="69">
        <v>6</v>
      </c>
      <c r="C4" s="69">
        <v>6</v>
      </c>
      <c r="D4" s="69">
        <v>0</v>
      </c>
      <c r="E4" s="69">
        <f>SUM(B4:D4)</f>
        <v>12</v>
      </c>
      <c r="F4" s="70">
        <v>4</v>
      </c>
      <c r="G4" s="70">
        <v>7</v>
      </c>
      <c r="H4" s="70">
        <v>0</v>
      </c>
      <c r="I4" s="70">
        <v>4</v>
      </c>
      <c r="J4" s="71">
        <f>SUM(F4:H4)</f>
        <v>11</v>
      </c>
      <c r="K4" s="70">
        <v>0</v>
      </c>
      <c r="L4" s="70">
        <v>1</v>
      </c>
      <c r="M4" s="70">
        <v>0</v>
      </c>
      <c r="N4" s="70">
        <v>0</v>
      </c>
      <c r="O4" s="70">
        <v>0</v>
      </c>
      <c r="P4" s="71">
        <f>SUM(K4:O4)</f>
        <v>1</v>
      </c>
      <c r="Q4" s="70">
        <v>7</v>
      </c>
      <c r="R4" s="70">
        <v>0</v>
      </c>
      <c r="S4" s="70">
        <v>8</v>
      </c>
      <c r="T4" s="71">
        <f>SUM(Q4:R4)</f>
        <v>7</v>
      </c>
      <c r="U4" s="75">
        <v>0</v>
      </c>
      <c r="V4" s="75">
        <v>0</v>
      </c>
      <c r="W4" s="75">
        <v>1</v>
      </c>
      <c r="X4" s="75">
        <v>0</v>
      </c>
      <c r="Y4" s="75">
        <v>0</v>
      </c>
      <c r="Z4" s="75"/>
      <c r="AA4" s="73">
        <v>7</v>
      </c>
      <c r="AB4" s="73">
        <v>1</v>
      </c>
      <c r="AC4" s="73">
        <v>0</v>
      </c>
      <c r="AD4" s="73">
        <v>4</v>
      </c>
      <c r="AE4" s="186">
        <f>SUM(AA4,AB4,AC4,AD4)</f>
        <v>12</v>
      </c>
      <c r="AF4" s="73">
        <v>0</v>
      </c>
      <c r="AG4" s="73">
        <v>0</v>
      </c>
    </row>
    <row r="5" spans="1:33">
      <c r="A5" s="77" t="s">
        <v>5579</v>
      </c>
      <c r="B5" s="69">
        <v>7</v>
      </c>
      <c r="C5" s="69">
        <v>2</v>
      </c>
      <c r="D5" s="69">
        <v>0</v>
      </c>
      <c r="E5" s="69">
        <f>SUM(B5:D5)</f>
        <v>9</v>
      </c>
      <c r="F5" s="70">
        <v>1</v>
      </c>
      <c r="G5" s="70">
        <v>8</v>
      </c>
      <c r="H5" s="70">
        <v>0</v>
      </c>
      <c r="I5" s="70">
        <v>2</v>
      </c>
      <c r="J5" s="71">
        <f>SUM(F5:H5)</f>
        <v>9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0</v>
      </c>
      <c r="R5" s="70">
        <v>1</v>
      </c>
      <c r="S5" s="70">
        <v>3</v>
      </c>
      <c r="T5" s="71">
        <f>SUM(Q5:S5)</f>
        <v>4</v>
      </c>
      <c r="U5" s="75">
        <v>1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8</v>
      </c>
      <c r="AB5" s="73">
        <v>0</v>
      </c>
      <c r="AC5" s="73">
        <v>0</v>
      </c>
      <c r="AD5" s="73">
        <v>1</v>
      </c>
      <c r="AE5" s="186">
        <f>SUM(AA5,AB5,AC5,AD5)</f>
        <v>9</v>
      </c>
      <c r="AF5" s="73">
        <v>0</v>
      </c>
      <c r="AG5" s="73">
        <v>0</v>
      </c>
    </row>
    <row r="6" spans="1:33">
      <c r="A6" s="77" t="s">
        <v>3539</v>
      </c>
      <c r="B6" s="69">
        <v>5</v>
      </c>
      <c r="C6" s="69">
        <v>2</v>
      </c>
      <c r="D6" s="69">
        <v>2</v>
      </c>
      <c r="E6" s="69">
        <f>SUM(B6:D6)</f>
        <v>9</v>
      </c>
      <c r="F6" s="70">
        <v>0</v>
      </c>
      <c r="G6" s="70">
        <v>3</v>
      </c>
      <c r="H6" s="70">
        <v>0</v>
      </c>
      <c r="I6" s="70">
        <v>1</v>
      </c>
      <c r="J6" s="71">
        <f>SUM(F6:I6)</f>
        <v>4</v>
      </c>
      <c r="K6" s="70">
        <v>2</v>
      </c>
      <c r="L6" s="70">
        <v>3</v>
      </c>
      <c r="M6" s="70">
        <v>0</v>
      </c>
      <c r="N6" s="70">
        <v>0</v>
      </c>
      <c r="O6" s="70">
        <v>0</v>
      </c>
      <c r="P6" s="71">
        <f>SUM(K6:O6)</f>
        <v>5</v>
      </c>
      <c r="Q6" s="70">
        <v>0</v>
      </c>
      <c r="R6" s="70">
        <v>0</v>
      </c>
      <c r="S6" s="70">
        <v>2</v>
      </c>
      <c r="T6" s="71">
        <f>SUM(Q6:S6)</f>
        <v>2</v>
      </c>
      <c r="U6" s="75">
        <v>0</v>
      </c>
      <c r="V6" s="75">
        <v>0</v>
      </c>
      <c r="W6" s="75">
        <v>1</v>
      </c>
      <c r="X6" s="75">
        <v>0</v>
      </c>
      <c r="Y6" s="75">
        <v>0</v>
      </c>
      <c r="Z6" s="75"/>
      <c r="AA6" s="73">
        <v>7</v>
      </c>
      <c r="AB6" s="73">
        <v>0</v>
      </c>
      <c r="AC6" s="73">
        <v>0</v>
      </c>
      <c r="AD6" s="73">
        <v>2</v>
      </c>
      <c r="AE6" s="186">
        <f>SUM(AA6,AB6,AC6,AD6)</f>
        <v>9</v>
      </c>
      <c r="AF6" s="73">
        <v>0</v>
      </c>
      <c r="AG6" s="73">
        <v>0</v>
      </c>
    </row>
    <row r="7" spans="1:33">
      <c r="A7" s="77" t="s">
        <v>3109</v>
      </c>
      <c r="B7" s="69">
        <v>2</v>
      </c>
      <c r="C7" s="69">
        <v>2</v>
      </c>
      <c r="D7" s="69">
        <v>0</v>
      </c>
      <c r="E7" s="69">
        <f>SUM(B7:D7)</f>
        <v>4</v>
      </c>
      <c r="F7" s="70">
        <v>0</v>
      </c>
      <c r="G7" s="70">
        <v>0</v>
      </c>
      <c r="H7" s="70">
        <v>0</v>
      </c>
      <c r="I7" s="70">
        <v>1</v>
      </c>
      <c r="J7" s="71">
        <f>SUM(F7:I7)</f>
        <v>1</v>
      </c>
      <c r="K7" s="70">
        <v>4</v>
      </c>
      <c r="L7" s="70">
        <v>0</v>
      </c>
      <c r="M7" s="70">
        <v>0</v>
      </c>
      <c r="N7" s="70">
        <v>0</v>
      </c>
      <c r="O7" s="70">
        <v>0</v>
      </c>
      <c r="P7" s="71">
        <f>SUM(K7:O7)</f>
        <v>4</v>
      </c>
      <c r="Q7" s="70">
        <v>0</v>
      </c>
      <c r="R7" s="70">
        <v>0</v>
      </c>
      <c r="S7" s="70">
        <v>2</v>
      </c>
      <c r="T7" s="71">
        <f>SUM(Q7:S7)</f>
        <v>2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4</v>
      </c>
      <c r="AB7" s="73">
        <v>0</v>
      </c>
      <c r="AC7" s="73">
        <v>0</v>
      </c>
      <c r="AD7" s="73">
        <v>0</v>
      </c>
      <c r="AE7" s="186">
        <f>SUM(AA7,AB7,AC7,AD7)</f>
        <v>4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0">SUM(B3:B7)</f>
        <v>21</v>
      </c>
      <c r="C8" s="69">
        <f t="shared" si="0"/>
        <v>12</v>
      </c>
      <c r="D8" s="69">
        <f t="shared" si="0"/>
        <v>2</v>
      </c>
      <c r="E8" s="69">
        <f t="shared" si="0"/>
        <v>35</v>
      </c>
      <c r="F8" s="69">
        <f t="shared" si="0"/>
        <v>5</v>
      </c>
      <c r="G8" s="69">
        <f t="shared" si="0"/>
        <v>19</v>
      </c>
      <c r="H8" s="69">
        <f t="shared" si="0"/>
        <v>0</v>
      </c>
      <c r="I8" s="69">
        <f t="shared" si="0"/>
        <v>8</v>
      </c>
      <c r="J8" s="71">
        <f>SUM(F8:I8)</f>
        <v>32</v>
      </c>
      <c r="K8" s="114">
        <f>SUM(K3:K7)</f>
        <v>6</v>
      </c>
      <c r="L8" s="114">
        <f>SUM(L3:L7)</f>
        <v>4</v>
      </c>
      <c r="M8" s="114">
        <f>SUM(M3:M7)</f>
        <v>0</v>
      </c>
      <c r="N8" s="114">
        <f>SUM(N3:N7)</f>
        <v>0</v>
      </c>
      <c r="O8" s="114">
        <f>SUM(O3:O7)</f>
        <v>0</v>
      </c>
      <c r="P8" s="71">
        <f>SUM(K8:N8)</f>
        <v>10</v>
      </c>
      <c r="Q8" s="114">
        <f t="shared" ref="Q8:AG8" si="1">SUM(Q3:Q7)</f>
        <v>7</v>
      </c>
      <c r="R8" s="114">
        <f t="shared" si="1"/>
        <v>1</v>
      </c>
      <c r="S8" s="114">
        <f t="shared" si="1"/>
        <v>16</v>
      </c>
      <c r="T8" s="71">
        <f t="shared" si="1"/>
        <v>16</v>
      </c>
      <c r="U8" s="114">
        <f t="shared" si="1"/>
        <v>1</v>
      </c>
      <c r="V8" s="114">
        <f t="shared" si="1"/>
        <v>0</v>
      </c>
      <c r="W8" s="114">
        <f t="shared" si="1"/>
        <v>2</v>
      </c>
      <c r="X8" s="114">
        <f t="shared" si="1"/>
        <v>0</v>
      </c>
      <c r="Y8" s="114">
        <f t="shared" si="1"/>
        <v>0</v>
      </c>
      <c r="Z8" s="114">
        <f t="shared" si="1"/>
        <v>0</v>
      </c>
      <c r="AA8" s="114">
        <f t="shared" si="1"/>
        <v>26</v>
      </c>
      <c r="AB8" s="114">
        <f t="shared" si="1"/>
        <v>2</v>
      </c>
      <c r="AC8" s="114">
        <f t="shared" si="1"/>
        <v>0</v>
      </c>
      <c r="AD8" s="114">
        <f t="shared" si="1"/>
        <v>7</v>
      </c>
      <c r="AE8" s="73">
        <f t="shared" si="1"/>
        <v>35</v>
      </c>
      <c r="AF8" s="73">
        <f t="shared" si="1"/>
        <v>0</v>
      </c>
      <c r="AG8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42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4.42578125" defaultRowHeight="15" customHeight="1"/>
  <cols>
    <col min="1" max="1" width="9.140625" customWidth="1"/>
    <col min="2" max="2" width="22.140625" customWidth="1"/>
    <col min="3" max="3" width="8.7109375" customWidth="1"/>
    <col min="5" max="5" width="18.140625" customWidth="1"/>
  </cols>
  <sheetData>
    <row r="1" spans="1:98">
      <c r="A1" s="189" t="s">
        <v>5580</v>
      </c>
      <c r="B1" s="143"/>
      <c r="C1" s="231" t="s">
        <v>5581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5583</v>
      </c>
      <c r="B4" s="46" t="s">
        <v>5584</v>
      </c>
      <c r="C4" s="46">
        <v>34</v>
      </c>
      <c r="D4" s="46" t="s">
        <v>5585</v>
      </c>
      <c r="F4" s="46" t="s">
        <v>145</v>
      </c>
      <c r="G4" s="46">
        <v>1</v>
      </c>
      <c r="O4" s="46">
        <v>1</v>
      </c>
      <c r="R4" s="46">
        <v>1</v>
      </c>
      <c r="T4" s="46">
        <v>1</v>
      </c>
      <c r="W4" s="46">
        <v>16</v>
      </c>
      <c r="X4" s="46">
        <v>16</v>
      </c>
      <c r="Y4" s="46">
        <v>18</v>
      </c>
      <c r="Z4" s="46">
        <v>3</v>
      </c>
      <c r="AA4" s="46">
        <v>3</v>
      </c>
      <c r="AB4" s="46">
        <v>3</v>
      </c>
      <c r="AG4" s="46">
        <v>1</v>
      </c>
      <c r="AH4" s="46">
        <v>1</v>
      </c>
      <c r="AJ4" s="46">
        <v>1</v>
      </c>
      <c r="AM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N4" s="46">
        <v>1</v>
      </c>
      <c r="CR4" s="46">
        <v>1</v>
      </c>
      <c r="CT4" s="46" t="s">
        <v>5586</v>
      </c>
    </row>
    <row r="5" spans="1:98">
      <c r="A5" s="46" t="s">
        <v>5587</v>
      </c>
      <c r="B5" s="46" t="s">
        <v>5588</v>
      </c>
      <c r="C5" s="46">
        <v>29</v>
      </c>
      <c r="D5" s="46" t="s">
        <v>5589</v>
      </c>
      <c r="E5" s="46" t="s">
        <v>5590</v>
      </c>
      <c r="F5" s="46" t="s">
        <v>112</v>
      </c>
      <c r="G5" s="46">
        <v>1</v>
      </c>
      <c r="M5" s="46">
        <v>1</v>
      </c>
      <c r="Q5" s="46">
        <v>1</v>
      </c>
      <c r="T5" s="46">
        <v>1</v>
      </c>
      <c r="W5" s="46">
        <v>15</v>
      </c>
      <c r="X5" s="46">
        <v>18</v>
      </c>
      <c r="Y5" s="46">
        <v>19</v>
      </c>
      <c r="Z5" s="46">
        <v>4</v>
      </c>
      <c r="AA5" s="46">
        <v>4</v>
      </c>
      <c r="AB5" s="46">
        <v>4</v>
      </c>
      <c r="AE5" s="46">
        <v>1</v>
      </c>
      <c r="AG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CB5" s="46">
        <v>1</v>
      </c>
      <c r="CE5" s="46">
        <v>1</v>
      </c>
      <c r="CN5" s="46">
        <v>1</v>
      </c>
      <c r="CR5" s="46">
        <v>1</v>
      </c>
      <c r="CT5" s="46" t="s">
        <v>5586</v>
      </c>
    </row>
    <row r="6" spans="1:98">
      <c r="A6" s="46" t="s">
        <v>5591</v>
      </c>
      <c r="B6" s="46" t="s">
        <v>5592</v>
      </c>
      <c r="C6" s="46">
        <v>24</v>
      </c>
      <c r="D6" s="46" t="s">
        <v>5589</v>
      </c>
      <c r="E6" s="46" t="s">
        <v>5593</v>
      </c>
      <c r="F6" s="46" t="s">
        <v>1045</v>
      </c>
      <c r="J6" s="46">
        <v>1</v>
      </c>
      <c r="M6" s="46">
        <v>1</v>
      </c>
      <c r="R6" s="46">
        <v>1</v>
      </c>
      <c r="T6" s="46">
        <v>1</v>
      </c>
      <c r="W6" s="46">
        <v>16</v>
      </c>
      <c r="X6" s="46">
        <v>16</v>
      </c>
      <c r="Y6" s="46">
        <v>17</v>
      </c>
      <c r="Z6" s="46">
        <v>6</v>
      </c>
      <c r="AA6" s="46">
        <v>4</v>
      </c>
      <c r="AB6" s="46">
        <v>4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N6" s="46">
        <v>1</v>
      </c>
      <c r="CR6" s="46">
        <v>1</v>
      </c>
      <c r="CT6" s="46" t="s">
        <v>5586</v>
      </c>
    </row>
    <row r="7" spans="1:98">
      <c r="A7" s="46" t="s">
        <v>5594</v>
      </c>
      <c r="B7" s="46" t="s">
        <v>5595</v>
      </c>
      <c r="C7" s="46">
        <v>35</v>
      </c>
      <c r="D7" s="46" t="s">
        <v>5596</v>
      </c>
      <c r="E7" s="46" t="s">
        <v>5597</v>
      </c>
      <c r="F7" s="46" t="s">
        <v>112</v>
      </c>
      <c r="H7" s="46">
        <v>1</v>
      </c>
      <c r="M7" s="46">
        <v>1</v>
      </c>
      <c r="Q7" s="46">
        <v>1</v>
      </c>
      <c r="T7" s="46">
        <v>1</v>
      </c>
      <c r="X7" s="46">
        <v>17</v>
      </c>
      <c r="Y7" s="46">
        <v>17</v>
      </c>
      <c r="Z7" s="46">
        <v>6</v>
      </c>
      <c r="AA7" s="46">
        <v>6</v>
      </c>
      <c r="AB7" s="46">
        <v>6</v>
      </c>
      <c r="AE7" s="46">
        <v>1</v>
      </c>
      <c r="AG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N7" s="46">
        <v>1</v>
      </c>
      <c r="CR7" s="46">
        <v>1</v>
      </c>
      <c r="CT7" s="46" t="s">
        <v>5586</v>
      </c>
    </row>
    <row r="8" spans="1:98">
      <c r="A8" s="46" t="s">
        <v>5598</v>
      </c>
      <c r="B8" s="46" t="s">
        <v>5599</v>
      </c>
      <c r="C8" s="46">
        <v>38</v>
      </c>
      <c r="D8" s="46" t="s">
        <v>5600</v>
      </c>
      <c r="F8" s="46" t="s">
        <v>112</v>
      </c>
      <c r="G8" s="46">
        <v>1</v>
      </c>
      <c r="N8" s="46">
        <v>1</v>
      </c>
      <c r="Q8" s="46">
        <v>1</v>
      </c>
      <c r="T8" s="46">
        <v>1</v>
      </c>
      <c r="W8" s="46">
        <v>16</v>
      </c>
      <c r="X8" s="46">
        <v>18</v>
      </c>
      <c r="Y8" s="46">
        <v>18</v>
      </c>
      <c r="Z8" s="46">
        <v>8</v>
      </c>
      <c r="AA8" s="46">
        <v>8</v>
      </c>
      <c r="AB8" s="46">
        <v>7</v>
      </c>
      <c r="AD8" s="46">
        <v>1</v>
      </c>
      <c r="AJ8" s="46">
        <v>1</v>
      </c>
      <c r="AM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N8" s="46">
        <v>1</v>
      </c>
      <c r="CR8" s="46">
        <v>1</v>
      </c>
      <c r="CT8" s="46" t="s">
        <v>5586</v>
      </c>
    </row>
    <row r="9" spans="1:98">
      <c r="A9" s="46" t="s">
        <v>5601</v>
      </c>
      <c r="B9" s="46" t="s">
        <v>2630</v>
      </c>
      <c r="C9" s="46">
        <v>36</v>
      </c>
      <c r="D9" s="46" t="s">
        <v>5602</v>
      </c>
      <c r="F9" s="46" t="s">
        <v>112</v>
      </c>
      <c r="G9" s="46">
        <v>1</v>
      </c>
      <c r="N9" s="46">
        <v>1</v>
      </c>
      <c r="R9" s="46">
        <v>1</v>
      </c>
      <c r="T9" s="46">
        <v>1</v>
      </c>
      <c r="W9" s="46">
        <v>13</v>
      </c>
      <c r="X9" s="46">
        <v>14</v>
      </c>
      <c r="Y9" s="46">
        <v>15</v>
      </c>
      <c r="Z9" s="46">
        <v>7</v>
      </c>
      <c r="AA9" s="46">
        <v>7</v>
      </c>
      <c r="AB9" s="46">
        <v>7</v>
      </c>
      <c r="AE9" s="46">
        <v>1</v>
      </c>
      <c r="AG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N9" s="46">
        <v>1</v>
      </c>
      <c r="CR9" s="46">
        <v>1</v>
      </c>
      <c r="CT9" s="46" t="s">
        <v>5586</v>
      </c>
    </row>
    <row r="10" spans="1:98">
      <c r="A10" s="46" t="s">
        <v>5603</v>
      </c>
      <c r="B10" s="46" t="s">
        <v>5604</v>
      </c>
      <c r="C10" s="46">
        <v>49</v>
      </c>
      <c r="D10" s="46" t="s">
        <v>5585</v>
      </c>
      <c r="F10" s="46" t="s">
        <v>112</v>
      </c>
      <c r="H10" s="46">
        <v>1</v>
      </c>
      <c r="M10" s="46">
        <v>1</v>
      </c>
      <c r="R10" s="46">
        <v>1</v>
      </c>
      <c r="S10" s="46">
        <v>1</v>
      </c>
      <c r="W10" s="46">
        <v>14</v>
      </c>
      <c r="X10" s="46">
        <v>18</v>
      </c>
      <c r="Y10" s="46">
        <v>19</v>
      </c>
      <c r="Z10" s="46">
        <v>7</v>
      </c>
      <c r="AA10" s="46">
        <v>7</v>
      </c>
      <c r="AB10" s="46">
        <v>6</v>
      </c>
      <c r="AG10" s="46">
        <v>1</v>
      </c>
      <c r="AH10" s="46">
        <v>1</v>
      </c>
      <c r="AI10" s="46">
        <v>1</v>
      </c>
      <c r="AK10" s="46">
        <v>1</v>
      </c>
      <c r="AT10" s="46">
        <v>1</v>
      </c>
      <c r="AX10" s="46">
        <v>1</v>
      </c>
      <c r="BA10" s="46">
        <v>1</v>
      </c>
      <c r="BL10" s="46">
        <v>1</v>
      </c>
      <c r="BY10" s="46">
        <v>1</v>
      </c>
      <c r="CB10" s="46">
        <v>1</v>
      </c>
      <c r="CE10" s="46">
        <v>1</v>
      </c>
      <c r="CN10" s="46">
        <v>1</v>
      </c>
      <c r="CR10" s="46">
        <v>1</v>
      </c>
      <c r="CT10" s="46" t="s">
        <v>5586</v>
      </c>
    </row>
    <row r="11" spans="1:98">
      <c r="A11" s="46" t="s">
        <v>5605</v>
      </c>
      <c r="B11" s="46" t="s">
        <v>5606</v>
      </c>
      <c r="C11" s="46">
        <v>21</v>
      </c>
      <c r="D11" s="46" t="s">
        <v>5602</v>
      </c>
      <c r="E11" s="46" t="s">
        <v>5607</v>
      </c>
      <c r="F11" s="46" t="s">
        <v>122</v>
      </c>
      <c r="H11" s="46">
        <v>1</v>
      </c>
      <c r="N11" s="46">
        <v>1</v>
      </c>
      <c r="Q11" s="46">
        <v>1</v>
      </c>
      <c r="T11" s="46">
        <v>1</v>
      </c>
      <c r="W11" s="46">
        <v>15</v>
      </c>
      <c r="X11" s="46">
        <v>18</v>
      </c>
      <c r="Y11" s="46">
        <v>19</v>
      </c>
      <c r="Z11" s="46">
        <v>1</v>
      </c>
      <c r="AA11" s="46">
        <v>1</v>
      </c>
      <c r="AB11" s="46">
        <v>1</v>
      </c>
      <c r="AG11" s="46">
        <v>1</v>
      </c>
      <c r="AH11" s="46">
        <v>1</v>
      </c>
      <c r="AI11" s="46">
        <v>1</v>
      </c>
      <c r="AM11" s="46">
        <v>1</v>
      </c>
      <c r="AT11" s="46">
        <v>1</v>
      </c>
      <c r="AW11" s="46">
        <v>1</v>
      </c>
      <c r="BA11" s="46">
        <v>1</v>
      </c>
      <c r="BO11" s="46">
        <v>1</v>
      </c>
      <c r="BY11" s="46">
        <v>1</v>
      </c>
      <c r="CB11" s="46">
        <v>1</v>
      </c>
      <c r="CE11" s="46">
        <v>1</v>
      </c>
      <c r="CN11" s="46">
        <v>1</v>
      </c>
      <c r="CR11" s="46">
        <v>1</v>
      </c>
      <c r="CT11" s="46" t="s">
        <v>5586</v>
      </c>
    </row>
    <row r="12" spans="1:98">
      <c r="A12" s="46" t="s">
        <v>5608</v>
      </c>
      <c r="B12" s="46" t="s">
        <v>5609</v>
      </c>
      <c r="C12" s="46">
        <v>32</v>
      </c>
      <c r="D12" s="46" t="s">
        <v>5600</v>
      </c>
      <c r="E12" s="46" t="s">
        <v>5610</v>
      </c>
      <c r="F12" s="46" t="s">
        <v>112</v>
      </c>
      <c r="H12" s="46">
        <v>1</v>
      </c>
      <c r="N12" s="46">
        <v>1</v>
      </c>
      <c r="Q12" s="46">
        <v>1</v>
      </c>
      <c r="T12" s="46">
        <v>1</v>
      </c>
      <c r="W12" s="46">
        <v>16</v>
      </c>
      <c r="X12" s="46">
        <v>17</v>
      </c>
      <c r="Y12" s="46">
        <v>18</v>
      </c>
      <c r="Z12" s="46">
        <v>8</v>
      </c>
      <c r="AA12" s="46">
        <v>8</v>
      </c>
      <c r="AB12" s="46">
        <v>7</v>
      </c>
      <c r="AE12" s="46">
        <v>1</v>
      </c>
      <c r="AG12" s="46">
        <v>1</v>
      </c>
      <c r="AH12" s="46">
        <v>1</v>
      </c>
      <c r="AI12" s="46">
        <v>1</v>
      </c>
      <c r="AM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5586</v>
      </c>
    </row>
    <row r="13" spans="1:98">
      <c r="A13" s="46" t="s">
        <v>5611</v>
      </c>
      <c r="B13" s="46" t="s">
        <v>5612</v>
      </c>
      <c r="C13" s="46">
        <v>24</v>
      </c>
      <c r="D13" s="46" t="s">
        <v>5613</v>
      </c>
      <c r="E13" s="46" t="s">
        <v>5614</v>
      </c>
      <c r="F13" s="46" t="s">
        <v>107</v>
      </c>
      <c r="I13" s="46">
        <v>1</v>
      </c>
      <c r="M13" s="46">
        <v>1</v>
      </c>
      <c r="Q13" s="46">
        <v>1</v>
      </c>
      <c r="U13" s="46">
        <v>1</v>
      </c>
      <c r="W13" s="46">
        <v>15</v>
      </c>
      <c r="X13" s="46">
        <v>18</v>
      </c>
      <c r="Y13" s="46">
        <v>18</v>
      </c>
      <c r="Z13" s="46">
        <v>2</v>
      </c>
      <c r="AA13" s="46">
        <v>2</v>
      </c>
      <c r="AB13" s="46">
        <v>2</v>
      </c>
      <c r="AG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Y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5586</v>
      </c>
    </row>
    <row r="14" spans="1:98">
      <c r="A14" s="46" t="s">
        <v>5615</v>
      </c>
      <c r="B14" s="46" t="s">
        <v>5616</v>
      </c>
      <c r="C14" s="46">
        <v>33</v>
      </c>
      <c r="D14" s="46" t="s">
        <v>5617</v>
      </c>
      <c r="E14" s="46" t="s">
        <v>5618</v>
      </c>
      <c r="F14" s="46" t="s">
        <v>112</v>
      </c>
      <c r="J14" s="46">
        <v>1</v>
      </c>
      <c r="M14" s="46">
        <v>1</v>
      </c>
      <c r="R14" s="46">
        <v>1</v>
      </c>
      <c r="U14" s="46">
        <v>1</v>
      </c>
      <c r="X14" s="46">
        <v>14</v>
      </c>
      <c r="Y14" s="46">
        <v>15</v>
      </c>
      <c r="Z14" s="46">
        <v>7</v>
      </c>
      <c r="AA14" s="46">
        <v>4</v>
      </c>
      <c r="AB14" s="46">
        <v>4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5586</v>
      </c>
    </row>
    <row r="15" spans="1:98">
      <c r="A15" s="46" t="s">
        <v>5619</v>
      </c>
      <c r="B15" s="46" t="s">
        <v>5620</v>
      </c>
      <c r="C15" s="46">
        <v>29</v>
      </c>
      <c r="D15" s="46" t="s">
        <v>5602</v>
      </c>
      <c r="E15" s="46" t="s">
        <v>5621</v>
      </c>
      <c r="F15" s="46" t="s">
        <v>112</v>
      </c>
      <c r="H15" s="46">
        <v>1</v>
      </c>
      <c r="N15" s="46">
        <v>1</v>
      </c>
      <c r="Q15" s="46">
        <v>1</v>
      </c>
      <c r="T15" s="46">
        <v>1</v>
      </c>
      <c r="W15" s="46">
        <v>13</v>
      </c>
      <c r="X15" s="46">
        <v>14</v>
      </c>
      <c r="Y15" s="46">
        <v>15</v>
      </c>
      <c r="Z15" s="46">
        <v>3</v>
      </c>
      <c r="AA15" s="46">
        <v>2</v>
      </c>
      <c r="AB15" s="46">
        <v>1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5586</v>
      </c>
    </row>
    <row r="16" spans="1:98">
      <c r="A16" s="46" t="s">
        <v>5622</v>
      </c>
      <c r="B16" s="46" t="s">
        <v>5623</v>
      </c>
      <c r="C16" s="46">
        <v>40</v>
      </c>
      <c r="D16" s="46" t="s">
        <v>5600</v>
      </c>
      <c r="E16" s="46" t="s">
        <v>5624</v>
      </c>
      <c r="F16" s="46" t="s">
        <v>112</v>
      </c>
      <c r="I16" s="46">
        <v>1</v>
      </c>
      <c r="N16" s="46">
        <v>1</v>
      </c>
      <c r="Q16" s="46">
        <v>1</v>
      </c>
      <c r="S16" s="46">
        <v>1</v>
      </c>
      <c r="W16" s="46">
        <v>13</v>
      </c>
      <c r="X16" s="46">
        <v>13</v>
      </c>
      <c r="Y16" s="46">
        <v>14</v>
      </c>
      <c r="Z16" s="46">
        <v>9</v>
      </c>
      <c r="AA16" s="46">
        <v>8</v>
      </c>
      <c r="AB16" s="46">
        <v>8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B16" s="46">
        <v>1</v>
      </c>
      <c r="BG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5586</v>
      </c>
    </row>
    <row r="17" spans="1:98">
      <c r="A17" s="46" t="s">
        <v>5625</v>
      </c>
      <c r="B17" s="46" t="s">
        <v>5626</v>
      </c>
      <c r="C17" s="46">
        <v>23</v>
      </c>
      <c r="D17" s="46" t="s">
        <v>5617</v>
      </c>
      <c r="E17" s="46" t="s">
        <v>5627</v>
      </c>
      <c r="F17" s="46" t="s">
        <v>162</v>
      </c>
      <c r="J17" s="46">
        <v>1</v>
      </c>
      <c r="M17" s="46">
        <v>1</v>
      </c>
      <c r="Q17" s="46">
        <v>1</v>
      </c>
      <c r="S17" s="46">
        <v>1</v>
      </c>
      <c r="W17" s="46">
        <v>14</v>
      </c>
      <c r="X17" s="46">
        <v>17</v>
      </c>
      <c r="Y17" s="46">
        <v>19</v>
      </c>
      <c r="Z17" s="46">
        <v>2</v>
      </c>
      <c r="AA17" s="46">
        <v>2</v>
      </c>
      <c r="AB17" s="46">
        <v>2</v>
      </c>
      <c r="AE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5586</v>
      </c>
    </row>
    <row r="18" spans="1:98">
      <c r="A18" s="46" t="s">
        <v>5628</v>
      </c>
      <c r="B18" s="46" t="s">
        <v>5629</v>
      </c>
      <c r="C18" s="46">
        <v>35</v>
      </c>
      <c r="D18" s="46" t="s">
        <v>5630</v>
      </c>
      <c r="E18" s="46" t="s">
        <v>5631</v>
      </c>
      <c r="F18" s="46" t="s">
        <v>330</v>
      </c>
      <c r="J18" s="46">
        <v>1</v>
      </c>
      <c r="M18" s="46">
        <v>1</v>
      </c>
      <c r="R18" s="46">
        <v>1</v>
      </c>
      <c r="T18" s="46">
        <v>1</v>
      </c>
      <c r="W18" s="46">
        <v>15</v>
      </c>
      <c r="X18" s="46">
        <v>16</v>
      </c>
      <c r="Y18" s="46">
        <v>17</v>
      </c>
      <c r="Z18" s="46">
        <v>8</v>
      </c>
      <c r="AA18" s="46">
        <v>8</v>
      </c>
      <c r="AB18" s="46">
        <v>8</v>
      </c>
      <c r="AE18" s="46">
        <v>1</v>
      </c>
      <c r="AH18" s="46">
        <v>1</v>
      </c>
      <c r="AI18" s="46">
        <v>1</v>
      </c>
      <c r="AK18" s="46">
        <v>1</v>
      </c>
      <c r="AT18" s="46">
        <v>1</v>
      </c>
      <c r="AX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5586</v>
      </c>
    </row>
    <row r="19" spans="1:98">
      <c r="A19" s="46" t="s">
        <v>5632</v>
      </c>
      <c r="B19" s="46" t="s">
        <v>5633</v>
      </c>
      <c r="C19" s="46">
        <v>26</v>
      </c>
      <c r="D19" s="46" t="s">
        <v>5600</v>
      </c>
      <c r="E19" s="46" t="s">
        <v>5634</v>
      </c>
      <c r="F19" s="46" t="s">
        <v>330</v>
      </c>
      <c r="I19" s="46">
        <v>1</v>
      </c>
      <c r="M19" s="46">
        <v>1</v>
      </c>
      <c r="Q19" s="46">
        <v>1</v>
      </c>
      <c r="T19" s="46">
        <v>1</v>
      </c>
      <c r="W19" s="46">
        <v>16</v>
      </c>
      <c r="X19" s="46">
        <v>20</v>
      </c>
      <c r="Y19" s="46">
        <v>21</v>
      </c>
      <c r="Z19" s="46">
        <v>3</v>
      </c>
      <c r="AA19" s="46">
        <v>3</v>
      </c>
      <c r="AB19" s="46">
        <v>3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K19" s="46">
        <v>1</v>
      </c>
      <c r="CL19" s="46"/>
      <c r="CR19" s="46">
        <v>1</v>
      </c>
      <c r="CT19" s="46" t="s">
        <v>5586</v>
      </c>
    </row>
    <row r="20" spans="1:98">
      <c r="A20" s="46" t="s">
        <v>5635</v>
      </c>
      <c r="B20" s="46" t="s">
        <v>5636</v>
      </c>
      <c r="C20" s="46">
        <v>26</v>
      </c>
      <c r="D20" s="46" t="s">
        <v>5602</v>
      </c>
      <c r="E20" s="46" t="s">
        <v>5637</v>
      </c>
      <c r="F20" s="46" t="s">
        <v>5638</v>
      </c>
      <c r="H20" s="46">
        <v>1</v>
      </c>
      <c r="M20" s="46">
        <v>1</v>
      </c>
      <c r="Q20" s="46">
        <v>1</v>
      </c>
      <c r="T20" s="46">
        <v>1</v>
      </c>
      <c r="W20" s="46">
        <v>13</v>
      </c>
      <c r="X20" s="46">
        <v>15</v>
      </c>
      <c r="Y20" s="46">
        <v>18</v>
      </c>
      <c r="Z20" s="46">
        <v>3</v>
      </c>
      <c r="AA20" s="46">
        <v>3</v>
      </c>
      <c r="AB20" s="46">
        <v>3</v>
      </c>
      <c r="AE20" s="46">
        <v>1</v>
      </c>
      <c r="AH20" s="46">
        <v>1</v>
      </c>
      <c r="AI20" s="46">
        <v>1</v>
      </c>
      <c r="AM20" s="46">
        <v>1</v>
      </c>
      <c r="AT20" s="46">
        <v>1</v>
      </c>
      <c r="AW20" s="46">
        <v>1</v>
      </c>
      <c r="BA20" s="46">
        <v>1</v>
      </c>
      <c r="BK20" s="46">
        <v>1</v>
      </c>
      <c r="BY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5586</v>
      </c>
    </row>
    <row r="21" spans="1:98">
      <c r="A21" s="46" t="s">
        <v>5639</v>
      </c>
      <c r="B21" s="46" t="s">
        <v>5640</v>
      </c>
      <c r="C21" s="46">
        <v>48</v>
      </c>
      <c r="D21" s="46" t="s">
        <v>5613</v>
      </c>
      <c r="E21" s="46" t="s">
        <v>5641</v>
      </c>
      <c r="F21" s="46" t="s">
        <v>112</v>
      </c>
      <c r="I21" s="46">
        <v>1</v>
      </c>
      <c r="N21" s="46">
        <v>1</v>
      </c>
      <c r="R21" s="46">
        <v>1</v>
      </c>
      <c r="U21" s="46">
        <v>1</v>
      </c>
      <c r="W21" s="46">
        <v>16</v>
      </c>
      <c r="X21" s="46">
        <v>17</v>
      </c>
      <c r="Y21" s="46">
        <v>18</v>
      </c>
      <c r="Z21" s="46">
        <v>10</v>
      </c>
      <c r="AA21" s="46">
        <v>7</v>
      </c>
      <c r="AB21" s="46">
        <v>7</v>
      </c>
      <c r="AG21" s="46">
        <v>1</v>
      </c>
      <c r="AH21" s="46">
        <v>1</v>
      </c>
      <c r="AI21" s="46">
        <v>1</v>
      </c>
      <c r="AL21" s="46">
        <v>1</v>
      </c>
      <c r="AP21" s="46">
        <v>1</v>
      </c>
      <c r="AS21" s="46">
        <v>1</v>
      </c>
      <c r="AT21" s="46">
        <v>1</v>
      </c>
      <c r="AX21" s="46">
        <v>1</v>
      </c>
      <c r="BB21" s="46">
        <v>1</v>
      </c>
      <c r="BG21" s="46">
        <v>1</v>
      </c>
      <c r="BK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5586</v>
      </c>
    </row>
    <row r="22" spans="1:98">
      <c r="A22" s="46" t="s">
        <v>5642</v>
      </c>
      <c r="B22" s="46" t="s">
        <v>5643</v>
      </c>
      <c r="C22" s="46">
        <v>21</v>
      </c>
      <c r="D22" s="46" t="s">
        <v>5644</v>
      </c>
      <c r="E22" s="46" t="s">
        <v>5645</v>
      </c>
      <c r="F22" s="46" t="s">
        <v>122</v>
      </c>
      <c r="J22" s="46">
        <v>1</v>
      </c>
      <c r="M22" s="46">
        <v>1</v>
      </c>
      <c r="Q22" s="46">
        <v>1</v>
      </c>
      <c r="T22" s="46">
        <v>1</v>
      </c>
      <c r="W22" s="46">
        <v>14</v>
      </c>
      <c r="X22" s="46">
        <v>16</v>
      </c>
      <c r="Y22" s="46">
        <v>17</v>
      </c>
      <c r="Z22" s="46">
        <v>2</v>
      </c>
      <c r="AA22" s="46">
        <v>2</v>
      </c>
      <c r="AB22" s="46">
        <v>2</v>
      </c>
      <c r="AH22" s="46">
        <v>1</v>
      </c>
      <c r="AJ22" s="46">
        <v>1</v>
      </c>
      <c r="AM22" s="46">
        <v>1</v>
      </c>
      <c r="AT22" s="46">
        <v>1</v>
      </c>
      <c r="AX22" s="46">
        <v>1</v>
      </c>
      <c r="BA22" s="46">
        <v>1</v>
      </c>
      <c r="BK22" s="46">
        <v>1</v>
      </c>
      <c r="CC22" s="46">
        <v>1</v>
      </c>
      <c r="CD22" s="46">
        <v>2023</v>
      </c>
      <c r="CE22" s="46">
        <v>1</v>
      </c>
      <c r="CK22" s="46">
        <v>1</v>
      </c>
      <c r="CR22" s="46">
        <v>1</v>
      </c>
      <c r="CT22" s="46" t="s">
        <v>5586</v>
      </c>
    </row>
    <row r="23" spans="1:98">
      <c r="A23" s="46" t="s">
        <v>5646</v>
      </c>
      <c r="B23" s="46" t="s">
        <v>5647</v>
      </c>
      <c r="C23" s="46">
        <v>30</v>
      </c>
      <c r="D23" s="46" t="s">
        <v>5600</v>
      </c>
      <c r="E23" s="46" t="s">
        <v>5648</v>
      </c>
      <c r="F23" s="46" t="s">
        <v>112</v>
      </c>
      <c r="H23" s="46">
        <v>1</v>
      </c>
      <c r="M23" s="46">
        <v>1</v>
      </c>
      <c r="Q23" s="46">
        <v>1</v>
      </c>
      <c r="T23" s="46">
        <v>1</v>
      </c>
      <c r="W23" s="46">
        <v>14</v>
      </c>
      <c r="X23" s="46">
        <v>18</v>
      </c>
      <c r="Y23" s="46">
        <v>18</v>
      </c>
      <c r="Z23" s="46">
        <v>1</v>
      </c>
      <c r="AA23" s="46">
        <v>1</v>
      </c>
      <c r="AB23" s="46">
        <v>1</v>
      </c>
      <c r="AE23" s="46">
        <v>1</v>
      </c>
      <c r="AG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BY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5586</v>
      </c>
    </row>
    <row r="24" spans="1:98">
      <c r="A24" s="46" t="s">
        <v>5649</v>
      </c>
      <c r="B24" s="46" t="s">
        <v>5650</v>
      </c>
      <c r="C24" s="46">
        <v>38</v>
      </c>
      <c r="D24" s="46" t="s">
        <v>5651</v>
      </c>
      <c r="E24" s="46" t="s">
        <v>5652</v>
      </c>
      <c r="F24" s="46" t="s">
        <v>2285</v>
      </c>
      <c r="G24" s="46">
        <v>1</v>
      </c>
      <c r="N24" s="46">
        <v>1</v>
      </c>
      <c r="Q24" s="46">
        <v>1</v>
      </c>
      <c r="U24" s="46">
        <v>1</v>
      </c>
      <c r="W24" s="46">
        <v>16</v>
      </c>
      <c r="X24" s="46">
        <v>18</v>
      </c>
      <c r="Y24" s="46">
        <v>20</v>
      </c>
      <c r="Z24" s="46">
        <v>8</v>
      </c>
      <c r="AA24" s="46">
        <v>7</v>
      </c>
      <c r="AB24" s="46">
        <v>7</v>
      </c>
      <c r="AD24" s="46">
        <v>1</v>
      </c>
      <c r="AE24" s="46">
        <v>1</v>
      </c>
      <c r="AG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5586</v>
      </c>
    </row>
    <row r="25" spans="1:98">
      <c r="A25" s="46" t="s">
        <v>5653</v>
      </c>
      <c r="B25" s="46" t="s">
        <v>5654</v>
      </c>
      <c r="C25" s="46">
        <v>22</v>
      </c>
      <c r="D25" s="46" t="s">
        <v>5655</v>
      </c>
      <c r="E25" s="46" t="s">
        <v>5656</v>
      </c>
      <c r="F25" s="46" t="s">
        <v>112</v>
      </c>
      <c r="J25" s="46">
        <v>1</v>
      </c>
      <c r="N25" s="46">
        <v>1</v>
      </c>
      <c r="R25" s="46">
        <v>1</v>
      </c>
      <c r="T25" s="46">
        <v>1</v>
      </c>
      <c r="W25" s="46">
        <v>14</v>
      </c>
      <c r="X25" s="46">
        <v>18</v>
      </c>
      <c r="Y25" s="46">
        <v>18</v>
      </c>
      <c r="Z25" s="46">
        <v>2</v>
      </c>
      <c r="AA25" s="46">
        <v>2</v>
      </c>
      <c r="AB25" s="46">
        <v>2</v>
      </c>
      <c r="AD25" s="46">
        <v>1</v>
      </c>
      <c r="AG25" s="46">
        <v>1</v>
      </c>
      <c r="AH25" s="46">
        <v>1</v>
      </c>
      <c r="AI25" s="46">
        <v>1</v>
      </c>
      <c r="AM25" s="46">
        <v>1</v>
      </c>
      <c r="AT25" s="46">
        <v>1</v>
      </c>
      <c r="AW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5586</v>
      </c>
    </row>
    <row r="26" spans="1:98">
      <c r="A26" s="46" t="s">
        <v>5657</v>
      </c>
      <c r="B26" s="46" t="s">
        <v>5658</v>
      </c>
      <c r="C26" s="46">
        <v>30</v>
      </c>
      <c r="D26" s="46" t="s">
        <v>5659</v>
      </c>
      <c r="E26" s="46" t="s">
        <v>5660</v>
      </c>
      <c r="F26" s="46" t="s">
        <v>112</v>
      </c>
      <c r="I26" s="46">
        <v>1</v>
      </c>
      <c r="M26" s="46">
        <v>1</v>
      </c>
      <c r="R26" s="46">
        <v>1</v>
      </c>
      <c r="T26" s="46">
        <v>1</v>
      </c>
      <c r="W26" s="46">
        <v>13</v>
      </c>
      <c r="X26" s="46">
        <v>13</v>
      </c>
      <c r="Y26" s="46">
        <v>14</v>
      </c>
      <c r="Z26" s="46">
        <v>8</v>
      </c>
      <c r="AA26" s="46">
        <v>8</v>
      </c>
      <c r="AB26" s="46">
        <v>8</v>
      </c>
      <c r="AE26" s="46">
        <v>1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5586</v>
      </c>
    </row>
    <row r="27" spans="1:98">
      <c r="A27" s="46" t="s">
        <v>5661</v>
      </c>
      <c r="B27" s="46" t="s">
        <v>5662</v>
      </c>
      <c r="C27" s="46">
        <v>33</v>
      </c>
      <c r="D27" s="46" t="s">
        <v>5617</v>
      </c>
      <c r="F27" s="46" t="s">
        <v>173</v>
      </c>
      <c r="H27" s="46">
        <v>1</v>
      </c>
      <c r="M27" s="46">
        <v>1</v>
      </c>
      <c r="R27" s="46">
        <v>1</v>
      </c>
      <c r="S27" s="46">
        <v>1</v>
      </c>
      <c r="W27" s="46">
        <v>18</v>
      </c>
      <c r="X27" s="46">
        <v>20</v>
      </c>
      <c r="Y27" s="46">
        <v>20</v>
      </c>
      <c r="Z27" s="46">
        <v>6</v>
      </c>
      <c r="AA27" s="46">
        <v>6</v>
      </c>
      <c r="AB27" s="46">
        <v>6</v>
      </c>
      <c r="AC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5586</v>
      </c>
    </row>
    <row r="28" spans="1:98">
      <c r="A28" s="46" t="s">
        <v>5663</v>
      </c>
      <c r="B28" s="46" t="s">
        <v>5664</v>
      </c>
      <c r="C28" s="46">
        <v>42</v>
      </c>
      <c r="D28" s="46" t="s">
        <v>5617</v>
      </c>
      <c r="E28" s="46" t="s">
        <v>5665</v>
      </c>
      <c r="F28" s="46" t="s">
        <v>112</v>
      </c>
      <c r="I28" s="46">
        <v>1</v>
      </c>
      <c r="O28" s="46">
        <v>1</v>
      </c>
      <c r="R28" s="46">
        <v>1</v>
      </c>
      <c r="T28" s="46">
        <v>1</v>
      </c>
      <c r="W28" s="46">
        <v>18</v>
      </c>
      <c r="X28" s="46">
        <v>18</v>
      </c>
      <c r="Y28" s="46">
        <v>20</v>
      </c>
      <c r="Z28" s="46">
        <v>5</v>
      </c>
      <c r="AA28" s="46">
        <v>5</v>
      </c>
      <c r="AB28" s="46">
        <v>5</v>
      </c>
      <c r="AC28" s="46">
        <v>1</v>
      </c>
      <c r="AI28" s="46">
        <v>1</v>
      </c>
      <c r="AK28" s="46">
        <v>1</v>
      </c>
      <c r="AT28" s="46">
        <v>1</v>
      </c>
      <c r="AX28" s="46">
        <v>1</v>
      </c>
      <c r="BB28" s="46">
        <v>1</v>
      </c>
      <c r="BG28" s="46">
        <v>1</v>
      </c>
      <c r="BK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5586</v>
      </c>
    </row>
    <row r="29" spans="1:98">
      <c r="A29" s="46" t="s">
        <v>5666</v>
      </c>
      <c r="B29" s="46" t="s">
        <v>5667</v>
      </c>
      <c r="C29" s="46">
        <v>37</v>
      </c>
      <c r="D29" s="46" t="s">
        <v>5600</v>
      </c>
      <c r="E29" s="46" t="s">
        <v>5668</v>
      </c>
      <c r="F29" s="46" t="s">
        <v>145</v>
      </c>
      <c r="I29" s="46">
        <v>1</v>
      </c>
      <c r="M29" s="46">
        <v>1</v>
      </c>
      <c r="Q29" s="46">
        <v>1</v>
      </c>
      <c r="T29" s="46">
        <v>1</v>
      </c>
      <c r="W29" s="46">
        <v>18</v>
      </c>
      <c r="X29" s="46">
        <v>16</v>
      </c>
      <c r="Y29" s="46">
        <v>20</v>
      </c>
      <c r="Z29" s="46">
        <v>12</v>
      </c>
      <c r="AA29" s="46">
        <v>10</v>
      </c>
      <c r="AB29" s="46">
        <v>9</v>
      </c>
      <c r="AE29" s="46">
        <v>1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B29" s="46">
        <v>1</v>
      </c>
      <c r="BG29" s="46">
        <v>1</v>
      </c>
      <c r="BY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5586</v>
      </c>
    </row>
    <row r="30" spans="1:98">
      <c r="A30" s="46" t="s">
        <v>5669</v>
      </c>
      <c r="B30" s="46" t="s">
        <v>5542</v>
      </c>
      <c r="C30" s="46">
        <v>37</v>
      </c>
      <c r="D30" s="46" t="s">
        <v>5600</v>
      </c>
      <c r="E30" s="46" t="s">
        <v>5670</v>
      </c>
      <c r="F30" s="46" t="s">
        <v>112</v>
      </c>
      <c r="I30" s="46">
        <v>1</v>
      </c>
      <c r="M30" s="46">
        <v>1</v>
      </c>
      <c r="R30" s="46">
        <v>1</v>
      </c>
      <c r="T30" s="46">
        <v>1</v>
      </c>
      <c r="W30" s="46">
        <v>18</v>
      </c>
      <c r="X30" s="46">
        <v>18</v>
      </c>
      <c r="Y30" s="46">
        <v>20</v>
      </c>
      <c r="Z30" s="46">
        <v>7</v>
      </c>
      <c r="AA30" s="46">
        <v>7</v>
      </c>
      <c r="AB30" s="46">
        <v>7</v>
      </c>
      <c r="AG30" s="46">
        <v>1</v>
      </c>
      <c r="AH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L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5586</v>
      </c>
    </row>
    <row r="31" spans="1:98">
      <c r="A31" s="46" t="s">
        <v>5671</v>
      </c>
      <c r="B31" s="46" t="s">
        <v>2863</v>
      </c>
      <c r="C31" s="46">
        <v>70</v>
      </c>
      <c r="D31" s="46" t="s">
        <v>5672</v>
      </c>
      <c r="F31" s="46" t="s">
        <v>112</v>
      </c>
      <c r="H31" s="46">
        <v>1</v>
      </c>
      <c r="P31" s="46">
        <v>1</v>
      </c>
      <c r="T31" s="46">
        <v>1</v>
      </c>
      <c r="W31" s="46">
        <v>15</v>
      </c>
      <c r="X31" s="46">
        <v>15</v>
      </c>
      <c r="Y31" s="46">
        <v>16</v>
      </c>
      <c r="Z31" s="46">
        <v>1</v>
      </c>
      <c r="AA31" s="46">
        <v>1</v>
      </c>
      <c r="AB31" s="46">
        <v>1</v>
      </c>
      <c r="AC31" s="46">
        <v>1</v>
      </c>
      <c r="AI31" s="46">
        <v>1</v>
      </c>
      <c r="AM31" s="46">
        <v>1</v>
      </c>
      <c r="AT31" s="46">
        <v>1</v>
      </c>
      <c r="AW31" s="46">
        <v>1</v>
      </c>
      <c r="BA31" s="46">
        <v>1</v>
      </c>
      <c r="BL31" s="46">
        <v>1</v>
      </c>
      <c r="BY31" s="46">
        <v>1</v>
      </c>
      <c r="CB31" s="46">
        <v>1</v>
      </c>
      <c r="CE31" s="46">
        <v>1</v>
      </c>
      <c r="CK31" s="46">
        <v>1</v>
      </c>
      <c r="CR31" s="46">
        <v>1</v>
      </c>
      <c r="CT31" s="46" t="s">
        <v>5586</v>
      </c>
    </row>
    <row r="32" spans="1:98">
      <c r="A32" s="46" t="s">
        <v>5673</v>
      </c>
      <c r="B32" s="46" t="s">
        <v>5674</v>
      </c>
      <c r="C32" s="46">
        <v>72</v>
      </c>
      <c r="D32" s="46" t="s">
        <v>5600</v>
      </c>
      <c r="F32" s="46" t="s">
        <v>127</v>
      </c>
      <c r="I32" s="46">
        <v>1</v>
      </c>
      <c r="M32" s="46">
        <v>1</v>
      </c>
      <c r="Q32" s="46">
        <v>1</v>
      </c>
      <c r="T32" s="46">
        <v>1</v>
      </c>
      <c r="W32" s="46">
        <v>14</v>
      </c>
      <c r="X32" s="46">
        <v>16</v>
      </c>
      <c r="Y32" s="46">
        <v>17</v>
      </c>
      <c r="Z32" s="46">
        <v>10</v>
      </c>
      <c r="AA32" s="46">
        <v>10</v>
      </c>
      <c r="AB32" s="46">
        <v>10</v>
      </c>
      <c r="AE32" s="46">
        <v>1</v>
      </c>
      <c r="AG32" s="46">
        <v>1</v>
      </c>
      <c r="AH32" s="46">
        <v>1</v>
      </c>
      <c r="AI32" s="46">
        <v>1</v>
      </c>
      <c r="AM32" s="46">
        <v>1</v>
      </c>
      <c r="AT32" s="46">
        <v>1</v>
      </c>
      <c r="AW32" s="46">
        <v>1</v>
      </c>
      <c r="BA32" s="46">
        <v>1</v>
      </c>
      <c r="BL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5586</v>
      </c>
    </row>
    <row r="33" spans="1:98">
      <c r="A33" s="46" t="s">
        <v>5675</v>
      </c>
      <c r="B33" s="46" t="s">
        <v>5676</v>
      </c>
      <c r="C33" s="46">
        <v>49</v>
      </c>
      <c r="D33" s="46" t="s">
        <v>5677</v>
      </c>
      <c r="E33" s="46" t="s">
        <v>5678</v>
      </c>
      <c r="F33" s="46" t="s">
        <v>112</v>
      </c>
      <c r="G33" s="46">
        <v>1</v>
      </c>
      <c r="N33" s="46">
        <v>1</v>
      </c>
      <c r="R33" s="46">
        <v>1</v>
      </c>
      <c r="T33" s="46">
        <v>1</v>
      </c>
      <c r="W33" s="46">
        <v>20</v>
      </c>
      <c r="X33" s="46">
        <v>20</v>
      </c>
      <c r="Y33" s="46">
        <v>20</v>
      </c>
      <c r="Z33" s="46">
        <v>9</v>
      </c>
      <c r="AA33" s="46">
        <v>8</v>
      </c>
      <c r="AB33" s="46">
        <v>8</v>
      </c>
      <c r="AC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L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5586</v>
      </c>
    </row>
    <row r="34" spans="1:98">
      <c r="A34" s="46" t="s">
        <v>5679</v>
      </c>
      <c r="B34" s="46" t="s">
        <v>3982</v>
      </c>
      <c r="C34" s="46">
        <v>60</v>
      </c>
      <c r="D34" s="46" t="s">
        <v>5585</v>
      </c>
      <c r="F34" s="46" t="s">
        <v>173</v>
      </c>
      <c r="G34" s="46">
        <v>1</v>
      </c>
      <c r="P34" s="46">
        <v>1</v>
      </c>
      <c r="Q34" s="46">
        <v>1</v>
      </c>
      <c r="S34" s="46">
        <v>1</v>
      </c>
      <c r="Z34" s="46">
        <v>11</v>
      </c>
      <c r="AA34" s="46">
        <v>11</v>
      </c>
      <c r="AB34" s="46">
        <v>3</v>
      </c>
      <c r="AC34" s="46">
        <v>1</v>
      </c>
      <c r="AI34" s="46">
        <v>1</v>
      </c>
      <c r="AM34" s="46">
        <v>1</v>
      </c>
      <c r="AT34" s="46">
        <v>1</v>
      </c>
      <c r="AX34" s="46">
        <v>1</v>
      </c>
      <c r="BA34" s="46">
        <v>1</v>
      </c>
      <c r="BL34" s="46">
        <v>1</v>
      </c>
      <c r="CB34" s="46">
        <v>1</v>
      </c>
      <c r="CE34" s="46">
        <v>1</v>
      </c>
      <c r="CK34" s="46">
        <v>1</v>
      </c>
      <c r="CR34" s="46">
        <v>1</v>
      </c>
      <c r="CT34" s="46" t="s">
        <v>5586</v>
      </c>
    </row>
    <row r="35" spans="1:98">
      <c r="A35" s="46" t="s">
        <v>5680</v>
      </c>
      <c r="B35" s="46" t="s">
        <v>5681</v>
      </c>
      <c r="C35" s="46">
        <v>53</v>
      </c>
      <c r="D35" s="46" t="s">
        <v>5644</v>
      </c>
      <c r="E35" s="46" t="s">
        <v>5682</v>
      </c>
      <c r="F35" s="46" t="s">
        <v>112</v>
      </c>
      <c r="G35" s="46">
        <v>1</v>
      </c>
      <c r="P35" s="46">
        <v>1</v>
      </c>
      <c r="Q35" s="46">
        <v>1</v>
      </c>
      <c r="T35" s="46">
        <v>1</v>
      </c>
      <c r="W35" s="46">
        <v>13</v>
      </c>
      <c r="X35" s="46">
        <v>14</v>
      </c>
      <c r="Y35" s="46">
        <v>14</v>
      </c>
      <c r="Z35" s="46">
        <v>12</v>
      </c>
      <c r="AA35" s="46">
        <v>11</v>
      </c>
      <c r="AB35" s="46">
        <v>6</v>
      </c>
      <c r="AC35" s="46">
        <v>1</v>
      </c>
      <c r="AI35" s="46">
        <v>1</v>
      </c>
      <c r="AL35" s="46">
        <v>1</v>
      </c>
      <c r="AP35" s="46">
        <v>1</v>
      </c>
      <c r="AS35" s="46">
        <v>1</v>
      </c>
      <c r="AT35" s="46">
        <v>1</v>
      </c>
      <c r="AX35" s="46">
        <v>1</v>
      </c>
      <c r="BA35" s="46">
        <v>1</v>
      </c>
      <c r="BL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5586</v>
      </c>
    </row>
    <row r="36" spans="1:98">
      <c r="A36" s="46" t="s">
        <v>5683</v>
      </c>
      <c r="B36" s="46" t="s">
        <v>5684</v>
      </c>
      <c r="C36" s="46">
        <v>50</v>
      </c>
      <c r="D36" s="46" t="s">
        <v>5685</v>
      </c>
      <c r="E36" s="46" t="s">
        <v>5686</v>
      </c>
      <c r="F36" s="46" t="s">
        <v>112</v>
      </c>
      <c r="I36" s="46">
        <v>1</v>
      </c>
      <c r="M36" s="46">
        <v>1</v>
      </c>
      <c r="Q36" s="46">
        <v>1</v>
      </c>
      <c r="S36" s="46">
        <v>1</v>
      </c>
      <c r="W36" s="46">
        <v>15</v>
      </c>
      <c r="X36" s="46">
        <v>16</v>
      </c>
      <c r="Y36" s="46">
        <v>17</v>
      </c>
      <c r="Z36" s="46">
        <v>9</v>
      </c>
      <c r="AA36" s="46">
        <v>9</v>
      </c>
      <c r="AB36" s="46">
        <v>9</v>
      </c>
      <c r="AE36" s="46">
        <v>1</v>
      </c>
      <c r="AG36" s="46">
        <v>1</v>
      </c>
      <c r="AH36" s="46">
        <v>1</v>
      </c>
      <c r="AI36" s="46">
        <v>1</v>
      </c>
      <c r="AM36" s="46">
        <v>1</v>
      </c>
      <c r="AT36" s="46">
        <v>1</v>
      </c>
      <c r="AW36" s="46">
        <v>1</v>
      </c>
      <c r="BA36" s="46">
        <v>1</v>
      </c>
      <c r="BL36" s="46">
        <v>1</v>
      </c>
      <c r="CB36" s="46">
        <v>1</v>
      </c>
      <c r="CE36" s="46">
        <v>1</v>
      </c>
      <c r="CK36" s="46">
        <v>1</v>
      </c>
      <c r="CR36" s="46">
        <v>1</v>
      </c>
      <c r="CT36" s="46" t="s">
        <v>5586</v>
      </c>
    </row>
    <row r="37" spans="1:98">
      <c r="A37" s="46" t="s">
        <v>5687</v>
      </c>
      <c r="B37" s="46" t="s">
        <v>5688</v>
      </c>
      <c r="C37" s="46">
        <v>42</v>
      </c>
      <c r="D37" s="46" t="s">
        <v>5585</v>
      </c>
      <c r="E37" s="46" t="s">
        <v>5689</v>
      </c>
      <c r="F37" s="46" t="s">
        <v>127</v>
      </c>
      <c r="I37" s="46">
        <v>1</v>
      </c>
      <c r="M37" s="46">
        <v>1</v>
      </c>
      <c r="R37" s="46">
        <v>1</v>
      </c>
      <c r="T37" s="46">
        <v>1</v>
      </c>
      <c r="W37" s="46">
        <v>16</v>
      </c>
      <c r="X37" s="46">
        <v>16</v>
      </c>
      <c r="Y37" s="46">
        <v>17</v>
      </c>
      <c r="Z37" s="46">
        <v>6</v>
      </c>
      <c r="AA37" s="46">
        <v>6</v>
      </c>
      <c r="AB37" s="46">
        <v>4</v>
      </c>
      <c r="AC37" s="46">
        <v>1</v>
      </c>
      <c r="AI37" s="46">
        <v>1</v>
      </c>
      <c r="AM37" s="46">
        <v>1</v>
      </c>
      <c r="AT37" s="46">
        <v>1</v>
      </c>
      <c r="AX37" s="46">
        <v>1</v>
      </c>
      <c r="BA37" s="46">
        <v>1</v>
      </c>
      <c r="BL37" s="46">
        <v>1</v>
      </c>
      <c r="CB37" s="46">
        <v>1</v>
      </c>
      <c r="CE37" s="46">
        <v>1</v>
      </c>
      <c r="CK37" s="46">
        <v>1</v>
      </c>
      <c r="CR37" s="46">
        <v>1</v>
      </c>
      <c r="CT37" s="46" t="s">
        <v>5586</v>
      </c>
    </row>
    <row r="38" spans="1:98">
      <c r="A38" s="46" t="s">
        <v>5690</v>
      </c>
      <c r="B38" s="46" t="s">
        <v>1264</v>
      </c>
      <c r="C38" s="46">
        <v>64</v>
      </c>
      <c r="D38" s="46" t="s">
        <v>5602</v>
      </c>
      <c r="F38" s="46" t="s">
        <v>112</v>
      </c>
      <c r="I38" s="46">
        <v>1</v>
      </c>
      <c r="M38" s="46">
        <v>1</v>
      </c>
      <c r="R38" s="46">
        <v>1</v>
      </c>
      <c r="T38" s="46">
        <v>1</v>
      </c>
      <c r="W38" s="46">
        <v>16</v>
      </c>
      <c r="X38" s="46">
        <v>19</v>
      </c>
      <c r="Y38" s="46">
        <v>19</v>
      </c>
      <c r="Z38" s="46">
        <v>10</v>
      </c>
      <c r="AA38" s="46">
        <v>9</v>
      </c>
      <c r="AB38" s="46">
        <v>8</v>
      </c>
      <c r="AC38" s="46">
        <v>1</v>
      </c>
      <c r="AI38" s="46">
        <v>1</v>
      </c>
      <c r="AK38" s="46">
        <v>1</v>
      </c>
      <c r="AT38" s="46">
        <v>1</v>
      </c>
      <c r="AX38" s="46">
        <v>1</v>
      </c>
      <c r="BA38" s="46">
        <v>1</v>
      </c>
      <c r="BL38" s="46">
        <v>1</v>
      </c>
      <c r="CB38" s="46">
        <v>1</v>
      </c>
      <c r="CE38" s="46">
        <v>1</v>
      </c>
      <c r="CK38" s="46">
        <v>1</v>
      </c>
      <c r="CR38" s="46">
        <v>1</v>
      </c>
      <c r="CT38" s="46" t="s">
        <v>5586</v>
      </c>
    </row>
    <row r="39" spans="1:98">
      <c r="A39" s="46" t="s">
        <v>5691</v>
      </c>
      <c r="B39" s="46" t="s">
        <v>5692</v>
      </c>
      <c r="C39" s="46">
        <v>38</v>
      </c>
      <c r="D39" s="46" t="s">
        <v>5644</v>
      </c>
      <c r="E39" s="46" t="s">
        <v>5693</v>
      </c>
      <c r="F39" s="46" t="s">
        <v>112</v>
      </c>
      <c r="I39" s="46">
        <v>1</v>
      </c>
      <c r="M39" s="46">
        <v>1</v>
      </c>
      <c r="R39" s="46">
        <v>1</v>
      </c>
      <c r="S39" s="46">
        <v>1</v>
      </c>
      <c r="W39" s="46">
        <v>14</v>
      </c>
      <c r="X39" s="46">
        <v>15</v>
      </c>
      <c r="Y39" s="46">
        <v>16</v>
      </c>
      <c r="Z39" s="46">
        <v>9</v>
      </c>
      <c r="AA39" s="46">
        <v>9</v>
      </c>
      <c r="AB39" s="46">
        <v>9</v>
      </c>
      <c r="AC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L39" s="46">
        <v>1</v>
      </c>
      <c r="CB39" s="46">
        <v>1</v>
      </c>
      <c r="CE39" s="46">
        <v>1</v>
      </c>
      <c r="CK39" s="46">
        <v>1</v>
      </c>
      <c r="CR39" s="46">
        <v>1</v>
      </c>
      <c r="CT39" s="46" t="s">
        <v>5586</v>
      </c>
    </row>
    <row r="40" spans="1:98">
      <c r="A40" s="46" t="s">
        <v>5694</v>
      </c>
      <c r="B40" s="46" t="s">
        <v>5695</v>
      </c>
      <c r="C40" s="46">
        <v>47</v>
      </c>
      <c r="D40" s="46" t="s">
        <v>5600</v>
      </c>
      <c r="F40" s="46" t="s">
        <v>662</v>
      </c>
      <c r="J40" s="46">
        <v>1</v>
      </c>
      <c r="M40" s="46">
        <v>1</v>
      </c>
      <c r="R40" s="46">
        <v>1</v>
      </c>
      <c r="T40" s="46">
        <v>1</v>
      </c>
      <c r="W40" s="46">
        <v>13</v>
      </c>
      <c r="Z40" s="46">
        <v>9</v>
      </c>
      <c r="AA40" s="46">
        <v>9</v>
      </c>
      <c r="AB40" s="46">
        <v>9</v>
      </c>
      <c r="AC40" s="46">
        <v>1</v>
      </c>
      <c r="AI40" s="46">
        <v>1</v>
      </c>
      <c r="AK40" s="46">
        <v>1</v>
      </c>
      <c r="AT40" s="46">
        <v>1</v>
      </c>
      <c r="AW40" s="46">
        <v>1</v>
      </c>
      <c r="BA40" s="46">
        <v>1</v>
      </c>
      <c r="CB40" s="46">
        <v>1</v>
      </c>
      <c r="CE40" s="46">
        <v>1</v>
      </c>
      <c r="CK40" s="46">
        <v>1</v>
      </c>
      <c r="CR40" s="46">
        <v>1</v>
      </c>
      <c r="CT40" s="46" t="s">
        <v>5586</v>
      </c>
    </row>
    <row r="41" spans="1:98">
      <c r="A41" s="46" t="s">
        <v>5696</v>
      </c>
      <c r="B41" s="46" t="s">
        <v>5697</v>
      </c>
      <c r="C41" s="46">
        <v>26</v>
      </c>
      <c r="D41" s="46" t="s">
        <v>5602</v>
      </c>
      <c r="E41" s="46" t="s">
        <v>5698</v>
      </c>
      <c r="F41" s="46" t="s">
        <v>112</v>
      </c>
      <c r="I41" s="46">
        <v>1</v>
      </c>
      <c r="N41" s="46">
        <v>1</v>
      </c>
      <c r="Q41" s="46">
        <v>1</v>
      </c>
      <c r="U41" s="46">
        <v>1</v>
      </c>
      <c r="W41" s="46">
        <v>15</v>
      </c>
      <c r="X41" s="46">
        <v>16</v>
      </c>
      <c r="Y41" s="46">
        <v>17</v>
      </c>
      <c r="Z41" s="46">
        <v>3</v>
      </c>
      <c r="AA41" s="46">
        <v>3</v>
      </c>
      <c r="AB41" s="46">
        <v>3</v>
      </c>
      <c r="AH41" s="46">
        <v>1</v>
      </c>
      <c r="AI41" s="46">
        <v>1</v>
      </c>
      <c r="AM41" s="46">
        <v>1</v>
      </c>
      <c r="AT41" s="46">
        <v>1</v>
      </c>
      <c r="AW41" s="46">
        <v>1</v>
      </c>
      <c r="BA41" s="46">
        <v>1</v>
      </c>
      <c r="CB41" s="46">
        <v>1</v>
      </c>
      <c r="CE41" s="46">
        <v>1</v>
      </c>
      <c r="CK41" s="46">
        <v>1</v>
      </c>
      <c r="CR41" s="46">
        <v>1</v>
      </c>
      <c r="CT41" s="46" t="s">
        <v>5586</v>
      </c>
    </row>
    <row r="42" spans="1:98">
      <c r="A42" s="46" t="s">
        <v>5699</v>
      </c>
      <c r="B42" s="46" t="s">
        <v>5700</v>
      </c>
      <c r="C42" s="46">
        <v>45</v>
      </c>
      <c r="D42" s="46" t="s">
        <v>5585</v>
      </c>
      <c r="E42" s="46" t="s">
        <v>5701</v>
      </c>
      <c r="F42" s="46" t="s">
        <v>662</v>
      </c>
      <c r="G42" s="46">
        <v>1</v>
      </c>
      <c r="M42" s="46">
        <v>1</v>
      </c>
      <c r="Q42" s="46">
        <v>1</v>
      </c>
      <c r="T42" s="46">
        <v>1</v>
      </c>
      <c r="W42" s="46">
        <v>14</v>
      </c>
      <c r="X42" s="46">
        <v>18</v>
      </c>
      <c r="Y42" s="46">
        <v>18</v>
      </c>
      <c r="Z42" s="46">
        <v>9</v>
      </c>
      <c r="AA42" s="46">
        <v>9</v>
      </c>
      <c r="AB42" s="46">
        <v>9</v>
      </c>
      <c r="AD42" s="46">
        <v>1</v>
      </c>
      <c r="AE42" s="46">
        <v>1</v>
      </c>
      <c r="AG42" s="46">
        <v>1</v>
      </c>
      <c r="AH42" s="46">
        <v>1</v>
      </c>
      <c r="AI42" s="46">
        <v>1</v>
      </c>
      <c r="AK42" s="46">
        <v>1</v>
      </c>
      <c r="AT42" s="46">
        <v>1</v>
      </c>
      <c r="AX42" s="46">
        <v>1</v>
      </c>
      <c r="BA42" s="46">
        <v>1</v>
      </c>
      <c r="BO42" s="46">
        <v>1</v>
      </c>
      <c r="CB42" s="46">
        <v>1</v>
      </c>
      <c r="CE42" s="46">
        <v>1</v>
      </c>
      <c r="CK42" s="46">
        <v>1</v>
      </c>
      <c r="CR42" s="46">
        <v>1</v>
      </c>
      <c r="CT42" s="46" t="s">
        <v>5586</v>
      </c>
    </row>
  </sheetData>
  <autoFilter ref="A3:CT42"/>
  <mergeCells count="1">
    <mergeCell ref="AV1:AZ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5472</v>
      </c>
      <c r="B3" s="69">
        <v>8</v>
      </c>
      <c r="C3" s="69">
        <v>0</v>
      </c>
      <c r="D3" s="69">
        <v>5</v>
      </c>
      <c r="E3" s="69">
        <f>SUM(B3:D3)</f>
        <v>13</v>
      </c>
      <c r="F3" s="70">
        <v>0</v>
      </c>
      <c r="G3" s="70">
        <v>11</v>
      </c>
      <c r="H3" s="70">
        <v>0</v>
      </c>
      <c r="I3" s="70">
        <v>0</v>
      </c>
      <c r="J3" s="71">
        <f t="shared" ref="J3:J8" si="0">SUM(F3:I3)</f>
        <v>11</v>
      </c>
      <c r="K3" s="70">
        <v>0</v>
      </c>
      <c r="L3" s="70">
        <v>0</v>
      </c>
      <c r="M3" s="70">
        <v>0</v>
      </c>
      <c r="N3" s="70">
        <v>1</v>
      </c>
      <c r="O3" s="70">
        <v>1</v>
      </c>
      <c r="P3" s="71">
        <f>SUM(K3:O3)</f>
        <v>2</v>
      </c>
      <c r="Q3" s="70">
        <v>0</v>
      </c>
      <c r="R3" s="70">
        <v>0</v>
      </c>
      <c r="S3" s="70">
        <v>5</v>
      </c>
      <c r="T3" s="71">
        <f>SUM(Q3:S3)</f>
        <v>5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10</v>
      </c>
      <c r="AB3" s="73">
        <v>0</v>
      </c>
      <c r="AC3" s="73">
        <v>0</v>
      </c>
      <c r="AD3" s="73">
        <v>3</v>
      </c>
      <c r="AE3" s="186">
        <f>SUM(AA3,AB3,AC3,AD3)</f>
        <v>13</v>
      </c>
      <c r="AF3" s="73">
        <v>0</v>
      </c>
      <c r="AG3" s="73">
        <v>0</v>
      </c>
    </row>
    <row r="4" spans="1:33">
      <c r="A4" s="77" t="s">
        <v>5702</v>
      </c>
      <c r="B4" s="69">
        <v>10</v>
      </c>
      <c r="C4" s="69">
        <v>0</v>
      </c>
      <c r="D4" s="69">
        <v>3</v>
      </c>
      <c r="E4" s="69">
        <f>SUM(B4:D4)</f>
        <v>13</v>
      </c>
      <c r="F4" s="70">
        <v>0</v>
      </c>
      <c r="G4" s="70">
        <v>10</v>
      </c>
      <c r="H4" s="70">
        <v>0</v>
      </c>
      <c r="I4" s="70">
        <v>0</v>
      </c>
      <c r="J4" s="71">
        <f t="shared" si="0"/>
        <v>10</v>
      </c>
      <c r="K4" s="70">
        <v>2</v>
      </c>
      <c r="L4" s="70">
        <v>0</v>
      </c>
      <c r="M4" s="70">
        <v>0</v>
      </c>
      <c r="N4" s="70">
        <v>0</v>
      </c>
      <c r="O4" s="70">
        <v>1</v>
      </c>
      <c r="P4" s="71">
        <f>SUM(K4:O4)</f>
        <v>3</v>
      </c>
      <c r="Q4" s="70">
        <v>0</v>
      </c>
      <c r="R4" s="70">
        <v>0</v>
      </c>
      <c r="S4" s="70">
        <v>1</v>
      </c>
      <c r="T4" s="71">
        <f>SUM(Q4:S4)</f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9</v>
      </c>
      <c r="AB4" s="73">
        <v>0</v>
      </c>
      <c r="AC4" s="73">
        <v>0</v>
      </c>
      <c r="AD4" s="73">
        <v>4</v>
      </c>
      <c r="AE4" s="186">
        <f>SUM(AA4,AB4,AC4,AD4)</f>
        <v>13</v>
      </c>
      <c r="AF4" s="73">
        <v>0</v>
      </c>
      <c r="AG4" s="73">
        <v>0</v>
      </c>
    </row>
    <row r="5" spans="1:33">
      <c r="A5" s="77" t="s">
        <v>4618</v>
      </c>
      <c r="B5" s="69">
        <v>5</v>
      </c>
      <c r="C5" s="69">
        <v>1</v>
      </c>
      <c r="D5" s="69">
        <v>2</v>
      </c>
      <c r="E5" s="69">
        <f>SUM(B5:D5)</f>
        <v>8</v>
      </c>
      <c r="F5" s="70">
        <v>0</v>
      </c>
      <c r="G5" s="70">
        <v>2</v>
      </c>
      <c r="H5" s="70">
        <v>0</v>
      </c>
      <c r="I5" s="70">
        <v>0</v>
      </c>
      <c r="J5" s="71">
        <f t="shared" si="0"/>
        <v>2</v>
      </c>
      <c r="K5" s="70">
        <v>4</v>
      </c>
      <c r="L5" s="70">
        <v>0</v>
      </c>
      <c r="M5" s="70">
        <v>0</v>
      </c>
      <c r="N5" s="70">
        <v>1</v>
      </c>
      <c r="O5" s="70">
        <v>1</v>
      </c>
      <c r="P5" s="71">
        <f>SUM(K5:O5)</f>
        <v>6</v>
      </c>
      <c r="Q5" s="70">
        <v>0</v>
      </c>
      <c r="R5" s="70">
        <v>0</v>
      </c>
      <c r="S5" s="70">
        <v>1</v>
      </c>
      <c r="T5" s="71">
        <f>SUM(Q5:S5)</f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7</v>
      </c>
      <c r="AB5" s="73">
        <v>0</v>
      </c>
      <c r="AC5" s="73">
        <v>0</v>
      </c>
      <c r="AD5" s="73">
        <v>1</v>
      </c>
      <c r="AE5" s="186">
        <f>SUM(AA5,AB5,AC5,AD5)</f>
        <v>8</v>
      </c>
      <c r="AF5" s="73">
        <v>0</v>
      </c>
      <c r="AG5" s="73">
        <v>0</v>
      </c>
    </row>
    <row r="6" spans="1:33">
      <c r="A6" s="77" t="s">
        <v>4528</v>
      </c>
      <c r="B6" s="69">
        <v>0</v>
      </c>
      <c r="C6" s="69">
        <v>1</v>
      </c>
      <c r="D6" s="69">
        <v>1</v>
      </c>
      <c r="E6" s="69">
        <f>SUM(B6:D6)</f>
        <v>2</v>
      </c>
      <c r="F6" s="70">
        <v>0</v>
      </c>
      <c r="G6" s="70">
        <v>0</v>
      </c>
      <c r="H6" s="70">
        <v>0</v>
      </c>
      <c r="I6" s="70">
        <v>0</v>
      </c>
      <c r="J6" s="71">
        <f t="shared" si="0"/>
        <v>0</v>
      </c>
      <c r="K6" s="70">
        <v>2</v>
      </c>
      <c r="L6" s="70">
        <v>0</v>
      </c>
      <c r="M6" s="70">
        <v>0</v>
      </c>
      <c r="N6" s="70">
        <v>0</v>
      </c>
      <c r="O6" s="70">
        <v>0</v>
      </c>
      <c r="P6" s="71">
        <f>SUM(K6:O6)</f>
        <v>2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2</v>
      </c>
      <c r="AB6" s="73">
        <v>0</v>
      </c>
      <c r="AC6" s="73">
        <v>0</v>
      </c>
      <c r="AD6" s="73">
        <v>0</v>
      </c>
      <c r="AE6" s="186">
        <f>SUM(AA6,AB6,AC6,AD6)</f>
        <v>2</v>
      </c>
      <c r="AF6" s="73">
        <v>0</v>
      </c>
      <c r="AG6" s="73">
        <v>0</v>
      </c>
    </row>
    <row r="7" spans="1:33">
      <c r="A7" s="78" t="s">
        <v>4816</v>
      </c>
      <c r="B7" s="79">
        <v>1</v>
      </c>
      <c r="C7" s="79">
        <v>0</v>
      </c>
      <c r="D7" s="79">
        <v>2</v>
      </c>
      <c r="E7" s="69">
        <f>SUM(B7:D7)</f>
        <v>3</v>
      </c>
      <c r="F7" s="80">
        <v>0</v>
      </c>
      <c r="G7" s="80">
        <v>0</v>
      </c>
      <c r="H7" s="80">
        <v>0</v>
      </c>
      <c r="I7" s="80">
        <v>0</v>
      </c>
      <c r="J7" s="71">
        <f t="shared" si="0"/>
        <v>0</v>
      </c>
      <c r="K7" s="80">
        <v>3</v>
      </c>
      <c r="L7" s="80">
        <v>0</v>
      </c>
      <c r="M7" s="80">
        <v>0</v>
      </c>
      <c r="N7" s="80">
        <v>0</v>
      </c>
      <c r="O7" s="80">
        <v>0</v>
      </c>
      <c r="P7" s="71">
        <f>SUM(K7:O7)</f>
        <v>3</v>
      </c>
      <c r="Q7" s="80">
        <v>0</v>
      </c>
      <c r="R7" s="80">
        <v>0</v>
      </c>
      <c r="S7" s="80">
        <v>0</v>
      </c>
      <c r="T7" s="71">
        <f>SUM(Q7:S7)</f>
        <v>0</v>
      </c>
      <c r="U7" s="80">
        <v>0</v>
      </c>
      <c r="V7" s="80">
        <v>0</v>
      </c>
      <c r="W7" s="80">
        <v>0</v>
      </c>
      <c r="X7" s="80">
        <v>0</v>
      </c>
      <c r="Y7" s="80">
        <v>0</v>
      </c>
      <c r="Z7" s="80"/>
      <c r="AA7" s="82">
        <v>3</v>
      </c>
      <c r="AB7" s="82">
        <v>0</v>
      </c>
      <c r="AC7" s="82">
        <v>0</v>
      </c>
      <c r="AD7" s="82">
        <v>0</v>
      </c>
      <c r="AE7" s="233">
        <f>SUM(AA7,AB7,AC7,AD7)</f>
        <v>3</v>
      </c>
      <c r="AF7" s="82">
        <v>0</v>
      </c>
      <c r="AG7" s="82">
        <v>0</v>
      </c>
    </row>
    <row r="8" spans="1:33">
      <c r="A8" s="69" t="s">
        <v>376</v>
      </c>
      <c r="B8" s="69">
        <f t="shared" ref="B8:I8" si="1">SUM(B3:B7)</f>
        <v>24</v>
      </c>
      <c r="C8" s="69">
        <f t="shared" si="1"/>
        <v>2</v>
      </c>
      <c r="D8" s="69">
        <f t="shared" si="1"/>
        <v>13</v>
      </c>
      <c r="E8" s="69">
        <f t="shared" si="1"/>
        <v>39</v>
      </c>
      <c r="F8" s="69">
        <f t="shared" si="1"/>
        <v>0</v>
      </c>
      <c r="G8" s="69">
        <f t="shared" si="1"/>
        <v>23</v>
      </c>
      <c r="H8" s="69">
        <f t="shared" si="1"/>
        <v>0</v>
      </c>
      <c r="I8" s="69">
        <f t="shared" si="1"/>
        <v>0</v>
      </c>
      <c r="J8" s="71">
        <f t="shared" si="0"/>
        <v>23</v>
      </c>
      <c r="K8" s="114">
        <f>SUM(K3:K7)</f>
        <v>11</v>
      </c>
      <c r="L8" s="114">
        <f>SUM(L3:L7)</f>
        <v>0</v>
      </c>
      <c r="M8" s="114">
        <f>SUM(M3:M7)</f>
        <v>0</v>
      </c>
      <c r="N8" s="114">
        <f>SUM(N3:N7)</f>
        <v>2</v>
      </c>
      <c r="O8" s="114">
        <f>SUM(O3:O7)</f>
        <v>3</v>
      </c>
      <c r="P8" s="71">
        <f>SUM(K8:N8)</f>
        <v>13</v>
      </c>
      <c r="Q8" s="114">
        <f t="shared" ref="Q8:AG8" si="2">SUM(Q3:Q7)</f>
        <v>0</v>
      </c>
      <c r="R8" s="114">
        <f t="shared" si="2"/>
        <v>0</v>
      </c>
      <c r="S8" s="114">
        <f t="shared" si="2"/>
        <v>7</v>
      </c>
      <c r="T8" s="71">
        <f t="shared" si="2"/>
        <v>7</v>
      </c>
      <c r="U8" s="114">
        <f t="shared" si="2"/>
        <v>0</v>
      </c>
      <c r="V8" s="114">
        <f t="shared" si="2"/>
        <v>0</v>
      </c>
      <c r="W8" s="114">
        <f t="shared" si="2"/>
        <v>0</v>
      </c>
      <c r="X8" s="114">
        <f t="shared" si="2"/>
        <v>0</v>
      </c>
      <c r="Y8" s="114">
        <f t="shared" si="2"/>
        <v>0</v>
      </c>
      <c r="Z8" s="114">
        <f t="shared" si="2"/>
        <v>0</v>
      </c>
      <c r="AA8" s="73">
        <f t="shared" si="2"/>
        <v>31</v>
      </c>
      <c r="AB8" s="73">
        <f t="shared" si="2"/>
        <v>0</v>
      </c>
      <c r="AC8" s="73">
        <f t="shared" si="2"/>
        <v>0</v>
      </c>
      <c r="AD8" s="73">
        <f t="shared" si="2"/>
        <v>8</v>
      </c>
      <c r="AE8" s="73">
        <f t="shared" si="2"/>
        <v>39</v>
      </c>
      <c r="AF8" s="73">
        <f t="shared" si="2"/>
        <v>0</v>
      </c>
      <c r="AG8" s="73">
        <f t="shared" si="2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7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9.42578125" customWidth="1"/>
    <col min="2" max="2" width="24" customWidth="1"/>
    <col min="3" max="3" width="8.5703125" customWidth="1"/>
    <col min="5" max="5" width="19.28515625" customWidth="1"/>
  </cols>
  <sheetData>
    <row r="1" spans="1:98">
      <c r="A1" s="189" t="s">
        <v>5703</v>
      </c>
      <c r="B1" s="143"/>
      <c r="C1" s="231" t="s">
        <v>1445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5704</v>
      </c>
      <c r="B4" s="46" t="s">
        <v>5705</v>
      </c>
      <c r="C4" s="46">
        <v>42</v>
      </c>
      <c r="D4" s="46" t="s">
        <v>5706</v>
      </c>
      <c r="E4" s="46" t="s">
        <v>5707</v>
      </c>
      <c r="F4" s="46" t="s">
        <v>2472</v>
      </c>
      <c r="J4" s="46">
        <v>1</v>
      </c>
      <c r="M4" s="46">
        <v>1</v>
      </c>
      <c r="Q4" s="46">
        <v>1</v>
      </c>
      <c r="U4" s="46">
        <v>1</v>
      </c>
      <c r="W4" s="46">
        <v>16</v>
      </c>
      <c r="X4" s="46">
        <v>26</v>
      </c>
      <c r="Y4" s="46">
        <v>27</v>
      </c>
      <c r="Z4" s="46">
        <v>6</v>
      </c>
      <c r="AA4" s="46">
        <v>6</v>
      </c>
      <c r="AB4" s="46">
        <v>6</v>
      </c>
      <c r="AC4" s="46">
        <v>1</v>
      </c>
      <c r="AJ4" s="46">
        <v>1</v>
      </c>
      <c r="AK4" s="46">
        <v>1</v>
      </c>
      <c r="AS4" s="46">
        <v>1</v>
      </c>
      <c r="AT4" s="46">
        <v>1</v>
      </c>
      <c r="AW4" s="46">
        <v>1</v>
      </c>
      <c r="BB4" s="46">
        <v>1</v>
      </c>
      <c r="BK4" s="46">
        <v>1</v>
      </c>
      <c r="CC4" s="46">
        <v>1</v>
      </c>
      <c r="CD4" s="46">
        <v>2022</v>
      </c>
      <c r="CE4" s="46">
        <v>1</v>
      </c>
      <c r="CK4" s="46">
        <v>1</v>
      </c>
      <c r="CP4" s="46">
        <v>1</v>
      </c>
      <c r="CT4" s="134">
        <v>46539</v>
      </c>
    </row>
    <row r="5" spans="1:98">
      <c r="A5" s="46" t="s">
        <v>5708</v>
      </c>
      <c r="B5" s="46" t="s">
        <v>5709</v>
      </c>
      <c r="C5" s="46">
        <v>54</v>
      </c>
      <c r="D5" s="46" t="s">
        <v>5710</v>
      </c>
      <c r="E5" s="46" t="s">
        <v>5711</v>
      </c>
      <c r="F5" s="46" t="s">
        <v>2675</v>
      </c>
      <c r="I5" s="46">
        <v>1</v>
      </c>
      <c r="M5" s="46">
        <v>1</v>
      </c>
      <c r="R5" s="46">
        <v>1</v>
      </c>
      <c r="T5" s="46">
        <v>1</v>
      </c>
      <c r="W5" s="46">
        <v>15</v>
      </c>
      <c r="X5" s="46">
        <v>18</v>
      </c>
      <c r="Y5" s="46">
        <v>19</v>
      </c>
      <c r="Z5" s="46">
        <v>4</v>
      </c>
      <c r="AA5" s="46">
        <v>4</v>
      </c>
      <c r="AB5" s="46">
        <v>4</v>
      </c>
      <c r="AH5" s="46">
        <v>1</v>
      </c>
      <c r="AJ5" s="46">
        <v>1</v>
      </c>
      <c r="AK5" s="46">
        <v>1</v>
      </c>
      <c r="AS5" s="46">
        <v>1</v>
      </c>
      <c r="AT5" s="46">
        <v>1</v>
      </c>
      <c r="AW5" s="46">
        <v>1</v>
      </c>
      <c r="BA5" s="46">
        <v>1</v>
      </c>
      <c r="BF5" s="46">
        <v>1</v>
      </c>
      <c r="BG5" s="46">
        <v>1</v>
      </c>
      <c r="BK5" s="46">
        <v>1</v>
      </c>
      <c r="CB5" s="46">
        <v>1</v>
      </c>
      <c r="CE5" s="46">
        <v>1</v>
      </c>
      <c r="CK5" s="46">
        <v>1</v>
      </c>
      <c r="CP5" s="46">
        <v>1</v>
      </c>
      <c r="CT5" s="134">
        <v>46539</v>
      </c>
    </row>
    <row r="6" spans="1:98">
      <c r="A6" s="46" t="s">
        <v>5712</v>
      </c>
      <c r="B6" s="46" t="s">
        <v>5713</v>
      </c>
      <c r="C6" s="46">
        <v>25</v>
      </c>
      <c r="D6" s="46" t="s">
        <v>2288</v>
      </c>
      <c r="E6" s="46" t="s">
        <v>5714</v>
      </c>
      <c r="F6" s="46" t="s">
        <v>2523</v>
      </c>
      <c r="J6" s="46">
        <v>1</v>
      </c>
      <c r="M6" s="46">
        <v>1</v>
      </c>
      <c r="Q6" s="46">
        <v>1</v>
      </c>
      <c r="V6" s="46">
        <v>1</v>
      </c>
      <c r="W6" s="46">
        <v>16</v>
      </c>
      <c r="X6" s="46">
        <v>17</v>
      </c>
      <c r="Y6" s="46">
        <v>18</v>
      </c>
      <c r="Z6" s="46">
        <v>3</v>
      </c>
      <c r="AA6" s="46">
        <v>3</v>
      </c>
      <c r="AB6" s="46">
        <v>3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S6" s="46">
        <v>1</v>
      </c>
      <c r="AT6" s="46">
        <v>1</v>
      </c>
      <c r="AW6" s="46">
        <v>1</v>
      </c>
      <c r="BB6" s="46">
        <v>1</v>
      </c>
      <c r="BH6" s="46">
        <v>1</v>
      </c>
      <c r="BJ6" s="46">
        <v>1</v>
      </c>
      <c r="BX6" s="46">
        <v>1</v>
      </c>
      <c r="BY6" s="46">
        <v>1</v>
      </c>
      <c r="CB6" s="46">
        <v>1</v>
      </c>
      <c r="CE6" s="46">
        <v>1</v>
      </c>
      <c r="CK6" s="46">
        <v>1</v>
      </c>
      <c r="CP6" s="46">
        <v>1</v>
      </c>
      <c r="CT6" s="134">
        <v>45809</v>
      </c>
    </row>
    <row r="7" spans="1:98">
      <c r="A7" s="46" t="s">
        <v>5715</v>
      </c>
      <c r="B7" s="46" t="s">
        <v>5716</v>
      </c>
      <c r="C7" s="46">
        <v>34</v>
      </c>
      <c r="D7" s="46" t="s">
        <v>5717</v>
      </c>
      <c r="E7" s="46" t="s">
        <v>5718</v>
      </c>
      <c r="H7" s="46">
        <v>1</v>
      </c>
      <c r="L7" s="46">
        <v>1</v>
      </c>
      <c r="Q7" s="46">
        <v>1</v>
      </c>
      <c r="W7" s="46">
        <v>12</v>
      </c>
      <c r="X7" s="46">
        <v>24</v>
      </c>
      <c r="Y7" s="46">
        <v>0</v>
      </c>
      <c r="Z7" s="46">
        <v>0</v>
      </c>
      <c r="AA7" s="46">
        <v>0</v>
      </c>
      <c r="AB7" s="46">
        <v>0</v>
      </c>
      <c r="AC7" s="46">
        <v>1</v>
      </c>
      <c r="AJ7" s="46">
        <v>1</v>
      </c>
      <c r="AK7" s="46">
        <v>1</v>
      </c>
      <c r="AS7" s="46">
        <v>1</v>
      </c>
      <c r="AT7" s="46">
        <v>1</v>
      </c>
      <c r="AZ7" s="46">
        <v>1</v>
      </c>
      <c r="BB7" s="46">
        <v>1</v>
      </c>
      <c r="BG7" s="46">
        <v>1</v>
      </c>
      <c r="BK7" s="46">
        <v>1</v>
      </c>
      <c r="CB7" s="46">
        <v>1</v>
      </c>
      <c r="CE7" s="46">
        <v>1</v>
      </c>
      <c r="CK7" s="46">
        <v>1</v>
      </c>
      <c r="CP7" s="46">
        <v>1</v>
      </c>
      <c r="CT7" s="134">
        <v>46539</v>
      </c>
    </row>
  </sheetData>
  <autoFilter ref="A3:CT7"/>
  <mergeCells count="1">
    <mergeCell ref="AV1:AZ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7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5376</v>
      </c>
      <c r="B3" s="69">
        <v>1</v>
      </c>
      <c r="C3" s="69">
        <v>0</v>
      </c>
      <c r="D3" s="69">
        <v>0</v>
      </c>
      <c r="E3" s="69">
        <f>SUM(B3:D3)</f>
        <v>1</v>
      </c>
      <c r="F3" s="70">
        <v>1</v>
      </c>
      <c r="G3" s="70">
        <v>0</v>
      </c>
      <c r="H3" s="70">
        <v>0</v>
      </c>
      <c r="I3" s="70">
        <v>0</v>
      </c>
      <c r="J3" s="71">
        <f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1</v>
      </c>
      <c r="R3" s="70">
        <v>0</v>
      </c>
      <c r="S3" s="70">
        <v>0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</v>
      </c>
      <c r="AB3" s="73">
        <v>0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3623</v>
      </c>
      <c r="B4" s="69">
        <v>1</v>
      </c>
      <c r="C4" s="69">
        <v>0</v>
      </c>
      <c r="D4" s="69"/>
      <c r="E4" s="69">
        <f>SUM(B4:D4)</f>
        <v>1</v>
      </c>
      <c r="F4" s="70">
        <v>0</v>
      </c>
      <c r="G4" s="70">
        <v>1</v>
      </c>
      <c r="H4" s="70">
        <v>0</v>
      </c>
      <c r="I4" s="70">
        <v>0</v>
      </c>
      <c r="J4" s="71">
        <f>SUM(F4:I4)</f>
        <v>1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>SUM(K4:O4)</f>
        <v>0</v>
      </c>
      <c r="Q4" s="70">
        <v>0</v>
      </c>
      <c r="R4" s="70">
        <v>0</v>
      </c>
      <c r="S4" s="70">
        <v>0</v>
      </c>
      <c r="T4" s="71">
        <f>SUM(Q4:S4)</f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</v>
      </c>
      <c r="AB4" s="73">
        <v>0</v>
      </c>
      <c r="AC4" s="73">
        <v>0</v>
      </c>
      <c r="AD4" s="73">
        <v>0</v>
      </c>
      <c r="AE4" s="186">
        <f>SUM(AA4,AB4,AC4,AD4)</f>
        <v>1</v>
      </c>
      <c r="AF4" s="73">
        <v>0</v>
      </c>
      <c r="AG4" s="73">
        <v>0</v>
      </c>
    </row>
    <row r="5" spans="1:33">
      <c r="A5" s="77" t="s">
        <v>3432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1">
        <f>SUM(F5:I5)</f>
        <v>1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</v>
      </c>
      <c r="AB5" s="73">
        <v>0</v>
      </c>
      <c r="AC5" s="73">
        <v>0</v>
      </c>
      <c r="AD5" s="73">
        <v>0</v>
      </c>
      <c r="AE5" s="186">
        <f>SUM(AA5,AB5,AC5,AD5)</f>
        <v>1</v>
      </c>
      <c r="AF5" s="73">
        <v>0</v>
      </c>
      <c r="AG5" s="73">
        <v>0</v>
      </c>
    </row>
    <row r="6" spans="1:33">
      <c r="A6" s="77" t="s">
        <v>5473</v>
      </c>
      <c r="B6" s="69">
        <v>1</v>
      </c>
      <c r="C6" s="69">
        <v>0</v>
      </c>
      <c r="D6" s="69">
        <v>0</v>
      </c>
      <c r="E6" s="69">
        <f>SUM(B6:D6)</f>
        <v>1</v>
      </c>
      <c r="F6" s="70">
        <v>0</v>
      </c>
      <c r="G6" s="70">
        <v>1</v>
      </c>
      <c r="H6" s="70">
        <v>0</v>
      </c>
      <c r="I6" s="70">
        <v>0</v>
      </c>
      <c r="J6" s="71">
        <f>SUM(F6:I6)</f>
        <v>1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1">
        <f>SUM(K6:O6)</f>
        <v>0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</v>
      </c>
      <c r="AB6" s="73">
        <v>0</v>
      </c>
      <c r="AC6" s="73">
        <v>0</v>
      </c>
      <c r="AD6" s="73">
        <v>0</v>
      </c>
      <c r="AE6" s="186">
        <f>SUM(AA6,AB6,AC6,AD6)</f>
        <v>1</v>
      </c>
      <c r="AF6" s="73">
        <v>0</v>
      </c>
      <c r="AG6" s="73">
        <v>0</v>
      </c>
    </row>
    <row r="7" spans="1:33">
      <c r="A7" s="69" t="s">
        <v>376</v>
      </c>
      <c r="B7" s="69">
        <f t="shared" ref="B7:I7" si="0">SUM(B3:B6)</f>
        <v>4</v>
      </c>
      <c r="C7" s="69">
        <f t="shared" si="0"/>
        <v>0</v>
      </c>
      <c r="D7" s="69">
        <f t="shared" si="0"/>
        <v>0</v>
      </c>
      <c r="E7" s="69">
        <f t="shared" si="0"/>
        <v>4</v>
      </c>
      <c r="F7" s="69">
        <f t="shared" si="0"/>
        <v>1</v>
      </c>
      <c r="G7" s="69">
        <f t="shared" si="0"/>
        <v>3</v>
      </c>
      <c r="H7" s="69">
        <f t="shared" si="0"/>
        <v>0</v>
      </c>
      <c r="I7" s="69">
        <f t="shared" si="0"/>
        <v>0</v>
      </c>
      <c r="J7" s="71">
        <f>SUM(F7:I7)</f>
        <v>4</v>
      </c>
      <c r="K7" s="114">
        <f>SUM(K3:K6)</f>
        <v>0</v>
      </c>
      <c r="L7" s="114">
        <f>SUM(L3:L6)</f>
        <v>0</v>
      </c>
      <c r="M7" s="114">
        <f>SUM(M3:M6)</f>
        <v>0</v>
      </c>
      <c r="N7" s="114">
        <f>SUM(N3:N6)</f>
        <v>0</v>
      </c>
      <c r="O7" s="114">
        <f>SUM(O3:O6)</f>
        <v>0</v>
      </c>
      <c r="P7" s="71">
        <f>SUM(K7:N7)</f>
        <v>0</v>
      </c>
      <c r="Q7" s="114">
        <f t="shared" ref="Q7:AG7" si="1">SUM(Q3:Q6)</f>
        <v>1</v>
      </c>
      <c r="R7" s="114">
        <f t="shared" si="1"/>
        <v>0</v>
      </c>
      <c r="S7" s="114">
        <f t="shared" si="1"/>
        <v>0</v>
      </c>
      <c r="T7" s="71">
        <f t="shared" si="1"/>
        <v>1</v>
      </c>
      <c r="U7" s="114">
        <f t="shared" si="1"/>
        <v>0</v>
      </c>
      <c r="V7" s="114">
        <f t="shared" si="1"/>
        <v>0</v>
      </c>
      <c r="W7" s="114">
        <f t="shared" si="1"/>
        <v>0</v>
      </c>
      <c r="X7" s="114">
        <f t="shared" si="1"/>
        <v>0</v>
      </c>
      <c r="Y7" s="114">
        <f t="shared" si="1"/>
        <v>0</v>
      </c>
      <c r="Z7" s="114">
        <f t="shared" si="1"/>
        <v>0</v>
      </c>
      <c r="AA7" s="73">
        <f t="shared" si="1"/>
        <v>4</v>
      </c>
      <c r="AB7" s="73">
        <f t="shared" si="1"/>
        <v>0</v>
      </c>
      <c r="AC7" s="73">
        <f t="shared" si="1"/>
        <v>0</v>
      </c>
      <c r="AD7" s="73">
        <f t="shared" si="1"/>
        <v>0</v>
      </c>
      <c r="AE7" s="73">
        <f t="shared" si="1"/>
        <v>4</v>
      </c>
      <c r="AF7" s="73">
        <f t="shared" si="1"/>
        <v>0</v>
      </c>
      <c r="AG7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11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9.85546875" customWidth="1"/>
    <col min="2" max="2" width="19.5703125" customWidth="1"/>
    <col min="3" max="3" width="9.140625" customWidth="1"/>
    <col min="5" max="5" width="18.28515625" customWidth="1"/>
  </cols>
  <sheetData>
    <row r="1" spans="1:98">
      <c r="A1" s="189" t="s">
        <v>5719</v>
      </c>
      <c r="B1" s="143"/>
      <c r="C1" s="231" t="s">
        <v>1445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5720</v>
      </c>
      <c r="B4" s="46" t="s">
        <v>5721</v>
      </c>
      <c r="C4" s="46">
        <v>27</v>
      </c>
      <c r="D4" s="46" t="s">
        <v>3120</v>
      </c>
      <c r="E4" s="46" t="s">
        <v>5722</v>
      </c>
      <c r="F4" s="46" t="s">
        <v>145</v>
      </c>
      <c r="G4" s="46">
        <v>1</v>
      </c>
      <c r="M4" s="46">
        <v>1</v>
      </c>
      <c r="R4" s="46">
        <v>1</v>
      </c>
      <c r="U4" s="46">
        <v>1</v>
      </c>
      <c r="W4" s="46">
        <v>18</v>
      </c>
      <c r="X4" s="46">
        <v>20</v>
      </c>
      <c r="Y4" s="46">
        <v>20</v>
      </c>
      <c r="Z4" s="46">
        <v>1</v>
      </c>
      <c r="AA4" s="46">
        <v>1</v>
      </c>
      <c r="AB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X4" s="46">
        <v>1</v>
      </c>
      <c r="BB4" s="46">
        <v>1</v>
      </c>
      <c r="BH4" s="46">
        <v>1</v>
      </c>
      <c r="BK4" s="46">
        <v>1</v>
      </c>
      <c r="CB4" s="46">
        <v>1</v>
      </c>
      <c r="CE4" s="46">
        <v>1</v>
      </c>
      <c r="CK4" s="46">
        <v>1</v>
      </c>
      <c r="CR4" s="46">
        <v>1</v>
      </c>
      <c r="CT4" s="134">
        <v>46569</v>
      </c>
    </row>
    <row r="5" spans="1:98">
      <c r="A5" s="46" t="s">
        <v>5723</v>
      </c>
      <c r="B5" s="46" t="s">
        <v>5724</v>
      </c>
      <c r="C5" s="46">
        <v>36</v>
      </c>
      <c r="D5" s="46" t="s">
        <v>1112</v>
      </c>
      <c r="E5" s="46" t="s">
        <v>5725</v>
      </c>
      <c r="F5" s="46" t="s">
        <v>2472</v>
      </c>
      <c r="H5" s="46">
        <v>1</v>
      </c>
      <c r="M5" s="46">
        <v>1</v>
      </c>
      <c r="Q5" s="46">
        <v>1</v>
      </c>
      <c r="U5" s="46">
        <v>1</v>
      </c>
      <c r="W5" s="46">
        <v>15</v>
      </c>
      <c r="X5" s="46">
        <v>17</v>
      </c>
      <c r="Y5" s="46">
        <v>21</v>
      </c>
      <c r="Z5" s="46">
        <v>3</v>
      </c>
      <c r="AA5" s="46">
        <v>3</v>
      </c>
      <c r="AB5" s="46">
        <v>3</v>
      </c>
      <c r="AE5" s="46">
        <v>1</v>
      </c>
      <c r="AF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CB5" s="46">
        <v>1</v>
      </c>
      <c r="CE5" s="46">
        <v>1</v>
      </c>
      <c r="CK5" s="46">
        <v>1</v>
      </c>
      <c r="CR5" s="46">
        <v>1</v>
      </c>
      <c r="CT5" s="134">
        <v>46569</v>
      </c>
    </row>
    <row r="6" spans="1:98">
      <c r="A6" s="46" t="s">
        <v>5726</v>
      </c>
      <c r="B6" s="46" t="s">
        <v>5727</v>
      </c>
      <c r="C6" s="46">
        <v>35</v>
      </c>
      <c r="D6" s="46" t="s">
        <v>1373</v>
      </c>
      <c r="E6" s="46" t="s">
        <v>191</v>
      </c>
      <c r="F6" s="46" t="s">
        <v>2472</v>
      </c>
      <c r="H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20</v>
      </c>
      <c r="Y6" s="46">
        <v>25</v>
      </c>
      <c r="Z6" s="46">
        <v>3</v>
      </c>
      <c r="AA6" s="46">
        <v>3</v>
      </c>
      <c r="AB6" s="46">
        <v>3</v>
      </c>
      <c r="AH6" s="46">
        <v>1</v>
      </c>
      <c r="AJ6" s="46">
        <v>1</v>
      </c>
      <c r="AL6" s="46">
        <v>1</v>
      </c>
      <c r="AQ6" s="46" t="s">
        <v>5728</v>
      </c>
      <c r="AT6" s="46">
        <v>1</v>
      </c>
      <c r="AW6" s="46">
        <v>1</v>
      </c>
      <c r="BA6" s="46">
        <v>1</v>
      </c>
      <c r="BK6" s="46">
        <v>1</v>
      </c>
      <c r="BY6" s="46">
        <v>1</v>
      </c>
      <c r="CB6" s="46">
        <v>1</v>
      </c>
      <c r="CE6" s="46">
        <v>1</v>
      </c>
      <c r="CK6" s="46">
        <v>1</v>
      </c>
      <c r="CR6" s="46">
        <v>1</v>
      </c>
      <c r="CT6" s="134">
        <v>46569</v>
      </c>
    </row>
    <row r="7" spans="1:98">
      <c r="A7" s="46" t="s">
        <v>5729</v>
      </c>
      <c r="B7" s="46" t="s">
        <v>5730</v>
      </c>
      <c r="C7" s="46">
        <v>26</v>
      </c>
      <c r="D7" s="46" t="s">
        <v>4655</v>
      </c>
      <c r="E7" s="46" t="s">
        <v>5731</v>
      </c>
      <c r="F7" s="46" t="s">
        <v>2472</v>
      </c>
      <c r="J7" s="46">
        <v>1</v>
      </c>
      <c r="N7" s="46">
        <v>1</v>
      </c>
      <c r="Q7" s="46">
        <v>1</v>
      </c>
      <c r="V7" s="46">
        <v>1</v>
      </c>
      <c r="W7" s="46">
        <v>11</v>
      </c>
      <c r="X7" s="46">
        <v>25</v>
      </c>
      <c r="Y7" s="46">
        <v>0</v>
      </c>
      <c r="Z7" s="46">
        <v>0</v>
      </c>
      <c r="AA7" s="46">
        <v>0</v>
      </c>
      <c r="AB7" s="46">
        <v>0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134">
        <v>46569</v>
      </c>
    </row>
    <row r="8" spans="1:98">
      <c r="A8" s="46" t="s">
        <v>5732</v>
      </c>
      <c r="B8" s="46" t="s">
        <v>5733</v>
      </c>
      <c r="C8" s="46">
        <v>34</v>
      </c>
      <c r="D8" s="46" t="s">
        <v>5734</v>
      </c>
      <c r="E8" s="46" t="s">
        <v>5735</v>
      </c>
      <c r="F8" s="46" t="s">
        <v>5736</v>
      </c>
      <c r="G8" s="46">
        <v>1</v>
      </c>
      <c r="M8" s="46">
        <v>1</v>
      </c>
      <c r="V8" s="46">
        <v>1</v>
      </c>
      <c r="W8" s="46">
        <v>14</v>
      </c>
      <c r="X8" s="46">
        <v>14</v>
      </c>
      <c r="Y8" s="46">
        <v>21</v>
      </c>
      <c r="Z8" s="46">
        <v>5</v>
      </c>
      <c r="AA8" s="46">
        <v>5</v>
      </c>
      <c r="AB8" s="46">
        <v>5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B8" s="46">
        <v>1</v>
      </c>
      <c r="CE8" s="46">
        <v>1</v>
      </c>
      <c r="CK8" s="46">
        <v>1</v>
      </c>
      <c r="CR8" s="46">
        <v>1</v>
      </c>
      <c r="CT8" s="134">
        <v>46569</v>
      </c>
    </row>
    <row r="9" spans="1:98">
      <c r="A9" s="46" t="s">
        <v>5737</v>
      </c>
      <c r="B9" s="46" t="s">
        <v>5738</v>
      </c>
      <c r="C9" s="46">
        <v>39</v>
      </c>
      <c r="D9" s="46" t="s">
        <v>5739</v>
      </c>
      <c r="E9" s="46" t="s">
        <v>5740</v>
      </c>
      <c r="F9" s="46" t="s">
        <v>2472</v>
      </c>
      <c r="H9" s="46">
        <v>1</v>
      </c>
      <c r="M9" s="46">
        <v>1</v>
      </c>
      <c r="R9" s="46">
        <v>1</v>
      </c>
      <c r="U9" s="46">
        <v>1</v>
      </c>
      <c r="W9" s="46">
        <v>15</v>
      </c>
      <c r="X9" s="46">
        <v>18</v>
      </c>
      <c r="Y9" s="46">
        <v>28</v>
      </c>
      <c r="Z9" s="46">
        <v>4</v>
      </c>
      <c r="AA9" s="46">
        <v>4</v>
      </c>
      <c r="AB9" s="46">
        <v>4</v>
      </c>
      <c r="AE9" s="46">
        <v>1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J9" s="46">
        <v>1</v>
      </c>
      <c r="BX9" s="46">
        <v>1</v>
      </c>
      <c r="BY9" s="46">
        <v>1</v>
      </c>
      <c r="CB9" s="46">
        <v>1</v>
      </c>
      <c r="CE9" s="46">
        <v>1</v>
      </c>
      <c r="CK9" s="46">
        <v>1</v>
      </c>
      <c r="CR9" s="46">
        <v>1</v>
      </c>
      <c r="CT9" s="134">
        <v>45839</v>
      </c>
    </row>
    <row r="10" spans="1:98">
      <c r="A10" s="46" t="s">
        <v>5741</v>
      </c>
      <c r="B10" s="46" t="s">
        <v>5742</v>
      </c>
      <c r="C10" s="46">
        <v>28</v>
      </c>
      <c r="D10" s="46" t="s">
        <v>1153</v>
      </c>
      <c r="E10" s="46" t="s">
        <v>5743</v>
      </c>
      <c r="F10" s="46" t="s">
        <v>2472</v>
      </c>
      <c r="H10" s="46">
        <v>1</v>
      </c>
      <c r="O10" s="46">
        <v>1</v>
      </c>
      <c r="R10" s="46">
        <v>1</v>
      </c>
      <c r="U10" s="46">
        <v>1</v>
      </c>
      <c r="W10" s="46">
        <v>13</v>
      </c>
      <c r="X10" s="46">
        <v>15</v>
      </c>
      <c r="Y10" s="46">
        <v>18</v>
      </c>
      <c r="Z10" s="46">
        <v>3</v>
      </c>
      <c r="AA10" s="46">
        <v>3</v>
      </c>
      <c r="AB10" s="46">
        <v>3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M10" s="46">
        <v>1</v>
      </c>
      <c r="CB10" s="46">
        <v>1</v>
      </c>
      <c r="CE10" s="46">
        <v>1</v>
      </c>
      <c r="CN10" s="46">
        <v>1</v>
      </c>
      <c r="CR10" s="46">
        <v>1</v>
      </c>
      <c r="CT10" s="134">
        <v>45474</v>
      </c>
    </row>
    <row r="11" spans="1:98">
      <c r="A11" s="46" t="s">
        <v>5744</v>
      </c>
      <c r="B11" s="46" t="s">
        <v>5745</v>
      </c>
      <c r="C11" s="46">
        <v>35</v>
      </c>
      <c r="D11" s="46" t="s">
        <v>1107</v>
      </c>
      <c r="E11" s="46" t="s">
        <v>191</v>
      </c>
      <c r="L11" s="46">
        <v>1</v>
      </c>
      <c r="Q11" s="46">
        <v>1</v>
      </c>
      <c r="V11" s="46">
        <v>1</v>
      </c>
      <c r="W11" s="46">
        <v>12</v>
      </c>
      <c r="X11" s="46">
        <v>23</v>
      </c>
      <c r="Y11" s="46">
        <v>0</v>
      </c>
      <c r="Z11" s="46">
        <v>0</v>
      </c>
      <c r="AA11" s="46">
        <v>0</v>
      </c>
      <c r="AB11" s="46">
        <v>0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B11" s="46">
        <v>1</v>
      </c>
      <c r="BG11" s="46">
        <v>1</v>
      </c>
      <c r="BO11" s="46" t="s">
        <v>5746</v>
      </c>
      <c r="CB11" s="46">
        <v>1</v>
      </c>
      <c r="CE11" s="46">
        <v>1</v>
      </c>
      <c r="CN11" s="46">
        <v>1</v>
      </c>
      <c r="CR11" s="46">
        <v>1</v>
      </c>
      <c r="CT11" s="46" t="s">
        <v>3369</v>
      </c>
    </row>
  </sheetData>
  <autoFilter ref="A3:CT11"/>
  <mergeCells count="1">
    <mergeCell ref="AV1:AZ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5747</v>
      </c>
      <c r="B3" s="69">
        <v>3</v>
      </c>
      <c r="C3" s="69">
        <v>0</v>
      </c>
      <c r="D3" s="69">
        <v>0</v>
      </c>
      <c r="E3" s="69">
        <f>SUM(B3:D3)</f>
        <v>3</v>
      </c>
      <c r="F3" s="70">
        <v>0</v>
      </c>
      <c r="G3" s="70">
        <v>2</v>
      </c>
      <c r="H3" s="70">
        <v>0</v>
      </c>
      <c r="I3" s="70">
        <v>0</v>
      </c>
      <c r="J3" s="71">
        <f>SUM(F3:I3)</f>
        <v>2</v>
      </c>
      <c r="K3" s="70">
        <v>0</v>
      </c>
      <c r="L3" s="70">
        <v>1</v>
      </c>
      <c r="M3" s="70">
        <v>0</v>
      </c>
      <c r="N3" s="70">
        <v>0</v>
      </c>
      <c r="O3" s="70">
        <v>0</v>
      </c>
      <c r="P3" s="71">
        <f>SUM(K3:O3)</f>
        <v>1</v>
      </c>
      <c r="Q3" s="70">
        <v>0</v>
      </c>
      <c r="R3" s="70">
        <v>0</v>
      </c>
      <c r="S3" s="70">
        <v>0</v>
      </c>
      <c r="T3" s="71">
        <f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2</v>
      </c>
      <c r="AB3" s="73"/>
      <c r="AC3" s="73"/>
      <c r="AD3" s="73">
        <v>1</v>
      </c>
      <c r="AE3" s="186">
        <f>SUM(AA3,AB3,AC3,AD3)</f>
        <v>3</v>
      </c>
      <c r="AF3" s="73">
        <v>0</v>
      </c>
      <c r="AG3" s="73">
        <v>0</v>
      </c>
    </row>
    <row r="4" spans="1:33">
      <c r="A4" s="77" t="s">
        <v>2705</v>
      </c>
      <c r="B4" s="69">
        <v>4</v>
      </c>
      <c r="C4" s="69">
        <v>1</v>
      </c>
      <c r="D4" s="69">
        <v>0</v>
      </c>
      <c r="E4" s="69">
        <f>SUM(B4:D4)</f>
        <v>5</v>
      </c>
      <c r="F4" s="70">
        <v>1</v>
      </c>
      <c r="G4" s="70">
        <v>3</v>
      </c>
      <c r="H4" s="70">
        <v>0</v>
      </c>
      <c r="I4" s="70">
        <v>0</v>
      </c>
      <c r="J4" s="71">
        <f>SUM(F4:I4)</f>
        <v>4</v>
      </c>
      <c r="K4" s="70">
        <v>0</v>
      </c>
      <c r="L4" s="70">
        <v>0</v>
      </c>
      <c r="M4" s="70">
        <v>0</v>
      </c>
      <c r="N4" s="70">
        <v>1</v>
      </c>
      <c r="O4" s="70">
        <v>0</v>
      </c>
      <c r="P4" s="71">
        <f>SUM(K4:O4)</f>
        <v>1</v>
      </c>
      <c r="Q4" s="70">
        <v>1</v>
      </c>
      <c r="R4" s="70">
        <v>0</v>
      </c>
      <c r="S4" s="70">
        <v>3</v>
      </c>
      <c r="T4" s="71">
        <f>SUM(Q4:S4)</f>
        <v>4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4</v>
      </c>
      <c r="AB4" s="73">
        <v>0</v>
      </c>
      <c r="AC4" s="73">
        <v>0</v>
      </c>
      <c r="AD4" s="73">
        <v>1</v>
      </c>
      <c r="AE4" s="186">
        <f>SUM(AA4,AB4,AC4,AD4)</f>
        <v>5</v>
      </c>
      <c r="AF4" s="73">
        <v>0</v>
      </c>
      <c r="AG4" s="73">
        <v>0</v>
      </c>
    </row>
    <row r="5" spans="1:33">
      <c r="A5" s="69" t="s">
        <v>376</v>
      </c>
      <c r="B5" s="69">
        <f t="shared" ref="B5:I5" si="0">SUM(B3:B4)</f>
        <v>7</v>
      </c>
      <c r="C5" s="69">
        <f t="shared" si="0"/>
        <v>1</v>
      </c>
      <c r="D5" s="69">
        <f t="shared" si="0"/>
        <v>0</v>
      </c>
      <c r="E5" s="69">
        <f t="shared" si="0"/>
        <v>8</v>
      </c>
      <c r="F5" s="69">
        <f t="shared" si="0"/>
        <v>1</v>
      </c>
      <c r="G5" s="69">
        <f t="shared" si="0"/>
        <v>5</v>
      </c>
      <c r="H5" s="69">
        <f t="shared" si="0"/>
        <v>0</v>
      </c>
      <c r="I5" s="69">
        <f t="shared" si="0"/>
        <v>0</v>
      </c>
      <c r="J5" s="71">
        <f>SUM(F5:I5)</f>
        <v>6</v>
      </c>
      <c r="K5" s="114">
        <f>SUM(K3:K4)</f>
        <v>0</v>
      </c>
      <c r="L5" s="114">
        <f>SUM(L3:L4)</f>
        <v>1</v>
      </c>
      <c r="M5" s="114">
        <f>SUM(M3:M4)</f>
        <v>0</v>
      </c>
      <c r="N5" s="114">
        <f>SUM(N3:N4)</f>
        <v>1</v>
      </c>
      <c r="O5" s="114">
        <f>SUM(O3:O4)</f>
        <v>0</v>
      </c>
      <c r="P5" s="71">
        <f>SUM(K5:N5)</f>
        <v>2</v>
      </c>
      <c r="Q5" s="114">
        <f t="shared" ref="Q5:AG5" si="1">SUM(Q3:Q4)</f>
        <v>1</v>
      </c>
      <c r="R5" s="114">
        <f t="shared" si="1"/>
        <v>0</v>
      </c>
      <c r="S5" s="114">
        <f t="shared" si="1"/>
        <v>3</v>
      </c>
      <c r="T5" s="71">
        <f t="shared" si="1"/>
        <v>4</v>
      </c>
      <c r="U5" s="114">
        <f t="shared" si="1"/>
        <v>0</v>
      </c>
      <c r="V5" s="114">
        <f t="shared" si="1"/>
        <v>0</v>
      </c>
      <c r="W5" s="114">
        <f t="shared" si="1"/>
        <v>0</v>
      </c>
      <c r="X5" s="114">
        <f t="shared" si="1"/>
        <v>0</v>
      </c>
      <c r="Y5" s="114">
        <f t="shared" si="1"/>
        <v>0</v>
      </c>
      <c r="Z5" s="114">
        <f t="shared" si="1"/>
        <v>0</v>
      </c>
      <c r="AA5" s="73">
        <f t="shared" si="1"/>
        <v>6</v>
      </c>
      <c r="AB5" s="73">
        <f t="shared" si="1"/>
        <v>0</v>
      </c>
      <c r="AC5" s="73">
        <f t="shared" si="1"/>
        <v>0</v>
      </c>
      <c r="AD5" s="73">
        <f t="shared" si="1"/>
        <v>2</v>
      </c>
      <c r="AE5" s="73">
        <f t="shared" si="1"/>
        <v>8</v>
      </c>
      <c r="AF5" s="73">
        <f t="shared" si="1"/>
        <v>0</v>
      </c>
      <c r="AG5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47"/>
  <sheetViews>
    <sheetView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ColWidth="14.42578125" defaultRowHeight="15" customHeight="1"/>
  <cols>
    <col min="1" max="1" width="10.28515625" customWidth="1"/>
    <col min="2" max="2" width="21.85546875" customWidth="1"/>
    <col min="3" max="3" width="10.140625" customWidth="1"/>
    <col min="5" max="5" width="19.42578125" customWidth="1"/>
  </cols>
  <sheetData>
    <row r="1" spans="1:98">
      <c r="A1" s="189" t="s">
        <v>5748</v>
      </c>
      <c r="B1" s="143"/>
      <c r="C1" s="231" t="s">
        <v>5749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5750</v>
      </c>
      <c r="B4" s="46" t="s">
        <v>5751</v>
      </c>
      <c r="C4" s="46">
        <v>26</v>
      </c>
      <c r="D4" s="46" t="s">
        <v>5752</v>
      </c>
      <c r="E4" s="46" t="s">
        <v>5753</v>
      </c>
      <c r="F4" s="46" t="s">
        <v>2472</v>
      </c>
      <c r="G4" s="46">
        <v>1</v>
      </c>
      <c r="N4" s="46">
        <v>1</v>
      </c>
      <c r="Q4" s="46">
        <v>1</v>
      </c>
      <c r="R4" s="46">
        <v>1</v>
      </c>
      <c r="U4" s="46">
        <v>1</v>
      </c>
      <c r="W4" s="46">
        <v>16</v>
      </c>
      <c r="X4" s="46">
        <v>20</v>
      </c>
      <c r="Y4" s="46">
        <v>23</v>
      </c>
      <c r="Z4" s="46">
        <v>3</v>
      </c>
      <c r="AA4" s="46">
        <v>3</v>
      </c>
      <c r="AB4" s="46">
        <v>3</v>
      </c>
      <c r="AE4" s="46">
        <v>1</v>
      </c>
      <c r="AJ4" s="46">
        <v>1</v>
      </c>
      <c r="AK4" s="46">
        <v>1</v>
      </c>
      <c r="AT4" s="46">
        <v>1</v>
      </c>
      <c r="AW4" s="46">
        <v>1</v>
      </c>
      <c r="BB4" s="46">
        <v>1</v>
      </c>
      <c r="BG4" s="46">
        <v>1</v>
      </c>
      <c r="BK4" s="46">
        <v>1</v>
      </c>
      <c r="BY4" s="46">
        <v>1</v>
      </c>
      <c r="CB4" s="46">
        <v>1</v>
      </c>
      <c r="CE4" s="46">
        <v>1</v>
      </c>
      <c r="CK4" s="46">
        <v>1</v>
      </c>
      <c r="CR4" s="46">
        <v>1</v>
      </c>
      <c r="CT4" s="134">
        <v>46600</v>
      </c>
    </row>
    <row r="5" spans="1:98" hidden="1">
      <c r="A5" s="46" t="s">
        <v>5754</v>
      </c>
      <c r="B5" s="46" t="s">
        <v>5755</v>
      </c>
      <c r="C5" s="46">
        <v>46</v>
      </c>
      <c r="D5" s="46" t="s">
        <v>1107</v>
      </c>
      <c r="E5" s="46" t="s">
        <v>5756</v>
      </c>
      <c r="F5" s="46" t="s">
        <v>2016</v>
      </c>
      <c r="H5" s="46">
        <v>1</v>
      </c>
      <c r="O5" s="46">
        <v>1</v>
      </c>
      <c r="Q5" s="46">
        <v>1</v>
      </c>
      <c r="V5" s="46">
        <v>1</v>
      </c>
      <c r="W5" s="46">
        <v>11</v>
      </c>
      <c r="X5" s="46">
        <v>26</v>
      </c>
      <c r="Y5" s="46">
        <v>39</v>
      </c>
      <c r="Z5" s="46">
        <v>2</v>
      </c>
      <c r="AA5" s="46">
        <v>1</v>
      </c>
      <c r="AB5" s="46">
        <v>1</v>
      </c>
      <c r="AD5" s="46">
        <v>1</v>
      </c>
      <c r="AJ5" s="46">
        <v>1</v>
      </c>
      <c r="AK5" s="46">
        <v>1</v>
      </c>
      <c r="AT5" s="46">
        <v>1</v>
      </c>
      <c r="AW5" s="46">
        <v>1</v>
      </c>
      <c r="BB5" s="46">
        <v>1</v>
      </c>
      <c r="BG5" s="46">
        <v>1</v>
      </c>
      <c r="BK5" s="46">
        <v>1</v>
      </c>
      <c r="CB5" s="46">
        <v>1</v>
      </c>
      <c r="CF5" s="46">
        <v>1</v>
      </c>
      <c r="CG5" s="46">
        <v>2014</v>
      </c>
      <c r="CI5" s="46">
        <v>1</v>
      </c>
      <c r="CK5" s="46">
        <v>1</v>
      </c>
      <c r="CR5" s="46">
        <v>1</v>
      </c>
      <c r="CT5" s="134">
        <v>46600</v>
      </c>
    </row>
    <row r="6" spans="1:98" hidden="1">
      <c r="A6" s="46" t="s">
        <v>5757</v>
      </c>
      <c r="B6" s="46" t="s">
        <v>5758</v>
      </c>
      <c r="C6" s="46">
        <v>25</v>
      </c>
      <c r="D6" s="46" t="s">
        <v>5759</v>
      </c>
      <c r="E6" s="46" t="s">
        <v>5760</v>
      </c>
      <c r="F6" s="46" t="s">
        <v>2016</v>
      </c>
      <c r="I6" s="46">
        <v>1</v>
      </c>
      <c r="N6" s="46">
        <v>1</v>
      </c>
      <c r="Q6" s="46">
        <v>1</v>
      </c>
      <c r="U6" s="46">
        <v>1</v>
      </c>
      <c r="W6" s="46">
        <v>18</v>
      </c>
      <c r="X6" s="46">
        <v>20</v>
      </c>
      <c r="Y6" s="46">
        <v>20</v>
      </c>
      <c r="Z6" s="46">
        <v>1</v>
      </c>
      <c r="AA6" s="46">
        <v>1</v>
      </c>
      <c r="AB6" s="46">
        <v>1</v>
      </c>
      <c r="AC6" s="46">
        <v>1</v>
      </c>
      <c r="AI6" s="46">
        <v>1</v>
      </c>
      <c r="AK6" s="46">
        <v>1</v>
      </c>
      <c r="AT6" s="46">
        <v>1</v>
      </c>
      <c r="AX6" s="46">
        <v>1</v>
      </c>
      <c r="BA6" s="46">
        <v>1</v>
      </c>
      <c r="BK6" s="46">
        <v>1</v>
      </c>
      <c r="CB6" s="46">
        <v>1</v>
      </c>
      <c r="CE6" s="46">
        <v>1</v>
      </c>
      <c r="CK6" s="46">
        <v>1</v>
      </c>
      <c r="CR6" s="46">
        <v>1</v>
      </c>
      <c r="CT6" s="134">
        <v>46600</v>
      </c>
    </row>
    <row r="7" spans="1:98" hidden="1">
      <c r="A7" s="46" t="s">
        <v>5761</v>
      </c>
      <c r="B7" s="46" t="s">
        <v>5762</v>
      </c>
      <c r="C7" s="46">
        <v>24</v>
      </c>
      <c r="D7" s="46" t="s">
        <v>5759</v>
      </c>
      <c r="E7" s="46" t="s">
        <v>5763</v>
      </c>
      <c r="F7" s="46" t="s">
        <v>2574</v>
      </c>
      <c r="G7" s="46">
        <v>1</v>
      </c>
      <c r="M7" s="46">
        <v>1</v>
      </c>
      <c r="R7" s="46">
        <v>1</v>
      </c>
      <c r="T7" s="46">
        <v>1</v>
      </c>
      <c r="W7" s="46">
        <v>14</v>
      </c>
      <c r="X7" s="46">
        <v>18</v>
      </c>
      <c r="Y7" s="46">
        <v>18</v>
      </c>
      <c r="Z7" s="46">
        <v>5</v>
      </c>
      <c r="AA7" s="46">
        <v>5</v>
      </c>
      <c r="AB7" s="46">
        <v>4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134">
        <v>46600</v>
      </c>
    </row>
    <row r="8" spans="1:98" hidden="1">
      <c r="A8" s="46" t="s">
        <v>5764</v>
      </c>
      <c r="B8" s="46" t="s">
        <v>5765</v>
      </c>
      <c r="C8" s="46">
        <v>29</v>
      </c>
      <c r="D8" s="46" t="s">
        <v>5766</v>
      </c>
      <c r="E8" s="46" t="s">
        <v>5767</v>
      </c>
      <c r="F8" s="46" t="s">
        <v>389</v>
      </c>
      <c r="G8" s="46">
        <v>1</v>
      </c>
      <c r="L8" s="46">
        <v>1</v>
      </c>
      <c r="Q8" s="46">
        <v>1</v>
      </c>
      <c r="V8" s="46">
        <v>1</v>
      </c>
      <c r="W8" s="46">
        <v>17</v>
      </c>
      <c r="X8" s="46">
        <v>21</v>
      </c>
      <c r="Y8" s="46">
        <v>0</v>
      </c>
      <c r="Z8" s="46">
        <v>0</v>
      </c>
      <c r="AA8" s="46">
        <v>0</v>
      </c>
      <c r="AB8" s="46">
        <v>0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B8" s="46">
        <v>1</v>
      </c>
      <c r="BG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134">
        <v>46600</v>
      </c>
    </row>
    <row r="9" spans="1:98" hidden="1">
      <c r="A9" s="46" t="s">
        <v>5768</v>
      </c>
      <c r="B9" s="46" t="s">
        <v>5769</v>
      </c>
      <c r="C9" s="46">
        <v>32</v>
      </c>
      <c r="D9" s="46" t="s">
        <v>1107</v>
      </c>
      <c r="E9" s="46" t="s">
        <v>5770</v>
      </c>
      <c r="F9" s="46" t="s">
        <v>2472</v>
      </c>
      <c r="I9" s="46">
        <v>1</v>
      </c>
      <c r="O9" s="46">
        <v>1</v>
      </c>
      <c r="Q9" s="46">
        <v>1</v>
      </c>
      <c r="V9" s="46">
        <v>1</v>
      </c>
      <c r="W9" s="46">
        <v>17</v>
      </c>
      <c r="X9" s="46">
        <v>23</v>
      </c>
      <c r="Y9" s="46">
        <v>0</v>
      </c>
      <c r="Z9" s="46">
        <v>0</v>
      </c>
      <c r="AA9" s="46">
        <v>0</v>
      </c>
      <c r="AB9" s="46">
        <v>0</v>
      </c>
      <c r="AC9" s="46">
        <v>1</v>
      </c>
      <c r="AJ9" s="46">
        <v>1</v>
      </c>
      <c r="AK9" s="46">
        <v>1</v>
      </c>
      <c r="AT9" s="46">
        <v>1</v>
      </c>
      <c r="AZ9" s="46">
        <v>1</v>
      </c>
      <c r="BB9" s="46">
        <v>1</v>
      </c>
      <c r="BG9" s="46">
        <v>1</v>
      </c>
      <c r="BK9" s="46">
        <v>1</v>
      </c>
      <c r="BY9" s="46">
        <v>1</v>
      </c>
      <c r="CB9" s="46">
        <v>1</v>
      </c>
      <c r="CF9" s="46">
        <v>1</v>
      </c>
      <c r="CI9" s="46">
        <v>1</v>
      </c>
      <c r="CK9" s="46">
        <v>1</v>
      </c>
      <c r="CR9" s="46">
        <v>1</v>
      </c>
      <c r="CT9" s="134">
        <v>46600</v>
      </c>
    </row>
    <row r="10" spans="1:98" hidden="1">
      <c r="A10" s="46" t="s">
        <v>5771</v>
      </c>
      <c r="B10" s="46" t="s">
        <v>5772</v>
      </c>
      <c r="C10" s="46">
        <v>31</v>
      </c>
      <c r="D10" s="46" t="s">
        <v>5773</v>
      </c>
      <c r="E10" s="46" t="s">
        <v>5774</v>
      </c>
      <c r="F10" s="46" t="s">
        <v>2506</v>
      </c>
      <c r="H10" s="46">
        <v>1</v>
      </c>
      <c r="O10" s="46">
        <v>1</v>
      </c>
      <c r="R10" s="46">
        <v>1</v>
      </c>
      <c r="T10" s="46">
        <v>1</v>
      </c>
      <c r="W10" s="46">
        <v>15</v>
      </c>
      <c r="X10" s="46">
        <v>16</v>
      </c>
      <c r="Y10" s="46">
        <v>17</v>
      </c>
      <c r="Z10" s="46">
        <v>7</v>
      </c>
      <c r="AA10" s="46">
        <v>7</v>
      </c>
      <c r="AB10" s="46">
        <v>7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134">
        <v>46600</v>
      </c>
    </row>
    <row r="11" spans="1:98" hidden="1">
      <c r="A11" s="46" t="s">
        <v>5775</v>
      </c>
      <c r="B11" s="46" t="s">
        <v>5776</v>
      </c>
      <c r="C11" s="46">
        <v>25</v>
      </c>
      <c r="D11" s="46" t="s">
        <v>5766</v>
      </c>
      <c r="E11" s="46" t="s">
        <v>5777</v>
      </c>
      <c r="F11" s="46" t="s">
        <v>389</v>
      </c>
      <c r="G11" s="46">
        <v>1</v>
      </c>
      <c r="L11" s="46">
        <v>1</v>
      </c>
      <c r="Q11" s="46">
        <v>1</v>
      </c>
      <c r="T11" s="46">
        <v>1</v>
      </c>
      <c r="W11" s="46">
        <v>0</v>
      </c>
      <c r="X11" s="46">
        <v>0</v>
      </c>
      <c r="Y11" s="46">
        <v>17</v>
      </c>
      <c r="Z11" s="46">
        <v>2</v>
      </c>
      <c r="AA11" s="46">
        <v>2</v>
      </c>
      <c r="AB11" s="46">
        <v>2</v>
      </c>
      <c r="AC11" s="46">
        <v>1</v>
      </c>
      <c r="AJ11" s="46">
        <v>1</v>
      </c>
      <c r="AM11" s="46">
        <v>1</v>
      </c>
      <c r="AT11" s="46">
        <v>1</v>
      </c>
      <c r="AX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134">
        <v>46600</v>
      </c>
    </row>
    <row r="12" spans="1:98" hidden="1">
      <c r="A12" s="46" t="s">
        <v>5778</v>
      </c>
      <c r="B12" s="46" t="s">
        <v>5779</v>
      </c>
      <c r="C12" s="46">
        <v>26</v>
      </c>
      <c r="D12" s="46" t="s">
        <v>5773</v>
      </c>
      <c r="E12" s="46" t="s">
        <v>5780</v>
      </c>
      <c r="F12" s="46" t="s">
        <v>2523</v>
      </c>
      <c r="J12" s="46">
        <v>1</v>
      </c>
      <c r="L12" s="46">
        <v>1</v>
      </c>
      <c r="Q12" s="46">
        <v>1</v>
      </c>
      <c r="T12" s="46">
        <v>1</v>
      </c>
      <c r="W12" s="46">
        <v>15</v>
      </c>
      <c r="X12" s="46">
        <v>19</v>
      </c>
      <c r="Y12" s="46">
        <v>20</v>
      </c>
      <c r="Z12" s="46">
        <v>2</v>
      </c>
      <c r="AA12" s="46">
        <v>2</v>
      </c>
      <c r="AB12" s="46">
        <v>2</v>
      </c>
      <c r="AE12" s="46">
        <v>1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K12" s="46">
        <v>1</v>
      </c>
      <c r="CR12" s="46">
        <v>1</v>
      </c>
      <c r="CT12" s="134">
        <v>46600</v>
      </c>
    </row>
    <row r="13" spans="1:98" hidden="1">
      <c r="A13" s="46" t="s">
        <v>5781</v>
      </c>
      <c r="B13" s="46" t="s">
        <v>5782</v>
      </c>
      <c r="C13" s="46">
        <v>39</v>
      </c>
      <c r="D13" s="46" t="s">
        <v>1107</v>
      </c>
      <c r="E13" s="46" t="s">
        <v>5783</v>
      </c>
      <c r="F13" s="46" t="s">
        <v>145</v>
      </c>
      <c r="G13" s="46">
        <v>1</v>
      </c>
      <c r="M13" s="46">
        <v>1</v>
      </c>
      <c r="R13" s="46">
        <v>1</v>
      </c>
      <c r="V13" s="46">
        <v>1</v>
      </c>
      <c r="W13" s="46">
        <v>17</v>
      </c>
      <c r="X13" s="46">
        <v>20</v>
      </c>
      <c r="Y13" s="46">
        <v>21</v>
      </c>
      <c r="Z13" s="46">
        <v>4</v>
      </c>
      <c r="AA13" s="46">
        <v>3</v>
      </c>
      <c r="AB13" s="46">
        <v>3</v>
      </c>
      <c r="AC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Y13" s="46">
        <v>1</v>
      </c>
      <c r="CB13" s="46">
        <v>1</v>
      </c>
      <c r="CE13" s="46">
        <v>1</v>
      </c>
      <c r="CK13" s="46">
        <v>1</v>
      </c>
      <c r="CR13" s="46">
        <v>1</v>
      </c>
      <c r="CT13" s="134">
        <v>46600</v>
      </c>
    </row>
    <row r="14" spans="1:98" hidden="1">
      <c r="A14" s="46" t="s">
        <v>5784</v>
      </c>
      <c r="B14" s="46" t="s">
        <v>5785</v>
      </c>
      <c r="C14" s="46">
        <v>24</v>
      </c>
      <c r="D14" s="46" t="s">
        <v>5766</v>
      </c>
      <c r="E14" s="46" t="s">
        <v>5786</v>
      </c>
      <c r="F14" s="46" t="s">
        <v>1109</v>
      </c>
      <c r="G14" s="46">
        <v>1</v>
      </c>
      <c r="M14" s="46">
        <v>1</v>
      </c>
      <c r="Q14" s="46">
        <v>1</v>
      </c>
      <c r="U14" s="46">
        <v>1</v>
      </c>
      <c r="W14" s="46">
        <v>14</v>
      </c>
      <c r="X14" s="46">
        <v>17</v>
      </c>
      <c r="Y14" s="46">
        <v>20</v>
      </c>
      <c r="Z14" s="46">
        <v>1</v>
      </c>
      <c r="AA14" s="46">
        <v>1</v>
      </c>
      <c r="AB14" s="46">
        <v>1</v>
      </c>
      <c r="AE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R14" s="46">
        <v>1</v>
      </c>
      <c r="CT14" s="134">
        <v>46600</v>
      </c>
    </row>
    <row r="15" spans="1:98" hidden="1">
      <c r="A15" s="46" t="s">
        <v>5787</v>
      </c>
      <c r="B15" s="46" t="s">
        <v>5788</v>
      </c>
      <c r="C15" s="46">
        <v>29</v>
      </c>
      <c r="D15" s="46" t="s">
        <v>5766</v>
      </c>
      <c r="E15" s="46" t="s">
        <v>5789</v>
      </c>
      <c r="F15" s="46" t="s">
        <v>389</v>
      </c>
      <c r="G15" s="46">
        <v>1</v>
      </c>
      <c r="L15" s="46">
        <v>1</v>
      </c>
      <c r="Q15" s="46">
        <v>1</v>
      </c>
      <c r="V15" s="46">
        <v>1</v>
      </c>
      <c r="W15" s="46">
        <v>15</v>
      </c>
      <c r="X15" s="46">
        <v>21</v>
      </c>
      <c r="Y15" s="46">
        <v>24</v>
      </c>
      <c r="Z15" s="46">
        <v>1</v>
      </c>
      <c r="AA15" s="46">
        <v>1</v>
      </c>
      <c r="AB15" s="46">
        <v>1</v>
      </c>
      <c r="AC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134">
        <v>46600</v>
      </c>
    </row>
    <row r="16" spans="1:98" hidden="1">
      <c r="A16" s="46" t="s">
        <v>5790</v>
      </c>
      <c r="B16" s="46" t="s">
        <v>5791</v>
      </c>
      <c r="C16" s="46">
        <v>33</v>
      </c>
      <c r="D16" s="46" t="s">
        <v>5792</v>
      </c>
      <c r="E16" s="46" t="s">
        <v>5793</v>
      </c>
      <c r="F16" s="46" t="s">
        <v>2472</v>
      </c>
      <c r="J16" s="46">
        <v>1</v>
      </c>
      <c r="O16" s="46">
        <v>1</v>
      </c>
      <c r="R16" s="46">
        <v>1</v>
      </c>
      <c r="T16" s="46">
        <v>1</v>
      </c>
      <c r="W16" s="46">
        <v>18</v>
      </c>
      <c r="X16" s="46">
        <v>16</v>
      </c>
      <c r="Y16" s="46">
        <v>18</v>
      </c>
      <c r="Z16" s="46">
        <v>8</v>
      </c>
      <c r="AA16" s="46">
        <v>8</v>
      </c>
      <c r="AB16" s="46">
        <v>8</v>
      </c>
      <c r="AG16" s="46">
        <v>1</v>
      </c>
      <c r="AJ16" s="46">
        <v>1</v>
      </c>
      <c r="AK16" s="46">
        <v>1</v>
      </c>
      <c r="AT16" s="46">
        <v>1</v>
      </c>
      <c r="AX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134">
        <v>46600</v>
      </c>
    </row>
    <row r="17" spans="1:98" hidden="1">
      <c r="A17" s="46" t="s">
        <v>5794</v>
      </c>
      <c r="B17" s="46" t="s">
        <v>5795</v>
      </c>
      <c r="C17" s="46">
        <v>30</v>
      </c>
      <c r="D17" s="46" t="s">
        <v>1162</v>
      </c>
      <c r="E17" s="46" t="s">
        <v>5796</v>
      </c>
      <c r="F17" s="46" t="s">
        <v>2016</v>
      </c>
      <c r="H17" s="46">
        <v>1</v>
      </c>
      <c r="L17" s="46">
        <v>1</v>
      </c>
      <c r="Q17" s="46">
        <v>1</v>
      </c>
      <c r="V17" s="46">
        <v>1</v>
      </c>
      <c r="W17" s="46">
        <v>15</v>
      </c>
      <c r="X17" s="46">
        <v>22</v>
      </c>
      <c r="Y17" s="46">
        <v>25</v>
      </c>
      <c r="Z17" s="46">
        <v>1</v>
      </c>
      <c r="AA17" s="46">
        <v>1</v>
      </c>
      <c r="AB17" s="46">
        <v>1</v>
      </c>
      <c r="AE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R17" s="46">
        <v>1</v>
      </c>
      <c r="CT17" s="134">
        <v>46600</v>
      </c>
    </row>
    <row r="18" spans="1:98" hidden="1">
      <c r="A18" s="46" t="s">
        <v>5797</v>
      </c>
      <c r="B18" s="46" t="s">
        <v>5798</v>
      </c>
      <c r="C18" s="46">
        <v>25</v>
      </c>
      <c r="D18" s="46" t="s">
        <v>5799</v>
      </c>
      <c r="E18" s="46" t="s">
        <v>5800</v>
      </c>
      <c r="F18" s="46" t="s">
        <v>2472</v>
      </c>
      <c r="I18" s="46">
        <v>1</v>
      </c>
      <c r="L18" s="46">
        <v>1</v>
      </c>
      <c r="Q18" s="46">
        <v>1</v>
      </c>
      <c r="U18" s="46">
        <v>1</v>
      </c>
      <c r="W18" s="46">
        <v>13</v>
      </c>
      <c r="X18" s="46">
        <v>15</v>
      </c>
      <c r="Y18" s="46">
        <v>0</v>
      </c>
      <c r="Z18" s="46">
        <v>1</v>
      </c>
      <c r="AA18" s="46">
        <v>0</v>
      </c>
      <c r="AB18" s="46">
        <v>0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R18" s="46">
        <v>1</v>
      </c>
      <c r="CT18" s="134">
        <v>46600</v>
      </c>
    </row>
    <row r="19" spans="1:98" hidden="1">
      <c r="A19" s="46" t="s">
        <v>5801</v>
      </c>
      <c r="B19" s="46" t="s">
        <v>5802</v>
      </c>
      <c r="C19" s="46">
        <v>42</v>
      </c>
      <c r="D19" s="46" t="s">
        <v>5803</v>
      </c>
      <c r="E19" s="46" t="s">
        <v>5804</v>
      </c>
      <c r="F19" s="46" t="s">
        <v>2016</v>
      </c>
      <c r="G19" s="46">
        <v>1</v>
      </c>
      <c r="M19" s="46">
        <v>1</v>
      </c>
      <c r="Q19" s="46">
        <v>1</v>
      </c>
      <c r="V19" s="46">
        <v>1</v>
      </c>
      <c r="W19" s="46">
        <v>15</v>
      </c>
      <c r="X19" s="46">
        <v>25</v>
      </c>
      <c r="Y19" s="46">
        <v>27</v>
      </c>
      <c r="Z19" s="46">
        <v>6</v>
      </c>
      <c r="AA19" s="46">
        <v>5</v>
      </c>
      <c r="AB19" s="46">
        <v>5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B19" s="46">
        <v>1</v>
      </c>
      <c r="BG19" s="46">
        <v>1</v>
      </c>
      <c r="BK19" s="46">
        <v>1</v>
      </c>
      <c r="CB19" s="46">
        <v>1</v>
      </c>
      <c r="CE19" s="46">
        <v>1</v>
      </c>
      <c r="CK19" s="46">
        <v>1</v>
      </c>
      <c r="CR19" s="46">
        <v>1</v>
      </c>
      <c r="CT19" s="134">
        <v>46600</v>
      </c>
    </row>
    <row r="20" spans="1:98" hidden="1">
      <c r="A20" s="46" t="s">
        <v>5805</v>
      </c>
      <c r="B20" s="46" t="s">
        <v>5806</v>
      </c>
      <c r="C20" s="46">
        <v>21</v>
      </c>
      <c r="D20" s="46" t="s">
        <v>5773</v>
      </c>
      <c r="E20" s="46" t="s">
        <v>5807</v>
      </c>
      <c r="F20" s="46" t="s">
        <v>5808</v>
      </c>
      <c r="I20" s="46">
        <v>1</v>
      </c>
      <c r="N20" s="46">
        <v>1</v>
      </c>
      <c r="R20" s="46">
        <v>1</v>
      </c>
      <c r="T20" s="46">
        <v>1</v>
      </c>
      <c r="W20" s="46">
        <v>14</v>
      </c>
      <c r="X20" s="46">
        <v>17</v>
      </c>
      <c r="Y20" s="46">
        <v>18</v>
      </c>
      <c r="Z20" s="46">
        <v>1</v>
      </c>
      <c r="AA20" s="46">
        <v>1</v>
      </c>
      <c r="AB20" s="46">
        <v>1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X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134">
        <v>46600</v>
      </c>
    </row>
    <row r="21" spans="1:98">
      <c r="A21" s="46" t="s">
        <v>5809</v>
      </c>
      <c r="B21" s="46" t="s">
        <v>5810</v>
      </c>
      <c r="C21" s="46">
        <v>76</v>
      </c>
      <c r="D21" s="46" t="s">
        <v>5773</v>
      </c>
      <c r="E21" s="46" t="s">
        <v>5811</v>
      </c>
      <c r="F21" s="46" t="s">
        <v>2675</v>
      </c>
      <c r="G21" s="46">
        <v>1</v>
      </c>
      <c r="O21" s="46">
        <v>1</v>
      </c>
      <c r="Q21" s="46">
        <v>1</v>
      </c>
      <c r="T21" s="46">
        <v>1</v>
      </c>
      <c r="W21" s="46">
        <v>15</v>
      </c>
      <c r="X21" s="46">
        <v>18</v>
      </c>
      <c r="Y21" s="46">
        <v>19</v>
      </c>
      <c r="Z21" s="46">
        <v>2</v>
      </c>
      <c r="AA21" s="46">
        <v>2</v>
      </c>
      <c r="AB21" s="46">
        <v>2</v>
      </c>
      <c r="AC21" s="46">
        <v>1</v>
      </c>
      <c r="AJ21" s="46">
        <v>1</v>
      </c>
      <c r="AK21" s="46">
        <v>1</v>
      </c>
      <c r="AT21" s="46">
        <v>1</v>
      </c>
      <c r="AW21" s="46">
        <v>1</v>
      </c>
      <c r="BB21" s="46">
        <v>1</v>
      </c>
      <c r="BG21" s="46">
        <v>1</v>
      </c>
      <c r="BK21" s="46">
        <v>1</v>
      </c>
      <c r="CB21" s="46">
        <v>1</v>
      </c>
      <c r="CE21" s="46">
        <v>1</v>
      </c>
      <c r="CK21" s="46">
        <v>1</v>
      </c>
      <c r="CR21" s="46">
        <v>1</v>
      </c>
      <c r="CT21" s="134">
        <v>46600</v>
      </c>
    </row>
    <row r="22" spans="1:98" hidden="1">
      <c r="A22" s="46" t="s">
        <v>5812</v>
      </c>
      <c r="B22" s="46" t="s">
        <v>5813</v>
      </c>
      <c r="C22" s="46">
        <v>25</v>
      </c>
      <c r="D22" s="46" t="s">
        <v>5773</v>
      </c>
      <c r="E22" s="46" t="s">
        <v>5814</v>
      </c>
      <c r="F22" s="46" t="s">
        <v>2472</v>
      </c>
      <c r="I22" s="46">
        <v>1</v>
      </c>
      <c r="M22" s="46">
        <v>1</v>
      </c>
      <c r="Q22" s="46">
        <v>1</v>
      </c>
      <c r="U22" s="46">
        <v>1</v>
      </c>
      <c r="W22" s="46">
        <v>14</v>
      </c>
      <c r="X22" s="46">
        <v>18</v>
      </c>
      <c r="Y22" s="46">
        <v>21</v>
      </c>
      <c r="Z22" s="46">
        <v>1</v>
      </c>
      <c r="AA22" s="46">
        <v>1</v>
      </c>
      <c r="AB22" s="46">
        <v>1</v>
      </c>
      <c r="AC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BY22" s="46">
        <v>1</v>
      </c>
      <c r="CB22" s="46">
        <v>1</v>
      </c>
      <c r="CE22" s="46">
        <v>1</v>
      </c>
      <c r="CK22" s="46">
        <v>1</v>
      </c>
      <c r="CR22" s="46">
        <v>1</v>
      </c>
      <c r="CT22" s="134">
        <v>46600</v>
      </c>
    </row>
    <row r="23" spans="1:98" hidden="1">
      <c r="A23" s="46" t="s">
        <v>5815</v>
      </c>
      <c r="B23" s="46" t="s">
        <v>5816</v>
      </c>
      <c r="C23" s="46">
        <v>28</v>
      </c>
      <c r="D23" s="46" t="s">
        <v>5759</v>
      </c>
      <c r="E23" s="46" t="s">
        <v>5817</v>
      </c>
      <c r="F23" s="46" t="s">
        <v>2472</v>
      </c>
      <c r="H23" s="46">
        <v>1</v>
      </c>
      <c r="O23" s="46">
        <v>1</v>
      </c>
      <c r="Q23" s="46">
        <v>1</v>
      </c>
      <c r="T23" s="46">
        <v>1</v>
      </c>
      <c r="W23" s="46">
        <v>16</v>
      </c>
      <c r="X23" s="46">
        <v>17</v>
      </c>
      <c r="Y23" s="46">
        <v>18</v>
      </c>
      <c r="Z23" s="46">
        <v>3</v>
      </c>
      <c r="AA23" s="46">
        <v>3</v>
      </c>
      <c r="AB23" s="46">
        <v>3</v>
      </c>
      <c r="AD23" s="46">
        <v>1</v>
      </c>
      <c r="AE23" s="46">
        <v>1</v>
      </c>
      <c r="AG23" s="46">
        <v>1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BY23" s="46">
        <v>1</v>
      </c>
      <c r="CB23" s="46">
        <v>1</v>
      </c>
      <c r="CE23" s="46">
        <v>1</v>
      </c>
      <c r="CK23" s="46">
        <v>1</v>
      </c>
      <c r="CR23" s="46">
        <v>1</v>
      </c>
      <c r="CT23" s="134">
        <v>46600</v>
      </c>
    </row>
    <row r="24" spans="1:98" hidden="1">
      <c r="A24" s="46" t="s">
        <v>5818</v>
      </c>
      <c r="B24" s="46" t="s">
        <v>5819</v>
      </c>
      <c r="C24" s="46">
        <v>25</v>
      </c>
      <c r="D24" s="46" t="s">
        <v>5773</v>
      </c>
      <c r="E24" s="46" t="s">
        <v>5820</v>
      </c>
      <c r="F24" s="46" t="s">
        <v>2472</v>
      </c>
      <c r="I24" s="46">
        <v>1</v>
      </c>
      <c r="O24" s="46">
        <v>1</v>
      </c>
      <c r="Q24" s="46">
        <v>1</v>
      </c>
      <c r="T24" s="46">
        <v>1</v>
      </c>
      <c r="W24" s="46">
        <v>17</v>
      </c>
      <c r="X24" s="46">
        <v>18</v>
      </c>
      <c r="Y24" s="46">
        <v>18</v>
      </c>
      <c r="Z24" s="46">
        <v>2</v>
      </c>
      <c r="AA24" s="46">
        <v>2</v>
      </c>
      <c r="AB24" s="46">
        <v>2</v>
      </c>
      <c r="AE24" s="46">
        <v>1</v>
      </c>
      <c r="AG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BY24" s="46">
        <v>1</v>
      </c>
      <c r="CB24" s="46">
        <v>1</v>
      </c>
      <c r="CE24" s="46">
        <v>1</v>
      </c>
      <c r="CK24" s="46">
        <v>1</v>
      </c>
      <c r="CR24" s="46">
        <v>1</v>
      </c>
      <c r="CT24" s="134">
        <v>46600</v>
      </c>
    </row>
    <row r="25" spans="1:98" hidden="1">
      <c r="A25" s="46" t="s">
        <v>5821</v>
      </c>
      <c r="B25" s="46" t="s">
        <v>1904</v>
      </c>
      <c r="C25" s="46">
        <v>38</v>
      </c>
      <c r="D25" s="46" t="s">
        <v>1227</v>
      </c>
      <c r="E25" s="46" t="s">
        <v>5822</v>
      </c>
      <c r="F25" s="46" t="s">
        <v>2472</v>
      </c>
      <c r="J25" s="46">
        <v>1</v>
      </c>
      <c r="M25" s="46">
        <v>1</v>
      </c>
      <c r="R25" s="46">
        <v>1</v>
      </c>
      <c r="U25" s="46">
        <v>1</v>
      </c>
      <c r="W25" s="46">
        <v>16</v>
      </c>
      <c r="X25" s="46">
        <v>22</v>
      </c>
      <c r="Y25" s="46">
        <v>26</v>
      </c>
      <c r="Z25" s="46">
        <v>4</v>
      </c>
      <c r="AA25" s="46">
        <v>4</v>
      </c>
      <c r="AB25" s="46">
        <v>3</v>
      </c>
      <c r="AE25" s="46">
        <v>1</v>
      </c>
      <c r="AG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BY25" s="46">
        <v>1</v>
      </c>
      <c r="CB25" s="46">
        <v>1</v>
      </c>
      <c r="CE25" s="46">
        <v>1</v>
      </c>
      <c r="CK25" s="46">
        <v>1</v>
      </c>
      <c r="CR25" s="46">
        <v>1</v>
      </c>
      <c r="CT25" s="134">
        <v>46600</v>
      </c>
    </row>
    <row r="26" spans="1:98" hidden="1">
      <c r="A26" s="46" t="s">
        <v>5823</v>
      </c>
      <c r="B26" s="46" t="s">
        <v>5824</v>
      </c>
      <c r="C26" s="46">
        <v>42</v>
      </c>
      <c r="D26" s="46" t="s">
        <v>5825</v>
      </c>
      <c r="E26" s="46" t="s">
        <v>5826</v>
      </c>
      <c r="F26" s="46" t="s">
        <v>2472</v>
      </c>
      <c r="I26" s="46">
        <v>1</v>
      </c>
      <c r="M26" s="46">
        <v>1</v>
      </c>
      <c r="Q26" s="46">
        <v>1</v>
      </c>
      <c r="T26" s="46">
        <v>1</v>
      </c>
      <c r="W26" s="46">
        <v>17</v>
      </c>
      <c r="X26" s="46">
        <v>26</v>
      </c>
      <c r="Y26" s="46">
        <v>20</v>
      </c>
      <c r="Z26" s="46">
        <v>5</v>
      </c>
      <c r="AA26" s="46">
        <v>5</v>
      </c>
      <c r="AB26" s="46">
        <v>5</v>
      </c>
      <c r="AC26" s="46">
        <v>1</v>
      </c>
      <c r="AJ26" s="46">
        <v>1</v>
      </c>
      <c r="AK26" s="46">
        <v>1</v>
      </c>
      <c r="AT26" s="46">
        <v>1</v>
      </c>
      <c r="AX26" s="46">
        <v>1</v>
      </c>
      <c r="BA26" s="46">
        <v>1</v>
      </c>
      <c r="BK26" s="46">
        <v>1</v>
      </c>
      <c r="CB26" s="46">
        <v>1</v>
      </c>
      <c r="CE26" s="46">
        <v>1</v>
      </c>
      <c r="CK26" s="46">
        <v>1</v>
      </c>
      <c r="CR26" s="46">
        <v>1</v>
      </c>
      <c r="CT26" s="134">
        <v>46600</v>
      </c>
    </row>
    <row r="27" spans="1:98" hidden="1">
      <c r="A27" s="46" t="s">
        <v>5827</v>
      </c>
      <c r="B27" s="46" t="s">
        <v>5828</v>
      </c>
      <c r="C27" s="46">
        <v>29</v>
      </c>
      <c r="D27" s="46" t="s">
        <v>5773</v>
      </c>
      <c r="E27" s="46" t="s">
        <v>5829</v>
      </c>
      <c r="F27" s="46" t="s">
        <v>5736</v>
      </c>
      <c r="J27" s="46">
        <v>1</v>
      </c>
      <c r="O27" s="46">
        <v>1</v>
      </c>
      <c r="R27" s="46">
        <v>1</v>
      </c>
      <c r="U27" s="46">
        <v>1</v>
      </c>
      <c r="W27" s="46">
        <v>16</v>
      </c>
      <c r="X27" s="46">
        <v>20</v>
      </c>
      <c r="Y27" s="46">
        <v>26</v>
      </c>
      <c r="Z27" s="46">
        <v>1</v>
      </c>
      <c r="AA27" s="46">
        <v>1</v>
      </c>
      <c r="AB27" s="46">
        <v>1</v>
      </c>
      <c r="AD27" s="46">
        <v>1</v>
      </c>
      <c r="AE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BY27" s="46">
        <v>1</v>
      </c>
      <c r="CB27" s="46">
        <v>1</v>
      </c>
      <c r="CE27" s="46">
        <v>1</v>
      </c>
      <c r="CK27" s="46">
        <v>1</v>
      </c>
      <c r="CR27" s="46">
        <v>1</v>
      </c>
      <c r="CT27" s="134">
        <v>46600</v>
      </c>
    </row>
    <row r="28" spans="1:98" hidden="1">
      <c r="A28" s="46" t="s">
        <v>5830</v>
      </c>
      <c r="B28" s="46" t="s">
        <v>5831</v>
      </c>
      <c r="C28" s="46">
        <v>30</v>
      </c>
      <c r="D28" s="46" t="s">
        <v>5773</v>
      </c>
      <c r="E28" s="46" t="s">
        <v>5832</v>
      </c>
      <c r="F28" s="46" t="s">
        <v>2472</v>
      </c>
      <c r="I28" s="46">
        <v>1</v>
      </c>
      <c r="M28" s="46">
        <v>1</v>
      </c>
      <c r="R28" s="46">
        <v>1</v>
      </c>
      <c r="T28" s="46">
        <v>1</v>
      </c>
      <c r="W28" s="46">
        <v>16</v>
      </c>
      <c r="X28" s="46">
        <v>17</v>
      </c>
      <c r="Y28" s="46">
        <v>17</v>
      </c>
      <c r="Z28" s="46">
        <v>4</v>
      </c>
      <c r="AA28" s="46">
        <v>4</v>
      </c>
      <c r="AB28" s="46">
        <v>4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K28" s="46">
        <v>1</v>
      </c>
      <c r="CB28" s="46">
        <v>1</v>
      </c>
      <c r="CE28" s="46">
        <v>1</v>
      </c>
      <c r="CK28" s="46">
        <v>1</v>
      </c>
      <c r="CR28" s="46">
        <v>1</v>
      </c>
      <c r="CT28" s="134">
        <v>46600</v>
      </c>
    </row>
    <row r="29" spans="1:98" hidden="1">
      <c r="A29" s="46" t="s">
        <v>5833</v>
      </c>
      <c r="B29" s="46" t="s">
        <v>5834</v>
      </c>
      <c r="C29" s="46">
        <v>35</v>
      </c>
      <c r="D29" s="46" t="s">
        <v>1398</v>
      </c>
      <c r="E29" s="46" t="s">
        <v>5835</v>
      </c>
      <c r="F29" s="46" t="s">
        <v>5836</v>
      </c>
      <c r="H29" s="46">
        <v>1</v>
      </c>
      <c r="N29" s="46">
        <v>1</v>
      </c>
      <c r="Q29" s="46">
        <v>1</v>
      </c>
      <c r="V29" s="46">
        <v>1</v>
      </c>
      <c r="W29" s="46">
        <v>14</v>
      </c>
      <c r="X29" s="46">
        <v>21</v>
      </c>
      <c r="Y29" s="46">
        <v>30</v>
      </c>
      <c r="Z29" s="46">
        <v>2</v>
      </c>
      <c r="AA29" s="46">
        <v>2</v>
      </c>
      <c r="AB29" s="46">
        <v>2</v>
      </c>
      <c r="AC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K29" s="46">
        <v>1</v>
      </c>
      <c r="CB29" s="46">
        <v>1</v>
      </c>
      <c r="CE29" s="46">
        <v>1</v>
      </c>
      <c r="CK29" s="46">
        <v>1</v>
      </c>
      <c r="CR29" s="46">
        <v>1</v>
      </c>
      <c r="CT29" s="134">
        <v>46600</v>
      </c>
    </row>
    <row r="30" spans="1:98" hidden="1">
      <c r="A30" s="46" t="s">
        <v>5837</v>
      </c>
      <c r="B30" s="46" t="s">
        <v>5838</v>
      </c>
      <c r="C30" s="46">
        <v>29</v>
      </c>
      <c r="D30" s="46" t="s">
        <v>5773</v>
      </c>
      <c r="E30" s="46" t="s">
        <v>5839</v>
      </c>
      <c r="F30" s="46" t="s">
        <v>1109</v>
      </c>
      <c r="J30" s="46">
        <v>1</v>
      </c>
      <c r="M30" s="46">
        <v>1</v>
      </c>
      <c r="Q30" s="46">
        <v>1</v>
      </c>
      <c r="V30" s="46">
        <v>1</v>
      </c>
      <c r="W30" s="46">
        <v>14</v>
      </c>
      <c r="X30" s="46">
        <v>16</v>
      </c>
      <c r="Y30" s="46">
        <v>26</v>
      </c>
      <c r="Z30" s="46">
        <v>1</v>
      </c>
      <c r="AA30" s="46">
        <v>1</v>
      </c>
      <c r="AB30" s="46">
        <v>1</v>
      </c>
      <c r="AC30" s="46">
        <v>1</v>
      </c>
      <c r="AJ30" s="46">
        <v>1</v>
      </c>
      <c r="AK30" s="46">
        <v>1</v>
      </c>
      <c r="AT30" s="46">
        <v>1</v>
      </c>
      <c r="AW30" s="46">
        <v>1</v>
      </c>
      <c r="BB30" s="46">
        <v>1</v>
      </c>
      <c r="BG30" s="46">
        <v>1</v>
      </c>
      <c r="BK30" s="46">
        <v>1</v>
      </c>
      <c r="CB30" s="46">
        <v>1</v>
      </c>
      <c r="CE30" s="46">
        <v>1</v>
      </c>
      <c r="CK30" s="46">
        <v>1</v>
      </c>
      <c r="CR30" s="46">
        <v>1</v>
      </c>
      <c r="CT30" s="134">
        <v>46600</v>
      </c>
    </row>
    <row r="31" spans="1:98" hidden="1">
      <c r="A31" s="46" t="s">
        <v>5840</v>
      </c>
      <c r="B31" s="46" t="s">
        <v>650</v>
      </c>
      <c r="C31" s="46">
        <v>20</v>
      </c>
      <c r="D31" s="46" t="s">
        <v>5759</v>
      </c>
      <c r="E31" s="46" t="s">
        <v>5841</v>
      </c>
      <c r="F31" s="46" t="s">
        <v>2016</v>
      </c>
      <c r="G31" s="46">
        <v>1</v>
      </c>
      <c r="N31" s="46">
        <v>1</v>
      </c>
      <c r="Q31" s="46">
        <v>1</v>
      </c>
      <c r="T31" s="46">
        <v>1</v>
      </c>
      <c r="W31" s="46">
        <v>13</v>
      </c>
      <c r="X31" s="46">
        <v>15</v>
      </c>
      <c r="Y31" s="46">
        <v>0</v>
      </c>
      <c r="Z31" s="46">
        <v>1</v>
      </c>
      <c r="AA31" s="46">
        <v>0</v>
      </c>
      <c r="AB31" s="46">
        <v>0</v>
      </c>
      <c r="AD31" s="46">
        <v>1</v>
      </c>
      <c r="AE31" s="46">
        <v>1</v>
      </c>
      <c r="AJ31" s="46">
        <v>1</v>
      </c>
      <c r="AK31" s="46">
        <v>1</v>
      </c>
      <c r="AT31" s="46">
        <v>1</v>
      </c>
      <c r="AX31" s="46">
        <v>1</v>
      </c>
      <c r="BB31" s="46">
        <v>1</v>
      </c>
      <c r="BG31" s="46">
        <v>1</v>
      </c>
      <c r="BO31" s="46" t="s">
        <v>5842</v>
      </c>
      <c r="BY31" s="46">
        <v>1</v>
      </c>
      <c r="CB31" s="46">
        <v>1</v>
      </c>
      <c r="CE31" s="46">
        <v>1</v>
      </c>
      <c r="CL31" s="46">
        <v>1</v>
      </c>
      <c r="CS31" s="46" t="s">
        <v>5843</v>
      </c>
      <c r="CT31" s="134">
        <v>46235</v>
      </c>
    </row>
    <row r="32" spans="1:98" hidden="1">
      <c r="A32" s="46" t="s">
        <v>5844</v>
      </c>
      <c r="B32" s="46" t="s">
        <v>5845</v>
      </c>
      <c r="C32" s="46">
        <v>26</v>
      </c>
      <c r="D32" s="46" t="s">
        <v>5766</v>
      </c>
      <c r="E32" s="46" t="s">
        <v>5846</v>
      </c>
      <c r="F32" s="46" t="s">
        <v>389</v>
      </c>
      <c r="G32" s="46">
        <v>1</v>
      </c>
      <c r="N32" s="46">
        <v>1</v>
      </c>
      <c r="Q32" s="46">
        <v>1</v>
      </c>
      <c r="U32" s="46">
        <v>1</v>
      </c>
      <c r="W32" s="46">
        <v>18</v>
      </c>
      <c r="X32" s="46">
        <v>22</v>
      </c>
      <c r="Y32" s="46">
        <v>24</v>
      </c>
      <c r="Z32" s="46">
        <v>1</v>
      </c>
      <c r="AA32" s="46">
        <v>1</v>
      </c>
      <c r="AB32" s="46">
        <v>1</v>
      </c>
      <c r="AC32" s="46">
        <v>1</v>
      </c>
      <c r="AJ32" s="46">
        <v>1</v>
      </c>
      <c r="AK32" s="46">
        <v>1</v>
      </c>
      <c r="AT32" s="46">
        <v>1</v>
      </c>
      <c r="AW32" s="46">
        <v>1</v>
      </c>
      <c r="BB32" s="46">
        <v>1</v>
      </c>
      <c r="BG32" s="46">
        <v>1</v>
      </c>
      <c r="BO32" s="46" t="s">
        <v>5842</v>
      </c>
      <c r="CB32" s="46">
        <v>1</v>
      </c>
      <c r="CE32" s="46">
        <v>1</v>
      </c>
      <c r="CK32" s="46">
        <v>1</v>
      </c>
      <c r="CR32" s="46">
        <v>1</v>
      </c>
      <c r="CT32" s="134">
        <v>46235</v>
      </c>
    </row>
    <row r="33" spans="1:98" hidden="1">
      <c r="A33" s="46" t="s">
        <v>5847</v>
      </c>
      <c r="B33" s="46" t="s">
        <v>5848</v>
      </c>
      <c r="C33" s="46">
        <v>24</v>
      </c>
      <c r="D33" s="46" t="s">
        <v>5759</v>
      </c>
      <c r="E33" s="46" t="s">
        <v>5849</v>
      </c>
      <c r="F33" s="46" t="s">
        <v>2472</v>
      </c>
      <c r="G33" s="46">
        <v>1</v>
      </c>
      <c r="M33" s="46">
        <v>1</v>
      </c>
      <c r="Q33" s="46">
        <v>1</v>
      </c>
      <c r="T33" s="46">
        <v>1</v>
      </c>
      <c r="W33" s="46">
        <v>17</v>
      </c>
      <c r="X33" s="46">
        <v>17</v>
      </c>
      <c r="Y33" s="46">
        <v>0</v>
      </c>
      <c r="Z33" s="46">
        <v>0</v>
      </c>
      <c r="AA33" s="46">
        <v>0</v>
      </c>
      <c r="AB33" s="46">
        <v>0</v>
      </c>
      <c r="AE33" s="46">
        <v>1</v>
      </c>
      <c r="AK33" s="46">
        <v>1</v>
      </c>
      <c r="AT33" s="46">
        <v>1</v>
      </c>
      <c r="AW33" s="46">
        <v>1</v>
      </c>
      <c r="BB33" s="46">
        <v>1</v>
      </c>
      <c r="BG33" s="46">
        <v>1</v>
      </c>
      <c r="BO33" s="46" t="s">
        <v>5842</v>
      </c>
      <c r="BY33" s="46">
        <v>1</v>
      </c>
      <c r="CB33" s="46">
        <v>1</v>
      </c>
      <c r="CE33" s="46">
        <v>1</v>
      </c>
      <c r="CK33" s="46">
        <v>1</v>
      </c>
      <c r="CR33" s="46">
        <v>1</v>
      </c>
      <c r="CT33" s="134">
        <v>46235</v>
      </c>
    </row>
    <row r="34" spans="1:98" hidden="1">
      <c r="A34" s="46" t="s">
        <v>5850</v>
      </c>
      <c r="B34" s="46" t="s">
        <v>5851</v>
      </c>
      <c r="C34" s="46">
        <v>37</v>
      </c>
      <c r="D34" s="46" t="s">
        <v>1107</v>
      </c>
      <c r="E34" s="46" t="s">
        <v>5852</v>
      </c>
      <c r="F34" s="46" t="s">
        <v>1109</v>
      </c>
      <c r="G34" s="46">
        <v>1</v>
      </c>
      <c r="L34" s="46">
        <v>1</v>
      </c>
      <c r="Q34" s="46">
        <v>1</v>
      </c>
      <c r="V34" s="46">
        <v>1</v>
      </c>
      <c r="W34" s="46">
        <v>15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1</v>
      </c>
      <c r="AI34" s="46">
        <v>1</v>
      </c>
      <c r="AK34" s="46">
        <v>1</v>
      </c>
      <c r="AT34" s="46">
        <v>1</v>
      </c>
      <c r="AW34" s="46">
        <v>1</v>
      </c>
      <c r="BB34" s="46">
        <v>1</v>
      </c>
      <c r="BG34" s="46">
        <v>1</v>
      </c>
      <c r="BO34" s="46" t="s">
        <v>5842</v>
      </c>
      <c r="CB34" s="46">
        <v>1</v>
      </c>
      <c r="CE34" s="46">
        <v>1</v>
      </c>
      <c r="CK34" s="46">
        <v>1</v>
      </c>
      <c r="CR34" s="46">
        <v>1</v>
      </c>
      <c r="CT34" s="134">
        <v>46235</v>
      </c>
    </row>
    <row r="35" spans="1:98" hidden="1">
      <c r="A35" s="46" t="s">
        <v>5853</v>
      </c>
      <c r="B35" s="46" t="s">
        <v>5854</v>
      </c>
      <c r="C35" s="46">
        <v>42</v>
      </c>
      <c r="D35" s="46" t="s">
        <v>1107</v>
      </c>
      <c r="E35" s="46" t="s">
        <v>5855</v>
      </c>
      <c r="F35" s="46" t="s">
        <v>1109</v>
      </c>
      <c r="J35" s="46">
        <v>1</v>
      </c>
      <c r="L35" s="46">
        <v>1</v>
      </c>
      <c r="Q35" s="46">
        <v>1</v>
      </c>
      <c r="V35" s="46">
        <v>1</v>
      </c>
      <c r="W35" s="46">
        <v>16</v>
      </c>
      <c r="X35" s="46">
        <v>26</v>
      </c>
      <c r="Y35" s="46">
        <v>0</v>
      </c>
      <c r="Z35" s="46">
        <v>0</v>
      </c>
      <c r="AA35" s="46">
        <v>0</v>
      </c>
      <c r="AB35" s="46">
        <v>0</v>
      </c>
      <c r="AD35" s="46">
        <v>1</v>
      </c>
      <c r="AI35" s="46">
        <v>1</v>
      </c>
      <c r="AK35" s="46">
        <v>1</v>
      </c>
      <c r="AT35" s="46">
        <v>1</v>
      </c>
      <c r="AW35" s="46">
        <v>1</v>
      </c>
      <c r="BB35" s="46">
        <v>1</v>
      </c>
      <c r="BG35" s="46">
        <v>1</v>
      </c>
      <c r="BO35" s="46" t="s">
        <v>5842</v>
      </c>
      <c r="CB35" s="46">
        <v>1</v>
      </c>
      <c r="CE35" s="46">
        <v>1</v>
      </c>
      <c r="CK35" s="46">
        <v>1</v>
      </c>
      <c r="CR35" s="46">
        <v>1</v>
      </c>
      <c r="CT35" s="134">
        <v>45870</v>
      </c>
    </row>
    <row r="36" spans="1:98" hidden="1">
      <c r="A36" s="46" t="s">
        <v>5856</v>
      </c>
      <c r="B36" s="46" t="s">
        <v>5857</v>
      </c>
      <c r="C36" s="46">
        <v>33</v>
      </c>
      <c r="D36" s="46" t="s">
        <v>5803</v>
      </c>
      <c r="E36" s="46" t="s">
        <v>5858</v>
      </c>
      <c r="F36" s="46" t="s">
        <v>389</v>
      </c>
      <c r="G36" s="46">
        <v>1</v>
      </c>
      <c r="N36" s="46">
        <v>1</v>
      </c>
      <c r="Q36" s="46">
        <v>1</v>
      </c>
      <c r="U36" s="46">
        <v>1</v>
      </c>
      <c r="W36" s="46">
        <v>16</v>
      </c>
      <c r="X36" s="46">
        <v>17</v>
      </c>
      <c r="Y36" s="46">
        <v>24</v>
      </c>
      <c r="Z36" s="46">
        <v>2</v>
      </c>
      <c r="AA36" s="46">
        <v>2</v>
      </c>
      <c r="AB36" s="46">
        <v>2</v>
      </c>
      <c r="AE36" s="46">
        <v>1</v>
      </c>
      <c r="AG36" s="46">
        <v>1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B36" s="46">
        <v>1</v>
      </c>
      <c r="BG36" s="46">
        <v>1</v>
      </c>
      <c r="BO36" s="46" t="s">
        <v>5842</v>
      </c>
      <c r="BY36" s="46">
        <v>1</v>
      </c>
      <c r="CB36" s="46">
        <v>1</v>
      </c>
      <c r="CE36" s="46">
        <v>1</v>
      </c>
      <c r="CK36" s="46">
        <v>1</v>
      </c>
      <c r="CR36" s="46">
        <v>1</v>
      </c>
      <c r="CT36" s="134">
        <v>46235</v>
      </c>
    </row>
    <row r="37" spans="1:98" hidden="1">
      <c r="A37" s="46" t="s">
        <v>5859</v>
      </c>
      <c r="B37" s="46" t="s">
        <v>1834</v>
      </c>
      <c r="C37" s="46">
        <v>20</v>
      </c>
      <c r="D37" s="46" t="s">
        <v>5860</v>
      </c>
      <c r="E37" s="46" t="s">
        <v>5861</v>
      </c>
      <c r="F37" s="46" t="s">
        <v>1109</v>
      </c>
      <c r="K37" s="46">
        <v>1</v>
      </c>
      <c r="L37" s="46">
        <v>1</v>
      </c>
      <c r="Q37" s="46">
        <v>1</v>
      </c>
      <c r="U37" s="46">
        <v>1</v>
      </c>
      <c r="W37" s="46">
        <v>13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1</v>
      </c>
      <c r="AI37" s="46">
        <v>1</v>
      </c>
      <c r="AM37" s="46">
        <v>1</v>
      </c>
      <c r="AT37" s="46">
        <v>1</v>
      </c>
      <c r="AW37" s="46">
        <v>1</v>
      </c>
      <c r="BA37" s="46">
        <v>1</v>
      </c>
      <c r="CB37" s="46">
        <v>1</v>
      </c>
      <c r="CE37" s="46">
        <v>1</v>
      </c>
      <c r="CK37" s="46">
        <v>1</v>
      </c>
      <c r="CR37" s="46">
        <v>1</v>
      </c>
    </row>
    <row r="38" spans="1:98" hidden="1">
      <c r="A38" s="46" t="s">
        <v>5862</v>
      </c>
      <c r="B38" s="46" t="s">
        <v>5863</v>
      </c>
      <c r="C38" s="46">
        <v>31</v>
      </c>
      <c r="D38" s="46" t="s">
        <v>5766</v>
      </c>
      <c r="E38" s="46" t="s">
        <v>5864</v>
      </c>
      <c r="F38" s="46" t="s">
        <v>2472</v>
      </c>
      <c r="I38" s="46">
        <v>1</v>
      </c>
      <c r="M38" s="46">
        <v>1</v>
      </c>
      <c r="Q38" s="46">
        <v>1</v>
      </c>
      <c r="U38" s="46">
        <v>1</v>
      </c>
      <c r="W38" s="46">
        <v>18</v>
      </c>
      <c r="X38" s="46">
        <v>18</v>
      </c>
      <c r="Y38" s="46">
        <v>23</v>
      </c>
      <c r="Z38" s="46">
        <v>2</v>
      </c>
      <c r="AA38" s="46">
        <v>2</v>
      </c>
      <c r="AB38" s="46">
        <v>2</v>
      </c>
      <c r="AC38" s="46">
        <v>1</v>
      </c>
      <c r="AJ38" s="46">
        <v>1</v>
      </c>
      <c r="AK38" s="46">
        <v>1</v>
      </c>
      <c r="AT38" s="46">
        <v>1</v>
      </c>
      <c r="AW38" s="46">
        <v>1</v>
      </c>
      <c r="BB38" s="46">
        <v>1</v>
      </c>
      <c r="BG38" s="46">
        <v>1</v>
      </c>
      <c r="BO38" s="46" t="s">
        <v>5842</v>
      </c>
      <c r="CB38" s="46">
        <v>1</v>
      </c>
      <c r="CE38" s="46">
        <v>1</v>
      </c>
      <c r="CK38" s="46">
        <v>1</v>
      </c>
      <c r="CR38" s="46">
        <v>1</v>
      </c>
      <c r="CT38" s="134">
        <v>46235</v>
      </c>
    </row>
    <row r="39" spans="1:98" hidden="1">
      <c r="A39" s="46" t="s">
        <v>5865</v>
      </c>
      <c r="B39" s="46" t="s">
        <v>5866</v>
      </c>
      <c r="C39" s="46">
        <v>27</v>
      </c>
      <c r="D39" s="46" t="s">
        <v>5759</v>
      </c>
      <c r="E39" s="46" t="s">
        <v>5867</v>
      </c>
      <c r="F39" s="46" t="s">
        <v>145</v>
      </c>
      <c r="G39" s="46">
        <v>1</v>
      </c>
      <c r="M39" s="46">
        <v>1</v>
      </c>
      <c r="Q39" s="46">
        <v>1</v>
      </c>
      <c r="U39" s="46">
        <v>1</v>
      </c>
      <c r="W39" s="46">
        <v>18</v>
      </c>
      <c r="X39" s="46">
        <v>20</v>
      </c>
      <c r="Y39" s="46">
        <v>20</v>
      </c>
      <c r="Z39" s="46">
        <v>3</v>
      </c>
      <c r="AA39" s="46">
        <v>3</v>
      </c>
      <c r="AB39" s="46">
        <v>3</v>
      </c>
      <c r="AC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CB39" s="46">
        <v>1</v>
      </c>
      <c r="CE39" s="46">
        <v>1</v>
      </c>
      <c r="CK39" s="46">
        <v>1</v>
      </c>
      <c r="CR39" s="46">
        <v>1</v>
      </c>
    </row>
    <row r="40" spans="1:98" hidden="1">
      <c r="A40" s="46" t="s">
        <v>5868</v>
      </c>
      <c r="B40" s="46" t="s">
        <v>4605</v>
      </c>
      <c r="C40" s="46">
        <v>23</v>
      </c>
      <c r="D40" s="46" t="s">
        <v>5759</v>
      </c>
      <c r="E40" s="46" t="s">
        <v>5869</v>
      </c>
      <c r="F40" s="46" t="s">
        <v>2472</v>
      </c>
      <c r="H40" s="46">
        <v>1</v>
      </c>
      <c r="N40" s="46">
        <v>1</v>
      </c>
      <c r="Q40" s="46">
        <v>1</v>
      </c>
      <c r="T40" s="46">
        <v>1</v>
      </c>
      <c r="W40" s="46">
        <v>18</v>
      </c>
      <c r="X40" s="46">
        <v>19</v>
      </c>
      <c r="Y40" s="46">
        <v>20</v>
      </c>
      <c r="Z40" s="46">
        <v>2</v>
      </c>
      <c r="AA40" s="46">
        <v>2</v>
      </c>
      <c r="AB40" s="46">
        <v>2</v>
      </c>
      <c r="AD40" s="46">
        <v>1</v>
      </c>
      <c r="AE40" s="46">
        <v>1</v>
      </c>
      <c r="AJ40" s="46">
        <v>1</v>
      </c>
      <c r="AK40" s="46">
        <v>1</v>
      </c>
      <c r="AT40" s="46">
        <v>1</v>
      </c>
      <c r="AW40" s="46">
        <v>1</v>
      </c>
      <c r="BB40" s="46">
        <v>1</v>
      </c>
      <c r="BG40" s="46">
        <v>1</v>
      </c>
      <c r="BO40" s="46" t="s">
        <v>5842</v>
      </c>
      <c r="CB40" s="46">
        <v>1</v>
      </c>
      <c r="CE40" s="46">
        <v>1</v>
      </c>
      <c r="CK40" s="46">
        <v>1</v>
      </c>
      <c r="CR40" s="46">
        <v>1</v>
      </c>
      <c r="CT40" s="134">
        <v>46235</v>
      </c>
    </row>
    <row r="41" spans="1:98" hidden="1">
      <c r="A41" s="46" t="s">
        <v>5870</v>
      </c>
      <c r="B41" s="46" t="s">
        <v>5871</v>
      </c>
      <c r="C41" s="46">
        <v>22</v>
      </c>
      <c r="D41" s="46" t="s">
        <v>5773</v>
      </c>
      <c r="E41" s="46" t="s">
        <v>5872</v>
      </c>
      <c r="F41" s="46" t="s">
        <v>145</v>
      </c>
      <c r="G41" s="46">
        <v>1</v>
      </c>
      <c r="N41" s="46">
        <v>1</v>
      </c>
      <c r="Q41" s="46">
        <v>1</v>
      </c>
      <c r="T41" s="46">
        <v>1</v>
      </c>
      <c r="W41" s="46">
        <v>16</v>
      </c>
      <c r="X41" s="46">
        <v>18</v>
      </c>
      <c r="Y41" s="46">
        <v>0</v>
      </c>
      <c r="Z41" s="46">
        <v>0</v>
      </c>
      <c r="AA41" s="46">
        <v>0</v>
      </c>
      <c r="AB41" s="46">
        <v>0</v>
      </c>
      <c r="AC41" s="46">
        <v>1</v>
      </c>
      <c r="AJ41" s="46">
        <v>1</v>
      </c>
      <c r="AK41" s="46">
        <v>1</v>
      </c>
      <c r="AT41" s="46">
        <v>1</v>
      </c>
      <c r="AW41" s="46">
        <v>1</v>
      </c>
      <c r="BB41" s="46">
        <v>1</v>
      </c>
      <c r="BG41" s="46">
        <v>1</v>
      </c>
      <c r="BO41" s="46" t="s">
        <v>5842</v>
      </c>
      <c r="CB41" s="46">
        <v>1</v>
      </c>
      <c r="CE41" s="46">
        <v>1</v>
      </c>
      <c r="CK41" s="46">
        <v>1</v>
      </c>
      <c r="CR41" s="46">
        <v>1</v>
      </c>
      <c r="CT41" s="134">
        <v>46235</v>
      </c>
    </row>
    <row r="42" spans="1:98" hidden="1">
      <c r="A42" s="46" t="s">
        <v>5873</v>
      </c>
      <c r="B42" s="46" t="s">
        <v>5874</v>
      </c>
      <c r="C42" s="46">
        <v>30</v>
      </c>
      <c r="D42" s="46" t="s">
        <v>5766</v>
      </c>
      <c r="E42" s="46" t="s">
        <v>5875</v>
      </c>
      <c r="F42" s="46" t="s">
        <v>389</v>
      </c>
      <c r="G42" s="46">
        <v>1</v>
      </c>
      <c r="M42" s="46">
        <v>1</v>
      </c>
      <c r="Q42" s="46">
        <v>1</v>
      </c>
      <c r="U42" s="46">
        <v>1</v>
      </c>
      <c r="W42" s="46">
        <v>0</v>
      </c>
      <c r="X42" s="46">
        <v>15</v>
      </c>
      <c r="Y42" s="46">
        <v>29</v>
      </c>
      <c r="Z42" s="46">
        <v>2</v>
      </c>
      <c r="AA42" s="46">
        <v>1</v>
      </c>
      <c r="AB42" s="46">
        <v>1</v>
      </c>
      <c r="AC42" s="46">
        <v>1</v>
      </c>
      <c r="AJ42" s="46">
        <v>1</v>
      </c>
      <c r="AK42" s="46">
        <v>1</v>
      </c>
      <c r="AT42" s="46">
        <v>1</v>
      </c>
      <c r="AW42" s="46">
        <v>1</v>
      </c>
      <c r="BB42" s="46">
        <v>1</v>
      </c>
      <c r="BG42" s="46">
        <v>1</v>
      </c>
      <c r="BO42" s="46" t="s">
        <v>5842</v>
      </c>
      <c r="CB42" s="46">
        <v>1</v>
      </c>
      <c r="CE42" s="46">
        <v>1</v>
      </c>
      <c r="CK42" s="46">
        <v>1</v>
      </c>
      <c r="CR42" s="46">
        <v>1</v>
      </c>
      <c r="CT42" s="134">
        <v>46600</v>
      </c>
    </row>
    <row r="43" spans="1:98" hidden="1">
      <c r="A43" s="46" t="s">
        <v>5876</v>
      </c>
      <c r="B43" s="46" t="s">
        <v>5877</v>
      </c>
      <c r="C43" s="46">
        <v>33</v>
      </c>
      <c r="D43" s="46" t="s">
        <v>5766</v>
      </c>
      <c r="E43" s="46" t="s">
        <v>5878</v>
      </c>
      <c r="F43" s="46" t="s">
        <v>2472</v>
      </c>
      <c r="J43" s="46">
        <v>1</v>
      </c>
      <c r="M43" s="46">
        <v>1</v>
      </c>
      <c r="R43" s="46">
        <v>1</v>
      </c>
      <c r="V43" s="46">
        <v>1</v>
      </c>
      <c r="W43" s="46">
        <v>22</v>
      </c>
      <c r="X43" s="46">
        <v>24</v>
      </c>
      <c r="Y43" s="46">
        <v>30</v>
      </c>
      <c r="Z43" s="46">
        <v>1</v>
      </c>
      <c r="AA43" s="46">
        <v>1</v>
      </c>
      <c r="AB43" s="46">
        <v>1</v>
      </c>
      <c r="AC43" s="46">
        <v>1</v>
      </c>
      <c r="AI43" s="46">
        <v>1</v>
      </c>
      <c r="AJ43" s="46"/>
      <c r="AK43" s="46">
        <v>1</v>
      </c>
      <c r="AT43" s="46">
        <v>1</v>
      </c>
      <c r="AW43" s="46">
        <v>1</v>
      </c>
      <c r="BB43" s="46">
        <v>1</v>
      </c>
      <c r="BG43" s="46">
        <v>1</v>
      </c>
      <c r="BO43" s="46" t="s">
        <v>5842</v>
      </c>
      <c r="CB43" s="46">
        <v>1</v>
      </c>
      <c r="CE43" s="46">
        <v>1</v>
      </c>
      <c r="CK43" s="46">
        <v>1</v>
      </c>
      <c r="CR43" s="46">
        <v>1</v>
      </c>
      <c r="CT43" s="134">
        <v>46235</v>
      </c>
    </row>
    <row r="44" spans="1:98" hidden="1">
      <c r="A44" s="46" t="s">
        <v>5879</v>
      </c>
      <c r="B44" s="46" t="s">
        <v>5880</v>
      </c>
      <c r="C44" s="46">
        <v>30</v>
      </c>
      <c r="D44" s="46" t="s">
        <v>5766</v>
      </c>
      <c r="E44" s="46" t="s">
        <v>5881</v>
      </c>
      <c r="F44" s="46" t="s">
        <v>3363</v>
      </c>
      <c r="H44" s="46">
        <v>1</v>
      </c>
      <c r="M44" s="46">
        <v>1</v>
      </c>
      <c r="Q44" s="46">
        <v>1</v>
      </c>
      <c r="T44" s="46">
        <v>1</v>
      </c>
      <c r="W44" s="46">
        <v>16</v>
      </c>
      <c r="X44" s="46">
        <v>20</v>
      </c>
      <c r="Y44" s="46">
        <v>0</v>
      </c>
      <c r="Z44" s="46">
        <v>3</v>
      </c>
      <c r="AA44" s="46">
        <v>0</v>
      </c>
      <c r="AB44" s="46">
        <v>0</v>
      </c>
      <c r="AC44" s="46">
        <v>1</v>
      </c>
      <c r="AI44" s="46">
        <v>1</v>
      </c>
      <c r="AK44" s="46">
        <v>1</v>
      </c>
      <c r="AT44" s="46">
        <v>1</v>
      </c>
      <c r="AW44" s="46">
        <v>1</v>
      </c>
      <c r="BB44" s="46">
        <v>1</v>
      </c>
      <c r="BG44" s="46">
        <v>1</v>
      </c>
      <c r="BO44" s="46" t="s">
        <v>5842</v>
      </c>
      <c r="CB44" s="46">
        <v>1</v>
      </c>
      <c r="CE44" s="46">
        <v>1</v>
      </c>
      <c r="CK44" s="46">
        <v>1</v>
      </c>
      <c r="CR44" s="46">
        <v>1</v>
      </c>
      <c r="CT44" s="134">
        <v>46600</v>
      </c>
    </row>
    <row r="45" spans="1:98" hidden="1">
      <c r="A45" s="46" t="s">
        <v>5882</v>
      </c>
      <c r="B45" s="46" t="s">
        <v>5883</v>
      </c>
      <c r="C45" s="46">
        <v>19</v>
      </c>
      <c r="D45" s="46" t="s">
        <v>5773</v>
      </c>
      <c r="E45" s="46" t="s">
        <v>5884</v>
      </c>
      <c r="F45" s="46" t="s">
        <v>112</v>
      </c>
      <c r="I45" s="46">
        <v>1</v>
      </c>
      <c r="L45" s="46">
        <v>1</v>
      </c>
      <c r="Q45" s="46"/>
      <c r="T45" s="46">
        <v>1</v>
      </c>
      <c r="W45" s="46">
        <v>17</v>
      </c>
      <c r="X45" s="46">
        <v>17</v>
      </c>
      <c r="Y45" s="46">
        <v>0</v>
      </c>
      <c r="Z45" s="46">
        <v>0</v>
      </c>
      <c r="AA45" s="46">
        <v>0</v>
      </c>
      <c r="AB45" s="46">
        <v>0</v>
      </c>
      <c r="AC45" s="46"/>
      <c r="AE45" s="46">
        <v>1</v>
      </c>
      <c r="AH45" s="46">
        <v>1</v>
      </c>
      <c r="AI45" s="46">
        <v>1</v>
      </c>
      <c r="AJ45" s="46"/>
      <c r="AK45" s="46"/>
      <c r="AM45" s="46">
        <v>1</v>
      </c>
      <c r="AT45" s="46">
        <v>1</v>
      </c>
      <c r="AW45" s="46"/>
      <c r="AX45" s="46">
        <v>1</v>
      </c>
      <c r="BA45" s="46">
        <v>1</v>
      </c>
      <c r="BB45" s="46"/>
      <c r="BG45" s="46"/>
      <c r="BK45" s="46">
        <v>1</v>
      </c>
      <c r="BO45" s="46"/>
      <c r="CB45" s="46">
        <v>1</v>
      </c>
      <c r="CE45" s="46"/>
      <c r="CK45" s="46">
        <v>1</v>
      </c>
      <c r="CR45" s="46">
        <v>1</v>
      </c>
      <c r="CT45" s="134">
        <v>46600</v>
      </c>
    </row>
    <row r="46" spans="1:98" hidden="1">
      <c r="A46" s="46" t="s">
        <v>5885</v>
      </c>
      <c r="B46" s="46" t="s">
        <v>5886</v>
      </c>
      <c r="C46" s="46">
        <v>26</v>
      </c>
      <c r="D46" s="46" t="s">
        <v>5759</v>
      </c>
      <c r="E46" s="46" t="s">
        <v>5887</v>
      </c>
      <c r="F46" s="46" t="s">
        <v>2472</v>
      </c>
      <c r="I46" s="46">
        <v>1</v>
      </c>
      <c r="L46" s="46">
        <v>1</v>
      </c>
      <c r="Q46" s="46">
        <v>1</v>
      </c>
      <c r="T46" s="46">
        <v>1</v>
      </c>
      <c r="W46" s="46">
        <v>16</v>
      </c>
      <c r="X46" s="46">
        <v>17</v>
      </c>
      <c r="Y46" s="46">
        <v>18</v>
      </c>
      <c r="Z46" s="46">
        <v>2</v>
      </c>
      <c r="AA46" s="46">
        <v>2</v>
      </c>
      <c r="AB46" s="46">
        <v>2</v>
      </c>
      <c r="AC46" s="46">
        <v>1</v>
      </c>
      <c r="AJ46" s="46">
        <v>1</v>
      </c>
      <c r="AK46" s="46">
        <v>1</v>
      </c>
      <c r="AT46" s="46">
        <v>1</v>
      </c>
      <c r="AW46" s="46">
        <v>1</v>
      </c>
      <c r="BB46" s="46">
        <v>1</v>
      </c>
      <c r="BG46" s="46">
        <v>1</v>
      </c>
      <c r="BO46" s="46" t="s">
        <v>5842</v>
      </c>
      <c r="CB46" s="46">
        <v>1</v>
      </c>
      <c r="CE46" s="46">
        <v>1</v>
      </c>
      <c r="CK46" s="46">
        <v>1</v>
      </c>
      <c r="CR46" s="46">
        <v>1</v>
      </c>
      <c r="CT46" s="134">
        <v>46600</v>
      </c>
    </row>
    <row r="47" spans="1:98" hidden="1">
      <c r="A47" s="46" t="s">
        <v>5888</v>
      </c>
      <c r="B47" s="46" t="s">
        <v>5889</v>
      </c>
      <c r="C47" s="46">
        <v>32</v>
      </c>
      <c r="D47" s="46" t="s">
        <v>5759</v>
      </c>
      <c r="E47" s="46" t="s">
        <v>5890</v>
      </c>
      <c r="F47" s="46" t="s">
        <v>2506</v>
      </c>
      <c r="H47" s="46">
        <v>1</v>
      </c>
      <c r="O47" s="46">
        <v>1</v>
      </c>
      <c r="Q47" s="46">
        <v>1</v>
      </c>
      <c r="T47" s="46">
        <v>1</v>
      </c>
      <c r="W47" s="46">
        <v>13</v>
      </c>
      <c r="X47" s="46">
        <v>17</v>
      </c>
      <c r="Y47" s="46">
        <v>0</v>
      </c>
      <c r="Z47" s="46">
        <v>3</v>
      </c>
      <c r="AA47" s="46">
        <v>3</v>
      </c>
      <c r="AB47" s="46">
        <v>2</v>
      </c>
      <c r="AG47" s="46">
        <v>1</v>
      </c>
      <c r="AJ47" s="46">
        <v>1</v>
      </c>
      <c r="AK47" s="46">
        <v>1</v>
      </c>
      <c r="AT47" s="46">
        <v>1</v>
      </c>
      <c r="AW47" s="46">
        <v>1</v>
      </c>
      <c r="BA47" s="46">
        <v>1</v>
      </c>
      <c r="BO47" s="46" t="s">
        <v>5891</v>
      </c>
      <c r="CB47" s="46">
        <v>1</v>
      </c>
      <c r="CE47" s="46">
        <v>1</v>
      </c>
      <c r="CK47" s="46">
        <v>1</v>
      </c>
      <c r="CR47" s="46">
        <v>1</v>
      </c>
    </row>
  </sheetData>
  <autoFilter ref="A3:CT47">
    <filterColumn colId="2">
      <filters>
        <filter val="76"/>
      </filters>
    </filterColumn>
  </autoFilter>
  <mergeCells count="1">
    <mergeCell ref="AV1:AZ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239" t="s">
        <v>5892</v>
      </c>
      <c r="B3" s="69">
        <v>0</v>
      </c>
      <c r="C3" s="69">
        <v>0</v>
      </c>
      <c r="D3" s="69">
        <v>1</v>
      </c>
      <c r="E3" s="69">
        <f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 t="shared" ref="J3:J8" si="0"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1">SUM(K3:O3)</f>
        <v>0</v>
      </c>
      <c r="Q3" s="70">
        <v>0</v>
      </c>
      <c r="R3" s="70">
        <v>0</v>
      </c>
      <c r="S3" s="70">
        <v>0</v>
      </c>
      <c r="T3" s="71">
        <f>SUM(Q3:S3)</f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</v>
      </c>
      <c r="AB3" s="73">
        <v>0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4" t="s">
        <v>5893</v>
      </c>
      <c r="B4" s="69">
        <v>25</v>
      </c>
      <c r="C4" s="69">
        <v>0</v>
      </c>
      <c r="D4" s="69">
        <v>2</v>
      </c>
      <c r="E4" s="69">
        <f>SUM(B4:D4)</f>
        <v>27</v>
      </c>
      <c r="F4" s="70">
        <v>0</v>
      </c>
      <c r="G4" s="70">
        <v>17</v>
      </c>
      <c r="H4" s="70">
        <v>0</v>
      </c>
      <c r="I4" s="70">
        <v>0</v>
      </c>
      <c r="J4" s="71">
        <f t="shared" si="0"/>
        <v>17</v>
      </c>
      <c r="K4" s="70">
        <v>0</v>
      </c>
      <c r="L4" s="70">
        <v>0</v>
      </c>
      <c r="M4" s="70">
        <v>0</v>
      </c>
      <c r="N4" s="70">
        <v>8</v>
      </c>
      <c r="O4" s="70">
        <v>2</v>
      </c>
      <c r="P4" s="71">
        <f t="shared" si="1"/>
        <v>10</v>
      </c>
      <c r="Q4" s="70">
        <v>0</v>
      </c>
      <c r="R4" s="70">
        <v>0</v>
      </c>
      <c r="S4" s="70">
        <v>8</v>
      </c>
      <c r="T4" s="71">
        <f>SUM(Q4:S4)</f>
        <v>8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26</v>
      </c>
      <c r="AB4" s="73">
        <v>1</v>
      </c>
      <c r="AC4" s="73">
        <v>0</v>
      </c>
      <c r="AD4" s="73">
        <v>0</v>
      </c>
      <c r="AE4" s="186">
        <f>SUM(AA4,AB4,AC4,AD4)</f>
        <v>27</v>
      </c>
      <c r="AF4" s="73">
        <v>0</v>
      </c>
      <c r="AG4" s="73">
        <v>0</v>
      </c>
    </row>
    <row r="5" spans="1:33">
      <c r="A5" s="77" t="s">
        <v>3842</v>
      </c>
      <c r="B5" s="69">
        <v>11</v>
      </c>
      <c r="C5" s="69">
        <v>0</v>
      </c>
      <c r="D5" s="69">
        <v>0</v>
      </c>
      <c r="E5" s="69">
        <f>SUM(B5:D5)</f>
        <v>11</v>
      </c>
      <c r="F5" s="70">
        <v>0</v>
      </c>
      <c r="G5" s="70">
        <v>6</v>
      </c>
      <c r="H5" s="70">
        <v>0</v>
      </c>
      <c r="I5" s="70">
        <v>0</v>
      </c>
      <c r="J5" s="71">
        <f t="shared" si="0"/>
        <v>6</v>
      </c>
      <c r="K5" s="70">
        <v>0</v>
      </c>
      <c r="L5" s="70">
        <v>0</v>
      </c>
      <c r="M5" s="70">
        <v>0</v>
      </c>
      <c r="N5" s="70">
        <v>5</v>
      </c>
      <c r="O5" s="70">
        <v>0</v>
      </c>
      <c r="P5" s="71">
        <f t="shared" si="1"/>
        <v>5</v>
      </c>
      <c r="Q5" s="70">
        <v>0</v>
      </c>
      <c r="R5" s="70">
        <v>0</v>
      </c>
      <c r="S5" s="70">
        <v>4</v>
      </c>
      <c r="T5" s="71">
        <f>SUM(Q5:S5)</f>
        <v>4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11</v>
      </c>
      <c r="AB5" s="73">
        <v>0</v>
      </c>
      <c r="AC5" s="73">
        <v>0</v>
      </c>
      <c r="AD5" s="73">
        <v>0</v>
      </c>
      <c r="AE5" s="186">
        <f>SUM(AA5,AB5,AC5,AD5)</f>
        <v>11</v>
      </c>
      <c r="AF5" s="73">
        <v>0</v>
      </c>
      <c r="AG5" s="73">
        <v>0</v>
      </c>
    </row>
    <row r="6" spans="1:33">
      <c r="A6" s="77" t="s">
        <v>5352</v>
      </c>
      <c r="B6" s="69">
        <v>4</v>
      </c>
      <c r="C6" s="69">
        <v>0</v>
      </c>
      <c r="D6" s="69">
        <v>0</v>
      </c>
      <c r="E6" s="69">
        <f>SUM(B6:D6)</f>
        <v>4</v>
      </c>
      <c r="F6" s="70">
        <v>0</v>
      </c>
      <c r="G6" s="70">
        <v>3</v>
      </c>
      <c r="H6" s="70">
        <v>0</v>
      </c>
      <c r="I6" s="70">
        <v>0</v>
      </c>
      <c r="J6" s="71">
        <f t="shared" si="0"/>
        <v>3</v>
      </c>
      <c r="K6" s="70">
        <v>0</v>
      </c>
      <c r="L6" s="70">
        <v>0</v>
      </c>
      <c r="M6" s="70">
        <v>0</v>
      </c>
      <c r="N6" s="70">
        <v>1</v>
      </c>
      <c r="O6" s="70">
        <v>0</v>
      </c>
      <c r="P6" s="71">
        <f t="shared" si="1"/>
        <v>1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4</v>
      </c>
      <c r="AB6" s="73">
        <v>0</v>
      </c>
      <c r="AC6" s="73">
        <v>0</v>
      </c>
      <c r="AD6" s="73">
        <v>0</v>
      </c>
      <c r="AE6" s="186">
        <f>SUM(AA6,AB6,AC6,AD6)</f>
        <v>4</v>
      </c>
      <c r="AF6" s="73">
        <v>0</v>
      </c>
      <c r="AG6" s="73">
        <v>0</v>
      </c>
    </row>
    <row r="7" spans="1:33">
      <c r="A7" s="191" t="s">
        <v>4816</v>
      </c>
      <c r="B7" s="69">
        <v>1</v>
      </c>
      <c r="C7" s="69">
        <v>0</v>
      </c>
      <c r="D7" s="69">
        <v>0</v>
      </c>
      <c r="E7" s="69">
        <f>SUM(B7:D7)</f>
        <v>1</v>
      </c>
      <c r="F7" s="70">
        <v>0</v>
      </c>
      <c r="G7" s="70">
        <v>1</v>
      </c>
      <c r="H7" s="70">
        <v>0</v>
      </c>
      <c r="I7" s="70">
        <v>0</v>
      </c>
      <c r="J7" s="71">
        <f t="shared" si="0"/>
        <v>1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  <c r="P7" s="71">
        <f t="shared" si="1"/>
        <v>0</v>
      </c>
      <c r="Q7" s="70">
        <v>0</v>
      </c>
      <c r="R7" s="70">
        <v>0</v>
      </c>
      <c r="S7" s="70">
        <v>0</v>
      </c>
      <c r="T7" s="71">
        <f>SUM(Q7:S7)</f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1</v>
      </c>
      <c r="AB7" s="73">
        <v>0</v>
      </c>
      <c r="AC7" s="73">
        <v>0</v>
      </c>
      <c r="AD7" s="73">
        <v>0</v>
      </c>
      <c r="AE7" s="186">
        <f>SUM(AA7,AB7,AC7,AD7)</f>
        <v>1</v>
      </c>
      <c r="AF7" s="73">
        <v>0</v>
      </c>
      <c r="AG7" s="73">
        <v>0</v>
      </c>
    </row>
    <row r="8" spans="1:33">
      <c r="A8" s="69" t="s">
        <v>376</v>
      </c>
      <c r="B8" s="69">
        <f>SUM(B3:B7)</f>
        <v>41</v>
      </c>
      <c r="C8" s="69">
        <f>SUM(C3:C7)</f>
        <v>0</v>
      </c>
      <c r="D8" s="69">
        <f>SUM(D3:D7)</f>
        <v>3</v>
      </c>
      <c r="E8" s="69">
        <f>SUM(E3:E7)</f>
        <v>44</v>
      </c>
      <c r="F8" s="69">
        <f>SUM(F4:F7)</f>
        <v>0</v>
      </c>
      <c r="G8" s="69">
        <f>SUM(G3:G7)</f>
        <v>28</v>
      </c>
      <c r="H8" s="69">
        <f>SUM(H3:H7)</f>
        <v>0</v>
      </c>
      <c r="I8" s="69">
        <f>SUM(I3:I7)</f>
        <v>0</v>
      </c>
      <c r="J8" s="71">
        <f t="shared" si="0"/>
        <v>28</v>
      </c>
      <c r="K8" s="114">
        <f>SUM(K4:K7)</f>
        <v>0</v>
      </c>
      <c r="L8" s="114">
        <f>SUM(L4:L7)</f>
        <v>0</v>
      </c>
      <c r="M8" s="114">
        <f>SUM(M4:M7)</f>
        <v>0</v>
      </c>
      <c r="N8" s="114">
        <f>SUM(N3:N7)</f>
        <v>14</v>
      </c>
      <c r="O8" s="114">
        <f>SUM(O3:O7)</f>
        <v>2</v>
      </c>
      <c r="P8" s="71">
        <f t="shared" si="1"/>
        <v>16</v>
      </c>
      <c r="Q8" s="114">
        <f t="shared" ref="Q8:Y8" si="2">SUM(Q3:Q7)</f>
        <v>0</v>
      </c>
      <c r="R8" s="114">
        <f t="shared" si="2"/>
        <v>0</v>
      </c>
      <c r="S8" s="114">
        <f t="shared" si="2"/>
        <v>12</v>
      </c>
      <c r="T8" s="71">
        <f t="shared" si="2"/>
        <v>12</v>
      </c>
      <c r="U8" s="114">
        <f t="shared" si="2"/>
        <v>0</v>
      </c>
      <c r="V8" s="114">
        <f t="shared" si="2"/>
        <v>0</v>
      </c>
      <c r="W8" s="114">
        <f t="shared" si="2"/>
        <v>0</v>
      </c>
      <c r="X8" s="114">
        <f t="shared" si="2"/>
        <v>0</v>
      </c>
      <c r="Y8" s="114">
        <f t="shared" si="2"/>
        <v>0</v>
      </c>
      <c r="Z8" s="114">
        <f>SUM(Z4:Z7)</f>
        <v>0</v>
      </c>
      <c r="AA8" s="73">
        <f t="shared" ref="AA8:AG8" si="3">SUM(AA3:AA7)</f>
        <v>43</v>
      </c>
      <c r="AB8" s="73">
        <f t="shared" si="3"/>
        <v>1</v>
      </c>
      <c r="AC8" s="73">
        <f t="shared" si="3"/>
        <v>0</v>
      </c>
      <c r="AD8" s="73">
        <f t="shared" si="3"/>
        <v>0</v>
      </c>
      <c r="AE8" s="73">
        <f t="shared" si="3"/>
        <v>44</v>
      </c>
      <c r="AF8" s="73">
        <f t="shared" si="3"/>
        <v>0</v>
      </c>
      <c r="AG8" s="73">
        <f t="shared" si="3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13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11.7109375" customWidth="1"/>
    <col min="2" max="2" width="24.7109375" customWidth="1"/>
    <col min="3" max="3" width="10.140625" customWidth="1"/>
    <col min="4" max="4" width="17.85546875" customWidth="1"/>
    <col min="5" max="5" width="18.28515625" customWidth="1"/>
  </cols>
  <sheetData>
    <row r="1" spans="1:98">
      <c r="A1" s="189" t="s">
        <v>5894</v>
      </c>
      <c r="B1" s="143"/>
      <c r="C1" s="231" t="s">
        <v>5895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5896</v>
      </c>
      <c r="B4" s="46" t="s">
        <v>5897</v>
      </c>
      <c r="C4" s="46">
        <v>50</v>
      </c>
      <c r="E4" s="46" t="s">
        <v>5898</v>
      </c>
      <c r="I4" s="46">
        <v>1</v>
      </c>
      <c r="M4" s="46">
        <v>1</v>
      </c>
      <c r="R4" s="46">
        <v>1</v>
      </c>
      <c r="T4" s="46">
        <v>1</v>
      </c>
      <c r="W4" s="46">
        <v>16</v>
      </c>
      <c r="X4" s="46">
        <v>18</v>
      </c>
      <c r="Y4" s="46">
        <v>19</v>
      </c>
      <c r="Z4" s="46">
        <v>8</v>
      </c>
      <c r="AA4" s="46">
        <v>8</v>
      </c>
      <c r="AB4" s="46">
        <v>7</v>
      </c>
      <c r="AE4" s="46">
        <v>1</v>
      </c>
      <c r="AL4" s="46">
        <v>1</v>
      </c>
      <c r="AT4" s="46">
        <v>1</v>
      </c>
      <c r="AW4" s="46">
        <v>1</v>
      </c>
      <c r="BB4" s="46">
        <v>1</v>
      </c>
      <c r="BG4" s="46">
        <v>1</v>
      </c>
      <c r="BL4" s="46">
        <v>1</v>
      </c>
      <c r="CB4" s="46">
        <v>1</v>
      </c>
      <c r="CE4" s="46">
        <v>1</v>
      </c>
      <c r="CK4" s="46">
        <v>1</v>
      </c>
      <c r="CR4" s="46">
        <v>1</v>
      </c>
      <c r="CT4" s="139">
        <v>46454</v>
      </c>
    </row>
    <row r="5" spans="1:98">
      <c r="A5" s="46" t="s">
        <v>5899</v>
      </c>
      <c r="B5" s="46" t="s">
        <v>5900</v>
      </c>
      <c r="C5" s="46">
        <v>41</v>
      </c>
      <c r="D5" s="46" t="s">
        <v>5901</v>
      </c>
      <c r="E5" s="46" t="s">
        <v>5902</v>
      </c>
      <c r="F5" s="46" t="s">
        <v>112</v>
      </c>
      <c r="H5" s="46">
        <v>1</v>
      </c>
      <c r="O5" s="46">
        <v>1</v>
      </c>
      <c r="R5" s="46">
        <v>1</v>
      </c>
      <c r="T5" s="46">
        <v>1</v>
      </c>
      <c r="W5" s="46">
        <v>15</v>
      </c>
      <c r="X5" s="46">
        <v>18</v>
      </c>
      <c r="Y5" s="46">
        <v>19</v>
      </c>
      <c r="Z5" s="46">
        <v>10</v>
      </c>
      <c r="AA5" s="46">
        <v>9</v>
      </c>
      <c r="AB5" s="46">
        <v>9</v>
      </c>
      <c r="AF5" s="46">
        <v>1</v>
      </c>
      <c r="AI5" s="46">
        <v>1</v>
      </c>
      <c r="AM5" s="46">
        <v>1</v>
      </c>
      <c r="AT5" s="46">
        <v>1</v>
      </c>
      <c r="AX5" s="46">
        <v>1</v>
      </c>
      <c r="BA5" s="46">
        <v>1</v>
      </c>
      <c r="BL5" s="46">
        <v>1</v>
      </c>
      <c r="CC5" s="46">
        <v>1</v>
      </c>
      <c r="CE5" s="46">
        <v>1</v>
      </c>
      <c r="CK5" s="46">
        <v>1</v>
      </c>
      <c r="CR5" s="46">
        <v>1</v>
      </c>
      <c r="CT5" s="139">
        <v>46454</v>
      </c>
    </row>
    <row r="6" spans="1:98" hidden="1">
      <c r="A6" s="46" t="s">
        <v>5903</v>
      </c>
      <c r="B6" s="46" t="s">
        <v>5904</v>
      </c>
      <c r="C6" s="46">
        <v>28</v>
      </c>
      <c r="D6" s="46" t="s">
        <v>5905</v>
      </c>
      <c r="E6" s="46" t="s">
        <v>5906</v>
      </c>
      <c r="F6" s="46" t="s">
        <v>112</v>
      </c>
      <c r="I6" s="46">
        <v>1</v>
      </c>
      <c r="M6" s="46">
        <v>1</v>
      </c>
      <c r="R6" s="46">
        <v>1</v>
      </c>
      <c r="V6" s="46">
        <v>1</v>
      </c>
      <c r="W6" s="46">
        <v>14</v>
      </c>
      <c r="X6" s="46">
        <v>21</v>
      </c>
      <c r="Y6" s="46">
        <v>24</v>
      </c>
      <c r="Z6" s="46">
        <v>2</v>
      </c>
      <c r="AA6" s="46">
        <v>2</v>
      </c>
      <c r="AB6" s="46">
        <v>2</v>
      </c>
      <c r="AG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K6" s="46">
        <v>1</v>
      </c>
      <c r="CR6" s="46">
        <v>1</v>
      </c>
      <c r="CT6" s="139">
        <v>46454</v>
      </c>
    </row>
    <row r="7" spans="1:98" hidden="1">
      <c r="A7" s="46" t="s">
        <v>5907</v>
      </c>
      <c r="B7" s="46" t="s">
        <v>5908</v>
      </c>
      <c r="C7" s="46">
        <v>33</v>
      </c>
      <c r="D7" s="46" t="s">
        <v>1539</v>
      </c>
      <c r="E7" s="46" t="s">
        <v>5909</v>
      </c>
      <c r="F7" s="46" t="s">
        <v>112</v>
      </c>
      <c r="H7" s="46">
        <v>1</v>
      </c>
      <c r="M7" s="46">
        <v>1</v>
      </c>
      <c r="Q7" s="46">
        <v>1</v>
      </c>
      <c r="T7" s="46">
        <v>1</v>
      </c>
      <c r="W7" s="46">
        <v>14</v>
      </c>
      <c r="X7" s="46">
        <v>17</v>
      </c>
      <c r="Y7" s="46">
        <v>17</v>
      </c>
      <c r="Z7" s="46">
        <v>4</v>
      </c>
      <c r="AA7" s="46">
        <v>4</v>
      </c>
      <c r="AB7" s="46">
        <v>4</v>
      </c>
      <c r="AE7" s="46">
        <v>1</v>
      </c>
      <c r="AF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139">
        <v>46454</v>
      </c>
    </row>
    <row r="8" spans="1:98" hidden="1">
      <c r="A8" s="46" t="s">
        <v>5910</v>
      </c>
      <c r="B8" s="46" t="s">
        <v>5911</v>
      </c>
      <c r="C8" s="46">
        <v>34</v>
      </c>
      <c r="D8" s="46" t="s">
        <v>5912</v>
      </c>
      <c r="E8" s="46" t="s">
        <v>5913</v>
      </c>
      <c r="F8" s="46" t="s">
        <v>112</v>
      </c>
      <c r="G8" s="46">
        <v>1</v>
      </c>
      <c r="M8" s="46">
        <v>1</v>
      </c>
      <c r="R8" s="46">
        <v>1</v>
      </c>
      <c r="T8" s="46">
        <v>1</v>
      </c>
      <c r="W8" s="46">
        <v>15</v>
      </c>
      <c r="X8" s="46">
        <v>16</v>
      </c>
      <c r="Y8" s="46">
        <v>22</v>
      </c>
      <c r="Z8" s="46">
        <v>5</v>
      </c>
      <c r="AA8" s="46">
        <v>4</v>
      </c>
      <c r="AB8" s="46">
        <v>4</v>
      </c>
      <c r="AE8" s="46">
        <v>1</v>
      </c>
      <c r="AI8" s="46">
        <v>1</v>
      </c>
      <c r="AK8" s="46">
        <v>1</v>
      </c>
      <c r="AT8" s="46">
        <v>1</v>
      </c>
      <c r="AX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139">
        <v>46454</v>
      </c>
    </row>
    <row r="9" spans="1:98">
      <c r="A9" s="46" t="s">
        <v>5914</v>
      </c>
      <c r="B9" s="46" t="s">
        <v>5915</v>
      </c>
      <c r="C9" s="46">
        <v>41</v>
      </c>
      <c r="D9" s="46" t="s">
        <v>4322</v>
      </c>
      <c r="E9" s="46" t="s">
        <v>5916</v>
      </c>
      <c r="F9" s="46" t="s">
        <v>112</v>
      </c>
      <c r="H9" s="46">
        <v>1</v>
      </c>
      <c r="M9" s="46">
        <v>1</v>
      </c>
      <c r="R9" s="46">
        <v>1</v>
      </c>
      <c r="T9" s="46">
        <v>1</v>
      </c>
      <c r="W9" s="46">
        <v>15</v>
      </c>
      <c r="X9" s="46">
        <v>17</v>
      </c>
      <c r="Y9" s="46">
        <v>19</v>
      </c>
      <c r="Z9" s="46">
        <v>8</v>
      </c>
      <c r="AA9" s="46">
        <v>8</v>
      </c>
      <c r="AB9" s="46">
        <v>8</v>
      </c>
      <c r="AE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139">
        <v>46454</v>
      </c>
    </row>
    <row r="10" spans="1:98" hidden="1">
      <c r="A10" s="46" t="s">
        <v>5917</v>
      </c>
      <c r="B10" s="46" t="s">
        <v>5918</v>
      </c>
      <c r="C10" s="46">
        <v>28</v>
      </c>
      <c r="D10" s="46" t="s">
        <v>4322</v>
      </c>
      <c r="E10" s="46" t="s">
        <v>5919</v>
      </c>
      <c r="F10" s="46" t="s">
        <v>112</v>
      </c>
      <c r="G10" s="46">
        <v>1</v>
      </c>
      <c r="M10" s="46">
        <v>1</v>
      </c>
      <c r="T10" s="46">
        <v>1</v>
      </c>
      <c r="W10" s="46">
        <v>14</v>
      </c>
      <c r="X10" s="46">
        <v>15</v>
      </c>
      <c r="Y10" s="46">
        <v>20</v>
      </c>
      <c r="Z10" s="46">
        <v>3</v>
      </c>
      <c r="AA10" s="46">
        <v>3</v>
      </c>
      <c r="AB10" s="46">
        <v>2</v>
      </c>
      <c r="AC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139">
        <v>46454</v>
      </c>
    </row>
    <row r="11" spans="1:98" hidden="1">
      <c r="A11" s="46" t="s">
        <v>5920</v>
      </c>
      <c r="B11" s="46" t="s">
        <v>5921</v>
      </c>
      <c r="C11" s="46">
        <v>24</v>
      </c>
      <c r="D11" s="46" t="s">
        <v>5922</v>
      </c>
      <c r="E11" s="46" t="s">
        <v>5923</v>
      </c>
      <c r="F11" s="46" t="s">
        <v>112</v>
      </c>
      <c r="I11" s="46">
        <v>1</v>
      </c>
      <c r="L11" s="46">
        <v>1</v>
      </c>
      <c r="Q11" s="46">
        <v>1</v>
      </c>
      <c r="U11" s="46">
        <v>1</v>
      </c>
      <c r="W11" s="46">
        <v>17</v>
      </c>
      <c r="X11" s="46">
        <v>18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L11" s="46">
        <v>1</v>
      </c>
      <c r="CB11" s="46">
        <v>1</v>
      </c>
      <c r="CE11" s="46">
        <v>1</v>
      </c>
      <c r="CR11" s="46">
        <v>1</v>
      </c>
      <c r="CT11" s="139">
        <v>46454</v>
      </c>
    </row>
    <row r="12" spans="1:98">
      <c r="A12" s="46" t="s">
        <v>5924</v>
      </c>
      <c r="B12" s="46" t="s">
        <v>5925</v>
      </c>
      <c r="C12" s="46">
        <v>50</v>
      </c>
      <c r="D12" s="46" t="s">
        <v>5926</v>
      </c>
      <c r="F12" s="46" t="s">
        <v>112</v>
      </c>
      <c r="I12" s="46">
        <v>1</v>
      </c>
      <c r="Q12" s="46">
        <v>1</v>
      </c>
      <c r="T12" s="46">
        <v>1</v>
      </c>
      <c r="W12" s="46">
        <v>13</v>
      </c>
      <c r="X12" s="46">
        <v>14</v>
      </c>
      <c r="Y12" s="46">
        <v>16</v>
      </c>
      <c r="Z12" s="46">
        <v>7</v>
      </c>
      <c r="AA12" s="46">
        <v>6</v>
      </c>
      <c r="AB12" s="46">
        <v>6</v>
      </c>
      <c r="AC12" s="46">
        <v>1</v>
      </c>
      <c r="AI12" s="46">
        <v>1</v>
      </c>
      <c r="AK12" s="46">
        <v>1</v>
      </c>
      <c r="AT12" s="46">
        <v>1</v>
      </c>
      <c r="AX12" s="46">
        <v>1</v>
      </c>
      <c r="BA12" s="46">
        <v>1</v>
      </c>
      <c r="BL12" s="46">
        <v>1</v>
      </c>
      <c r="CB12" s="46">
        <v>1</v>
      </c>
      <c r="CE12" s="46">
        <v>1</v>
      </c>
      <c r="CR12" s="46">
        <v>1</v>
      </c>
      <c r="CT12" s="139">
        <v>46454</v>
      </c>
    </row>
    <row r="13" spans="1:98" hidden="1">
      <c r="A13" s="46" t="s">
        <v>5927</v>
      </c>
      <c r="B13" s="46" t="s">
        <v>5928</v>
      </c>
      <c r="C13" s="46">
        <v>64</v>
      </c>
      <c r="D13" s="46" t="s">
        <v>5929</v>
      </c>
      <c r="E13" s="46" t="s">
        <v>5930</v>
      </c>
      <c r="F13" s="46" t="s">
        <v>112</v>
      </c>
      <c r="H13" s="46">
        <v>1</v>
      </c>
      <c r="P13" s="46">
        <v>1</v>
      </c>
      <c r="Q13" s="46">
        <v>1</v>
      </c>
      <c r="T13" s="46">
        <v>1</v>
      </c>
      <c r="W13" s="46">
        <v>15</v>
      </c>
      <c r="X13" s="46">
        <v>16</v>
      </c>
      <c r="Y13" s="46">
        <v>17</v>
      </c>
      <c r="Z13" s="46">
        <v>6</v>
      </c>
      <c r="AA13" s="46">
        <v>6</v>
      </c>
      <c r="AB13" s="46">
        <v>6</v>
      </c>
      <c r="AH13" s="46">
        <v>1</v>
      </c>
      <c r="AJ13" s="46">
        <v>1</v>
      </c>
      <c r="AK13" s="46">
        <v>1</v>
      </c>
      <c r="AT13" s="46">
        <v>1</v>
      </c>
      <c r="AZ13" s="46">
        <v>1</v>
      </c>
      <c r="BA13" s="46">
        <v>1</v>
      </c>
      <c r="BL13" s="46">
        <v>1</v>
      </c>
      <c r="CB13" s="46">
        <v>1</v>
      </c>
      <c r="CE13" s="46">
        <v>1</v>
      </c>
      <c r="CR13" s="46">
        <v>1</v>
      </c>
      <c r="CT13" s="139">
        <v>46454</v>
      </c>
    </row>
  </sheetData>
  <autoFilter ref="A3:CT13">
    <filterColumn colId="2">
      <filters>
        <filter val="50"/>
        <filter val="41"/>
      </filters>
    </filterColumn>
  </autoFilter>
  <mergeCells count="1">
    <mergeCell ref="AV1:AZ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7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5747</v>
      </c>
      <c r="B3" s="69">
        <v>3</v>
      </c>
      <c r="C3" s="69">
        <v>0</v>
      </c>
      <c r="D3" s="69">
        <v>0</v>
      </c>
      <c r="E3" s="69">
        <f>SUM(B3:D3)</f>
        <v>3</v>
      </c>
      <c r="F3" s="70">
        <v>0</v>
      </c>
      <c r="G3" s="70">
        <v>2</v>
      </c>
      <c r="H3" s="70">
        <v>0</v>
      </c>
      <c r="I3" s="70">
        <v>0</v>
      </c>
      <c r="J3" s="71">
        <f>SUM(F3:I3)</f>
        <v>2</v>
      </c>
      <c r="K3" s="70">
        <v>1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1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</v>
      </c>
      <c r="AB3" s="73">
        <v>0</v>
      </c>
      <c r="AC3" s="73">
        <v>0</v>
      </c>
      <c r="AD3" s="73">
        <v>0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5377</v>
      </c>
      <c r="B4" s="69">
        <v>2</v>
      </c>
      <c r="C4" s="69">
        <v>0</v>
      </c>
      <c r="D4" s="69">
        <v>0</v>
      </c>
      <c r="E4" s="69">
        <f>SUM(B4:D4)</f>
        <v>2</v>
      </c>
      <c r="F4" s="70">
        <v>0</v>
      </c>
      <c r="G4" s="70">
        <v>2</v>
      </c>
      <c r="H4" s="70">
        <v>0</v>
      </c>
      <c r="I4" s="70">
        <v>0</v>
      </c>
      <c r="J4" s="71">
        <f>SUM(F4:I4)</f>
        <v>2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>SUM(K4:O4)</f>
        <v>0</v>
      </c>
      <c r="Q4" s="70">
        <v>0</v>
      </c>
      <c r="R4" s="70">
        <v>0</v>
      </c>
      <c r="S4" s="70">
        <v>0</v>
      </c>
      <c r="T4" s="71">
        <f>SUM(Q4:S4)</f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2</v>
      </c>
      <c r="AB4" s="73">
        <v>0</v>
      </c>
      <c r="AC4" s="73">
        <v>0</v>
      </c>
      <c r="AD4" s="73">
        <v>0</v>
      </c>
      <c r="AE4" s="186">
        <f>SUM(AA4,AB4,AC4,AD4)</f>
        <v>2</v>
      </c>
      <c r="AF4" s="73">
        <v>0</v>
      </c>
      <c r="AG4" s="73">
        <v>0</v>
      </c>
    </row>
    <row r="5" spans="1:33">
      <c r="A5" s="77" t="s">
        <v>5931</v>
      </c>
      <c r="B5" s="69">
        <v>2</v>
      </c>
      <c r="C5" s="69">
        <v>1</v>
      </c>
      <c r="D5" s="69">
        <v>1</v>
      </c>
      <c r="E5" s="69">
        <f>SUM(B5:D5)</f>
        <v>4</v>
      </c>
      <c r="F5" s="70">
        <v>0</v>
      </c>
      <c r="G5" s="70">
        <v>1</v>
      </c>
      <c r="H5" s="70">
        <v>0</v>
      </c>
      <c r="I5" s="70">
        <v>0</v>
      </c>
      <c r="J5" s="71">
        <f>SUM(F5:I5)</f>
        <v>1</v>
      </c>
      <c r="K5" s="70">
        <v>3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3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3</v>
      </c>
      <c r="AB5" s="73">
        <v>0</v>
      </c>
      <c r="AC5" s="73">
        <v>0</v>
      </c>
      <c r="AD5" s="73">
        <v>1</v>
      </c>
      <c r="AE5" s="186">
        <f>SUM(AA5,AB5,AC5,AD5)</f>
        <v>4</v>
      </c>
      <c r="AF5" s="73">
        <v>0</v>
      </c>
      <c r="AG5" s="73">
        <v>0</v>
      </c>
    </row>
    <row r="6" spans="1:33">
      <c r="A6" s="191" t="s">
        <v>926</v>
      </c>
      <c r="B6" s="69">
        <v>1</v>
      </c>
      <c r="C6" s="69">
        <v>0</v>
      </c>
      <c r="D6" s="69">
        <v>0</v>
      </c>
      <c r="E6" s="69">
        <f>SUM(B6:D6)</f>
        <v>1</v>
      </c>
      <c r="F6" s="70">
        <v>0</v>
      </c>
      <c r="G6" s="70">
        <v>0</v>
      </c>
      <c r="H6" s="70">
        <v>0</v>
      </c>
      <c r="I6" s="70">
        <v>0</v>
      </c>
      <c r="J6" s="71">
        <f>SUM(F6:I6)</f>
        <v>0</v>
      </c>
      <c r="K6" s="70">
        <v>1</v>
      </c>
      <c r="L6" s="70">
        <v>0</v>
      </c>
      <c r="M6" s="70">
        <v>0</v>
      </c>
      <c r="N6" s="70">
        <v>0</v>
      </c>
      <c r="O6" s="70">
        <v>0</v>
      </c>
      <c r="P6" s="71">
        <f>SUM(K6:O6)</f>
        <v>1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0</v>
      </c>
      <c r="AB6" s="73">
        <v>0</v>
      </c>
      <c r="AC6" s="73">
        <v>0</v>
      </c>
      <c r="AD6" s="73">
        <v>0</v>
      </c>
      <c r="AE6" s="186">
        <f>SUM(AA6,AB6,AC6,AD6)</f>
        <v>0</v>
      </c>
      <c r="AF6" s="73">
        <v>0</v>
      </c>
      <c r="AG6" s="73">
        <v>0</v>
      </c>
    </row>
    <row r="7" spans="1:33">
      <c r="A7" s="69" t="s">
        <v>376</v>
      </c>
      <c r="B7" s="69">
        <f t="shared" ref="B7:I7" si="0">SUM(B3:B6)</f>
        <v>8</v>
      </c>
      <c r="C7" s="69">
        <f t="shared" si="0"/>
        <v>1</v>
      </c>
      <c r="D7" s="69">
        <f t="shared" si="0"/>
        <v>1</v>
      </c>
      <c r="E7" s="69">
        <f t="shared" si="0"/>
        <v>10</v>
      </c>
      <c r="F7" s="69">
        <f t="shared" si="0"/>
        <v>0</v>
      </c>
      <c r="G7" s="69">
        <f t="shared" si="0"/>
        <v>5</v>
      </c>
      <c r="H7" s="69">
        <f t="shared" si="0"/>
        <v>0</v>
      </c>
      <c r="I7" s="69">
        <f t="shared" si="0"/>
        <v>0</v>
      </c>
      <c r="J7" s="71">
        <f>SUM(F7:I7)</f>
        <v>5</v>
      </c>
      <c r="K7" s="114">
        <f>SUM(K3:K6)</f>
        <v>5</v>
      </c>
      <c r="L7" s="114">
        <f>SUM(L3:L6)</f>
        <v>0</v>
      </c>
      <c r="M7" s="114">
        <f>SUM(M3:M6)</f>
        <v>0</v>
      </c>
      <c r="N7" s="114">
        <f>SUM(N3:N6)</f>
        <v>0</v>
      </c>
      <c r="O7" s="114">
        <f>SUM(O3:O6)</f>
        <v>0</v>
      </c>
      <c r="P7" s="71">
        <f>SUM(K7:N7)</f>
        <v>5</v>
      </c>
      <c r="Q7" s="114">
        <f t="shared" ref="Q7:AG7" si="1">SUM(Q3:Q6)</f>
        <v>0</v>
      </c>
      <c r="R7" s="114">
        <f t="shared" si="1"/>
        <v>0</v>
      </c>
      <c r="S7" s="114">
        <f t="shared" si="1"/>
        <v>1</v>
      </c>
      <c r="T7" s="71">
        <f t="shared" si="1"/>
        <v>1</v>
      </c>
      <c r="U7" s="114">
        <f t="shared" si="1"/>
        <v>0</v>
      </c>
      <c r="V7" s="114">
        <f t="shared" si="1"/>
        <v>0</v>
      </c>
      <c r="W7" s="114">
        <f t="shared" si="1"/>
        <v>0</v>
      </c>
      <c r="X7" s="114">
        <f t="shared" si="1"/>
        <v>0</v>
      </c>
      <c r="Y7" s="114">
        <f t="shared" si="1"/>
        <v>0</v>
      </c>
      <c r="Z7" s="114">
        <f t="shared" si="1"/>
        <v>0</v>
      </c>
      <c r="AA7" s="114">
        <f t="shared" si="1"/>
        <v>6</v>
      </c>
      <c r="AB7" s="114">
        <f t="shared" si="1"/>
        <v>0</v>
      </c>
      <c r="AC7" s="114">
        <f t="shared" si="1"/>
        <v>0</v>
      </c>
      <c r="AD7" s="114">
        <f t="shared" si="1"/>
        <v>1</v>
      </c>
      <c r="AE7" s="73">
        <f t="shared" si="1"/>
        <v>7</v>
      </c>
      <c r="AF7" s="73">
        <f t="shared" si="1"/>
        <v>0</v>
      </c>
      <c r="AG7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28"/>
  <sheetViews>
    <sheetView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/>
  <cols>
    <col min="2" max="2" width="28.42578125" customWidth="1"/>
  </cols>
  <sheetData>
    <row r="1" spans="1:98">
      <c r="A1" s="189" t="s">
        <v>5932</v>
      </c>
      <c r="B1" s="143"/>
      <c r="C1" s="231" t="s">
        <v>5933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509" t="s">
        <v>13</v>
      </c>
      <c r="AW1" s="481"/>
      <c r="AX1" s="481"/>
      <c r="AY1" s="481"/>
      <c r="AZ1" s="480"/>
      <c r="BA1" s="176" t="s">
        <v>14</v>
      </c>
      <c r="BB1" s="143"/>
      <c r="BC1" s="143"/>
      <c r="BD1" s="175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176" t="s">
        <v>17</v>
      </c>
      <c r="BQ1" s="143"/>
      <c r="BR1" s="143"/>
      <c r="BS1" s="143" t="s">
        <v>18</v>
      </c>
      <c r="BT1" s="143"/>
      <c r="BU1" s="143"/>
      <c r="BV1" s="143"/>
      <c r="BW1" s="176" t="s">
        <v>19</v>
      </c>
      <c r="BX1" s="143"/>
      <c r="BY1" s="143"/>
      <c r="BZ1" s="143"/>
      <c r="CA1" s="143"/>
      <c r="CB1" s="176" t="s">
        <v>20</v>
      </c>
      <c r="CC1" s="143"/>
      <c r="CD1" s="143"/>
      <c r="CE1" s="176" t="s">
        <v>21</v>
      </c>
      <c r="CF1" s="143"/>
      <c r="CG1" s="143" t="s">
        <v>22</v>
      </c>
      <c r="CH1" s="176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176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78" t="s">
        <v>15</v>
      </c>
      <c r="BH2" s="147"/>
      <c r="BI2" s="150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238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238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5934</v>
      </c>
      <c r="B4" s="46" t="s">
        <v>5935</v>
      </c>
      <c r="C4" s="46">
        <v>39</v>
      </c>
      <c r="D4" s="46" t="s">
        <v>5936</v>
      </c>
      <c r="E4" s="46" t="s">
        <v>5937</v>
      </c>
      <c r="F4" s="46" t="s">
        <v>112</v>
      </c>
      <c r="H4" s="46">
        <v>1</v>
      </c>
      <c r="M4" s="46">
        <v>1</v>
      </c>
      <c r="R4" s="46">
        <v>1</v>
      </c>
      <c r="T4" s="46">
        <v>1</v>
      </c>
      <c r="W4" s="46">
        <v>13</v>
      </c>
      <c r="X4" s="46">
        <v>14</v>
      </c>
      <c r="Y4" s="46">
        <v>15</v>
      </c>
      <c r="Z4" s="46">
        <v>8</v>
      </c>
      <c r="AA4" s="46">
        <v>6</v>
      </c>
      <c r="AB4" s="46">
        <v>6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R4" s="46">
        <v>1</v>
      </c>
      <c r="CT4" s="139">
        <v>46638</v>
      </c>
    </row>
    <row r="5" spans="1:98" hidden="1">
      <c r="A5" s="46" t="s">
        <v>5938</v>
      </c>
      <c r="B5" s="46" t="s">
        <v>5939</v>
      </c>
      <c r="C5" s="46">
        <v>24</v>
      </c>
      <c r="D5" s="46" t="s">
        <v>5940</v>
      </c>
      <c r="E5" s="46" t="s">
        <v>5941</v>
      </c>
      <c r="F5" s="46" t="s">
        <v>112</v>
      </c>
      <c r="I5" s="46">
        <v>1</v>
      </c>
      <c r="M5" s="46">
        <v>1</v>
      </c>
      <c r="Q5" s="46">
        <v>1</v>
      </c>
      <c r="U5" s="46">
        <v>1</v>
      </c>
      <c r="W5" s="46">
        <v>14</v>
      </c>
      <c r="X5" s="46">
        <v>16</v>
      </c>
      <c r="Y5" s="46">
        <v>16</v>
      </c>
      <c r="Z5" s="46">
        <v>3</v>
      </c>
      <c r="AA5" s="46">
        <v>2</v>
      </c>
      <c r="AB5" s="46">
        <v>2</v>
      </c>
      <c r="AE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R5" s="46">
        <v>1</v>
      </c>
      <c r="CT5" s="139">
        <v>46638</v>
      </c>
    </row>
    <row r="6" spans="1:98" hidden="1">
      <c r="A6" s="46" t="s">
        <v>5942</v>
      </c>
      <c r="B6" s="46" t="s">
        <v>5943</v>
      </c>
      <c r="C6" s="46">
        <v>28</v>
      </c>
      <c r="D6" s="46" t="s">
        <v>5944</v>
      </c>
      <c r="E6" s="46" t="s">
        <v>5945</v>
      </c>
      <c r="F6" s="46" t="s">
        <v>5946</v>
      </c>
      <c r="J6" s="46">
        <v>1</v>
      </c>
      <c r="M6" s="46">
        <v>1</v>
      </c>
      <c r="Q6" s="46">
        <v>1</v>
      </c>
      <c r="U6" s="46">
        <v>1</v>
      </c>
      <c r="W6" s="46">
        <v>13</v>
      </c>
      <c r="X6" s="46">
        <v>18</v>
      </c>
      <c r="Y6" s="46">
        <v>24</v>
      </c>
      <c r="Z6" s="46">
        <v>1</v>
      </c>
      <c r="AA6" s="46">
        <v>1</v>
      </c>
      <c r="AB6" s="46">
        <v>1</v>
      </c>
      <c r="AE6" s="46">
        <v>1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R6" s="46">
        <v>1</v>
      </c>
      <c r="CT6" s="139">
        <v>46638</v>
      </c>
    </row>
    <row r="7" spans="1:98" hidden="1">
      <c r="A7" s="46" t="s">
        <v>5947</v>
      </c>
      <c r="B7" s="46" t="s">
        <v>5948</v>
      </c>
      <c r="C7" s="46">
        <v>21</v>
      </c>
      <c r="D7" s="46" t="s">
        <v>5944</v>
      </c>
      <c r="E7" s="46" t="s">
        <v>5949</v>
      </c>
      <c r="F7" s="46" t="s">
        <v>162</v>
      </c>
      <c r="I7" s="46">
        <v>1</v>
      </c>
      <c r="M7" s="46">
        <v>1</v>
      </c>
      <c r="Q7" s="46">
        <v>1</v>
      </c>
      <c r="U7" s="46">
        <v>1</v>
      </c>
      <c r="W7" s="46">
        <v>11</v>
      </c>
      <c r="X7" s="46">
        <v>16</v>
      </c>
      <c r="Y7" s="46">
        <v>18</v>
      </c>
      <c r="Z7" s="46">
        <v>2</v>
      </c>
      <c r="AA7" s="46">
        <v>1</v>
      </c>
      <c r="AB7" s="46">
        <v>1</v>
      </c>
      <c r="AE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139">
        <v>46638</v>
      </c>
    </row>
    <row r="8" spans="1:98" hidden="1">
      <c r="A8" s="46" t="s">
        <v>5950</v>
      </c>
      <c r="B8" s="46" t="s">
        <v>2536</v>
      </c>
      <c r="C8" s="46">
        <v>25</v>
      </c>
      <c r="D8" s="46" t="s">
        <v>5951</v>
      </c>
      <c r="E8" s="46" t="s">
        <v>5952</v>
      </c>
      <c r="F8" s="46" t="s">
        <v>112</v>
      </c>
      <c r="J8" s="46">
        <v>1</v>
      </c>
      <c r="O8" s="46">
        <v>1</v>
      </c>
      <c r="R8" s="46">
        <v>1</v>
      </c>
      <c r="T8" s="46">
        <v>1</v>
      </c>
      <c r="W8" s="46">
        <v>12</v>
      </c>
      <c r="X8" s="46">
        <v>16</v>
      </c>
      <c r="Y8" s="46">
        <v>16</v>
      </c>
      <c r="Z8" s="46">
        <v>2</v>
      </c>
      <c r="AA8" s="46">
        <v>2</v>
      </c>
      <c r="AB8" s="46">
        <v>2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139">
        <v>46638</v>
      </c>
    </row>
    <row r="9" spans="1:98" hidden="1">
      <c r="A9" s="46" t="s">
        <v>5953</v>
      </c>
      <c r="B9" s="46" t="s">
        <v>5954</v>
      </c>
      <c r="C9" s="46">
        <v>28</v>
      </c>
      <c r="D9" s="46" t="s">
        <v>5936</v>
      </c>
      <c r="E9" s="46" t="s">
        <v>5955</v>
      </c>
      <c r="F9" s="46" t="s">
        <v>112</v>
      </c>
      <c r="H9" s="46">
        <v>1</v>
      </c>
      <c r="M9" s="46">
        <v>1</v>
      </c>
      <c r="Q9" s="46">
        <v>1</v>
      </c>
      <c r="T9" s="46">
        <v>1</v>
      </c>
      <c r="W9" s="46">
        <v>12</v>
      </c>
      <c r="X9" s="46">
        <v>19</v>
      </c>
      <c r="Y9" s="46">
        <v>19</v>
      </c>
      <c r="Z9" s="46">
        <v>5</v>
      </c>
      <c r="AA9" s="46">
        <v>4</v>
      </c>
      <c r="AB9" s="46">
        <v>4</v>
      </c>
      <c r="AG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BY9" s="46">
        <v>1</v>
      </c>
      <c r="CB9" s="46">
        <v>1</v>
      </c>
      <c r="CE9" s="46">
        <v>1</v>
      </c>
      <c r="CK9" s="46">
        <v>1</v>
      </c>
      <c r="CR9" s="46">
        <v>1</v>
      </c>
      <c r="CT9" s="139">
        <v>46638</v>
      </c>
    </row>
    <row r="10" spans="1:98">
      <c r="A10" s="46" t="s">
        <v>5956</v>
      </c>
      <c r="B10" s="46" t="s">
        <v>5957</v>
      </c>
      <c r="C10" s="46">
        <v>49</v>
      </c>
      <c r="D10" s="46" t="s">
        <v>5958</v>
      </c>
      <c r="E10" s="46" t="s">
        <v>5959</v>
      </c>
      <c r="F10" s="46" t="s">
        <v>112</v>
      </c>
      <c r="H10" s="46">
        <v>1</v>
      </c>
      <c r="O10" s="46">
        <v>1</v>
      </c>
      <c r="R10" s="46">
        <v>1</v>
      </c>
      <c r="T10" s="46">
        <v>1</v>
      </c>
      <c r="W10" s="46">
        <v>13</v>
      </c>
      <c r="X10" s="46">
        <v>15</v>
      </c>
      <c r="Y10" s="46">
        <v>16</v>
      </c>
      <c r="Z10" s="46">
        <v>5</v>
      </c>
      <c r="AA10" s="46">
        <v>5</v>
      </c>
      <c r="AB10" s="46">
        <v>4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139">
        <v>46638</v>
      </c>
    </row>
    <row r="11" spans="1:98" hidden="1">
      <c r="A11" s="46" t="s">
        <v>5960</v>
      </c>
      <c r="B11" s="46" t="s">
        <v>5961</v>
      </c>
      <c r="C11" s="46">
        <v>20</v>
      </c>
      <c r="D11" s="46" t="s">
        <v>1162</v>
      </c>
      <c r="E11" s="46" t="s">
        <v>5962</v>
      </c>
      <c r="F11" s="46" t="s">
        <v>112</v>
      </c>
      <c r="J11" s="46">
        <v>1</v>
      </c>
      <c r="N11" s="46">
        <v>1</v>
      </c>
      <c r="Q11" s="46">
        <v>1</v>
      </c>
      <c r="T11" s="46">
        <v>1</v>
      </c>
      <c r="Y11" s="46">
        <v>16</v>
      </c>
      <c r="Z11" s="46">
        <v>2</v>
      </c>
      <c r="AA11" s="46">
        <v>2</v>
      </c>
      <c r="AB11" s="46">
        <v>2</v>
      </c>
      <c r="AE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139">
        <v>46607</v>
      </c>
    </row>
    <row r="12" spans="1:98" hidden="1">
      <c r="A12" s="46" t="s">
        <v>5963</v>
      </c>
      <c r="B12" s="46" t="s">
        <v>5964</v>
      </c>
      <c r="C12" s="46">
        <v>35</v>
      </c>
      <c r="D12" s="46" t="s">
        <v>5940</v>
      </c>
      <c r="E12" s="46" t="s">
        <v>5965</v>
      </c>
      <c r="F12" s="46" t="s">
        <v>173</v>
      </c>
      <c r="I12" s="46">
        <v>1</v>
      </c>
      <c r="L12" s="46">
        <v>1</v>
      </c>
      <c r="Q12" s="46">
        <v>1</v>
      </c>
      <c r="V12" s="46">
        <v>1</v>
      </c>
      <c r="W12" s="46">
        <v>14</v>
      </c>
      <c r="X12" s="46">
        <v>21</v>
      </c>
      <c r="Y12" s="46">
        <v>21</v>
      </c>
      <c r="Z12" s="46">
        <v>2</v>
      </c>
      <c r="AA12" s="46">
        <v>2</v>
      </c>
      <c r="AB12" s="46">
        <v>2</v>
      </c>
      <c r="AC12" s="46">
        <v>1</v>
      </c>
      <c r="AI12" s="46">
        <v>1</v>
      </c>
      <c r="AK12" s="46">
        <v>1</v>
      </c>
      <c r="AT12" s="46">
        <v>1</v>
      </c>
      <c r="AX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R12" s="46">
        <v>1</v>
      </c>
      <c r="CT12" s="139">
        <v>46607</v>
      </c>
    </row>
    <row r="13" spans="1:98" hidden="1">
      <c r="A13" s="46" t="s">
        <v>5966</v>
      </c>
      <c r="B13" s="46" t="s">
        <v>5967</v>
      </c>
      <c r="C13" s="46">
        <v>18</v>
      </c>
      <c r="D13" s="46" t="s">
        <v>2360</v>
      </c>
      <c r="E13" s="46" t="s">
        <v>5968</v>
      </c>
      <c r="I13" s="46">
        <v>1</v>
      </c>
      <c r="L13" s="46">
        <v>1</v>
      </c>
      <c r="Q13" s="46">
        <v>1</v>
      </c>
      <c r="U13" s="46">
        <v>1</v>
      </c>
      <c r="W13" s="46">
        <v>12</v>
      </c>
      <c r="X13" s="46">
        <v>15</v>
      </c>
      <c r="Y13" s="46">
        <v>16</v>
      </c>
      <c r="Z13" s="46">
        <v>1</v>
      </c>
      <c r="AA13" s="46">
        <v>1</v>
      </c>
      <c r="AB13" s="46">
        <v>1</v>
      </c>
      <c r="AE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Y13" s="46">
        <v>1</v>
      </c>
      <c r="CB13" s="46">
        <v>1</v>
      </c>
      <c r="CE13" s="46">
        <v>1</v>
      </c>
      <c r="CL13" s="46">
        <v>1</v>
      </c>
      <c r="CR13" s="46">
        <v>1</v>
      </c>
      <c r="CT13" s="46">
        <v>2024</v>
      </c>
    </row>
    <row r="14" spans="1:98">
      <c r="A14" s="46" t="s">
        <v>5969</v>
      </c>
      <c r="B14" s="46" t="s">
        <v>5970</v>
      </c>
      <c r="C14" s="46">
        <v>49</v>
      </c>
      <c r="D14" s="46" t="s">
        <v>5940</v>
      </c>
      <c r="E14" s="46" t="s">
        <v>5971</v>
      </c>
      <c r="F14" s="46" t="s">
        <v>112</v>
      </c>
      <c r="I14" s="46">
        <v>1</v>
      </c>
      <c r="O14" s="46">
        <v>1</v>
      </c>
      <c r="R14" s="46">
        <v>1</v>
      </c>
      <c r="T14" s="46">
        <v>1</v>
      </c>
      <c r="W14" s="46">
        <v>18</v>
      </c>
      <c r="X14" s="46">
        <v>20</v>
      </c>
      <c r="Y14" s="46">
        <v>40</v>
      </c>
      <c r="Z14" s="46">
        <v>2</v>
      </c>
      <c r="AA14" s="46">
        <v>1</v>
      </c>
      <c r="AB14" s="46">
        <v>1</v>
      </c>
      <c r="AG14" s="46">
        <v>1</v>
      </c>
      <c r="AI14" s="46">
        <v>1</v>
      </c>
      <c r="AK14" s="46">
        <v>1</v>
      </c>
      <c r="AT14" s="46">
        <v>1</v>
      </c>
      <c r="AW14" s="46">
        <v>1</v>
      </c>
      <c r="BB14" s="46">
        <v>1</v>
      </c>
      <c r="BG14" s="46">
        <v>1</v>
      </c>
      <c r="CB14" s="46">
        <v>1</v>
      </c>
      <c r="CE14" s="46">
        <v>1</v>
      </c>
      <c r="CK14" s="46">
        <v>1</v>
      </c>
      <c r="CR14" s="46">
        <v>1</v>
      </c>
      <c r="CT14" s="139">
        <v>46638</v>
      </c>
    </row>
    <row r="15" spans="1:98" hidden="1">
      <c r="A15" s="46" t="s">
        <v>5972</v>
      </c>
      <c r="B15" s="46" t="s">
        <v>5973</v>
      </c>
      <c r="C15" s="46">
        <v>24</v>
      </c>
      <c r="D15" s="46" t="s">
        <v>5951</v>
      </c>
      <c r="E15" s="46" t="s">
        <v>5974</v>
      </c>
      <c r="F15" s="46" t="s">
        <v>112</v>
      </c>
      <c r="I15" s="46">
        <v>1</v>
      </c>
      <c r="O15" s="46">
        <v>1</v>
      </c>
      <c r="R15" s="46">
        <v>1</v>
      </c>
      <c r="S15" s="46">
        <v>1</v>
      </c>
      <c r="Y15" s="46">
        <v>16</v>
      </c>
      <c r="Z15" s="46">
        <v>2</v>
      </c>
      <c r="AA15" s="46">
        <v>2</v>
      </c>
      <c r="AB15" s="46">
        <v>2</v>
      </c>
      <c r="AE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CB15" s="46">
        <v>1</v>
      </c>
      <c r="CE15" s="46">
        <v>1</v>
      </c>
      <c r="CK15" s="46">
        <v>1</v>
      </c>
      <c r="CR15" s="46">
        <v>1</v>
      </c>
      <c r="CT15" s="139">
        <v>46638</v>
      </c>
    </row>
    <row r="16" spans="1:98" hidden="1">
      <c r="A16" s="46" t="s">
        <v>5975</v>
      </c>
      <c r="B16" s="46" t="s">
        <v>5976</v>
      </c>
      <c r="C16" s="46">
        <v>17</v>
      </c>
      <c r="D16" s="46" t="s">
        <v>1149</v>
      </c>
      <c r="F16" s="46" t="s">
        <v>1045</v>
      </c>
      <c r="H16" s="46">
        <v>1</v>
      </c>
      <c r="N16" s="46">
        <v>1</v>
      </c>
      <c r="Q16" s="46">
        <v>1</v>
      </c>
      <c r="T16" s="46">
        <v>1</v>
      </c>
      <c r="W16" s="46">
        <v>14</v>
      </c>
      <c r="X16" s="46">
        <v>16</v>
      </c>
      <c r="AD16" s="46">
        <v>1</v>
      </c>
      <c r="AE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CB16" s="46">
        <v>1</v>
      </c>
      <c r="CE16" s="46">
        <v>1</v>
      </c>
      <c r="CK16" s="46">
        <v>1</v>
      </c>
      <c r="CR16" s="46">
        <v>1</v>
      </c>
      <c r="CT16" s="139">
        <v>46607</v>
      </c>
    </row>
    <row r="17" spans="1:98" hidden="1">
      <c r="A17" s="46" t="s">
        <v>5977</v>
      </c>
      <c r="B17" s="46" t="s">
        <v>5978</v>
      </c>
      <c r="C17" s="46">
        <v>19</v>
      </c>
      <c r="D17" s="46" t="s">
        <v>1459</v>
      </c>
      <c r="E17" s="46" t="s">
        <v>5979</v>
      </c>
      <c r="F17" s="46" t="s">
        <v>107</v>
      </c>
      <c r="I17" s="46">
        <v>1</v>
      </c>
      <c r="L17" s="46">
        <v>1</v>
      </c>
      <c r="Q17" s="46">
        <v>1</v>
      </c>
      <c r="V17" s="46">
        <v>1</v>
      </c>
      <c r="W17" s="46">
        <v>13</v>
      </c>
      <c r="AG17" s="46">
        <v>1</v>
      </c>
      <c r="AI17" s="46">
        <v>1</v>
      </c>
      <c r="AK17" s="46">
        <v>1</v>
      </c>
      <c r="AT17" s="46">
        <v>1</v>
      </c>
      <c r="AV17" s="46">
        <v>1</v>
      </c>
      <c r="BA17" s="46">
        <v>1</v>
      </c>
      <c r="CC17" s="46">
        <v>1</v>
      </c>
      <c r="CE17" s="46">
        <v>1</v>
      </c>
      <c r="CL17" s="46">
        <v>1</v>
      </c>
      <c r="CR17" s="46">
        <v>1</v>
      </c>
      <c r="CT17" s="46">
        <v>2024</v>
      </c>
    </row>
    <row r="18" spans="1:98" hidden="1">
      <c r="A18" s="46" t="s">
        <v>5980</v>
      </c>
      <c r="B18" s="46" t="s">
        <v>5981</v>
      </c>
      <c r="C18" s="46">
        <v>22</v>
      </c>
      <c r="D18" s="46" t="s">
        <v>2360</v>
      </c>
      <c r="E18" s="46" t="s">
        <v>5982</v>
      </c>
      <c r="F18" s="46" t="s">
        <v>112</v>
      </c>
      <c r="I18" s="46">
        <v>1</v>
      </c>
      <c r="N18" s="46">
        <v>1</v>
      </c>
      <c r="Q18" s="46">
        <v>1</v>
      </c>
      <c r="U18" s="46">
        <v>1</v>
      </c>
      <c r="W18" s="46">
        <v>16</v>
      </c>
      <c r="X18" s="46">
        <v>16</v>
      </c>
      <c r="Y18" s="46">
        <v>17</v>
      </c>
      <c r="Z18" s="46">
        <v>1</v>
      </c>
      <c r="AA18" s="46">
        <v>1</v>
      </c>
      <c r="AB18" s="46">
        <v>1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BY18" s="46">
        <v>1</v>
      </c>
      <c r="CB18" s="46">
        <v>1</v>
      </c>
      <c r="CE18" s="46">
        <v>1</v>
      </c>
      <c r="CR18" s="46">
        <v>1</v>
      </c>
      <c r="CT18" s="139">
        <v>46638</v>
      </c>
    </row>
    <row r="19" spans="1:98">
      <c r="A19" s="46" t="s">
        <v>5983</v>
      </c>
      <c r="B19" s="46" t="s">
        <v>5984</v>
      </c>
      <c r="C19" s="46">
        <v>42</v>
      </c>
      <c r="D19" s="46" t="s">
        <v>5936</v>
      </c>
      <c r="E19" s="46" t="s">
        <v>5985</v>
      </c>
      <c r="F19" s="46" t="s">
        <v>112</v>
      </c>
      <c r="I19" s="46">
        <v>1</v>
      </c>
      <c r="M19" s="46">
        <v>1</v>
      </c>
      <c r="R19" s="46">
        <v>1</v>
      </c>
      <c r="U19" s="46">
        <v>1</v>
      </c>
      <c r="W19" s="46">
        <v>13</v>
      </c>
      <c r="X19" s="46">
        <v>18</v>
      </c>
      <c r="Y19" s="46">
        <v>20</v>
      </c>
      <c r="Z19" s="46">
        <v>4</v>
      </c>
      <c r="AA19" s="46">
        <v>4</v>
      </c>
      <c r="AB19" s="46">
        <v>4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R19" s="46">
        <v>1</v>
      </c>
      <c r="CT19" s="139">
        <v>46638</v>
      </c>
    </row>
    <row r="20" spans="1:98" hidden="1">
      <c r="A20" s="46" t="s">
        <v>5986</v>
      </c>
      <c r="B20" s="46" t="s">
        <v>5987</v>
      </c>
      <c r="C20" s="46">
        <v>25</v>
      </c>
      <c r="D20" s="46" t="s">
        <v>2360</v>
      </c>
      <c r="E20" s="46" t="s">
        <v>5988</v>
      </c>
      <c r="F20" s="46" t="s">
        <v>112</v>
      </c>
      <c r="J20" s="46">
        <v>1</v>
      </c>
      <c r="M20" s="46">
        <v>1</v>
      </c>
      <c r="Q20" s="46">
        <v>1</v>
      </c>
      <c r="U20" s="46">
        <v>1</v>
      </c>
      <c r="W20" s="46">
        <v>13</v>
      </c>
      <c r="X20" s="46">
        <v>17</v>
      </c>
      <c r="AE20" s="46">
        <v>1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R20" s="46">
        <v>1</v>
      </c>
      <c r="CT20" s="139">
        <v>46638</v>
      </c>
    </row>
    <row r="21" spans="1:98" hidden="1">
      <c r="A21" s="46" t="s">
        <v>5989</v>
      </c>
      <c r="B21" s="46" t="s">
        <v>5990</v>
      </c>
      <c r="C21" s="46">
        <v>27</v>
      </c>
      <c r="D21" s="46" t="s">
        <v>1459</v>
      </c>
      <c r="E21" s="46" t="s">
        <v>5991</v>
      </c>
      <c r="F21" s="46" t="s">
        <v>112</v>
      </c>
      <c r="G21" s="46">
        <v>1</v>
      </c>
      <c r="O21" s="46">
        <v>1</v>
      </c>
      <c r="R21" s="46">
        <v>1</v>
      </c>
      <c r="U21" s="46">
        <v>1</v>
      </c>
      <c r="W21" s="46">
        <v>13</v>
      </c>
      <c r="X21" s="46">
        <v>16</v>
      </c>
      <c r="Y21" s="46">
        <v>18</v>
      </c>
      <c r="Z21" s="46">
        <v>3</v>
      </c>
      <c r="AA21" s="46">
        <v>2</v>
      </c>
      <c r="AB21" s="46">
        <v>2</v>
      </c>
      <c r="AH21" s="46">
        <v>1</v>
      </c>
      <c r="AI21" s="46">
        <v>1</v>
      </c>
      <c r="AK21" s="46">
        <v>1</v>
      </c>
      <c r="AT21" s="46">
        <v>1</v>
      </c>
      <c r="AY21" s="46">
        <v>1</v>
      </c>
      <c r="BA21" s="46">
        <v>1</v>
      </c>
      <c r="BK21" s="46">
        <v>1</v>
      </c>
      <c r="CB21" s="46">
        <v>1</v>
      </c>
      <c r="CE21" s="46">
        <v>1</v>
      </c>
      <c r="CR21" s="46">
        <v>1</v>
      </c>
      <c r="CT21" s="139">
        <v>46638</v>
      </c>
    </row>
    <row r="22" spans="1:98" hidden="1">
      <c r="A22" s="46" t="s">
        <v>5992</v>
      </c>
      <c r="B22" s="46" t="s">
        <v>5993</v>
      </c>
      <c r="C22" s="46">
        <v>33</v>
      </c>
      <c r="D22" s="46" t="s">
        <v>1459</v>
      </c>
      <c r="E22" s="46" t="s">
        <v>5994</v>
      </c>
      <c r="F22" s="46" t="s">
        <v>112</v>
      </c>
      <c r="I22" s="46">
        <v>1</v>
      </c>
      <c r="M22" s="46">
        <v>1</v>
      </c>
      <c r="Q22" s="46">
        <v>1</v>
      </c>
      <c r="T22" s="46">
        <v>1</v>
      </c>
      <c r="W22" s="46">
        <v>17</v>
      </c>
      <c r="X22" s="46">
        <v>20</v>
      </c>
      <c r="Y22" s="46">
        <v>21</v>
      </c>
      <c r="Z22" s="46">
        <v>3</v>
      </c>
      <c r="AA22" s="46">
        <v>3</v>
      </c>
      <c r="AB22" s="46">
        <v>3</v>
      </c>
      <c r="AC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CB22" s="46">
        <v>1</v>
      </c>
      <c r="CE22" s="46">
        <v>1</v>
      </c>
      <c r="CR22" s="46">
        <v>1</v>
      </c>
      <c r="CT22" s="139">
        <v>46638</v>
      </c>
    </row>
    <row r="23" spans="1:98" hidden="1">
      <c r="A23" s="46" t="s">
        <v>5995</v>
      </c>
      <c r="B23" s="46" t="s">
        <v>5996</v>
      </c>
      <c r="C23" s="46">
        <v>31</v>
      </c>
      <c r="D23" s="46" t="s">
        <v>1459</v>
      </c>
      <c r="E23" s="46" t="s">
        <v>5997</v>
      </c>
      <c r="F23" s="46" t="s">
        <v>107</v>
      </c>
      <c r="I23" s="46">
        <v>1</v>
      </c>
      <c r="P23" s="46">
        <v>1</v>
      </c>
      <c r="R23" s="46">
        <v>1</v>
      </c>
      <c r="T23" s="46">
        <v>1</v>
      </c>
      <c r="W23" s="46">
        <v>15</v>
      </c>
      <c r="X23" s="46">
        <v>14</v>
      </c>
      <c r="Y23" s="46">
        <v>15</v>
      </c>
      <c r="Z23" s="46">
        <v>4</v>
      </c>
      <c r="AA23" s="46">
        <v>4</v>
      </c>
      <c r="AB23" s="46">
        <v>4</v>
      </c>
      <c r="AC23" s="46">
        <v>1</v>
      </c>
      <c r="AI23" s="46">
        <v>1</v>
      </c>
      <c r="AL23" s="46">
        <v>1</v>
      </c>
      <c r="AP23" s="46">
        <v>1</v>
      </c>
      <c r="AS23" s="46">
        <v>1</v>
      </c>
      <c r="AT23" s="46">
        <v>1</v>
      </c>
      <c r="AW23" s="46">
        <v>1</v>
      </c>
      <c r="BB23" s="46">
        <v>1</v>
      </c>
      <c r="BG23" s="46">
        <v>1</v>
      </c>
      <c r="BK23" s="46">
        <v>1</v>
      </c>
      <c r="CB23" s="46">
        <v>1</v>
      </c>
      <c r="CF23" s="46">
        <v>1</v>
      </c>
      <c r="CG23" s="46">
        <v>2022</v>
      </c>
      <c r="CI23" s="46">
        <v>1</v>
      </c>
      <c r="CR23" s="46">
        <v>1</v>
      </c>
      <c r="CT23" s="139">
        <v>46638</v>
      </c>
    </row>
    <row r="24" spans="1:98" hidden="1">
      <c r="A24" s="46" t="s">
        <v>5998</v>
      </c>
      <c r="B24" s="46" t="s">
        <v>5999</v>
      </c>
      <c r="C24" s="46">
        <v>67</v>
      </c>
      <c r="D24" s="46" t="s">
        <v>5944</v>
      </c>
      <c r="E24" s="46" t="s">
        <v>6000</v>
      </c>
      <c r="F24" s="46" t="s">
        <v>3067</v>
      </c>
      <c r="H24" s="46">
        <v>1</v>
      </c>
      <c r="P24" s="46">
        <v>1</v>
      </c>
      <c r="R24" s="46">
        <v>1</v>
      </c>
      <c r="T24" s="46">
        <v>1</v>
      </c>
      <c r="W24" s="46">
        <v>15</v>
      </c>
      <c r="X24" s="46">
        <v>18</v>
      </c>
      <c r="Y24" s="46">
        <v>18</v>
      </c>
      <c r="Z24" s="46">
        <v>2</v>
      </c>
      <c r="AA24" s="46">
        <v>2</v>
      </c>
      <c r="AB24" s="46">
        <v>1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L24" s="46">
        <v>1</v>
      </c>
      <c r="CB24" s="46">
        <v>1</v>
      </c>
      <c r="CE24" s="46">
        <v>1</v>
      </c>
      <c r="CR24" s="46">
        <v>1</v>
      </c>
      <c r="CT24" s="139">
        <v>46638</v>
      </c>
    </row>
    <row r="25" spans="1:98" hidden="1">
      <c r="A25" s="46" t="s">
        <v>6001</v>
      </c>
      <c r="B25" s="46" t="s">
        <v>6002</v>
      </c>
      <c r="C25" s="46">
        <v>38</v>
      </c>
      <c r="D25" s="46" t="s">
        <v>5944</v>
      </c>
      <c r="E25" s="46" t="s">
        <v>6003</v>
      </c>
      <c r="F25" s="46" t="s">
        <v>112</v>
      </c>
      <c r="G25" s="46">
        <v>1</v>
      </c>
      <c r="O25" s="46">
        <v>1</v>
      </c>
      <c r="R25" s="46">
        <v>1</v>
      </c>
      <c r="T25" s="46">
        <v>1</v>
      </c>
      <c r="W25" s="46">
        <v>15</v>
      </c>
      <c r="X25" s="46">
        <v>17</v>
      </c>
      <c r="Y25" s="46">
        <v>17</v>
      </c>
      <c r="Z25" s="46">
        <v>5</v>
      </c>
      <c r="AA25" s="46">
        <v>5</v>
      </c>
      <c r="AB25" s="46">
        <v>5</v>
      </c>
      <c r="AD25" s="46">
        <v>1</v>
      </c>
      <c r="AE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L25" s="46">
        <v>1</v>
      </c>
      <c r="CB25" s="46">
        <v>1</v>
      </c>
      <c r="CE25" s="46">
        <v>1</v>
      </c>
      <c r="CR25" s="46">
        <v>1</v>
      </c>
      <c r="CT25" s="139">
        <v>46638</v>
      </c>
    </row>
    <row r="26" spans="1:98">
      <c r="A26" s="46" t="s">
        <v>6004</v>
      </c>
      <c r="B26" s="46" t="s">
        <v>6005</v>
      </c>
      <c r="C26" s="46">
        <v>42</v>
      </c>
      <c r="D26" s="46" t="s">
        <v>5944</v>
      </c>
      <c r="E26" s="46" t="s">
        <v>6006</v>
      </c>
      <c r="F26" s="46" t="s">
        <v>112</v>
      </c>
      <c r="H26" s="46">
        <v>1</v>
      </c>
      <c r="M26" s="46">
        <v>1</v>
      </c>
      <c r="R26" s="46">
        <v>1</v>
      </c>
      <c r="V26" s="46">
        <v>1</v>
      </c>
      <c r="W26" s="46">
        <v>13</v>
      </c>
      <c r="X26" s="46">
        <v>20</v>
      </c>
      <c r="Y26" s="46">
        <v>25</v>
      </c>
      <c r="Z26" s="46">
        <v>3</v>
      </c>
      <c r="AA26" s="46">
        <v>3</v>
      </c>
      <c r="AB26" s="46">
        <v>3</v>
      </c>
      <c r="AE26" s="46">
        <v>1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L26" s="46">
        <v>1</v>
      </c>
      <c r="CB26" s="46">
        <v>1</v>
      </c>
      <c r="CE26" s="46">
        <v>1</v>
      </c>
      <c r="CR26" s="46">
        <v>1</v>
      </c>
      <c r="CT26" s="139">
        <v>46638</v>
      </c>
    </row>
    <row r="27" spans="1:98" hidden="1">
      <c r="A27" s="46" t="s">
        <v>6007</v>
      </c>
      <c r="B27" s="46" t="s">
        <v>6008</v>
      </c>
      <c r="C27" s="46">
        <v>20</v>
      </c>
      <c r="D27" s="46" t="s">
        <v>5936</v>
      </c>
      <c r="E27" s="46" t="s">
        <v>6009</v>
      </c>
      <c r="F27" s="46" t="s">
        <v>112</v>
      </c>
      <c r="I27" s="46">
        <v>1</v>
      </c>
      <c r="N27" s="46">
        <v>1</v>
      </c>
      <c r="Q27" s="46">
        <v>1</v>
      </c>
      <c r="U27" s="46">
        <v>1</v>
      </c>
      <c r="W27" s="46">
        <v>14</v>
      </c>
      <c r="X27" s="46">
        <v>18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L27" s="46">
        <v>1</v>
      </c>
      <c r="CB27" s="46">
        <v>1</v>
      </c>
      <c r="CE27" s="46">
        <v>1</v>
      </c>
      <c r="CR27" s="46">
        <v>1</v>
      </c>
      <c r="CT27" s="139">
        <v>46638</v>
      </c>
    </row>
    <row r="28" spans="1:98" hidden="1">
      <c r="A28" s="46" t="s">
        <v>6010</v>
      </c>
      <c r="B28" s="46" t="s">
        <v>6011</v>
      </c>
      <c r="C28" s="46">
        <v>30</v>
      </c>
      <c r="D28" s="46" t="s">
        <v>6012</v>
      </c>
      <c r="E28" s="46" t="s">
        <v>6013</v>
      </c>
      <c r="F28" s="46" t="s">
        <v>107</v>
      </c>
      <c r="G28" s="46">
        <v>1</v>
      </c>
      <c r="M28" s="46">
        <v>1</v>
      </c>
      <c r="Q28" s="46">
        <v>1</v>
      </c>
      <c r="U28" s="46">
        <v>1</v>
      </c>
      <c r="W28" s="46">
        <v>15</v>
      </c>
      <c r="X28" s="46">
        <v>21</v>
      </c>
      <c r="Y28" s="46">
        <v>21</v>
      </c>
      <c r="Z28" s="46">
        <v>4</v>
      </c>
      <c r="AA28" s="46">
        <v>5</v>
      </c>
      <c r="AB28" s="46">
        <v>5</v>
      </c>
      <c r="AC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Y28" s="46">
        <v>1</v>
      </c>
      <c r="CB28" s="46">
        <v>1</v>
      </c>
      <c r="CE28" s="46">
        <v>1</v>
      </c>
      <c r="CR28" s="46">
        <v>1</v>
      </c>
      <c r="CT28" s="139">
        <v>46638</v>
      </c>
    </row>
  </sheetData>
  <autoFilter ref="A3:CT28">
    <filterColumn colId="2">
      <filters>
        <filter val="49"/>
        <filter val="42"/>
      </filters>
    </filterColumn>
  </autoFilter>
  <mergeCells count="1">
    <mergeCell ref="AV1:AZ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5094</v>
      </c>
      <c r="B3" s="69">
        <v>3</v>
      </c>
      <c r="C3" s="69">
        <v>0</v>
      </c>
      <c r="D3" s="69">
        <v>0</v>
      </c>
      <c r="E3" s="69">
        <f>SUM(B3:D3)</f>
        <v>3</v>
      </c>
      <c r="F3" s="70">
        <v>0</v>
      </c>
      <c r="G3" s="70">
        <v>0</v>
      </c>
      <c r="H3" s="70">
        <v>0</v>
      </c>
      <c r="I3" s="70">
        <v>0</v>
      </c>
      <c r="J3" s="71">
        <f t="shared" ref="J3:J8" si="0">SUM(F3:I3)</f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1">SUM(K3:O3)</f>
        <v>0</v>
      </c>
      <c r="Q3" s="70">
        <v>0</v>
      </c>
      <c r="R3" s="70">
        <v>0</v>
      </c>
      <c r="S3" s="70">
        <v>1</v>
      </c>
      <c r="T3" s="71">
        <f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1</v>
      </c>
      <c r="AB3" s="73">
        <v>2</v>
      </c>
      <c r="AC3" s="73">
        <v>0</v>
      </c>
      <c r="AD3" s="73">
        <v>0</v>
      </c>
      <c r="AE3" s="186">
        <f>SUM(AA3,AB3,AC3,AD3)</f>
        <v>3</v>
      </c>
      <c r="AF3" s="73">
        <v>0</v>
      </c>
      <c r="AG3" s="73">
        <v>0</v>
      </c>
    </row>
    <row r="4" spans="1:33">
      <c r="A4" s="74" t="s">
        <v>3725</v>
      </c>
      <c r="B4" s="69">
        <v>12</v>
      </c>
      <c r="C4" s="69">
        <v>0</v>
      </c>
      <c r="D4" s="69">
        <v>0</v>
      </c>
      <c r="E4" s="69">
        <f>SUM(B4:D4)</f>
        <v>12</v>
      </c>
      <c r="F4" s="70">
        <v>0</v>
      </c>
      <c r="G4" s="70">
        <v>9</v>
      </c>
      <c r="H4" s="70">
        <v>0</v>
      </c>
      <c r="I4" s="70">
        <v>0</v>
      </c>
      <c r="J4" s="71">
        <f t="shared" si="0"/>
        <v>9</v>
      </c>
      <c r="K4" s="70">
        <v>1</v>
      </c>
      <c r="L4" s="70">
        <v>0</v>
      </c>
      <c r="M4" s="70">
        <v>0</v>
      </c>
      <c r="N4" s="70">
        <v>0</v>
      </c>
      <c r="O4" s="70">
        <v>2</v>
      </c>
      <c r="P4" s="71">
        <f t="shared" si="1"/>
        <v>3</v>
      </c>
      <c r="Q4" s="70">
        <v>0</v>
      </c>
      <c r="R4" s="70">
        <v>0</v>
      </c>
      <c r="S4" s="70">
        <v>4</v>
      </c>
      <c r="T4" s="71">
        <f>SUM(Q4:S4)</f>
        <v>4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6</v>
      </c>
      <c r="AB4" s="73">
        <v>0</v>
      </c>
      <c r="AC4" s="73">
        <v>0</v>
      </c>
      <c r="AD4" s="73">
        <v>6</v>
      </c>
      <c r="AE4" s="186">
        <f>SUM(AA4,AB4,AC4,AD4)</f>
        <v>12</v>
      </c>
      <c r="AF4" s="73">
        <v>0</v>
      </c>
      <c r="AG4" s="73">
        <v>0</v>
      </c>
    </row>
    <row r="5" spans="1:33">
      <c r="A5" s="77" t="s">
        <v>2705</v>
      </c>
      <c r="B5" s="69">
        <v>4</v>
      </c>
      <c r="C5" s="69">
        <v>1</v>
      </c>
      <c r="D5" s="69">
        <v>0</v>
      </c>
      <c r="E5" s="69">
        <f>SUM(B5:D5)</f>
        <v>5</v>
      </c>
      <c r="F5" s="70">
        <v>0</v>
      </c>
      <c r="G5" s="70">
        <v>4</v>
      </c>
      <c r="H5" s="70">
        <v>0</v>
      </c>
      <c r="I5" s="70">
        <v>0</v>
      </c>
      <c r="J5" s="71">
        <f t="shared" si="0"/>
        <v>4</v>
      </c>
      <c r="K5" s="70">
        <v>1</v>
      </c>
      <c r="L5" s="70">
        <v>0</v>
      </c>
      <c r="M5" s="70">
        <v>0</v>
      </c>
      <c r="N5" s="70">
        <v>0</v>
      </c>
      <c r="O5" s="70">
        <v>0</v>
      </c>
      <c r="P5" s="71">
        <f t="shared" si="1"/>
        <v>1</v>
      </c>
      <c r="Q5" s="70">
        <v>0</v>
      </c>
      <c r="R5" s="70">
        <v>0</v>
      </c>
      <c r="S5" s="70">
        <v>1</v>
      </c>
      <c r="T5" s="71">
        <f>SUM(Q5:S5)</f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0</v>
      </c>
      <c r="AB5" s="73">
        <v>0</v>
      </c>
      <c r="AC5" s="73">
        <v>0</v>
      </c>
      <c r="AD5" s="73">
        <v>5</v>
      </c>
      <c r="AE5" s="186">
        <f>SUM(AA5,AB5,AC5,AD5)</f>
        <v>5</v>
      </c>
      <c r="AF5" s="73">
        <v>0</v>
      </c>
      <c r="AG5" s="73">
        <v>0</v>
      </c>
    </row>
    <row r="6" spans="1:33">
      <c r="A6" s="77" t="s">
        <v>5931</v>
      </c>
      <c r="B6" s="69">
        <v>4</v>
      </c>
      <c r="C6" s="69">
        <v>0</v>
      </c>
      <c r="D6" s="69">
        <v>0</v>
      </c>
      <c r="E6" s="69">
        <f>SUM(B6:D6)</f>
        <v>4</v>
      </c>
      <c r="F6" s="70">
        <v>0</v>
      </c>
      <c r="G6" s="70">
        <v>2</v>
      </c>
      <c r="H6" s="70">
        <v>0</v>
      </c>
      <c r="I6" s="70">
        <v>0</v>
      </c>
      <c r="J6" s="71">
        <f t="shared" si="0"/>
        <v>2</v>
      </c>
      <c r="K6" s="70">
        <v>1</v>
      </c>
      <c r="L6" s="70">
        <v>0</v>
      </c>
      <c r="M6" s="70">
        <v>0</v>
      </c>
      <c r="N6" s="70">
        <v>0</v>
      </c>
      <c r="O6" s="70">
        <v>1</v>
      </c>
      <c r="P6" s="71">
        <f t="shared" si="1"/>
        <v>2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2</v>
      </c>
      <c r="AB6" s="73">
        <v>0</v>
      </c>
      <c r="AC6" s="73">
        <v>0</v>
      </c>
      <c r="AD6" s="73">
        <v>2</v>
      </c>
      <c r="AE6" s="186">
        <f>SUM(AA6,AB6,AC6,AD6)</f>
        <v>4</v>
      </c>
      <c r="AF6" s="73">
        <v>0</v>
      </c>
      <c r="AG6" s="73">
        <v>0</v>
      </c>
    </row>
    <row r="7" spans="1:33">
      <c r="A7" s="239" t="s">
        <v>6014</v>
      </c>
      <c r="B7" s="69">
        <v>1</v>
      </c>
      <c r="C7" s="69">
        <v>0</v>
      </c>
      <c r="D7" s="69">
        <v>0</v>
      </c>
      <c r="E7" s="69">
        <f>SUM(B7:D7)</f>
        <v>1</v>
      </c>
      <c r="F7" s="70">
        <v>0</v>
      </c>
      <c r="G7" s="70">
        <v>0</v>
      </c>
      <c r="H7" s="70">
        <v>0</v>
      </c>
      <c r="I7" s="70">
        <v>0</v>
      </c>
      <c r="J7" s="71">
        <f t="shared" si="0"/>
        <v>0</v>
      </c>
      <c r="K7" s="70">
        <v>1</v>
      </c>
      <c r="L7" s="70">
        <v>0</v>
      </c>
      <c r="M7" s="70">
        <v>0</v>
      </c>
      <c r="N7" s="70">
        <v>0</v>
      </c>
      <c r="O7" s="70">
        <v>0</v>
      </c>
      <c r="P7" s="71">
        <f t="shared" si="1"/>
        <v>1</v>
      </c>
      <c r="Q7" s="70">
        <v>0</v>
      </c>
      <c r="R7" s="70">
        <v>0</v>
      </c>
      <c r="S7" s="70">
        <v>0</v>
      </c>
      <c r="T7" s="71">
        <f>SUM(Q7:S7)</f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0</v>
      </c>
      <c r="AB7" s="73">
        <v>0</v>
      </c>
      <c r="AC7" s="73">
        <v>0</v>
      </c>
      <c r="AD7" s="73">
        <v>1</v>
      </c>
      <c r="AE7" s="186">
        <f>SUM(AA7,AB7,AC7,AD7)</f>
        <v>1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2">SUM(B3:B7)</f>
        <v>24</v>
      </c>
      <c r="C8" s="69">
        <f t="shared" si="2"/>
        <v>1</v>
      </c>
      <c r="D8" s="69">
        <f t="shared" si="2"/>
        <v>0</v>
      </c>
      <c r="E8" s="69">
        <f t="shared" si="2"/>
        <v>25</v>
      </c>
      <c r="F8" s="69">
        <f t="shared" si="2"/>
        <v>0</v>
      </c>
      <c r="G8" s="69">
        <f t="shared" si="2"/>
        <v>15</v>
      </c>
      <c r="H8" s="69">
        <f t="shared" si="2"/>
        <v>0</v>
      </c>
      <c r="I8" s="69">
        <f t="shared" si="2"/>
        <v>0</v>
      </c>
      <c r="J8" s="71">
        <f t="shared" si="0"/>
        <v>15</v>
      </c>
      <c r="K8" s="114">
        <f>SUM(K3:K7)</f>
        <v>4</v>
      </c>
      <c r="L8" s="114">
        <f>SUM(L3:L7)</f>
        <v>0</v>
      </c>
      <c r="M8" s="114">
        <f>SUM(M3:M7)</f>
        <v>0</v>
      </c>
      <c r="N8" s="114">
        <f>SUM(N3:N7)</f>
        <v>0</v>
      </c>
      <c r="O8" s="114">
        <f>SUM(O3:O7)</f>
        <v>3</v>
      </c>
      <c r="P8" s="71">
        <f t="shared" si="1"/>
        <v>7</v>
      </c>
      <c r="Q8" s="114">
        <f t="shared" ref="Q8:AG8" si="3">SUM(Q3:Q7)</f>
        <v>0</v>
      </c>
      <c r="R8" s="114">
        <f t="shared" si="3"/>
        <v>0</v>
      </c>
      <c r="S8" s="114">
        <f t="shared" si="3"/>
        <v>6</v>
      </c>
      <c r="T8" s="71">
        <f t="shared" si="3"/>
        <v>6</v>
      </c>
      <c r="U8" s="114">
        <f t="shared" si="3"/>
        <v>0</v>
      </c>
      <c r="V8" s="114">
        <f t="shared" si="3"/>
        <v>0</v>
      </c>
      <c r="W8" s="114">
        <f t="shared" si="3"/>
        <v>0</v>
      </c>
      <c r="X8" s="114">
        <f t="shared" si="3"/>
        <v>0</v>
      </c>
      <c r="Y8" s="114">
        <f t="shared" si="3"/>
        <v>0</v>
      </c>
      <c r="Z8" s="114">
        <f t="shared" si="3"/>
        <v>0</v>
      </c>
      <c r="AA8" s="114">
        <f t="shared" si="3"/>
        <v>9</v>
      </c>
      <c r="AB8" s="114">
        <f t="shared" si="3"/>
        <v>2</v>
      </c>
      <c r="AC8" s="114">
        <f t="shared" si="3"/>
        <v>0</v>
      </c>
      <c r="AD8" s="114">
        <f t="shared" si="3"/>
        <v>14</v>
      </c>
      <c r="AE8" s="73">
        <f t="shared" si="3"/>
        <v>25</v>
      </c>
      <c r="AF8" s="73">
        <f t="shared" si="3"/>
        <v>0</v>
      </c>
      <c r="AG8" s="73">
        <f t="shared" si="3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62"/>
  <sheetViews>
    <sheetView workbookViewId="0">
      <pane ySplit="17" topLeftCell="A18" activePane="bottomLeft" state="frozen"/>
      <selection pane="bottomLeft" activeCell="B19" sqref="B19"/>
    </sheetView>
  </sheetViews>
  <sheetFormatPr defaultColWidth="14.42578125" defaultRowHeight="15" customHeight="1"/>
  <cols>
    <col min="2" max="2" width="29.28515625" customWidth="1"/>
  </cols>
  <sheetData>
    <row r="1" spans="1:98">
      <c r="A1" s="197" t="s">
        <v>6015</v>
      </c>
      <c r="B1" s="143"/>
      <c r="C1" s="231" t="s">
        <v>6016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143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240" t="s">
        <v>17</v>
      </c>
      <c r="BQ1" s="143"/>
      <c r="BR1" s="143"/>
      <c r="BS1" s="143" t="s">
        <v>18</v>
      </c>
      <c r="BT1" s="143"/>
      <c r="BU1" s="143"/>
      <c r="BV1" s="143"/>
      <c r="BW1" s="240" t="s">
        <v>19</v>
      </c>
      <c r="BX1" s="143"/>
      <c r="BY1" s="143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240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6017</v>
      </c>
      <c r="B4" s="46" t="s">
        <v>6018</v>
      </c>
      <c r="C4" s="46">
        <v>20</v>
      </c>
      <c r="D4" s="46" t="s">
        <v>6019</v>
      </c>
      <c r="E4" s="46" t="s">
        <v>6020</v>
      </c>
      <c r="F4" s="46" t="s">
        <v>112</v>
      </c>
      <c r="G4" s="46">
        <v>1</v>
      </c>
      <c r="N4" s="46">
        <v>1</v>
      </c>
      <c r="Q4" s="46">
        <v>1</v>
      </c>
      <c r="U4" s="46">
        <v>1</v>
      </c>
      <c r="W4" s="46">
        <v>15</v>
      </c>
      <c r="X4" s="46">
        <v>16</v>
      </c>
      <c r="AD4" s="46">
        <v>1</v>
      </c>
      <c r="AE4" s="46">
        <v>1</v>
      </c>
      <c r="AG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BY4" s="46">
        <v>1</v>
      </c>
      <c r="CC4" s="46">
        <v>1</v>
      </c>
      <c r="CD4" s="46">
        <v>2017</v>
      </c>
      <c r="CE4" s="46">
        <v>1</v>
      </c>
      <c r="CL4" s="46">
        <v>1</v>
      </c>
      <c r="CR4" s="46">
        <v>1</v>
      </c>
      <c r="CT4" s="46" t="s">
        <v>6021</v>
      </c>
    </row>
    <row r="5" spans="1:98">
      <c r="A5" s="46" t="s">
        <v>6022</v>
      </c>
      <c r="B5" s="46" t="s">
        <v>6023</v>
      </c>
      <c r="C5" s="46">
        <v>58</v>
      </c>
      <c r="D5" s="46" t="s">
        <v>6024</v>
      </c>
      <c r="E5" s="46" t="s">
        <v>6025</v>
      </c>
      <c r="F5" s="46" t="s">
        <v>107</v>
      </c>
      <c r="H5" s="46">
        <v>1</v>
      </c>
      <c r="P5" s="46">
        <v>1</v>
      </c>
      <c r="Q5" s="46">
        <v>1</v>
      </c>
      <c r="U5" s="46">
        <v>1</v>
      </c>
      <c r="W5" s="46">
        <v>14</v>
      </c>
      <c r="X5" s="46">
        <v>18</v>
      </c>
      <c r="AH5" s="46">
        <v>1</v>
      </c>
      <c r="AI5" s="46">
        <v>1</v>
      </c>
      <c r="AL5" s="46">
        <v>1</v>
      </c>
      <c r="AO5" s="46">
        <v>1</v>
      </c>
      <c r="AQ5" s="46" t="s">
        <v>736</v>
      </c>
      <c r="AR5" s="46">
        <v>2023</v>
      </c>
      <c r="AT5" s="46">
        <v>1</v>
      </c>
      <c r="AW5" s="46">
        <v>1</v>
      </c>
      <c r="BB5" s="46">
        <v>1</v>
      </c>
      <c r="BG5" s="46">
        <v>1</v>
      </c>
      <c r="BL5" s="46">
        <v>1</v>
      </c>
      <c r="BY5" s="46">
        <v>1</v>
      </c>
      <c r="CB5" s="46">
        <v>1</v>
      </c>
      <c r="CE5" s="46">
        <v>1</v>
      </c>
      <c r="CL5" s="46">
        <v>1</v>
      </c>
      <c r="CR5" s="46">
        <v>1</v>
      </c>
      <c r="CT5" s="46">
        <v>2024</v>
      </c>
    </row>
    <row r="6" spans="1:98">
      <c r="A6" s="46" t="s">
        <v>6026</v>
      </c>
      <c r="B6" s="46" t="s">
        <v>6027</v>
      </c>
      <c r="C6" s="46">
        <v>27</v>
      </c>
      <c r="D6" s="46" t="s">
        <v>1112</v>
      </c>
      <c r="E6" s="46" t="s">
        <v>6028</v>
      </c>
      <c r="F6" s="46" t="s">
        <v>477</v>
      </c>
      <c r="G6" s="46">
        <v>1</v>
      </c>
      <c r="L6" s="46">
        <v>1</v>
      </c>
      <c r="U6" s="46">
        <v>1</v>
      </c>
      <c r="W6" s="46">
        <v>14</v>
      </c>
      <c r="AI6" s="46">
        <v>1</v>
      </c>
      <c r="AK6" s="46">
        <v>1</v>
      </c>
      <c r="AT6" s="46">
        <v>1</v>
      </c>
      <c r="AV6" s="46">
        <v>1</v>
      </c>
      <c r="BA6" s="46">
        <v>1</v>
      </c>
      <c r="CB6" s="46">
        <v>1</v>
      </c>
      <c r="CE6" s="46">
        <v>1</v>
      </c>
      <c r="CL6" s="46">
        <v>1</v>
      </c>
      <c r="CR6" s="46">
        <v>1</v>
      </c>
      <c r="CT6" s="46">
        <v>2024</v>
      </c>
    </row>
    <row r="7" spans="1:98">
      <c r="A7" s="46" t="s">
        <v>6029</v>
      </c>
      <c r="B7" s="46" t="s">
        <v>6030</v>
      </c>
      <c r="C7" s="46">
        <v>20</v>
      </c>
      <c r="D7" s="46" t="s">
        <v>6031</v>
      </c>
      <c r="E7" s="46" t="s">
        <v>6032</v>
      </c>
      <c r="F7" s="46" t="s">
        <v>112</v>
      </c>
      <c r="H7" s="46">
        <v>1</v>
      </c>
      <c r="O7" s="46">
        <v>1</v>
      </c>
      <c r="Q7" s="46">
        <v>1</v>
      </c>
      <c r="U7" s="46">
        <v>1</v>
      </c>
      <c r="W7" s="46">
        <v>18</v>
      </c>
      <c r="X7" s="46">
        <v>20</v>
      </c>
      <c r="AD7" s="46">
        <v>1</v>
      </c>
      <c r="AG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B7" s="46">
        <v>1</v>
      </c>
      <c r="BG7" s="46">
        <v>1</v>
      </c>
      <c r="BY7" s="46">
        <v>1</v>
      </c>
      <c r="CC7" s="46">
        <v>1</v>
      </c>
      <c r="CD7" s="46">
        <v>2023</v>
      </c>
      <c r="CF7" s="46">
        <v>1</v>
      </c>
      <c r="CG7" s="134">
        <v>45413</v>
      </c>
      <c r="CL7" s="46">
        <v>1</v>
      </c>
      <c r="CR7" s="46">
        <v>1</v>
      </c>
      <c r="CT7" s="46">
        <v>2024</v>
      </c>
    </row>
    <row r="8" spans="1:98">
      <c r="A8" s="46" t="s">
        <v>6033</v>
      </c>
      <c r="B8" s="46" t="s">
        <v>6034</v>
      </c>
      <c r="C8" s="46">
        <v>43</v>
      </c>
      <c r="D8" s="46" t="s">
        <v>2350</v>
      </c>
      <c r="E8" s="46" t="s">
        <v>6035</v>
      </c>
      <c r="F8" s="46" t="s">
        <v>112</v>
      </c>
      <c r="H8" s="46">
        <v>1</v>
      </c>
      <c r="O8" s="46">
        <v>1</v>
      </c>
      <c r="R8" s="46">
        <v>1</v>
      </c>
      <c r="S8" s="46">
        <v>1</v>
      </c>
      <c r="W8" s="46">
        <v>13</v>
      </c>
      <c r="X8" s="46">
        <v>16</v>
      </c>
      <c r="Y8" s="46">
        <v>16</v>
      </c>
      <c r="Z8" s="46">
        <v>5</v>
      </c>
      <c r="AA8" s="46">
        <v>6</v>
      </c>
      <c r="AB8" s="46">
        <v>6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B8" s="46">
        <v>1</v>
      </c>
      <c r="CE8" s="46">
        <v>1</v>
      </c>
      <c r="CK8" s="46">
        <v>1</v>
      </c>
      <c r="CR8" s="46">
        <v>1</v>
      </c>
      <c r="CT8" s="46" t="s">
        <v>6021</v>
      </c>
    </row>
    <row r="9" spans="1:98">
      <c r="A9" s="46" t="s">
        <v>6036</v>
      </c>
      <c r="B9" s="46" t="s">
        <v>6037</v>
      </c>
      <c r="C9" s="46">
        <v>24</v>
      </c>
      <c r="D9" s="46" t="s">
        <v>2365</v>
      </c>
      <c r="E9" s="46" t="s">
        <v>6038</v>
      </c>
      <c r="F9" s="46" t="s">
        <v>112</v>
      </c>
      <c r="I9" s="46">
        <v>1</v>
      </c>
      <c r="O9" s="46">
        <v>1</v>
      </c>
      <c r="R9" s="46">
        <v>1</v>
      </c>
      <c r="T9" s="46">
        <v>1</v>
      </c>
      <c r="W9" s="46">
        <v>16</v>
      </c>
      <c r="X9" s="46">
        <v>20</v>
      </c>
      <c r="Y9" s="46">
        <v>21</v>
      </c>
      <c r="Z9" s="46">
        <v>2</v>
      </c>
      <c r="AA9" s="46">
        <v>2</v>
      </c>
      <c r="AB9" s="46">
        <v>2</v>
      </c>
      <c r="AD9" s="46">
        <v>1</v>
      </c>
      <c r="AE9" s="46">
        <v>1</v>
      </c>
      <c r="AG9" s="46">
        <v>1</v>
      </c>
      <c r="AH9" s="46">
        <v>1</v>
      </c>
      <c r="AI9" s="46">
        <v>1</v>
      </c>
      <c r="AK9" s="46">
        <v>1</v>
      </c>
      <c r="AT9" s="46">
        <v>1</v>
      </c>
      <c r="AX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46" t="s">
        <v>6021</v>
      </c>
    </row>
    <row r="10" spans="1:98">
      <c r="A10" s="46" t="s">
        <v>6039</v>
      </c>
      <c r="B10" s="46" t="s">
        <v>6040</v>
      </c>
      <c r="C10" s="46">
        <v>27</v>
      </c>
      <c r="D10" s="46" t="s">
        <v>6041</v>
      </c>
      <c r="E10" s="46" t="s">
        <v>6042</v>
      </c>
      <c r="F10" s="46" t="s">
        <v>477</v>
      </c>
      <c r="I10" s="46">
        <v>1</v>
      </c>
      <c r="M10" s="46">
        <v>1</v>
      </c>
      <c r="Q10" s="46">
        <v>1</v>
      </c>
      <c r="U10" s="46">
        <v>1</v>
      </c>
      <c r="W10" s="46">
        <v>15</v>
      </c>
      <c r="X10" s="46">
        <v>18</v>
      </c>
      <c r="Y10" s="46">
        <v>20</v>
      </c>
      <c r="Z10" s="46">
        <v>2</v>
      </c>
      <c r="AA10" s="46">
        <v>2</v>
      </c>
      <c r="AB10" s="46">
        <v>2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BY10" s="46">
        <v>1</v>
      </c>
      <c r="CB10" s="46">
        <v>1</v>
      </c>
      <c r="CE10" s="46">
        <v>1</v>
      </c>
      <c r="CK10" s="46">
        <v>1</v>
      </c>
      <c r="CR10" s="46">
        <v>1</v>
      </c>
      <c r="CT10" s="46" t="s">
        <v>6021</v>
      </c>
    </row>
    <row r="11" spans="1:98">
      <c r="A11" s="46" t="s">
        <v>6043</v>
      </c>
      <c r="B11" s="46" t="s">
        <v>6044</v>
      </c>
      <c r="C11" s="46">
        <v>36</v>
      </c>
      <c r="D11" s="46" t="s">
        <v>2255</v>
      </c>
      <c r="E11" s="46" t="s">
        <v>6045</v>
      </c>
      <c r="F11" s="46" t="s">
        <v>112</v>
      </c>
      <c r="H11" s="46">
        <v>1</v>
      </c>
      <c r="M11" s="46">
        <v>1</v>
      </c>
      <c r="T11" s="46">
        <v>1</v>
      </c>
      <c r="W11" s="46">
        <v>12</v>
      </c>
      <c r="X11" s="46">
        <v>14</v>
      </c>
      <c r="Y11" s="46">
        <v>14</v>
      </c>
      <c r="Z11" s="46">
        <v>5</v>
      </c>
      <c r="AA11" s="46">
        <v>3</v>
      </c>
      <c r="AB11" s="46">
        <v>3</v>
      </c>
      <c r="AE11" s="46">
        <v>1</v>
      </c>
      <c r="AH11" s="46">
        <v>1</v>
      </c>
      <c r="AI11" s="46">
        <v>1</v>
      </c>
      <c r="AK11" s="46">
        <v>1</v>
      </c>
      <c r="AU11" s="46">
        <v>1</v>
      </c>
      <c r="AX11" s="46">
        <v>1</v>
      </c>
      <c r="BA11" s="46">
        <v>1</v>
      </c>
      <c r="BK11" s="46">
        <v>1</v>
      </c>
      <c r="BY11" s="46">
        <v>1</v>
      </c>
      <c r="CB11" s="46">
        <v>1</v>
      </c>
      <c r="CE11" s="46">
        <v>1</v>
      </c>
      <c r="CK11" s="46">
        <v>1</v>
      </c>
      <c r="CR11" s="46">
        <v>1</v>
      </c>
      <c r="CT11" s="46" t="s">
        <v>6021</v>
      </c>
    </row>
    <row r="12" spans="1:98">
      <c r="A12" s="46" t="s">
        <v>6046</v>
      </c>
      <c r="B12" s="46" t="s">
        <v>6047</v>
      </c>
      <c r="C12" s="46">
        <v>39</v>
      </c>
      <c r="D12" s="46" t="s">
        <v>2350</v>
      </c>
      <c r="E12" s="46" t="s">
        <v>6048</v>
      </c>
      <c r="F12" s="46" t="s">
        <v>112</v>
      </c>
      <c r="I12" s="46">
        <v>1</v>
      </c>
      <c r="M12" s="46">
        <v>1</v>
      </c>
      <c r="Q12" s="46">
        <v>1</v>
      </c>
      <c r="T12" s="46">
        <v>1</v>
      </c>
      <c r="W12" s="46">
        <v>12</v>
      </c>
      <c r="X12" s="46">
        <v>17</v>
      </c>
      <c r="Y12" s="46">
        <v>18</v>
      </c>
      <c r="Z12" s="46">
        <v>8</v>
      </c>
      <c r="AA12" s="46">
        <v>4</v>
      </c>
      <c r="AB12" s="46">
        <v>4</v>
      </c>
      <c r="AF12" s="46">
        <v>1</v>
      </c>
      <c r="AH12" s="46">
        <v>1</v>
      </c>
      <c r="AI12" s="46">
        <v>1</v>
      </c>
      <c r="AL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6021</v>
      </c>
    </row>
    <row r="13" spans="1:98">
      <c r="A13" s="46" t="s">
        <v>6049</v>
      </c>
      <c r="B13" s="46" t="s">
        <v>6050</v>
      </c>
      <c r="C13" s="46">
        <v>40</v>
      </c>
      <c r="D13" s="46" t="s">
        <v>5944</v>
      </c>
      <c r="E13" s="46" t="s">
        <v>6051</v>
      </c>
      <c r="F13" s="46" t="s">
        <v>112</v>
      </c>
      <c r="J13" s="46">
        <v>1</v>
      </c>
      <c r="M13" s="46">
        <v>1</v>
      </c>
      <c r="R13" s="46">
        <v>1</v>
      </c>
      <c r="T13" s="46">
        <v>1</v>
      </c>
      <c r="W13" s="46">
        <v>13</v>
      </c>
      <c r="X13" s="46">
        <v>14</v>
      </c>
      <c r="Y13" s="46">
        <v>14</v>
      </c>
      <c r="Z13" s="46">
        <v>10</v>
      </c>
      <c r="AA13" s="46">
        <v>5</v>
      </c>
      <c r="AB13" s="46">
        <v>5</v>
      </c>
      <c r="AE13" s="46">
        <v>1</v>
      </c>
      <c r="AI13" s="46">
        <v>1</v>
      </c>
      <c r="AK13" s="46">
        <v>1</v>
      </c>
      <c r="AT13" s="46">
        <v>1</v>
      </c>
      <c r="AZ13" s="46">
        <v>1</v>
      </c>
      <c r="BB13" s="46">
        <v>1</v>
      </c>
      <c r="BG13" s="46">
        <v>1</v>
      </c>
      <c r="BK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6021</v>
      </c>
    </row>
    <row r="14" spans="1:98">
      <c r="A14" s="46" t="s">
        <v>6052</v>
      </c>
      <c r="B14" s="46" t="s">
        <v>6053</v>
      </c>
      <c r="C14" s="46">
        <v>43</v>
      </c>
      <c r="D14" s="46" t="s">
        <v>1830</v>
      </c>
      <c r="E14" s="46" t="s">
        <v>6054</v>
      </c>
      <c r="F14" s="46" t="s">
        <v>107</v>
      </c>
      <c r="G14" s="46">
        <v>1</v>
      </c>
      <c r="O14" s="46">
        <v>1</v>
      </c>
      <c r="R14" s="46">
        <v>1</v>
      </c>
      <c r="U14" s="46">
        <v>1</v>
      </c>
      <c r="W14" s="46">
        <v>13</v>
      </c>
      <c r="X14" s="46">
        <v>14</v>
      </c>
      <c r="Y14" s="46">
        <v>22</v>
      </c>
      <c r="Z14" s="46">
        <v>3</v>
      </c>
      <c r="AA14" s="46">
        <v>3</v>
      </c>
      <c r="AB14" s="46">
        <v>3</v>
      </c>
      <c r="AH14" s="46">
        <v>1</v>
      </c>
      <c r="AI14" s="46">
        <v>1</v>
      </c>
      <c r="AK14" s="46">
        <v>1</v>
      </c>
      <c r="AT14" s="46">
        <v>1</v>
      </c>
      <c r="AZ14" s="46">
        <v>1</v>
      </c>
      <c r="BB14" s="46">
        <v>1</v>
      </c>
      <c r="BG14" s="46">
        <v>1</v>
      </c>
      <c r="BK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6021</v>
      </c>
    </row>
    <row r="15" spans="1:98">
      <c r="A15" s="46" t="s">
        <v>6055</v>
      </c>
      <c r="B15" s="46" t="s">
        <v>6056</v>
      </c>
      <c r="C15" s="46">
        <v>42</v>
      </c>
      <c r="D15" s="46" t="s">
        <v>1149</v>
      </c>
      <c r="E15" s="46" t="s">
        <v>6057</v>
      </c>
      <c r="F15" s="46" t="s">
        <v>107</v>
      </c>
      <c r="G15" s="46">
        <v>1</v>
      </c>
      <c r="M15" s="46">
        <v>1</v>
      </c>
      <c r="R15" s="46">
        <v>1</v>
      </c>
      <c r="U15" s="46">
        <v>1</v>
      </c>
      <c r="W15" s="46">
        <v>13</v>
      </c>
      <c r="X15" s="46">
        <v>17</v>
      </c>
      <c r="Y15" s="46">
        <v>21</v>
      </c>
      <c r="Z15" s="46">
        <v>4</v>
      </c>
      <c r="AA15" s="46">
        <v>4</v>
      </c>
      <c r="AB15" s="46">
        <v>4</v>
      </c>
      <c r="AH15" s="46">
        <v>1</v>
      </c>
      <c r="AI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6021</v>
      </c>
    </row>
    <row r="16" spans="1:98">
      <c r="A16" s="46" t="s">
        <v>6058</v>
      </c>
      <c r="B16" s="46" t="s">
        <v>6059</v>
      </c>
      <c r="C16" s="46">
        <v>40</v>
      </c>
      <c r="D16" s="46" t="s">
        <v>1162</v>
      </c>
      <c r="E16" s="46" t="s">
        <v>6060</v>
      </c>
      <c r="F16" s="46" t="s">
        <v>112</v>
      </c>
      <c r="I16" s="46">
        <v>1</v>
      </c>
      <c r="O16" s="46">
        <v>1</v>
      </c>
      <c r="Q16" s="46">
        <v>1</v>
      </c>
      <c r="U16" s="46">
        <v>1</v>
      </c>
      <c r="W16" s="46">
        <v>13</v>
      </c>
      <c r="X16" s="46">
        <v>16</v>
      </c>
      <c r="Y16" s="46">
        <v>16</v>
      </c>
      <c r="Z16" s="46">
        <v>2</v>
      </c>
      <c r="AA16" s="46">
        <v>1</v>
      </c>
      <c r="AB16" s="46">
        <v>1</v>
      </c>
      <c r="AD16" s="46">
        <v>1</v>
      </c>
      <c r="AE16" s="46">
        <v>1</v>
      </c>
      <c r="AH16" s="46">
        <v>1</v>
      </c>
      <c r="AI16" s="46">
        <v>1</v>
      </c>
      <c r="AK16" s="46">
        <v>1</v>
      </c>
      <c r="AT16" s="46">
        <v>1</v>
      </c>
      <c r="AX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6021</v>
      </c>
    </row>
    <row r="17" spans="1:98">
      <c r="A17" s="46" t="s">
        <v>6061</v>
      </c>
      <c r="B17" s="46" t="s">
        <v>6062</v>
      </c>
      <c r="C17" s="46">
        <v>32</v>
      </c>
      <c r="D17" s="46" t="s">
        <v>2642</v>
      </c>
      <c r="E17" s="46" t="s">
        <v>6063</v>
      </c>
      <c r="F17" s="46" t="s">
        <v>112</v>
      </c>
      <c r="J17" s="46">
        <v>1</v>
      </c>
      <c r="M17" s="46">
        <v>1</v>
      </c>
      <c r="Q17" s="46">
        <v>1</v>
      </c>
      <c r="V17" s="46">
        <v>1</v>
      </c>
      <c r="W17" s="46">
        <v>13</v>
      </c>
      <c r="X17" s="46">
        <v>16</v>
      </c>
      <c r="Y17" s="46">
        <v>29</v>
      </c>
      <c r="Z17" s="46">
        <v>4</v>
      </c>
      <c r="AA17" s="46">
        <v>3</v>
      </c>
      <c r="AB17" s="46">
        <v>3</v>
      </c>
      <c r="AE17" s="46">
        <v>1</v>
      </c>
      <c r="AJ17" s="46">
        <v>1</v>
      </c>
      <c r="AK17" s="46">
        <v>1</v>
      </c>
      <c r="AT17" s="46">
        <v>1</v>
      </c>
      <c r="AX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6021</v>
      </c>
    </row>
    <row r="18" spans="1:98">
      <c r="A18" s="46" t="s">
        <v>6064</v>
      </c>
      <c r="B18" s="46" t="s">
        <v>6065</v>
      </c>
      <c r="C18" s="46">
        <v>28</v>
      </c>
      <c r="D18" s="46" t="s">
        <v>1149</v>
      </c>
      <c r="E18" s="46" t="s">
        <v>6066</v>
      </c>
      <c r="F18" s="46" t="s">
        <v>6067</v>
      </c>
      <c r="J18" s="46">
        <v>1</v>
      </c>
      <c r="M18" s="46">
        <v>1</v>
      </c>
      <c r="Q18" s="46">
        <v>1</v>
      </c>
      <c r="V18" s="46">
        <v>1</v>
      </c>
      <c r="W18" s="46">
        <v>14</v>
      </c>
      <c r="X18" s="46">
        <v>21</v>
      </c>
      <c r="Y18" s="46">
        <v>23</v>
      </c>
      <c r="Z18" s="46">
        <v>3</v>
      </c>
      <c r="AA18" s="46">
        <v>2</v>
      </c>
      <c r="AB18" s="46">
        <v>2</v>
      </c>
      <c r="AE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BY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6021</v>
      </c>
    </row>
    <row r="19" spans="1:98">
      <c r="A19" s="46" t="s">
        <v>6068</v>
      </c>
      <c r="B19" s="46" t="s">
        <v>2814</v>
      </c>
      <c r="C19" s="46">
        <v>20</v>
      </c>
      <c r="D19" s="46" t="s">
        <v>5940</v>
      </c>
      <c r="E19" s="46" t="s">
        <v>6069</v>
      </c>
      <c r="F19" s="46" t="s">
        <v>112</v>
      </c>
      <c r="G19" s="46">
        <v>1</v>
      </c>
      <c r="N19" s="46">
        <v>1</v>
      </c>
      <c r="Q19" s="46">
        <v>1</v>
      </c>
      <c r="U19" s="46">
        <v>1</v>
      </c>
      <c r="W19" s="46">
        <v>13</v>
      </c>
      <c r="X19" s="46">
        <v>17</v>
      </c>
      <c r="AE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BY19" s="46">
        <v>1</v>
      </c>
      <c r="CC19" s="46">
        <v>1</v>
      </c>
      <c r="CD19" s="46" t="s">
        <v>6070</v>
      </c>
      <c r="CE19" s="46">
        <v>1</v>
      </c>
      <c r="CK19" s="46">
        <v>1</v>
      </c>
      <c r="CR19" s="46">
        <v>1</v>
      </c>
      <c r="CT19" s="46" t="s">
        <v>6021</v>
      </c>
    </row>
    <row r="20" spans="1:98">
      <c r="A20" s="46" t="s">
        <v>6071</v>
      </c>
      <c r="B20" s="46" t="s">
        <v>6072</v>
      </c>
      <c r="C20" s="46">
        <v>32</v>
      </c>
      <c r="D20" s="46" t="s">
        <v>4672</v>
      </c>
      <c r="E20" s="46" t="s">
        <v>6073</v>
      </c>
      <c r="F20" s="46" t="s">
        <v>624</v>
      </c>
      <c r="I20" s="46">
        <v>1</v>
      </c>
      <c r="N20" s="46">
        <v>1</v>
      </c>
      <c r="Q20" s="46">
        <v>1</v>
      </c>
      <c r="U20" s="46">
        <v>1</v>
      </c>
      <c r="W20" s="46">
        <v>14</v>
      </c>
      <c r="X20" s="46">
        <v>17</v>
      </c>
      <c r="AD20" s="46">
        <v>1</v>
      </c>
      <c r="AE20" s="46">
        <v>1</v>
      </c>
      <c r="AH20" s="46">
        <v>1</v>
      </c>
      <c r="AI20" s="46">
        <v>1</v>
      </c>
      <c r="AK20" s="46">
        <v>1</v>
      </c>
      <c r="AU20" s="46">
        <v>1</v>
      </c>
      <c r="AX20" s="46">
        <v>1</v>
      </c>
      <c r="BB20" s="46">
        <v>1</v>
      </c>
      <c r="BG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6021</v>
      </c>
    </row>
    <row r="21" spans="1:98">
      <c r="A21" s="46" t="s">
        <v>6074</v>
      </c>
      <c r="B21" s="46" t="s">
        <v>6075</v>
      </c>
      <c r="C21" s="46">
        <v>50</v>
      </c>
      <c r="D21" s="46" t="s">
        <v>2004</v>
      </c>
      <c r="E21" s="46" t="s">
        <v>6076</v>
      </c>
      <c r="F21" s="46" t="s">
        <v>112</v>
      </c>
      <c r="J21" s="46">
        <v>1</v>
      </c>
      <c r="M21" s="46">
        <v>1</v>
      </c>
      <c r="R21" s="46">
        <v>1</v>
      </c>
      <c r="U21" s="46">
        <v>1</v>
      </c>
      <c r="X21" s="46">
        <v>19</v>
      </c>
      <c r="Y21" s="46">
        <v>20</v>
      </c>
      <c r="Z21" s="46">
        <v>6</v>
      </c>
      <c r="AA21" s="46">
        <v>6</v>
      </c>
      <c r="AB21" s="46">
        <v>5</v>
      </c>
      <c r="AE21" s="46">
        <v>1</v>
      </c>
      <c r="AJ21" s="46">
        <v>1</v>
      </c>
      <c r="AK21" s="46">
        <v>1</v>
      </c>
      <c r="AT21" s="46">
        <v>1</v>
      </c>
      <c r="AX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6021</v>
      </c>
    </row>
    <row r="22" spans="1:98">
      <c r="A22" s="46" t="s">
        <v>6077</v>
      </c>
      <c r="B22" s="46" t="s">
        <v>6078</v>
      </c>
      <c r="C22" s="46">
        <v>44</v>
      </c>
      <c r="D22" s="46" t="s">
        <v>6079</v>
      </c>
      <c r="E22" s="46" t="s">
        <v>6080</v>
      </c>
      <c r="F22" s="46" t="s">
        <v>112</v>
      </c>
      <c r="H22" s="46">
        <v>1</v>
      </c>
      <c r="O22" s="46">
        <v>1</v>
      </c>
      <c r="R22" s="46">
        <v>1</v>
      </c>
      <c r="U22" s="46">
        <v>1</v>
      </c>
      <c r="W22" s="46">
        <v>15</v>
      </c>
      <c r="X22" s="46">
        <v>20</v>
      </c>
      <c r="Y22" s="46">
        <v>23</v>
      </c>
      <c r="Z22" s="46">
        <v>2</v>
      </c>
      <c r="AA22" s="46">
        <v>2</v>
      </c>
      <c r="AB22" s="46">
        <v>2</v>
      </c>
      <c r="AD22" s="46">
        <v>1</v>
      </c>
      <c r="AI22" s="46">
        <v>1</v>
      </c>
      <c r="AL22" s="46">
        <v>1</v>
      </c>
      <c r="AP22" s="46">
        <v>1</v>
      </c>
      <c r="AS22" s="46">
        <v>1</v>
      </c>
      <c r="AT22" s="46">
        <v>1</v>
      </c>
      <c r="AW22" s="46">
        <v>1</v>
      </c>
      <c r="BA22" s="46">
        <v>1</v>
      </c>
      <c r="BK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6021</v>
      </c>
    </row>
    <row r="23" spans="1:98">
      <c r="A23" s="46" t="s">
        <v>6081</v>
      </c>
      <c r="B23" s="46" t="s">
        <v>6082</v>
      </c>
      <c r="C23" s="46">
        <v>38</v>
      </c>
      <c r="D23" s="46" t="s">
        <v>2004</v>
      </c>
      <c r="E23" s="46" t="s">
        <v>6083</v>
      </c>
      <c r="F23" s="46" t="s">
        <v>112</v>
      </c>
      <c r="I23" s="46">
        <v>1</v>
      </c>
      <c r="N23" s="46">
        <v>1</v>
      </c>
      <c r="R23" s="46">
        <v>1</v>
      </c>
      <c r="U23" s="46">
        <v>1</v>
      </c>
      <c r="W23" s="46">
        <v>15</v>
      </c>
      <c r="X23" s="46">
        <v>17</v>
      </c>
      <c r="Y23" s="46">
        <v>20</v>
      </c>
      <c r="Z23" s="46">
        <v>4</v>
      </c>
      <c r="AA23" s="46">
        <v>4</v>
      </c>
      <c r="AB23" s="46">
        <v>3</v>
      </c>
      <c r="AC23" s="46">
        <v>1</v>
      </c>
      <c r="AJ23" s="46">
        <v>1</v>
      </c>
      <c r="AK23" s="46">
        <v>1</v>
      </c>
      <c r="AT23" s="46">
        <v>1</v>
      </c>
      <c r="AX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6021</v>
      </c>
    </row>
    <row r="24" spans="1:98">
      <c r="A24" s="46" t="s">
        <v>6084</v>
      </c>
      <c r="B24" s="46" t="s">
        <v>6085</v>
      </c>
      <c r="C24" s="46">
        <v>36</v>
      </c>
      <c r="D24" s="46" t="s">
        <v>1112</v>
      </c>
      <c r="E24" s="46" t="s">
        <v>6086</v>
      </c>
      <c r="F24" s="46" t="s">
        <v>624</v>
      </c>
      <c r="J24" s="46">
        <v>1</v>
      </c>
      <c r="P24" s="46">
        <v>1</v>
      </c>
      <c r="T24" s="46">
        <v>1</v>
      </c>
      <c r="W24" s="46">
        <v>20</v>
      </c>
      <c r="X24" s="46">
        <v>17</v>
      </c>
      <c r="Y24" s="46">
        <v>21</v>
      </c>
      <c r="Z24" s="46">
        <v>7</v>
      </c>
      <c r="AA24" s="46">
        <v>6</v>
      </c>
      <c r="AB24" s="46">
        <v>5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6021</v>
      </c>
    </row>
    <row r="25" spans="1:98">
      <c r="A25" s="46" t="s">
        <v>6087</v>
      </c>
      <c r="B25" s="46" t="s">
        <v>6088</v>
      </c>
      <c r="C25" s="46">
        <v>38</v>
      </c>
      <c r="D25" s="46" t="s">
        <v>1162</v>
      </c>
      <c r="E25" s="46" t="s">
        <v>6089</v>
      </c>
      <c r="F25" s="46" t="s">
        <v>112</v>
      </c>
      <c r="J25" s="46">
        <v>1</v>
      </c>
      <c r="N25" s="46">
        <v>1</v>
      </c>
      <c r="Q25" s="46">
        <v>1</v>
      </c>
      <c r="U25" s="46">
        <v>1</v>
      </c>
      <c r="W25" s="46">
        <v>15</v>
      </c>
      <c r="X25" s="46">
        <v>15</v>
      </c>
      <c r="Y25" s="46">
        <v>20</v>
      </c>
      <c r="Z25" s="46">
        <v>4</v>
      </c>
      <c r="AA25" s="46">
        <v>1</v>
      </c>
      <c r="AB25" s="46">
        <v>1</v>
      </c>
      <c r="AE25" s="46">
        <v>1</v>
      </c>
      <c r="AI25" s="46">
        <v>1</v>
      </c>
      <c r="AK25" s="46">
        <v>1</v>
      </c>
      <c r="AT25" s="46">
        <v>1</v>
      </c>
      <c r="AX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6021</v>
      </c>
    </row>
    <row r="26" spans="1:98">
      <c r="A26" s="46" t="s">
        <v>6090</v>
      </c>
      <c r="B26" s="46" t="s">
        <v>3997</v>
      </c>
      <c r="C26" s="46">
        <v>33</v>
      </c>
      <c r="D26" s="46" t="s">
        <v>2004</v>
      </c>
      <c r="E26" s="46" t="s">
        <v>6091</v>
      </c>
      <c r="F26" s="46" t="s">
        <v>662</v>
      </c>
      <c r="J26" s="46">
        <v>1</v>
      </c>
      <c r="O26" s="46">
        <v>1</v>
      </c>
      <c r="Q26" s="46">
        <v>1</v>
      </c>
      <c r="U26" s="46">
        <v>1</v>
      </c>
      <c r="W26" s="46">
        <v>18</v>
      </c>
      <c r="X26" s="46">
        <v>20</v>
      </c>
      <c r="Z26" s="46">
        <v>2</v>
      </c>
      <c r="AA26" s="46">
        <v>2</v>
      </c>
      <c r="AB26" s="46">
        <v>1</v>
      </c>
      <c r="AC26" s="46">
        <v>1</v>
      </c>
      <c r="AI26" s="46">
        <v>1</v>
      </c>
      <c r="AL26" s="46">
        <v>1</v>
      </c>
      <c r="AO26" s="46">
        <v>1</v>
      </c>
      <c r="AQ26" s="46" t="s">
        <v>736</v>
      </c>
      <c r="AR26" s="134">
        <v>45505</v>
      </c>
      <c r="AT26" s="46">
        <v>1</v>
      </c>
      <c r="AW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6021</v>
      </c>
    </row>
    <row r="27" spans="1:98">
      <c r="A27" s="46" t="s">
        <v>6092</v>
      </c>
      <c r="B27" s="46" t="s">
        <v>6093</v>
      </c>
      <c r="C27" s="46">
        <v>41</v>
      </c>
      <c r="D27" s="46" t="s">
        <v>1459</v>
      </c>
      <c r="E27" s="46" t="s">
        <v>6094</v>
      </c>
      <c r="F27" s="46" t="s">
        <v>112</v>
      </c>
      <c r="H27" s="46">
        <v>1</v>
      </c>
      <c r="M27" s="46">
        <v>1</v>
      </c>
      <c r="Q27" s="46">
        <v>1</v>
      </c>
      <c r="V27" s="46">
        <v>1</v>
      </c>
      <c r="W27" s="46">
        <v>15</v>
      </c>
      <c r="X27" s="46">
        <v>18</v>
      </c>
      <c r="Y27" s="46">
        <v>23</v>
      </c>
      <c r="Z27" s="46">
        <v>6</v>
      </c>
      <c r="AA27" s="46">
        <v>4</v>
      </c>
      <c r="AB27" s="46">
        <v>4</v>
      </c>
      <c r="AE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6021</v>
      </c>
    </row>
    <row r="28" spans="1:98">
      <c r="A28" s="46" t="s">
        <v>6095</v>
      </c>
      <c r="B28" s="46" t="s">
        <v>6096</v>
      </c>
      <c r="C28" s="46">
        <v>41</v>
      </c>
      <c r="D28" s="46" t="s">
        <v>6097</v>
      </c>
      <c r="E28" s="46" t="s">
        <v>6098</v>
      </c>
      <c r="F28" s="46" t="s">
        <v>107</v>
      </c>
      <c r="H28" s="46">
        <v>1</v>
      </c>
      <c r="M28" s="46">
        <v>1</v>
      </c>
      <c r="R28" s="46">
        <v>1</v>
      </c>
      <c r="U28" s="46">
        <v>1</v>
      </c>
      <c r="W28" s="46">
        <v>13</v>
      </c>
      <c r="X28" s="46">
        <v>18</v>
      </c>
      <c r="Y28" s="46">
        <v>18</v>
      </c>
      <c r="Z28" s="46">
        <v>5</v>
      </c>
      <c r="AA28" s="46">
        <v>4</v>
      </c>
      <c r="AB28" s="46">
        <v>5</v>
      </c>
      <c r="AE28" s="46">
        <v>1</v>
      </c>
      <c r="AI28" s="46">
        <v>1</v>
      </c>
      <c r="AK28" s="46">
        <v>1</v>
      </c>
      <c r="AT28" s="46">
        <v>1</v>
      </c>
      <c r="AW28" s="46">
        <v>1</v>
      </c>
      <c r="BA28" s="46">
        <v>1</v>
      </c>
      <c r="BK28" s="46">
        <v>1</v>
      </c>
      <c r="BY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6021</v>
      </c>
    </row>
    <row r="29" spans="1:98">
      <c r="A29" s="46" t="s">
        <v>6099</v>
      </c>
      <c r="B29" s="46" t="s">
        <v>6100</v>
      </c>
      <c r="C29" s="46">
        <v>34</v>
      </c>
      <c r="D29" s="46" t="s">
        <v>2004</v>
      </c>
      <c r="E29" s="46" t="s">
        <v>6101</v>
      </c>
      <c r="F29" s="46" t="s">
        <v>107</v>
      </c>
      <c r="G29" s="46">
        <v>1</v>
      </c>
      <c r="O29" s="46">
        <v>1</v>
      </c>
      <c r="R29" s="46">
        <v>1</v>
      </c>
      <c r="T29" s="46">
        <v>1</v>
      </c>
      <c r="W29" s="46">
        <v>14</v>
      </c>
      <c r="X29" s="46">
        <v>20</v>
      </c>
      <c r="Y29" s="46">
        <v>21</v>
      </c>
      <c r="Z29" s="46">
        <v>2</v>
      </c>
      <c r="AA29" s="46">
        <v>2</v>
      </c>
      <c r="AB29" s="46">
        <v>2</v>
      </c>
      <c r="AE29" s="46">
        <v>1</v>
      </c>
      <c r="AG29" s="46">
        <v>1</v>
      </c>
      <c r="AH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K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6021</v>
      </c>
    </row>
    <row r="30" spans="1:98">
      <c r="A30" s="46" t="s">
        <v>6102</v>
      </c>
      <c r="B30" s="46" t="s">
        <v>6103</v>
      </c>
      <c r="C30" s="46">
        <v>23</v>
      </c>
      <c r="D30" s="46" t="s">
        <v>2354</v>
      </c>
      <c r="E30" s="46" t="s">
        <v>6104</v>
      </c>
      <c r="F30" s="46" t="s">
        <v>122</v>
      </c>
      <c r="I30" s="46">
        <v>1</v>
      </c>
      <c r="N30" s="46">
        <v>1</v>
      </c>
      <c r="Q30" s="46">
        <v>1</v>
      </c>
      <c r="U30" s="46">
        <v>1</v>
      </c>
      <c r="W30" s="46">
        <v>9</v>
      </c>
      <c r="X30" s="46">
        <v>19</v>
      </c>
      <c r="AE30" s="46">
        <v>1</v>
      </c>
      <c r="AI30" s="46">
        <v>1</v>
      </c>
      <c r="AK30" s="46">
        <v>1</v>
      </c>
      <c r="AT30" s="46">
        <v>1</v>
      </c>
      <c r="AX30" s="46">
        <v>1</v>
      </c>
      <c r="BA30" s="46">
        <v>1</v>
      </c>
      <c r="BK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6021</v>
      </c>
    </row>
    <row r="31" spans="1:98">
      <c r="A31" s="46" t="s">
        <v>6105</v>
      </c>
      <c r="B31" s="46" t="s">
        <v>6106</v>
      </c>
      <c r="C31" s="46">
        <v>42</v>
      </c>
      <c r="D31" s="46" t="s">
        <v>2004</v>
      </c>
      <c r="E31" s="46" t="s">
        <v>6107</v>
      </c>
      <c r="F31" s="46" t="s">
        <v>624</v>
      </c>
      <c r="J31" s="46">
        <v>1</v>
      </c>
      <c r="O31" s="46">
        <v>1</v>
      </c>
      <c r="T31" s="46">
        <v>1</v>
      </c>
      <c r="W31" s="46">
        <v>14</v>
      </c>
      <c r="X31" s="46">
        <v>15</v>
      </c>
      <c r="Y31" s="46">
        <v>20</v>
      </c>
      <c r="Z31" s="46">
        <v>5</v>
      </c>
      <c r="AA31" s="46">
        <v>4</v>
      </c>
      <c r="AB31" s="46">
        <v>4</v>
      </c>
      <c r="AH31" s="46">
        <v>1</v>
      </c>
      <c r="AI31" s="46">
        <v>1</v>
      </c>
      <c r="AK31" s="46">
        <v>1</v>
      </c>
      <c r="AT31" s="46">
        <v>1</v>
      </c>
      <c r="AY31" s="46">
        <v>1</v>
      </c>
      <c r="BA31" s="46">
        <v>1</v>
      </c>
      <c r="BK31" s="46">
        <v>1</v>
      </c>
      <c r="CB31" s="46">
        <v>1</v>
      </c>
      <c r="CE31" s="46">
        <v>1</v>
      </c>
      <c r="CK31" s="46">
        <v>1</v>
      </c>
      <c r="CR31" s="46">
        <v>1</v>
      </c>
      <c r="CT31" s="46" t="s">
        <v>6021</v>
      </c>
    </row>
    <row r="32" spans="1:98">
      <c r="A32" s="46" t="s">
        <v>6108</v>
      </c>
      <c r="B32" s="46" t="s">
        <v>6109</v>
      </c>
      <c r="C32" s="46">
        <v>32</v>
      </c>
      <c r="D32" s="46" t="s">
        <v>1162</v>
      </c>
      <c r="E32" s="46" t="s">
        <v>6110</v>
      </c>
      <c r="F32" s="46" t="s">
        <v>112</v>
      </c>
      <c r="I32" s="46">
        <v>1</v>
      </c>
      <c r="M32" s="46">
        <v>1</v>
      </c>
      <c r="Q32" s="46">
        <v>1</v>
      </c>
      <c r="T32" s="46">
        <v>1</v>
      </c>
      <c r="X32" s="46">
        <v>19</v>
      </c>
      <c r="Y32" s="46">
        <v>20</v>
      </c>
      <c r="Z32" s="46">
        <v>2</v>
      </c>
      <c r="AA32" s="46">
        <v>2</v>
      </c>
      <c r="AB32" s="46">
        <v>2</v>
      </c>
      <c r="AH32" s="46">
        <v>1</v>
      </c>
      <c r="AI32" s="46">
        <v>1</v>
      </c>
      <c r="AK32" s="46">
        <v>1</v>
      </c>
      <c r="AT32" s="46">
        <v>1</v>
      </c>
      <c r="AX32" s="46">
        <v>1</v>
      </c>
      <c r="BA32" s="46">
        <v>1</v>
      </c>
      <c r="BK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6021</v>
      </c>
    </row>
    <row r="33" spans="1:98">
      <c r="A33" s="46" t="s">
        <v>6111</v>
      </c>
      <c r="B33" s="46" t="s">
        <v>6112</v>
      </c>
      <c r="C33" s="46">
        <v>26</v>
      </c>
      <c r="D33" s="46" t="s">
        <v>2004</v>
      </c>
      <c r="E33" s="46" t="s">
        <v>6113</v>
      </c>
      <c r="F33" s="46" t="s">
        <v>112</v>
      </c>
      <c r="I33" s="46">
        <v>1</v>
      </c>
      <c r="M33" s="46">
        <v>1</v>
      </c>
      <c r="Q33" s="46">
        <v>1</v>
      </c>
      <c r="U33" s="46">
        <v>1</v>
      </c>
      <c r="W33" s="46">
        <v>14</v>
      </c>
      <c r="X33" s="46">
        <v>13</v>
      </c>
      <c r="Y33" s="46">
        <v>20</v>
      </c>
      <c r="Z33" s="46">
        <v>6</v>
      </c>
      <c r="AA33" s="46">
        <v>2</v>
      </c>
      <c r="AB33" s="46">
        <v>2</v>
      </c>
      <c r="AE33" s="46">
        <v>1</v>
      </c>
      <c r="AH33" s="46">
        <v>1</v>
      </c>
      <c r="AI33" s="46">
        <v>1</v>
      </c>
      <c r="AK33" s="46">
        <v>1</v>
      </c>
      <c r="AT33" s="46">
        <v>1</v>
      </c>
      <c r="AW33" s="46">
        <v>1</v>
      </c>
      <c r="BA33" s="46">
        <v>1</v>
      </c>
      <c r="BK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6021</v>
      </c>
    </row>
    <row r="34" spans="1:98">
      <c r="A34" s="46" t="s">
        <v>6114</v>
      </c>
      <c r="B34" s="46" t="s">
        <v>6115</v>
      </c>
      <c r="C34" s="46">
        <v>30</v>
      </c>
      <c r="D34" s="46" t="s">
        <v>6116</v>
      </c>
      <c r="E34" s="46" t="s">
        <v>6117</v>
      </c>
      <c r="F34" s="46" t="s">
        <v>112</v>
      </c>
      <c r="I34" s="46">
        <v>1</v>
      </c>
      <c r="M34" s="46">
        <v>1</v>
      </c>
      <c r="Q34" s="46">
        <v>1</v>
      </c>
      <c r="S34" s="46">
        <v>1</v>
      </c>
      <c r="W34" s="46">
        <v>13</v>
      </c>
      <c r="X34" s="46">
        <v>14</v>
      </c>
      <c r="Y34" s="46">
        <v>15</v>
      </c>
      <c r="Z34" s="46">
        <v>8</v>
      </c>
      <c r="AA34" s="46">
        <v>5</v>
      </c>
      <c r="AB34" s="46">
        <v>5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K34" s="46">
        <v>1</v>
      </c>
      <c r="CB34" s="46">
        <v>1</v>
      </c>
      <c r="CE34" s="46">
        <v>1</v>
      </c>
      <c r="CK34" s="46">
        <v>1</v>
      </c>
      <c r="CR34" s="46">
        <v>1</v>
      </c>
      <c r="CT34" s="46" t="s">
        <v>6021</v>
      </c>
    </row>
    <row r="35" spans="1:98">
      <c r="A35" s="46" t="s">
        <v>6118</v>
      </c>
      <c r="B35" s="46" t="s">
        <v>6119</v>
      </c>
      <c r="C35" s="46">
        <v>31</v>
      </c>
      <c r="D35" s="46" t="s">
        <v>6120</v>
      </c>
      <c r="E35" s="46" t="s">
        <v>6121</v>
      </c>
      <c r="F35" s="46" t="s">
        <v>112</v>
      </c>
      <c r="J35" s="46">
        <v>1</v>
      </c>
      <c r="M35" s="46">
        <v>1</v>
      </c>
      <c r="Q35" s="46">
        <v>1</v>
      </c>
      <c r="T35" s="46">
        <v>1</v>
      </c>
      <c r="W35" s="46">
        <v>15</v>
      </c>
      <c r="X35" s="46">
        <v>16</v>
      </c>
      <c r="Y35" s="46">
        <v>29</v>
      </c>
      <c r="Z35" s="46">
        <v>1</v>
      </c>
      <c r="AA35" s="46">
        <v>1</v>
      </c>
      <c r="AB35" s="46">
        <v>1</v>
      </c>
      <c r="AH35" s="46">
        <v>1</v>
      </c>
      <c r="AK35" s="46">
        <v>1</v>
      </c>
      <c r="AT35" s="46">
        <v>1</v>
      </c>
      <c r="AW35" s="46">
        <v>1</v>
      </c>
      <c r="BA35" s="46">
        <v>1</v>
      </c>
      <c r="BK35" s="46">
        <v>1</v>
      </c>
      <c r="BY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6021</v>
      </c>
    </row>
    <row r="36" spans="1:98">
      <c r="A36" s="46" t="s">
        <v>6122</v>
      </c>
      <c r="B36" s="46" t="s">
        <v>822</v>
      </c>
      <c r="C36" s="46">
        <v>27</v>
      </c>
      <c r="D36" s="46" t="s">
        <v>6123</v>
      </c>
      <c r="E36" s="46" t="s">
        <v>6124</v>
      </c>
      <c r="F36" s="46" t="s">
        <v>107</v>
      </c>
      <c r="H36" s="46">
        <v>1</v>
      </c>
      <c r="M36" s="46">
        <v>1</v>
      </c>
      <c r="Q36" s="46">
        <v>1</v>
      </c>
      <c r="U36" s="46">
        <v>1</v>
      </c>
      <c r="W36" s="46">
        <v>15</v>
      </c>
      <c r="X36" s="46">
        <v>17</v>
      </c>
      <c r="Y36" s="46">
        <v>20</v>
      </c>
      <c r="Z36" s="46">
        <v>1</v>
      </c>
      <c r="AA36" s="46">
        <v>1</v>
      </c>
      <c r="AB36" s="46">
        <v>1</v>
      </c>
      <c r="AE36" s="46">
        <v>1</v>
      </c>
      <c r="AG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K36" s="46">
        <v>1</v>
      </c>
      <c r="CB36" s="46">
        <v>1</v>
      </c>
      <c r="CE36" s="46">
        <v>1</v>
      </c>
      <c r="CK36" s="46">
        <v>1</v>
      </c>
      <c r="CR36" s="46">
        <v>1</v>
      </c>
      <c r="CT36" s="46" t="s">
        <v>6021</v>
      </c>
    </row>
    <row r="37" spans="1:98">
      <c r="A37" s="46" t="s">
        <v>6125</v>
      </c>
      <c r="B37" s="46" t="s">
        <v>6126</v>
      </c>
      <c r="C37" s="46">
        <v>27</v>
      </c>
      <c r="D37" s="46" t="s">
        <v>1409</v>
      </c>
      <c r="E37" s="46" t="s">
        <v>6127</v>
      </c>
      <c r="F37" s="46" t="s">
        <v>112</v>
      </c>
      <c r="I37" s="46">
        <v>1</v>
      </c>
      <c r="M37" s="46">
        <v>1</v>
      </c>
      <c r="R37" s="46">
        <v>1</v>
      </c>
      <c r="U37" s="46">
        <v>1</v>
      </c>
      <c r="W37" s="46">
        <v>16</v>
      </c>
      <c r="X37" s="46">
        <v>18</v>
      </c>
      <c r="Y37" s="46">
        <v>20</v>
      </c>
      <c r="Z37" s="46">
        <v>2</v>
      </c>
      <c r="AA37" s="46">
        <v>2</v>
      </c>
      <c r="AB37" s="46">
        <v>2</v>
      </c>
      <c r="AE37" s="46">
        <v>1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B37" s="46">
        <v>1</v>
      </c>
      <c r="BG37" s="46">
        <v>1</v>
      </c>
      <c r="BK37" s="46">
        <v>1</v>
      </c>
      <c r="CB37" s="46">
        <v>1</v>
      </c>
      <c r="CE37" s="46">
        <v>1</v>
      </c>
      <c r="CK37" s="46">
        <v>1</v>
      </c>
      <c r="CR37" s="46">
        <v>1</v>
      </c>
      <c r="CT37" s="46" t="s">
        <v>6021</v>
      </c>
    </row>
    <row r="38" spans="1:98">
      <c r="A38" s="46" t="s">
        <v>6128</v>
      </c>
      <c r="B38" s="46" t="s">
        <v>6129</v>
      </c>
      <c r="C38" s="46">
        <v>36</v>
      </c>
      <c r="D38" s="46" t="s">
        <v>6130</v>
      </c>
      <c r="E38" s="46" t="s">
        <v>6131</v>
      </c>
      <c r="F38" s="46" t="s">
        <v>112</v>
      </c>
      <c r="J38" s="46">
        <v>1</v>
      </c>
      <c r="M38" s="46">
        <v>1</v>
      </c>
      <c r="Q38" s="46">
        <v>1</v>
      </c>
      <c r="U38" s="46">
        <v>1</v>
      </c>
      <c r="W38" s="46">
        <v>12</v>
      </c>
      <c r="X38" s="46">
        <v>15</v>
      </c>
      <c r="Y38" s="46">
        <v>16</v>
      </c>
      <c r="Z38" s="46">
        <v>5</v>
      </c>
      <c r="AA38" s="46">
        <v>4</v>
      </c>
      <c r="AB38" s="46">
        <v>4</v>
      </c>
      <c r="AH38" s="46">
        <v>1</v>
      </c>
      <c r="AI38" s="46">
        <v>1</v>
      </c>
      <c r="AK38" s="46">
        <v>1</v>
      </c>
      <c r="AT38" s="46">
        <v>1</v>
      </c>
      <c r="AX38" s="46">
        <v>1</v>
      </c>
      <c r="BB38" s="46">
        <v>1</v>
      </c>
      <c r="BG38" s="46">
        <v>1</v>
      </c>
      <c r="BK38" s="46">
        <v>1</v>
      </c>
      <c r="CC38" s="46">
        <v>1</v>
      </c>
      <c r="CE38" s="46">
        <v>1</v>
      </c>
      <c r="CK38" s="46">
        <v>1</v>
      </c>
      <c r="CR38" s="46">
        <v>1</v>
      </c>
      <c r="CT38" s="46" t="s">
        <v>6021</v>
      </c>
    </row>
    <row r="39" spans="1:98">
      <c r="A39" s="46" t="s">
        <v>6132</v>
      </c>
      <c r="B39" s="46" t="s">
        <v>6133</v>
      </c>
      <c r="C39" s="46">
        <v>25</v>
      </c>
      <c r="D39" s="46" t="s">
        <v>2354</v>
      </c>
      <c r="E39" s="46" t="s">
        <v>6134</v>
      </c>
      <c r="F39" s="46" t="s">
        <v>112</v>
      </c>
      <c r="I39" s="46">
        <v>1</v>
      </c>
      <c r="O39" s="46">
        <v>1</v>
      </c>
      <c r="Q39" s="46">
        <v>1</v>
      </c>
      <c r="T39" s="46">
        <v>1</v>
      </c>
      <c r="W39" s="46">
        <v>17</v>
      </c>
      <c r="X39" s="46">
        <v>17</v>
      </c>
      <c r="Y39" s="46">
        <v>18</v>
      </c>
      <c r="Z39" s="46">
        <v>3</v>
      </c>
      <c r="AA39" s="46">
        <v>3</v>
      </c>
      <c r="AB39" s="46">
        <v>3</v>
      </c>
      <c r="AE39" s="46">
        <v>1</v>
      </c>
      <c r="AH39" s="46">
        <v>1</v>
      </c>
      <c r="AI39" s="46">
        <v>1</v>
      </c>
      <c r="AK39" s="46">
        <v>1</v>
      </c>
      <c r="AT39" s="46">
        <v>1</v>
      </c>
      <c r="BB39" s="46">
        <v>1</v>
      </c>
      <c r="BG39" s="46">
        <v>1</v>
      </c>
      <c r="BK39" s="46">
        <v>1</v>
      </c>
      <c r="CB39" s="46">
        <v>1</v>
      </c>
      <c r="CE39" s="46">
        <v>1</v>
      </c>
      <c r="CK39" s="46">
        <v>1</v>
      </c>
      <c r="CR39" s="46">
        <v>1</v>
      </c>
      <c r="CT39" s="46" t="s">
        <v>6021</v>
      </c>
    </row>
    <row r="40" spans="1:98">
      <c r="A40" s="46" t="s">
        <v>6135</v>
      </c>
      <c r="B40" s="46" t="s">
        <v>2951</v>
      </c>
      <c r="C40" s="46">
        <v>38</v>
      </c>
      <c r="D40" s="46" t="s">
        <v>6136</v>
      </c>
      <c r="E40" s="46" t="s">
        <v>6137</v>
      </c>
      <c r="F40" s="46" t="s">
        <v>112</v>
      </c>
      <c r="G40" s="46">
        <v>1</v>
      </c>
      <c r="M40" s="46">
        <v>1</v>
      </c>
      <c r="R40" s="46">
        <v>1</v>
      </c>
      <c r="U40" s="46">
        <v>1</v>
      </c>
      <c r="W40" s="46">
        <v>14</v>
      </c>
      <c r="X40" s="46">
        <v>16</v>
      </c>
      <c r="Y40" s="46">
        <v>17</v>
      </c>
      <c r="Z40" s="46">
        <v>2</v>
      </c>
      <c r="AA40" s="46">
        <v>2</v>
      </c>
      <c r="AB40" s="46">
        <v>2</v>
      </c>
      <c r="AH40" s="46">
        <v>1</v>
      </c>
      <c r="AI40" s="46">
        <v>1</v>
      </c>
      <c r="AK40" s="46">
        <v>1</v>
      </c>
      <c r="AU40" s="46">
        <v>1</v>
      </c>
      <c r="AZ40" s="46">
        <v>1</v>
      </c>
      <c r="BA40" s="46">
        <v>1</v>
      </c>
      <c r="BJ40" s="46">
        <v>1</v>
      </c>
      <c r="BX40" s="46">
        <v>1</v>
      </c>
      <c r="BY40" s="46">
        <v>1</v>
      </c>
      <c r="CB40" s="46">
        <v>1</v>
      </c>
      <c r="CE40" s="46">
        <v>1</v>
      </c>
      <c r="CK40" s="46">
        <v>1</v>
      </c>
      <c r="CR40" s="46">
        <v>1</v>
      </c>
      <c r="CT40" s="46" t="s">
        <v>6138</v>
      </c>
    </row>
    <row r="41" spans="1:98">
      <c r="A41" s="46" t="s">
        <v>6139</v>
      </c>
      <c r="B41" s="46" t="s">
        <v>6140</v>
      </c>
      <c r="C41" s="46">
        <v>35</v>
      </c>
      <c r="D41" s="46" t="s">
        <v>6141</v>
      </c>
      <c r="E41" s="46" t="s">
        <v>6142</v>
      </c>
      <c r="F41" s="46" t="s">
        <v>112</v>
      </c>
      <c r="J41" s="46">
        <v>1</v>
      </c>
      <c r="M41" s="46">
        <v>1</v>
      </c>
      <c r="R41" s="46">
        <v>1</v>
      </c>
      <c r="T41" s="46">
        <v>1</v>
      </c>
      <c r="W41" s="46">
        <v>15</v>
      </c>
      <c r="X41" s="46">
        <v>15</v>
      </c>
      <c r="Y41" s="46">
        <v>20</v>
      </c>
      <c r="Z41" s="46">
        <v>3</v>
      </c>
      <c r="AA41" s="46">
        <v>3</v>
      </c>
      <c r="AB41" s="46">
        <v>3</v>
      </c>
      <c r="AE41" s="46">
        <v>1</v>
      </c>
      <c r="AG41" s="46">
        <v>1</v>
      </c>
      <c r="AH41" s="46">
        <v>1</v>
      </c>
      <c r="AJ41" s="46">
        <v>1</v>
      </c>
      <c r="AK41" s="46">
        <v>1</v>
      </c>
      <c r="AT41" s="46">
        <v>1</v>
      </c>
      <c r="AX41" s="46">
        <v>1</v>
      </c>
      <c r="BA41" s="46">
        <v>1</v>
      </c>
      <c r="BJ41" s="46">
        <v>1</v>
      </c>
      <c r="BX41" s="46">
        <v>1</v>
      </c>
      <c r="BY41" s="46">
        <v>1</v>
      </c>
      <c r="CB41" s="46">
        <v>1</v>
      </c>
      <c r="CE41" s="46">
        <v>1</v>
      </c>
      <c r="CK41" s="46">
        <v>1</v>
      </c>
      <c r="CR41" s="46">
        <v>1</v>
      </c>
      <c r="CT41" s="46" t="s">
        <v>6138</v>
      </c>
    </row>
    <row r="42" spans="1:98">
      <c r="A42" s="46" t="s">
        <v>6143</v>
      </c>
      <c r="B42" s="46" t="s">
        <v>6144</v>
      </c>
      <c r="C42" s="46">
        <v>65</v>
      </c>
      <c r="D42" s="46" t="s">
        <v>1162</v>
      </c>
      <c r="E42" s="46" t="s">
        <v>6145</v>
      </c>
      <c r="F42" s="46" t="s">
        <v>112</v>
      </c>
      <c r="H42" s="46">
        <v>1</v>
      </c>
      <c r="O42" s="46">
        <v>1</v>
      </c>
      <c r="R42" s="46">
        <v>1</v>
      </c>
      <c r="T42" s="46">
        <v>1</v>
      </c>
      <c r="W42" s="46">
        <v>15</v>
      </c>
      <c r="X42" s="46">
        <v>20</v>
      </c>
      <c r="Y42" s="46">
        <v>21</v>
      </c>
      <c r="Z42" s="46">
        <v>4</v>
      </c>
      <c r="AA42" s="46">
        <v>4</v>
      </c>
      <c r="AB42" s="46">
        <v>3</v>
      </c>
      <c r="AC42" s="46">
        <v>1</v>
      </c>
      <c r="AI42" s="46">
        <v>1</v>
      </c>
      <c r="AK42" s="46">
        <v>1</v>
      </c>
      <c r="AT42" s="46">
        <v>1</v>
      </c>
      <c r="AX42" s="46">
        <v>1</v>
      </c>
      <c r="BA42" s="46">
        <v>1</v>
      </c>
      <c r="BL42" s="46">
        <v>1</v>
      </c>
      <c r="BY42" s="46">
        <v>1</v>
      </c>
      <c r="CB42" s="46">
        <v>1</v>
      </c>
      <c r="CE42" s="46">
        <v>1</v>
      </c>
      <c r="CK42" s="46">
        <v>1</v>
      </c>
      <c r="CR42" s="46">
        <v>1</v>
      </c>
      <c r="CT42" s="46" t="s">
        <v>6021</v>
      </c>
    </row>
    <row r="43" spans="1:98">
      <c r="A43" s="46" t="s">
        <v>6146</v>
      </c>
      <c r="B43" s="46" t="s">
        <v>6147</v>
      </c>
      <c r="C43" s="46">
        <v>60</v>
      </c>
      <c r="D43" s="46" t="s">
        <v>6148</v>
      </c>
      <c r="E43" s="46" t="s">
        <v>6149</v>
      </c>
      <c r="F43" s="46" t="s">
        <v>112</v>
      </c>
      <c r="H43" s="46">
        <v>1</v>
      </c>
      <c r="O43" s="46">
        <v>1</v>
      </c>
      <c r="S43" s="46">
        <v>1</v>
      </c>
      <c r="W43" s="46">
        <v>18</v>
      </c>
      <c r="X43" s="46">
        <v>20</v>
      </c>
      <c r="Y43" s="46">
        <v>22</v>
      </c>
      <c r="Z43" s="46">
        <v>11</v>
      </c>
      <c r="AA43" s="46">
        <v>11</v>
      </c>
      <c r="AB43" s="46">
        <v>8</v>
      </c>
      <c r="AH43" s="46">
        <v>1</v>
      </c>
      <c r="AI43" s="46">
        <v>1</v>
      </c>
      <c r="AK43" s="46">
        <v>1</v>
      </c>
      <c r="AT43" s="46">
        <v>1</v>
      </c>
      <c r="AW43" s="46">
        <v>1</v>
      </c>
      <c r="BB43" s="46">
        <v>1</v>
      </c>
      <c r="BG43" s="46">
        <v>1</v>
      </c>
      <c r="BL43" s="46">
        <v>1</v>
      </c>
      <c r="BY43" s="46">
        <v>1</v>
      </c>
      <c r="CB43" s="46">
        <v>1</v>
      </c>
      <c r="CE43" s="46">
        <v>1</v>
      </c>
      <c r="CK43" s="46">
        <v>1</v>
      </c>
      <c r="CR43" s="46">
        <v>1</v>
      </c>
      <c r="CT43" s="46" t="s">
        <v>6021</v>
      </c>
    </row>
    <row r="44" spans="1:98">
      <c r="A44" s="46" t="s">
        <v>6150</v>
      </c>
      <c r="B44" s="46" t="s">
        <v>6151</v>
      </c>
      <c r="C44" s="46">
        <v>69</v>
      </c>
      <c r="D44" s="46" t="s">
        <v>2642</v>
      </c>
      <c r="E44" s="46" t="s">
        <v>6152</v>
      </c>
      <c r="F44" s="46" t="s">
        <v>624</v>
      </c>
      <c r="G44" s="46">
        <v>1</v>
      </c>
      <c r="O44" s="46">
        <v>1</v>
      </c>
      <c r="R44" s="46">
        <v>1</v>
      </c>
      <c r="S44" s="46">
        <v>1</v>
      </c>
      <c r="W44" s="46">
        <v>12</v>
      </c>
      <c r="X44" s="46">
        <v>15</v>
      </c>
      <c r="Y44" s="46">
        <v>18</v>
      </c>
      <c r="Z44" s="46">
        <v>12</v>
      </c>
      <c r="AA44" s="46">
        <v>12</v>
      </c>
      <c r="AB44" s="46">
        <v>9</v>
      </c>
      <c r="AE44" s="46">
        <v>1</v>
      </c>
      <c r="AG44" s="46">
        <v>1</v>
      </c>
      <c r="AH44" s="46">
        <v>1</v>
      </c>
      <c r="AI44" s="46">
        <v>1</v>
      </c>
      <c r="AK44" s="46">
        <v>1</v>
      </c>
      <c r="AT44" s="46">
        <v>1</v>
      </c>
      <c r="AW44" s="46">
        <v>1</v>
      </c>
      <c r="BB44" s="46">
        <v>1</v>
      </c>
      <c r="BL44" s="46">
        <v>1</v>
      </c>
      <c r="CB44" s="46">
        <v>1</v>
      </c>
      <c r="CE44" s="46">
        <v>1</v>
      </c>
      <c r="CK44" s="46">
        <v>1</v>
      </c>
      <c r="CR44" s="46">
        <v>1</v>
      </c>
      <c r="CT44" s="46" t="s">
        <v>6021</v>
      </c>
    </row>
    <row r="45" spans="1:98">
      <c r="A45" s="46" t="s">
        <v>6153</v>
      </c>
      <c r="B45" s="46" t="s">
        <v>758</v>
      </c>
      <c r="C45" s="46">
        <v>54</v>
      </c>
      <c r="D45" s="46" t="s">
        <v>1459</v>
      </c>
      <c r="E45" s="46" t="s">
        <v>6154</v>
      </c>
      <c r="F45" s="46" t="s">
        <v>112</v>
      </c>
      <c r="I45" s="46">
        <v>1</v>
      </c>
      <c r="M45" s="46">
        <v>1</v>
      </c>
      <c r="Q45" s="46">
        <v>1</v>
      </c>
      <c r="T45" s="46">
        <v>1</v>
      </c>
      <c r="W45" s="46">
        <v>14</v>
      </c>
      <c r="X45" s="46">
        <v>15</v>
      </c>
      <c r="Y45" s="46">
        <v>15</v>
      </c>
      <c r="Z45" s="46">
        <v>4</v>
      </c>
      <c r="AA45" s="46">
        <v>4</v>
      </c>
      <c r="AB45" s="46">
        <v>3</v>
      </c>
      <c r="AE45" s="46">
        <v>1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L45" s="46">
        <v>1</v>
      </c>
      <c r="BY45" s="46">
        <v>1</v>
      </c>
      <c r="CB45" s="46">
        <v>1</v>
      </c>
      <c r="CE45" s="46">
        <v>1</v>
      </c>
      <c r="CK45" s="46">
        <v>1</v>
      </c>
      <c r="CR45" s="46">
        <v>1</v>
      </c>
      <c r="CT45" s="46" t="s">
        <v>6021</v>
      </c>
    </row>
    <row r="46" spans="1:98">
      <c r="A46" s="46" t="s">
        <v>6155</v>
      </c>
      <c r="B46" s="46" t="s">
        <v>6156</v>
      </c>
      <c r="C46" s="46">
        <v>30</v>
      </c>
      <c r="D46" s="46" t="s">
        <v>6157</v>
      </c>
      <c r="E46" s="46" t="s">
        <v>6158</v>
      </c>
      <c r="F46" s="46" t="s">
        <v>107</v>
      </c>
      <c r="I46" s="46">
        <v>1</v>
      </c>
      <c r="M46" s="46">
        <v>1</v>
      </c>
      <c r="R46" s="46">
        <v>1</v>
      </c>
      <c r="T46" s="46">
        <v>1</v>
      </c>
      <c r="W46" s="46">
        <v>11</v>
      </c>
      <c r="X46" s="46">
        <v>17</v>
      </c>
      <c r="Y46" s="46">
        <v>19</v>
      </c>
      <c r="Z46" s="46">
        <v>4</v>
      </c>
      <c r="AA46" s="46">
        <v>4</v>
      </c>
      <c r="AB46" s="46">
        <v>4</v>
      </c>
      <c r="AC46" s="46">
        <v>1</v>
      </c>
      <c r="AI46" s="46">
        <v>1</v>
      </c>
      <c r="AK46" s="46">
        <v>1</v>
      </c>
      <c r="AT46" s="46">
        <v>1</v>
      </c>
      <c r="AW46" s="46">
        <v>1</v>
      </c>
      <c r="BB46" s="46">
        <v>1</v>
      </c>
      <c r="BG46" s="46">
        <v>1</v>
      </c>
      <c r="BM46" s="46">
        <v>1</v>
      </c>
      <c r="BY46" s="46">
        <v>1</v>
      </c>
      <c r="CB46" s="46">
        <v>1</v>
      </c>
      <c r="CE46" s="46">
        <v>1</v>
      </c>
      <c r="CK46" s="46">
        <v>1</v>
      </c>
      <c r="CR46" s="46">
        <v>1</v>
      </c>
      <c r="CT46" s="50">
        <v>45505</v>
      </c>
    </row>
    <row r="47" spans="1:98">
      <c r="A47" s="46" t="s">
        <v>6159</v>
      </c>
      <c r="B47" s="46" t="s">
        <v>6160</v>
      </c>
      <c r="C47" s="46">
        <v>40</v>
      </c>
      <c r="D47" s="46" t="s">
        <v>2004</v>
      </c>
      <c r="E47" s="46" t="s">
        <v>6161</v>
      </c>
      <c r="F47" s="46" t="s">
        <v>112</v>
      </c>
      <c r="M47" s="46">
        <v>1</v>
      </c>
      <c r="Q47" s="46">
        <v>1</v>
      </c>
      <c r="U47" s="46">
        <v>1</v>
      </c>
      <c r="W47" s="46">
        <v>14</v>
      </c>
      <c r="X47" s="46">
        <v>18</v>
      </c>
      <c r="Y47" s="46">
        <v>19</v>
      </c>
      <c r="Z47" s="46">
        <v>2</v>
      </c>
      <c r="AA47" s="46">
        <v>2</v>
      </c>
      <c r="AB47" s="46">
        <v>2</v>
      </c>
      <c r="AC47" s="46">
        <v>1</v>
      </c>
      <c r="AI47" s="46">
        <v>1</v>
      </c>
      <c r="AK47" s="46">
        <v>1</v>
      </c>
      <c r="AT47" s="46">
        <v>1</v>
      </c>
      <c r="AW47" s="46">
        <v>1</v>
      </c>
      <c r="BA47" s="46">
        <v>1</v>
      </c>
      <c r="BM47" s="46">
        <v>1</v>
      </c>
      <c r="CB47" s="46">
        <v>1</v>
      </c>
      <c r="CE47" s="46">
        <v>1</v>
      </c>
      <c r="CK47" s="46">
        <v>1</v>
      </c>
      <c r="CR47" s="46">
        <v>1</v>
      </c>
      <c r="CT47" s="46" t="s">
        <v>3624</v>
      </c>
    </row>
    <row r="48" spans="1:98">
      <c r="A48" s="46" t="s">
        <v>6162</v>
      </c>
      <c r="B48" s="46" t="s">
        <v>6163</v>
      </c>
      <c r="C48" s="46">
        <v>40</v>
      </c>
      <c r="D48" s="46" t="s">
        <v>4359</v>
      </c>
      <c r="E48" s="46" t="s">
        <v>6164</v>
      </c>
      <c r="F48" s="46" t="s">
        <v>112</v>
      </c>
      <c r="J48" s="46">
        <v>1</v>
      </c>
      <c r="M48" s="46">
        <v>1</v>
      </c>
      <c r="Q48" s="46">
        <v>1</v>
      </c>
      <c r="V48" s="46">
        <v>1</v>
      </c>
      <c r="W48" s="46">
        <v>17</v>
      </c>
      <c r="X48" s="46">
        <v>25</v>
      </c>
      <c r="Y48" s="46">
        <v>28</v>
      </c>
      <c r="Z48" s="46">
        <v>3</v>
      </c>
      <c r="AA48" s="46">
        <v>3</v>
      </c>
      <c r="AB48" s="46">
        <v>3</v>
      </c>
      <c r="AG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M48" s="46">
        <v>1</v>
      </c>
      <c r="CB48" s="46">
        <v>1</v>
      </c>
      <c r="CE48" s="46">
        <v>1</v>
      </c>
      <c r="CK48" s="46">
        <v>1</v>
      </c>
      <c r="CR48" s="46">
        <v>1</v>
      </c>
      <c r="CT48" s="134">
        <v>45505</v>
      </c>
    </row>
    <row r="49" spans="1:98">
      <c r="A49" s="46" t="s">
        <v>6165</v>
      </c>
      <c r="B49" s="46" t="s">
        <v>6166</v>
      </c>
      <c r="C49" s="46">
        <v>35</v>
      </c>
      <c r="D49" s="46" t="s">
        <v>6167</v>
      </c>
      <c r="E49" s="46" t="s">
        <v>6168</v>
      </c>
      <c r="F49" s="46" t="s">
        <v>112</v>
      </c>
      <c r="H49" s="46">
        <v>1</v>
      </c>
      <c r="M49" s="46">
        <v>1</v>
      </c>
      <c r="R49" s="46">
        <v>1</v>
      </c>
      <c r="U49" s="46">
        <v>1</v>
      </c>
      <c r="W49" s="46">
        <v>14</v>
      </c>
      <c r="X49" s="46">
        <v>17</v>
      </c>
      <c r="Y49" s="46">
        <v>17</v>
      </c>
      <c r="Z49" s="46">
        <v>3</v>
      </c>
      <c r="AA49" s="46">
        <v>1</v>
      </c>
      <c r="AB49" s="46">
        <v>1</v>
      </c>
      <c r="AD49" s="46">
        <v>1</v>
      </c>
      <c r="AE49" s="46">
        <v>1</v>
      </c>
      <c r="AI49" s="46">
        <v>1</v>
      </c>
      <c r="AK49" s="46">
        <v>1</v>
      </c>
      <c r="AT49" s="46">
        <v>1</v>
      </c>
      <c r="AW49" s="46">
        <v>1</v>
      </c>
      <c r="BB49" s="46">
        <v>1</v>
      </c>
      <c r="BG49" s="46">
        <v>1</v>
      </c>
      <c r="BO49" s="46">
        <v>1</v>
      </c>
      <c r="BU49" s="46">
        <v>1</v>
      </c>
      <c r="BY49" s="46">
        <v>1</v>
      </c>
      <c r="CB49" s="46">
        <v>1</v>
      </c>
      <c r="CE49" s="46">
        <v>1</v>
      </c>
      <c r="CK49" s="46">
        <v>1</v>
      </c>
      <c r="CR49" s="46">
        <v>1</v>
      </c>
      <c r="CT49" s="46" t="s">
        <v>3624</v>
      </c>
    </row>
    <row r="50" spans="1:98">
      <c r="A50" s="46" t="s">
        <v>6169</v>
      </c>
      <c r="B50" s="46" t="s">
        <v>6170</v>
      </c>
      <c r="C50" s="46">
        <v>59</v>
      </c>
      <c r="D50" s="46" t="s">
        <v>1409</v>
      </c>
      <c r="E50" s="46" t="s">
        <v>6171</v>
      </c>
      <c r="F50" s="46" t="s">
        <v>112</v>
      </c>
      <c r="H50" s="46">
        <v>1</v>
      </c>
      <c r="M50" s="46">
        <v>1</v>
      </c>
      <c r="R50" s="46">
        <v>1</v>
      </c>
      <c r="U50" s="46">
        <v>1</v>
      </c>
      <c r="W50" s="46">
        <v>15</v>
      </c>
      <c r="X50" s="46">
        <v>20</v>
      </c>
      <c r="Y50" s="46">
        <v>25</v>
      </c>
      <c r="Z50" s="46">
        <v>9</v>
      </c>
      <c r="AA50" s="46">
        <v>9</v>
      </c>
      <c r="AB50" s="46">
        <v>9</v>
      </c>
      <c r="AC50" s="46">
        <v>1</v>
      </c>
      <c r="AI50" s="46">
        <v>1</v>
      </c>
      <c r="AM50" s="46">
        <v>1</v>
      </c>
      <c r="AT50" s="46">
        <v>1</v>
      </c>
      <c r="AX50" s="46">
        <v>1</v>
      </c>
      <c r="BA50" s="46">
        <v>1</v>
      </c>
      <c r="BO50" s="46">
        <v>1</v>
      </c>
      <c r="BU50" s="46">
        <v>1</v>
      </c>
      <c r="CB50" s="46">
        <v>1</v>
      </c>
      <c r="CE50" s="46">
        <v>1</v>
      </c>
      <c r="CK50" s="46">
        <v>1</v>
      </c>
      <c r="CR50" s="46">
        <v>1</v>
      </c>
      <c r="CT50" s="46" t="s">
        <v>3624</v>
      </c>
    </row>
    <row r="51" spans="1:98">
      <c r="A51" s="46" t="s">
        <v>6172</v>
      </c>
      <c r="B51" s="46" t="s">
        <v>6173</v>
      </c>
      <c r="C51" s="46">
        <v>52</v>
      </c>
      <c r="D51" s="46" t="s">
        <v>2004</v>
      </c>
      <c r="E51" s="46" t="s">
        <v>6174</v>
      </c>
      <c r="F51" s="46" t="s">
        <v>107</v>
      </c>
      <c r="G51" s="46">
        <v>1</v>
      </c>
      <c r="P51" s="46">
        <v>1</v>
      </c>
      <c r="U51" s="46">
        <v>1</v>
      </c>
      <c r="W51" s="46">
        <v>14</v>
      </c>
      <c r="X51" s="46">
        <v>17</v>
      </c>
      <c r="Y51" s="46">
        <v>19</v>
      </c>
      <c r="Z51" s="46">
        <v>9</v>
      </c>
      <c r="AA51" s="46">
        <v>8</v>
      </c>
      <c r="AB51" s="46">
        <v>5</v>
      </c>
      <c r="AH51" s="46">
        <v>1</v>
      </c>
      <c r="AI51" s="46">
        <v>1</v>
      </c>
      <c r="AK51" s="46">
        <v>1</v>
      </c>
      <c r="AT51" s="46">
        <v>1</v>
      </c>
      <c r="AX51" s="46">
        <v>1</v>
      </c>
      <c r="BA51" s="46">
        <v>1</v>
      </c>
      <c r="BO51" s="46">
        <v>1</v>
      </c>
      <c r="BU51" s="46">
        <v>1</v>
      </c>
      <c r="BY51" s="46">
        <v>1</v>
      </c>
      <c r="CB51" s="46">
        <v>1</v>
      </c>
      <c r="CE51" s="46">
        <v>1</v>
      </c>
      <c r="CK51" s="46">
        <v>1</v>
      </c>
      <c r="CR51" s="46">
        <v>1</v>
      </c>
      <c r="CT51" s="46" t="s">
        <v>3624</v>
      </c>
    </row>
    <row r="52" spans="1:98">
      <c r="A52" s="46" t="s">
        <v>6175</v>
      </c>
      <c r="B52" s="46" t="s">
        <v>6176</v>
      </c>
      <c r="C52" s="46">
        <v>33</v>
      </c>
      <c r="D52" s="46" t="s">
        <v>6177</v>
      </c>
      <c r="E52" s="46" t="s">
        <v>6178</v>
      </c>
      <c r="F52" s="46" t="s">
        <v>112</v>
      </c>
      <c r="I52" s="46">
        <v>1</v>
      </c>
      <c r="O52" s="46">
        <v>1</v>
      </c>
      <c r="U52" s="46">
        <v>1</v>
      </c>
      <c r="W52" s="46">
        <v>15</v>
      </c>
      <c r="X52" s="46">
        <v>21</v>
      </c>
      <c r="Y52" s="46">
        <v>28</v>
      </c>
      <c r="Z52" s="46">
        <v>6</v>
      </c>
      <c r="AA52" s="46">
        <v>3</v>
      </c>
      <c r="AB52" s="46">
        <v>3</v>
      </c>
      <c r="AD52" s="46">
        <v>1</v>
      </c>
      <c r="AE52" s="46">
        <v>1</v>
      </c>
      <c r="AI52" s="46">
        <v>1</v>
      </c>
      <c r="AK52" s="46">
        <v>1</v>
      </c>
      <c r="AT52" s="46">
        <v>1</v>
      </c>
      <c r="AX52" s="46">
        <v>1</v>
      </c>
      <c r="BA52" s="46">
        <v>1</v>
      </c>
      <c r="BO52" s="46">
        <v>1</v>
      </c>
      <c r="BY52" s="46">
        <v>1</v>
      </c>
      <c r="CB52" s="46">
        <v>1</v>
      </c>
      <c r="CE52" s="46">
        <v>1</v>
      </c>
      <c r="CK52" s="46">
        <v>1</v>
      </c>
      <c r="CR52" s="46">
        <v>1</v>
      </c>
      <c r="CT52" s="46" t="s">
        <v>3624</v>
      </c>
    </row>
    <row r="53" spans="1:98">
      <c r="A53" s="46" t="s">
        <v>6179</v>
      </c>
      <c r="B53" s="46" t="s">
        <v>6180</v>
      </c>
      <c r="C53" s="46">
        <v>47</v>
      </c>
      <c r="D53" s="46" t="s">
        <v>2710</v>
      </c>
      <c r="E53" s="46" t="s">
        <v>6181</v>
      </c>
      <c r="F53" s="46" t="s">
        <v>112</v>
      </c>
      <c r="G53" s="46">
        <v>1</v>
      </c>
      <c r="O53" s="46">
        <v>1</v>
      </c>
      <c r="R53" s="46">
        <v>1</v>
      </c>
      <c r="T53" s="46">
        <v>1</v>
      </c>
      <c r="W53" s="46">
        <v>13</v>
      </c>
      <c r="X53" s="46">
        <v>15</v>
      </c>
      <c r="Y53" s="46">
        <v>20</v>
      </c>
      <c r="Z53" s="46">
        <v>4</v>
      </c>
      <c r="AA53" s="46">
        <v>2</v>
      </c>
      <c r="AB53" s="46">
        <v>1</v>
      </c>
      <c r="AE53" s="46">
        <v>1</v>
      </c>
      <c r="AI53" s="46">
        <v>1</v>
      </c>
      <c r="AK53" s="46">
        <v>1</v>
      </c>
      <c r="AT53" s="46">
        <v>1</v>
      </c>
      <c r="AX53" s="46">
        <v>1</v>
      </c>
      <c r="BA53" s="46">
        <v>1</v>
      </c>
      <c r="BO53" s="46">
        <v>1</v>
      </c>
      <c r="BU53" s="46">
        <v>1</v>
      </c>
      <c r="BY53" s="46">
        <v>1</v>
      </c>
      <c r="CB53" s="46">
        <v>1</v>
      </c>
      <c r="CE53" s="46">
        <v>1</v>
      </c>
      <c r="CK53" s="46">
        <v>1</v>
      </c>
      <c r="CR53" s="46">
        <v>1</v>
      </c>
      <c r="CT53" s="46" t="s">
        <v>3624</v>
      </c>
    </row>
    <row r="54" spans="1:98">
      <c r="A54" s="46" t="s">
        <v>6182</v>
      </c>
      <c r="B54" s="46" t="s">
        <v>6183</v>
      </c>
      <c r="C54" s="46">
        <v>47</v>
      </c>
      <c r="D54" s="46" t="s">
        <v>6184</v>
      </c>
      <c r="E54" s="46" t="s">
        <v>6185</v>
      </c>
      <c r="F54" s="46" t="s">
        <v>3067</v>
      </c>
      <c r="H54" s="46">
        <v>1</v>
      </c>
      <c r="O54" s="46">
        <v>1</v>
      </c>
      <c r="Q54" s="46">
        <v>1</v>
      </c>
      <c r="U54" s="46">
        <v>1</v>
      </c>
      <c r="W54" s="46">
        <v>14</v>
      </c>
      <c r="X54" s="46">
        <v>18</v>
      </c>
      <c r="Y54" s="46">
        <v>20</v>
      </c>
      <c r="Z54" s="46">
        <v>4</v>
      </c>
      <c r="AA54" s="46">
        <v>3</v>
      </c>
      <c r="AB54" s="46">
        <v>3</v>
      </c>
      <c r="AC54" s="46">
        <v>1</v>
      </c>
      <c r="AI54" s="46">
        <v>1</v>
      </c>
      <c r="AK54" s="46">
        <v>1</v>
      </c>
      <c r="AT54" s="46">
        <v>1</v>
      </c>
      <c r="AX54" s="46">
        <v>1</v>
      </c>
      <c r="BA54" s="46">
        <v>1</v>
      </c>
      <c r="BO54" s="46">
        <v>1</v>
      </c>
      <c r="BU54" s="46">
        <v>1</v>
      </c>
      <c r="BY54" s="46">
        <v>1</v>
      </c>
      <c r="CB54" s="46">
        <v>1</v>
      </c>
      <c r="CE54" s="46">
        <v>1</v>
      </c>
      <c r="CK54" s="46">
        <v>1</v>
      </c>
      <c r="CR54" s="46">
        <v>1</v>
      </c>
      <c r="CT54" s="46" t="s">
        <v>3624</v>
      </c>
    </row>
    <row r="55" spans="1:98">
      <c r="A55" s="46" t="s">
        <v>6186</v>
      </c>
      <c r="B55" s="46" t="s">
        <v>1384</v>
      </c>
      <c r="C55" s="46">
        <v>24</v>
      </c>
      <c r="D55" s="46" t="s">
        <v>1162</v>
      </c>
      <c r="E55" s="46" t="s">
        <v>6187</v>
      </c>
      <c r="F55" s="46" t="s">
        <v>112</v>
      </c>
      <c r="J55" s="46">
        <v>1</v>
      </c>
      <c r="N55" s="46">
        <v>1</v>
      </c>
      <c r="Q55" s="46">
        <v>1</v>
      </c>
      <c r="U55" s="46">
        <v>1</v>
      </c>
      <c r="W55" s="46">
        <v>17</v>
      </c>
      <c r="X55" s="46">
        <v>20</v>
      </c>
      <c r="AE55" s="46">
        <v>1</v>
      </c>
      <c r="AG55" s="46">
        <v>1</v>
      </c>
      <c r="AH55" s="46">
        <v>1</v>
      </c>
      <c r="AI55" s="46">
        <v>1</v>
      </c>
      <c r="AK55" s="46">
        <v>1</v>
      </c>
      <c r="AT55" s="46">
        <v>1</v>
      </c>
      <c r="AW55" s="46">
        <v>1</v>
      </c>
      <c r="BA55" s="46">
        <v>1</v>
      </c>
      <c r="BL55" s="46">
        <v>1</v>
      </c>
      <c r="BY55" s="46">
        <v>1</v>
      </c>
      <c r="CB55" s="46">
        <v>1</v>
      </c>
      <c r="CE55" s="46">
        <v>1</v>
      </c>
      <c r="CK55" s="46">
        <v>1</v>
      </c>
      <c r="CR55" s="46">
        <v>1</v>
      </c>
      <c r="CT55" s="46" t="s">
        <v>6188</v>
      </c>
    </row>
    <row r="56" spans="1:98">
      <c r="A56" s="46" t="s">
        <v>6189</v>
      </c>
      <c r="B56" s="46" t="s">
        <v>6190</v>
      </c>
      <c r="C56" s="46">
        <v>39</v>
      </c>
      <c r="D56" s="46" t="s">
        <v>1847</v>
      </c>
      <c r="E56" s="46" t="s">
        <v>6191</v>
      </c>
      <c r="F56" s="46" t="s">
        <v>112</v>
      </c>
      <c r="H56" s="46">
        <v>1</v>
      </c>
      <c r="O56" s="46">
        <v>1</v>
      </c>
      <c r="T56" s="46">
        <v>1</v>
      </c>
      <c r="W56" s="46">
        <v>18</v>
      </c>
      <c r="X56" s="46">
        <v>21</v>
      </c>
      <c r="Y56" s="46">
        <v>29</v>
      </c>
      <c r="Z56" s="46">
        <v>5</v>
      </c>
      <c r="AA56" s="46">
        <v>4</v>
      </c>
      <c r="AB56" s="46">
        <v>4</v>
      </c>
      <c r="AC56" s="46">
        <v>1</v>
      </c>
      <c r="AI56" s="46">
        <v>1</v>
      </c>
      <c r="AK56" s="46">
        <v>1</v>
      </c>
      <c r="AT56" s="46">
        <v>1</v>
      </c>
      <c r="AX56" s="46">
        <v>1</v>
      </c>
      <c r="BB56" s="46">
        <v>1</v>
      </c>
      <c r="BG56" s="46">
        <v>1</v>
      </c>
      <c r="CB56" s="46">
        <v>1</v>
      </c>
      <c r="CE56" s="46">
        <v>1</v>
      </c>
      <c r="CK56" s="46">
        <v>1</v>
      </c>
      <c r="CR56" s="46">
        <v>1</v>
      </c>
      <c r="CT56" s="46" t="s">
        <v>6021</v>
      </c>
    </row>
    <row r="57" spans="1:98">
      <c r="A57" s="46" t="s">
        <v>6192</v>
      </c>
      <c r="B57" s="46" t="s">
        <v>6193</v>
      </c>
      <c r="C57" s="46">
        <v>31</v>
      </c>
      <c r="D57" s="46" t="s">
        <v>1162</v>
      </c>
      <c r="E57" s="46" t="s">
        <v>6194</v>
      </c>
      <c r="F57" s="46" t="s">
        <v>107</v>
      </c>
      <c r="I57" s="46">
        <v>1</v>
      </c>
      <c r="O57" s="46">
        <v>1</v>
      </c>
      <c r="R57" s="46">
        <v>1</v>
      </c>
      <c r="U57" s="46">
        <v>1</v>
      </c>
      <c r="W57" s="46">
        <v>13</v>
      </c>
      <c r="X57" s="46">
        <v>19</v>
      </c>
      <c r="Y57" s="46">
        <v>20</v>
      </c>
      <c r="Z57" s="46">
        <v>4</v>
      </c>
      <c r="AA57" s="46">
        <v>4</v>
      </c>
      <c r="AB57" s="46">
        <v>3</v>
      </c>
      <c r="AC57" s="46">
        <v>1</v>
      </c>
      <c r="AI57" s="46">
        <v>1</v>
      </c>
      <c r="AK57" s="46">
        <v>1</v>
      </c>
      <c r="AT57" s="46">
        <v>1</v>
      </c>
      <c r="AW57" s="46">
        <v>1</v>
      </c>
      <c r="BA57" s="46">
        <v>1</v>
      </c>
      <c r="CB57" s="46">
        <v>1</v>
      </c>
      <c r="CE57" s="46">
        <v>1</v>
      </c>
      <c r="CK57" s="46">
        <v>1</v>
      </c>
      <c r="CR57" s="46">
        <v>1</v>
      </c>
      <c r="CT57" s="46" t="s">
        <v>6021</v>
      </c>
    </row>
    <row r="58" spans="1:98">
      <c r="A58" s="46" t="s">
        <v>6195</v>
      </c>
      <c r="B58" s="46" t="s">
        <v>6196</v>
      </c>
      <c r="C58" s="46">
        <v>39</v>
      </c>
      <c r="D58" s="46" t="s">
        <v>1162</v>
      </c>
      <c r="E58" s="46" t="s">
        <v>6197</v>
      </c>
      <c r="F58" s="46" t="s">
        <v>112</v>
      </c>
      <c r="I58" s="46">
        <v>1</v>
      </c>
      <c r="M58" s="46">
        <v>1</v>
      </c>
      <c r="R58" s="46">
        <v>1</v>
      </c>
      <c r="U58" s="46">
        <v>1</v>
      </c>
      <c r="X58" s="46">
        <v>18</v>
      </c>
      <c r="Y58" s="46">
        <v>20</v>
      </c>
      <c r="Z58" s="46">
        <v>5</v>
      </c>
      <c r="AA58" s="46">
        <v>4</v>
      </c>
      <c r="AB58" s="46">
        <v>2</v>
      </c>
      <c r="AD58" s="46">
        <v>1</v>
      </c>
      <c r="AE58" s="46">
        <v>1</v>
      </c>
      <c r="AH58" s="46">
        <v>1</v>
      </c>
      <c r="AI58" s="46">
        <v>1</v>
      </c>
      <c r="AK58" s="46">
        <v>1</v>
      </c>
      <c r="AT58" s="46">
        <v>1</v>
      </c>
      <c r="AX58" s="46">
        <v>1</v>
      </c>
      <c r="BB58" s="46">
        <v>1</v>
      </c>
      <c r="BG58" s="46">
        <v>1</v>
      </c>
      <c r="CB58" s="46">
        <v>1</v>
      </c>
      <c r="CE58" s="46">
        <v>1</v>
      </c>
      <c r="CK58" s="46">
        <v>1</v>
      </c>
      <c r="CR58" s="46">
        <v>1</v>
      </c>
      <c r="CT58" s="46" t="s">
        <v>6021</v>
      </c>
    </row>
    <row r="59" spans="1:98">
      <c r="A59" s="46" t="s">
        <v>6198</v>
      </c>
      <c r="B59" s="46" t="s">
        <v>2287</v>
      </c>
      <c r="C59" s="46">
        <v>21</v>
      </c>
      <c r="D59" s="46" t="s">
        <v>2004</v>
      </c>
      <c r="E59" s="46" t="s">
        <v>2289</v>
      </c>
      <c r="F59" s="46" t="s">
        <v>107</v>
      </c>
      <c r="H59" s="46">
        <v>1</v>
      </c>
      <c r="N59" s="46">
        <v>1</v>
      </c>
      <c r="Q59" s="46">
        <v>1</v>
      </c>
      <c r="U59" s="46">
        <v>1</v>
      </c>
      <c r="W59" s="46">
        <v>13</v>
      </c>
      <c r="X59" s="46">
        <v>19</v>
      </c>
      <c r="AC59" s="46">
        <v>1</v>
      </c>
      <c r="AI59" s="46">
        <v>1</v>
      </c>
      <c r="AK59" s="46">
        <v>1</v>
      </c>
      <c r="AT59" s="46">
        <v>1</v>
      </c>
      <c r="AW59" s="46">
        <v>1</v>
      </c>
      <c r="BB59" s="46">
        <v>1</v>
      </c>
      <c r="BG59" s="46">
        <v>1</v>
      </c>
      <c r="CB59" s="46">
        <v>1</v>
      </c>
      <c r="CE59" s="46">
        <v>1</v>
      </c>
      <c r="CK59" s="46">
        <v>1</v>
      </c>
      <c r="CR59" s="46">
        <v>1</v>
      </c>
      <c r="CT59" s="46" t="s">
        <v>6021</v>
      </c>
    </row>
    <row r="60" spans="1:98">
      <c r="A60" s="46" t="s">
        <v>6199</v>
      </c>
      <c r="B60" s="46" t="s">
        <v>6200</v>
      </c>
      <c r="C60" s="46">
        <v>46</v>
      </c>
      <c r="D60" s="46" t="s">
        <v>1847</v>
      </c>
      <c r="E60" s="46" t="s">
        <v>6201</v>
      </c>
      <c r="F60" s="46" t="s">
        <v>107</v>
      </c>
      <c r="I60" s="46">
        <v>1</v>
      </c>
      <c r="M60" s="46">
        <v>1</v>
      </c>
      <c r="R60" s="46">
        <v>1</v>
      </c>
      <c r="U60" s="46">
        <v>1</v>
      </c>
      <c r="W60" s="46">
        <v>13</v>
      </c>
      <c r="X60" s="46">
        <v>15</v>
      </c>
      <c r="Y60" s="46">
        <v>17</v>
      </c>
      <c r="Z60" s="46">
        <v>5</v>
      </c>
      <c r="AA60" s="46">
        <v>3</v>
      </c>
      <c r="AB60" s="46">
        <v>3</v>
      </c>
      <c r="AI60" s="46">
        <v>1</v>
      </c>
      <c r="AK60" s="46">
        <v>1</v>
      </c>
      <c r="AT60" s="46">
        <v>1</v>
      </c>
      <c r="AX60" s="46">
        <v>1</v>
      </c>
      <c r="BB60" s="46">
        <v>1</v>
      </c>
      <c r="BG60" s="46">
        <v>1</v>
      </c>
      <c r="CB60" s="46">
        <v>1</v>
      </c>
      <c r="CE60" s="46">
        <v>1</v>
      </c>
      <c r="CK60" s="46">
        <v>1</v>
      </c>
      <c r="CR60" s="46">
        <v>1</v>
      </c>
      <c r="CT60" s="46" t="s">
        <v>6021</v>
      </c>
    </row>
    <row r="61" spans="1:98">
      <c r="A61" s="46" t="s">
        <v>6202</v>
      </c>
      <c r="B61" s="46" t="s">
        <v>6203</v>
      </c>
      <c r="C61" s="46">
        <v>67</v>
      </c>
      <c r="D61" s="46" t="s">
        <v>6204</v>
      </c>
      <c r="E61" s="46" t="s">
        <v>4730</v>
      </c>
      <c r="F61" s="46" t="s">
        <v>112</v>
      </c>
      <c r="G61" s="46">
        <v>1</v>
      </c>
      <c r="M61" s="46">
        <v>1</v>
      </c>
      <c r="R61" s="46">
        <v>1</v>
      </c>
      <c r="U61" s="46">
        <v>1</v>
      </c>
      <c r="W61" s="46">
        <v>13</v>
      </c>
      <c r="X61" s="46">
        <v>16</v>
      </c>
      <c r="Y61" s="46">
        <v>16</v>
      </c>
      <c r="Z61" s="46">
        <v>1</v>
      </c>
      <c r="AA61" s="46">
        <v>1</v>
      </c>
      <c r="AB61" s="46">
        <v>0</v>
      </c>
      <c r="AG61" s="46">
        <v>1</v>
      </c>
      <c r="AI61" s="46">
        <v>1</v>
      </c>
      <c r="AK61" s="46">
        <v>1</v>
      </c>
      <c r="AT61" s="46">
        <v>1</v>
      </c>
      <c r="AX61" s="46">
        <v>1</v>
      </c>
      <c r="BB61" s="46">
        <v>1</v>
      </c>
      <c r="BG61" s="46">
        <v>1</v>
      </c>
      <c r="BY61" s="46">
        <v>1</v>
      </c>
      <c r="CB61" s="46">
        <v>1</v>
      </c>
      <c r="CE61" s="46">
        <v>1</v>
      </c>
      <c r="CK61" s="46">
        <v>1</v>
      </c>
      <c r="CR61" s="46">
        <v>1</v>
      </c>
      <c r="CT61" s="46" t="s">
        <v>6021</v>
      </c>
    </row>
    <row r="62" spans="1:98">
      <c r="A62" s="46" t="s">
        <v>6205</v>
      </c>
      <c r="B62" s="46" t="s">
        <v>6206</v>
      </c>
      <c r="C62" s="46">
        <v>32</v>
      </c>
      <c r="D62" s="46" t="s">
        <v>2350</v>
      </c>
      <c r="E62" s="46" t="s">
        <v>6207</v>
      </c>
      <c r="F62" s="46" t="s">
        <v>107</v>
      </c>
      <c r="J62" s="46">
        <v>1</v>
      </c>
      <c r="M62" s="46">
        <v>1</v>
      </c>
      <c r="R62" s="46">
        <v>1</v>
      </c>
      <c r="U62" s="46">
        <v>1</v>
      </c>
      <c r="W62" s="46">
        <v>14</v>
      </c>
      <c r="X62" s="46">
        <v>18</v>
      </c>
      <c r="Y62" s="46">
        <v>23</v>
      </c>
      <c r="Z62" s="46">
        <v>4</v>
      </c>
      <c r="AA62" s="46">
        <v>2</v>
      </c>
      <c r="AB62" s="46">
        <v>2</v>
      </c>
      <c r="AE62" s="46">
        <v>1</v>
      </c>
      <c r="AH62" s="46">
        <v>1</v>
      </c>
      <c r="AJ62" s="46">
        <v>1</v>
      </c>
      <c r="AK62" s="46">
        <v>1</v>
      </c>
      <c r="AT62" s="46">
        <v>1</v>
      </c>
      <c r="AX62" s="46">
        <v>1</v>
      </c>
      <c r="BA62" s="46">
        <v>1</v>
      </c>
      <c r="BK62" s="46">
        <v>1</v>
      </c>
      <c r="CB62" s="46">
        <v>1</v>
      </c>
      <c r="CE62" s="46">
        <v>1</v>
      </c>
      <c r="CK62" s="46">
        <v>1</v>
      </c>
      <c r="CR62" s="46">
        <v>1</v>
      </c>
      <c r="CT62" s="46" t="s">
        <v>6021</v>
      </c>
    </row>
  </sheetData>
  <autoFilter ref="A3:CT62"/>
  <mergeCells count="1">
    <mergeCell ref="AV1:AZ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G9"/>
  <sheetViews>
    <sheetView workbookViewId="0"/>
  </sheetViews>
  <sheetFormatPr defaultColWidth="14.42578125" defaultRowHeight="15" customHeight="1"/>
  <sheetData>
    <row r="2" spans="1:33">
      <c r="A2" s="486" t="s">
        <v>351</v>
      </c>
      <c r="B2" s="488" t="s">
        <v>352</v>
      </c>
      <c r="C2" s="481"/>
      <c r="D2" s="481"/>
      <c r="E2" s="480"/>
      <c r="F2" s="484" t="s">
        <v>353</v>
      </c>
      <c r="G2" s="481"/>
      <c r="H2" s="480"/>
      <c r="I2" s="61"/>
      <c r="J2" s="61"/>
      <c r="K2" s="484" t="s">
        <v>354</v>
      </c>
      <c r="L2" s="481"/>
      <c r="M2" s="481"/>
      <c r="N2" s="481"/>
      <c r="O2" s="481"/>
      <c r="P2" s="480"/>
      <c r="Q2" s="484" t="s">
        <v>355</v>
      </c>
      <c r="R2" s="481"/>
      <c r="S2" s="481"/>
      <c r="T2" s="480"/>
      <c r="U2" s="484" t="s">
        <v>356</v>
      </c>
      <c r="V2" s="481"/>
      <c r="W2" s="481"/>
      <c r="X2" s="481"/>
      <c r="Y2" s="481"/>
      <c r="Z2" s="480"/>
      <c r="AA2" s="485" t="s">
        <v>357</v>
      </c>
      <c r="AB2" s="481"/>
      <c r="AC2" s="481"/>
      <c r="AD2" s="481"/>
      <c r="AE2" s="480"/>
      <c r="AF2" s="182" t="s">
        <v>356</v>
      </c>
      <c r="AG2" s="183"/>
    </row>
    <row r="3" spans="1:33">
      <c r="A3" s="487"/>
      <c r="B3" s="63" t="s">
        <v>358</v>
      </c>
      <c r="C3" s="63" t="s">
        <v>359</v>
      </c>
      <c r="D3" s="63" t="s">
        <v>360</v>
      </c>
      <c r="E3" s="63" t="s">
        <v>361</v>
      </c>
      <c r="F3" s="64" t="s">
        <v>3106</v>
      </c>
      <c r="G3" s="64" t="s">
        <v>358</v>
      </c>
      <c r="H3" s="184" t="s">
        <v>362</v>
      </c>
      <c r="I3" s="64" t="s">
        <v>3429</v>
      </c>
      <c r="J3" s="65" t="s">
        <v>361</v>
      </c>
      <c r="K3" s="64" t="s">
        <v>96</v>
      </c>
      <c r="L3" s="64" t="s">
        <v>84</v>
      </c>
      <c r="M3" s="64" t="s">
        <v>98</v>
      </c>
      <c r="N3" s="64" t="s">
        <v>38</v>
      </c>
      <c r="O3" s="64" t="s">
        <v>930</v>
      </c>
      <c r="P3" s="65" t="s">
        <v>361</v>
      </c>
      <c r="Q3" s="64" t="s">
        <v>91</v>
      </c>
      <c r="R3" s="64" t="s">
        <v>362</v>
      </c>
      <c r="S3" s="64" t="s">
        <v>363</v>
      </c>
      <c r="T3" s="65" t="s">
        <v>361</v>
      </c>
      <c r="U3" s="64" t="s">
        <v>364</v>
      </c>
      <c r="V3" s="64" t="s">
        <v>91</v>
      </c>
      <c r="W3" s="64" t="s">
        <v>365</v>
      </c>
      <c r="X3" s="64" t="s">
        <v>366</v>
      </c>
      <c r="Y3" s="64" t="s">
        <v>367</v>
      </c>
      <c r="Z3" s="64"/>
      <c r="AA3" s="66" t="s">
        <v>96</v>
      </c>
      <c r="AB3" s="66" t="s">
        <v>97</v>
      </c>
      <c r="AC3" s="66" t="s">
        <v>98</v>
      </c>
      <c r="AD3" s="137" t="s">
        <v>360</v>
      </c>
      <c r="AE3" s="66" t="s">
        <v>369</v>
      </c>
      <c r="AF3" s="64" t="s">
        <v>365</v>
      </c>
      <c r="AG3" s="185" t="s">
        <v>3430</v>
      </c>
    </row>
    <row r="4" spans="1:33">
      <c r="A4" s="74" t="s">
        <v>6208</v>
      </c>
      <c r="B4" s="69">
        <v>16</v>
      </c>
      <c r="C4" s="69">
        <v>0</v>
      </c>
      <c r="D4" s="69">
        <v>0</v>
      </c>
      <c r="E4" s="69">
        <f>SUM(B4:D4)</f>
        <v>16</v>
      </c>
      <c r="F4" s="70">
        <v>0</v>
      </c>
      <c r="G4" s="70">
        <v>11</v>
      </c>
      <c r="H4" s="70">
        <v>0</v>
      </c>
      <c r="I4" s="70">
        <v>0</v>
      </c>
      <c r="J4" s="71">
        <f t="shared" ref="J4:J9" si="0">SUM(F4:I4)</f>
        <v>11</v>
      </c>
      <c r="K4" s="70">
        <v>1</v>
      </c>
      <c r="L4" s="70">
        <v>0</v>
      </c>
      <c r="M4" s="70">
        <v>0</v>
      </c>
      <c r="N4" s="70">
        <v>0</v>
      </c>
      <c r="O4" s="70">
        <v>4</v>
      </c>
      <c r="P4" s="71">
        <f>SUM(K4:O4)</f>
        <v>5</v>
      </c>
      <c r="Q4" s="70">
        <v>0</v>
      </c>
      <c r="R4" s="70">
        <v>0</v>
      </c>
      <c r="S4" s="70">
        <v>7</v>
      </c>
      <c r="T4" s="71">
        <f>SUM(Q4:S4)</f>
        <v>7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13</v>
      </c>
      <c r="AB4" s="73">
        <v>3</v>
      </c>
      <c r="AC4" s="73">
        <v>0</v>
      </c>
      <c r="AD4" s="73">
        <v>0</v>
      </c>
      <c r="AE4" s="186">
        <f>SUM(AA4,AB4,AC4,AD4)</f>
        <v>16</v>
      </c>
      <c r="AF4" s="73">
        <v>0</v>
      </c>
      <c r="AG4" s="73">
        <v>0</v>
      </c>
    </row>
    <row r="5" spans="1:33">
      <c r="A5" s="77" t="s">
        <v>6209</v>
      </c>
      <c r="B5" s="69">
        <v>22</v>
      </c>
      <c r="C5" s="69">
        <v>2</v>
      </c>
      <c r="D5" s="69">
        <v>0</v>
      </c>
      <c r="E5" s="69">
        <f>SUM(B5:D5)</f>
        <v>24</v>
      </c>
      <c r="F5" s="70">
        <v>2</v>
      </c>
      <c r="G5" s="70">
        <v>15</v>
      </c>
      <c r="H5" s="70">
        <v>0</v>
      </c>
      <c r="I5" s="70">
        <v>0</v>
      </c>
      <c r="J5" s="71">
        <f t="shared" si="0"/>
        <v>17</v>
      </c>
      <c r="K5" s="70">
        <v>0</v>
      </c>
      <c r="L5" s="70">
        <v>2</v>
      </c>
      <c r="M5" s="70">
        <v>0</v>
      </c>
      <c r="N5" s="70">
        <v>2</v>
      </c>
      <c r="O5" s="70">
        <v>3</v>
      </c>
      <c r="P5" s="71">
        <f>SUM(K5:O5)</f>
        <v>7</v>
      </c>
      <c r="Q5" s="70">
        <v>2</v>
      </c>
      <c r="R5" s="70">
        <v>0</v>
      </c>
      <c r="S5" s="70">
        <v>8</v>
      </c>
      <c r="T5" s="71">
        <f>SUM(Q5:S5)</f>
        <v>10</v>
      </c>
      <c r="U5" s="75">
        <v>0</v>
      </c>
      <c r="V5" s="75">
        <v>0</v>
      </c>
      <c r="W5" s="75">
        <v>0</v>
      </c>
      <c r="X5" s="75">
        <v>1</v>
      </c>
      <c r="Y5" s="75">
        <v>0</v>
      </c>
      <c r="Z5" s="75"/>
      <c r="AA5" s="73">
        <v>24</v>
      </c>
      <c r="AB5" s="73">
        <v>0</v>
      </c>
      <c r="AC5" s="73">
        <v>0</v>
      </c>
      <c r="AD5" s="73">
        <v>0</v>
      </c>
      <c r="AE5" s="186">
        <f>SUM(AA5,AB5,AC5,AD5)</f>
        <v>24</v>
      </c>
      <c r="AF5" s="73">
        <v>0</v>
      </c>
      <c r="AG5" s="73">
        <v>0</v>
      </c>
    </row>
    <row r="6" spans="1:33">
      <c r="A6" s="77" t="s">
        <v>1824</v>
      </c>
      <c r="B6" s="69">
        <v>10</v>
      </c>
      <c r="C6" s="69">
        <v>1</v>
      </c>
      <c r="D6" s="69">
        <v>0</v>
      </c>
      <c r="E6" s="69">
        <f>SUM(B6:D6)</f>
        <v>11</v>
      </c>
      <c r="F6" s="70">
        <v>0</v>
      </c>
      <c r="G6" s="70">
        <v>8</v>
      </c>
      <c r="H6" s="70">
        <v>0</v>
      </c>
      <c r="I6" s="70">
        <v>0</v>
      </c>
      <c r="J6" s="71">
        <f t="shared" si="0"/>
        <v>8</v>
      </c>
      <c r="K6" s="70">
        <v>0</v>
      </c>
      <c r="L6" s="70">
        <v>0</v>
      </c>
      <c r="M6" s="70">
        <v>0</v>
      </c>
      <c r="N6" s="70">
        <v>2</v>
      </c>
      <c r="O6" s="70">
        <v>1</v>
      </c>
      <c r="P6" s="71">
        <f>SUM(K6:O6)</f>
        <v>3</v>
      </c>
      <c r="Q6" s="70">
        <v>0</v>
      </c>
      <c r="R6" s="70">
        <v>0</v>
      </c>
      <c r="S6" s="70">
        <v>4</v>
      </c>
      <c r="T6" s="71">
        <f>SUM(Q6:S6)</f>
        <v>4</v>
      </c>
      <c r="U6" s="75">
        <v>0</v>
      </c>
      <c r="V6" s="75">
        <v>0</v>
      </c>
      <c r="W6" s="75">
        <v>0</v>
      </c>
      <c r="X6" s="75">
        <v>2</v>
      </c>
      <c r="Y6" s="75">
        <v>0</v>
      </c>
      <c r="Z6" s="75"/>
      <c r="AA6" s="73">
        <v>11</v>
      </c>
      <c r="AB6" s="73">
        <v>0</v>
      </c>
      <c r="AC6" s="73">
        <v>0</v>
      </c>
      <c r="AD6" s="73">
        <v>0</v>
      </c>
      <c r="AE6" s="186">
        <f>SUM(AA6,AB6,AC6,AD6)</f>
        <v>11</v>
      </c>
      <c r="AF6" s="73">
        <v>0</v>
      </c>
      <c r="AG6" s="73">
        <v>0</v>
      </c>
    </row>
    <row r="7" spans="1:33">
      <c r="A7" s="77" t="s">
        <v>5197</v>
      </c>
      <c r="B7" s="69">
        <v>3</v>
      </c>
      <c r="C7" s="69">
        <v>1</v>
      </c>
      <c r="D7" s="69">
        <v>1</v>
      </c>
      <c r="E7" s="69">
        <f>SUM(B7:D7)</f>
        <v>5</v>
      </c>
      <c r="F7" s="70">
        <v>0</v>
      </c>
      <c r="G7" s="70">
        <v>0</v>
      </c>
      <c r="H7" s="70">
        <v>0</v>
      </c>
      <c r="I7" s="70">
        <v>0</v>
      </c>
      <c r="J7" s="71">
        <f t="shared" si="0"/>
        <v>0</v>
      </c>
      <c r="K7" s="70">
        <v>3</v>
      </c>
      <c r="L7" s="70">
        <v>0</v>
      </c>
      <c r="M7" s="70">
        <v>0</v>
      </c>
      <c r="N7" s="70">
        <v>2</v>
      </c>
      <c r="O7" s="70">
        <v>0</v>
      </c>
      <c r="P7" s="71">
        <f>SUM(K7:O7)</f>
        <v>5</v>
      </c>
      <c r="Q7" s="70">
        <v>0</v>
      </c>
      <c r="R7" s="70">
        <v>0</v>
      </c>
      <c r="S7" s="70">
        <v>4</v>
      </c>
      <c r="T7" s="71">
        <f>SUM(Q7:S7)</f>
        <v>4</v>
      </c>
      <c r="U7" s="75">
        <v>0</v>
      </c>
      <c r="V7" s="75">
        <v>0</v>
      </c>
      <c r="W7" s="75">
        <v>0</v>
      </c>
      <c r="X7" s="75">
        <v>2</v>
      </c>
      <c r="Y7" s="75">
        <v>0</v>
      </c>
      <c r="Z7" s="75"/>
      <c r="AA7" s="73">
        <v>4</v>
      </c>
      <c r="AB7" s="73">
        <v>1</v>
      </c>
      <c r="AC7" s="73">
        <v>0</v>
      </c>
      <c r="AD7" s="73">
        <v>0</v>
      </c>
      <c r="AE7" s="186">
        <f>SUM(AA7,AB7,AC7,AD7)</f>
        <v>5</v>
      </c>
      <c r="AF7" s="73">
        <v>0</v>
      </c>
      <c r="AG7" s="73">
        <v>0</v>
      </c>
    </row>
    <row r="8" spans="1:33">
      <c r="A8" s="191" t="s">
        <v>4816</v>
      </c>
      <c r="B8" s="69">
        <v>3</v>
      </c>
      <c r="C8" s="69">
        <v>0</v>
      </c>
      <c r="D8" s="69">
        <v>0</v>
      </c>
      <c r="E8" s="69">
        <f>SUM(B8:D8)</f>
        <v>3</v>
      </c>
      <c r="F8" s="69">
        <v>0</v>
      </c>
      <c r="G8" s="69">
        <v>0</v>
      </c>
      <c r="H8" s="69">
        <v>1</v>
      </c>
      <c r="I8" s="69">
        <v>0</v>
      </c>
      <c r="J8" s="71">
        <f t="shared" si="0"/>
        <v>1</v>
      </c>
      <c r="K8" s="114">
        <v>2</v>
      </c>
      <c r="L8" s="114">
        <v>0</v>
      </c>
      <c r="M8" s="114">
        <v>0</v>
      </c>
      <c r="N8" s="114">
        <v>0</v>
      </c>
      <c r="O8" s="114">
        <v>0</v>
      </c>
      <c r="P8" s="71">
        <f>SUM(K8:O8)</f>
        <v>2</v>
      </c>
      <c r="Q8" s="114">
        <v>0</v>
      </c>
      <c r="R8" s="114">
        <v>0</v>
      </c>
      <c r="S8" s="114">
        <v>2</v>
      </c>
      <c r="T8" s="71">
        <f>SUM(Q8:S8)</f>
        <v>2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114">
        <v>3</v>
      </c>
      <c r="AB8" s="114">
        <v>0</v>
      </c>
      <c r="AC8" s="114">
        <v>0</v>
      </c>
      <c r="AD8" s="114">
        <v>0</v>
      </c>
      <c r="AE8" s="186">
        <f>SUM(AA8,AB8,AC8,AD8)</f>
        <v>3</v>
      </c>
      <c r="AF8" s="73">
        <v>0</v>
      </c>
      <c r="AG8" s="73">
        <v>0</v>
      </c>
    </row>
    <row r="9" spans="1:33">
      <c r="A9" s="69" t="s">
        <v>376</v>
      </c>
      <c r="B9" s="69">
        <f>SUM(B4:B8)</f>
        <v>54</v>
      </c>
      <c r="C9" s="69">
        <f>SUM(C4:C8)</f>
        <v>4</v>
      </c>
      <c r="D9" s="69">
        <f>SUM(D4:D8)</f>
        <v>1</v>
      </c>
      <c r="E9" s="69">
        <f>SUM(E4:E7)</f>
        <v>56</v>
      </c>
      <c r="F9" s="69">
        <f>SUM(F4:F8)</f>
        <v>2</v>
      </c>
      <c r="G9" s="69">
        <f>SUM(G4:G8)</f>
        <v>34</v>
      </c>
      <c r="H9" s="69">
        <f>SUM(H4:H8)</f>
        <v>1</v>
      </c>
      <c r="I9" s="69">
        <f>SUM(I4:I8)</f>
        <v>0</v>
      </c>
      <c r="J9" s="71">
        <f t="shared" si="0"/>
        <v>37</v>
      </c>
      <c r="K9" s="114">
        <f>SUM(K4:K8)</f>
        <v>6</v>
      </c>
      <c r="L9" s="114">
        <f>SUM(L4:L8)</f>
        <v>2</v>
      </c>
      <c r="M9" s="114">
        <f>SUM(M4:M8)</f>
        <v>0</v>
      </c>
      <c r="N9" s="114">
        <f>SUM(N4:N8)</f>
        <v>6</v>
      </c>
      <c r="O9" s="114">
        <f>SUM(O4:O8)</f>
        <v>8</v>
      </c>
      <c r="P9" s="71">
        <f>SUM(K9:N9)</f>
        <v>14</v>
      </c>
      <c r="Q9" s="114">
        <f>SUM(Q4:Q8)</f>
        <v>2</v>
      </c>
      <c r="R9" s="114">
        <f>SUM(R4:R8)</f>
        <v>0</v>
      </c>
      <c r="S9" s="114">
        <f>SUM(S4:S8)</f>
        <v>25</v>
      </c>
      <c r="T9" s="241">
        <f>SUM(T4:T7)</f>
        <v>25</v>
      </c>
      <c r="U9" s="114">
        <f>SUM(U4:U8)</f>
        <v>0</v>
      </c>
      <c r="V9" s="114">
        <f>SUM(V4:V8)</f>
        <v>0</v>
      </c>
      <c r="W9" s="114">
        <f>SUM(W4:W8)</f>
        <v>0</v>
      </c>
      <c r="X9" s="114">
        <f>SUM(X4:X8)</f>
        <v>5</v>
      </c>
      <c r="Y9" s="114">
        <f>SUM(Y4:Y8)</f>
        <v>0</v>
      </c>
      <c r="Z9" s="114">
        <f>SUM(Z4:Z7)</f>
        <v>0</v>
      </c>
      <c r="AA9" s="114">
        <f>SUM(AA4:AA8)</f>
        <v>55</v>
      </c>
      <c r="AB9" s="114">
        <f>SUM(AB4:AB8)</f>
        <v>4</v>
      </c>
      <c r="AC9" s="114">
        <f>SUM(AC4:AC8)</f>
        <v>0</v>
      </c>
      <c r="AD9" s="114">
        <f>SUM(AD4:AD8)</f>
        <v>0</v>
      </c>
      <c r="AE9" s="73">
        <f>SUM(AE4:AE7)</f>
        <v>56</v>
      </c>
      <c r="AF9" s="73">
        <f>SUM(AF4:AF8)</f>
        <v>0</v>
      </c>
      <c r="AG9" s="73">
        <f>SUM(AG4:AG8)</f>
        <v>0</v>
      </c>
    </row>
  </sheetData>
  <mergeCells count="7">
    <mergeCell ref="U2:Z2"/>
    <mergeCell ref="AA2:AE2"/>
    <mergeCell ref="A2:A3"/>
    <mergeCell ref="B2:E2"/>
    <mergeCell ref="F2:H2"/>
    <mergeCell ref="K2:P2"/>
    <mergeCell ref="Q2:T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37"/>
  <sheetViews>
    <sheetView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/>
  <cols>
    <col min="2" max="2" width="24" customWidth="1"/>
  </cols>
  <sheetData>
    <row r="1" spans="1:98">
      <c r="A1" s="197" t="s">
        <v>6210</v>
      </c>
      <c r="B1" s="143"/>
      <c r="C1" s="231" t="s">
        <v>6211</v>
      </c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143" t="s">
        <v>3542</v>
      </c>
      <c r="BE1" s="143"/>
      <c r="BF1" s="143"/>
      <c r="BG1" s="143"/>
      <c r="BH1" s="143"/>
      <c r="BI1" s="143"/>
      <c r="BJ1" s="143" t="s">
        <v>16</v>
      </c>
      <c r="BK1" s="143"/>
      <c r="BL1" s="143"/>
      <c r="BM1" s="143"/>
      <c r="BN1" s="143"/>
      <c r="BO1" s="143"/>
      <c r="BP1" s="240" t="s">
        <v>17</v>
      </c>
      <c r="BQ1" s="143"/>
      <c r="BR1" s="143"/>
      <c r="BS1" s="143" t="s">
        <v>18</v>
      </c>
      <c r="BT1" s="143"/>
      <c r="BU1" s="143"/>
      <c r="BV1" s="143"/>
      <c r="BW1" s="240" t="s">
        <v>19</v>
      </c>
      <c r="BX1" s="143"/>
      <c r="BY1" s="143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240" t="s">
        <v>23</v>
      </c>
      <c r="CI1" s="143"/>
      <c r="CJ1" s="143"/>
      <c r="CK1" s="143" t="s">
        <v>16</v>
      </c>
      <c r="CL1" s="143"/>
      <c r="CM1" s="143"/>
      <c r="CN1" s="143"/>
      <c r="CO1" s="143" t="s">
        <v>24</v>
      </c>
      <c r="CP1" s="143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147" t="s">
        <v>78</v>
      </c>
      <c r="BK2" s="147"/>
      <c r="BL2" s="147" t="s">
        <v>354</v>
      </c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6212</v>
      </c>
      <c r="B4" s="46" t="s">
        <v>6213</v>
      </c>
      <c r="C4" s="46">
        <v>26</v>
      </c>
      <c r="D4" s="46" t="s">
        <v>6214</v>
      </c>
      <c r="E4" s="46" t="s">
        <v>6215</v>
      </c>
      <c r="F4" s="46" t="s">
        <v>112</v>
      </c>
      <c r="J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16</v>
      </c>
      <c r="Y4" s="46">
        <v>16</v>
      </c>
      <c r="Z4" s="46">
        <v>3</v>
      </c>
      <c r="AA4" s="46">
        <v>3</v>
      </c>
      <c r="AB4" s="46">
        <v>3</v>
      </c>
      <c r="AE4" s="46">
        <v>1</v>
      </c>
      <c r="AH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K4" s="46">
        <v>1</v>
      </c>
      <c r="CR4" s="46">
        <v>1</v>
      </c>
      <c r="CT4" s="46" t="s">
        <v>6216</v>
      </c>
    </row>
    <row r="5" spans="1:98">
      <c r="A5" s="46" t="s">
        <v>6217</v>
      </c>
      <c r="B5" s="46" t="s">
        <v>6218</v>
      </c>
      <c r="C5" s="46">
        <v>27</v>
      </c>
      <c r="D5" s="46" t="s">
        <v>6219</v>
      </c>
      <c r="E5" s="46" t="s">
        <v>6220</v>
      </c>
      <c r="F5" s="46" t="s">
        <v>112</v>
      </c>
      <c r="J5" s="46">
        <v>1</v>
      </c>
      <c r="O5" s="46">
        <v>1</v>
      </c>
      <c r="R5" s="46">
        <v>1</v>
      </c>
      <c r="T5" s="46">
        <v>1</v>
      </c>
      <c r="W5" s="46">
        <v>13</v>
      </c>
      <c r="X5" s="46">
        <v>14</v>
      </c>
      <c r="Y5" s="46">
        <v>15</v>
      </c>
      <c r="Z5" s="46">
        <v>3</v>
      </c>
      <c r="AA5" s="46">
        <v>3</v>
      </c>
      <c r="AB5" s="46">
        <v>3</v>
      </c>
      <c r="AE5" s="46">
        <v>1</v>
      </c>
      <c r="AG5" s="46">
        <v>1</v>
      </c>
      <c r="AH5" s="46">
        <v>1</v>
      </c>
      <c r="AJ5" s="46">
        <v>1</v>
      </c>
      <c r="AM5" s="46">
        <v>1</v>
      </c>
      <c r="AT5" s="46">
        <v>1</v>
      </c>
      <c r="AX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R5" s="46">
        <v>1</v>
      </c>
      <c r="CT5" s="46" t="s">
        <v>6216</v>
      </c>
    </row>
    <row r="6" spans="1:98">
      <c r="A6" s="46" t="s">
        <v>6221</v>
      </c>
      <c r="B6" s="46" t="s">
        <v>6222</v>
      </c>
      <c r="C6" s="46">
        <v>25</v>
      </c>
      <c r="D6" s="46" t="s">
        <v>1505</v>
      </c>
      <c r="E6" s="46" t="s">
        <v>6223</v>
      </c>
      <c r="F6" s="46" t="s">
        <v>145</v>
      </c>
      <c r="J6" s="46">
        <v>1</v>
      </c>
      <c r="O6" s="46">
        <v>1</v>
      </c>
      <c r="T6" s="46">
        <v>1</v>
      </c>
      <c r="W6" s="46">
        <v>14</v>
      </c>
      <c r="X6" s="46">
        <v>15</v>
      </c>
      <c r="Z6" s="46">
        <v>1</v>
      </c>
      <c r="AD6" s="46">
        <v>1</v>
      </c>
      <c r="AH6" s="46">
        <v>1</v>
      </c>
      <c r="AI6" s="46">
        <v>1</v>
      </c>
      <c r="AK6" s="46">
        <v>1</v>
      </c>
      <c r="AT6" s="46">
        <v>1</v>
      </c>
      <c r="AX6" s="46">
        <v>1</v>
      </c>
      <c r="BA6" s="46">
        <v>1</v>
      </c>
      <c r="BK6" s="46">
        <v>1</v>
      </c>
      <c r="BY6" s="46">
        <v>1</v>
      </c>
      <c r="CB6" s="46">
        <v>1</v>
      </c>
      <c r="CE6" s="46">
        <v>1</v>
      </c>
      <c r="CK6" s="46">
        <v>1</v>
      </c>
      <c r="CR6" s="46">
        <v>1</v>
      </c>
      <c r="CT6" s="46" t="s">
        <v>6216</v>
      </c>
    </row>
    <row r="7" spans="1:98">
      <c r="A7" s="46" t="s">
        <v>6224</v>
      </c>
      <c r="B7" s="46" t="s">
        <v>6225</v>
      </c>
      <c r="C7" s="46">
        <v>41</v>
      </c>
      <c r="D7" s="46" t="s">
        <v>6226</v>
      </c>
      <c r="E7" s="46" t="s">
        <v>6227</v>
      </c>
      <c r="F7" s="46" t="s">
        <v>145</v>
      </c>
      <c r="J7" s="46">
        <v>1</v>
      </c>
      <c r="M7" s="46">
        <v>1</v>
      </c>
      <c r="R7" s="46">
        <v>1</v>
      </c>
      <c r="T7" s="46">
        <v>1</v>
      </c>
      <c r="W7" s="46">
        <v>14</v>
      </c>
      <c r="X7" s="46">
        <v>18</v>
      </c>
      <c r="Y7" s="46">
        <v>19</v>
      </c>
      <c r="Z7" s="46">
        <v>9</v>
      </c>
      <c r="AA7" s="46">
        <v>9</v>
      </c>
      <c r="AB7" s="46">
        <v>9</v>
      </c>
      <c r="AE7" s="46">
        <v>1</v>
      </c>
      <c r="AG7" s="46">
        <v>1</v>
      </c>
      <c r="AH7" s="46">
        <v>1</v>
      </c>
      <c r="AI7" s="46">
        <v>1</v>
      </c>
      <c r="AK7" s="46">
        <v>1</v>
      </c>
      <c r="AT7" s="46">
        <v>1</v>
      </c>
      <c r="AX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46" t="s">
        <v>6216</v>
      </c>
    </row>
    <row r="8" spans="1:98">
      <c r="A8" s="46" t="s">
        <v>6228</v>
      </c>
      <c r="B8" s="46" t="s">
        <v>2596</v>
      </c>
      <c r="C8" s="46">
        <v>39</v>
      </c>
      <c r="D8" s="46" t="s">
        <v>6229</v>
      </c>
      <c r="F8" s="46" t="s">
        <v>112</v>
      </c>
      <c r="G8" s="46">
        <v>1</v>
      </c>
      <c r="O8" s="46">
        <v>1</v>
      </c>
      <c r="U8" s="46">
        <v>1</v>
      </c>
      <c r="W8" s="46">
        <v>17</v>
      </c>
      <c r="X8" s="46">
        <v>20</v>
      </c>
      <c r="Y8" s="46">
        <v>21</v>
      </c>
      <c r="Z8" s="46">
        <v>7</v>
      </c>
      <c r="AA8" s="46">
        <v>6</v>
      </c>
      <c r="AB8" s="46">
        <v>4</v>
      </c>
      <c r="AD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46" t="s">
        <v>6216</v>
      </c>
    </row>
    <row r="9" spans="1:98">
      <c r="A9" s="46" t="s">
        <v>6230</v>
      </c>
      <c r="B9" s="46" t="s">
        <v>6231</v>
      </c>
      <c r="C9" s="46">
        <v>27</v>
      </c>
      <c r="D9" s="46" t="s">
        <v>6232</v>
      </c>
      <c r="E9" s="46" t="s">
        <v>6233</v>
      </c>
      <c r="F9" s="46" t="s">
        <v>5946</v>
      </c>
      <c r="G9" s="46">
        <v>1</v>
      </c>
      <c r="M9" s="46">
        <v>1</v>
      </c>
      <c r="Q9" s="46">
        <v>1</v>
      </c>
      <c r="U9" s="46">
        <v>1</v>
      </c>
      <c r="W9" s="46">
        <v>19</v>
      </c>
      <c r="X9" s="46">
        <v>20</v>
      </c>
      <c r="Y9" s="46">
        <v>26</v>
      </c>
      <c r="Z9" s="46">
        <v>2</v>
      </c>
      <c r="AA9" s="46">
        <v>1</v>
      </c>
      <c r="AB9" s="46">
        <v>1</v>
      </c>
      <c r="AG9" s="46">
        <v>1</v>
      </c>
      <c r="AI9" s="46">
        <v>1</v>
      </c>
      <c r="AK9" s="46">
        <v>1</v>
      </c>
      <c r="AT9" s="46">
        <v>1</v>
      </c>
      <c r="AY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46" t="s">
        <v>6216</v>
      </c>
    </row>
    <row r="10" spans="1:98">
      <c r="A10" s="46" t="s">
        <v>6234</v>
      </c>
      <c r="B10" s="46" t="s">
        <v>6235</v>
      </c>
      <c r="C10" s="46">
        <v>27</v>
      </c>
      <c r="D10" s="46" t="s">
        <v>6232</v>
      </c>
      <c r="E10" s="46" t="s">
        <v>6236</v>
      </c>
      <c r="F10" s="46" t="s">
        <v>112</v>
      </c>
      <c r="H10" s="46">
        <v>1</v>
      </c>
      <c r="M10" s="46">
        <v>1</v>
      </c>
      <c r="Q10" s="46">
        <v>1</v>
      </c>
      <c r="T10" s="46">
        <v>1</v>
      </c>
      <c r="W10" s="46">
        <v>13</v>
      </c>
      <c r="X10" s="46">
        <v>17</v>
      </c>
      <c r="Y10" s="46">
        <v>19</v>
      </c>
      <c r="Z10" s="46">
        <v>5</v>
      </c>
      <c r="AA10" s="46">
        <v>4</v>
      </c>
      <c r="AB10" s="46">
        <v>4</v>
      </c>
      <c r="AD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K10" s="46">
        <v>1</v>
      </c>
      <c r="BY10" s="46">
        <v>1</v>
      </c>
      <c r="CB10" s="46">
        <v>1</v>
      </c>
      <c r="CE10" s="46">
        <v>1</v>
      </c>
      <c r="CK10" s="46">
        <v>1</v>
      </c>
      <c r="CR10" s="46">
        <v>1</v>
      </c>
      <c r="CT10" s="46" t="s">
        <v>6216</v>
      </c>
    </row>
    <row r="11" spans="1:98">
      <c r="A11" s="46" t="s">
        <v>6237</v>
      </c>
      <c r="B11" s="46" t="s">
        <v>6238</v>
      </c>
      <c r="C11" s="46">
        <v>22</v>
      </c>
      <c r="D11" s="46" t="s">
        <v>1549</v>
      </c>
      <c r="E11" s="46" t="s">
        <v>6239</v>
      </c>
      <c r="F11" s="46" t="s">
        <v>112</v>
      </c>
      <c r="H11" s="46">
        <v>1</v>
      </c>
      <c r="O11" s="46">
        <v>1</v>
      </c>
      <c r="T11" s="46">
        <v>1</v>
      </c>
      <c r="W11" s="46">
        <v>13</v>
      </c>
      <c r="X11" s="46">
        <v>15</v>
      </c>
      <c r="Y11" s="46">
        <v>16</v>
      </c>
      <c r="Z11" s="46">
        <v>3</v>
      </c>
      <c r="AA11" s="46">
        <v>2</v>
      </c>
      <c r="AB11" s="46">
        <v>1</v>
      </c>
      <c r="AF11" s="46">
        <v>1</v>
      </c>
      <c r="AJ11" s="46">
        <v>1</v>
      </c>
      <c r="AM11" s="46">
        <v>1</v>
      </c>
      <c r="AT11" s="46">
        <v>1</v>
      </c>
      <c r="AX11" s="46">
        <v>1</v>
      </c>
      <c r="BB11" s="46">
        <v>1</v>
      </c>
      <c r="BG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46" t="s">
        <v>6216</v>
      </c>
    </row>
    <row r="12" spans="1:98">
      <c r="A12" s="46" t="s">
        <v>6240</v>
      </c>
      <c r="B12" s="46" t="s">
        <v>6241</v>
      </c>
      <c r="C12" s="46">
        <v>38</v>
      </c>
      <c r="D12" s="46" t="s">
        <v>1469</v>
      </c>
      <c r="E12" s="46" t="s">
        <v>6242</v>
      </c>
      <c r="F12" s="46" t="s">
        <v>112</v>
      </c>
      <c r="J12" s="46">
        <v>1</v>
      </c>
      <c r="M12" s="46">
        <v>1</v>
      </c>
      <c r="R12" s="46">
        <v>1</v>
      </c>
      <c r="T12" s="46">
        <v>1</v>
      </c>
      <c r="W12" s="46">
        <v>15</v>
      </c>
      <c r="X12" s="46">
        <v>15</v>
      </c>
      <c r="Y12" s="46">
        <v>18</v>
      </c>
      <c r="Z12" s="46">
        <v>5</v>
      </c>
      <c r="AA12" s="46">
        <v>8</v>
      </c>
      <c r="AB12" s="46">
        <v>7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6216</v>
      </c>
    </row>
    <row r="13" spans="1:98">
      <c r="A13" s="46" t="s">
        <v>6243</v>
      </c>
      <c r="B13" s="46" t="s">
        <v>6244</v>
      </c>
      <c r="C13" s="46">
        <v>30</v>
      </c>
      <c r="D13" s="46" t="s">
        <v>6245</v>
      </c>
      <c r="E13" s="46" t="s">
        <v>6246</v>
      </c>
      <c r="F13" s="46" t="s">
        <v>112</v>
      </c>
      <c r="H13" s="46">
        <v>1</v>
      </c>
      <c r="M13" s="46">
        <v>1</v>
      </c>
      <c r="Q13" s="46">
        <v>1</v>
      </c>
      <c r="U13" s="46">
        <v>1</v>
      </c>
      <c r="W13" s="46">
        <v>15</v>
      </c>
      <c r="X13" s="46">
        <v>20</v>
      </c>
      <c r="Y13" s="46">
        <v>20</v>
      </c>
      <c r="Z13" s="46">
        <v>5</v>
      </c>
      <c r="AA13" s="46">
        <v>5</v>
      </c>
      <c r="AB13" s="46">
        <v>4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6216</v>
      </c>
    </row>
    <row r="14" spans="1:98">
      <c r="A14" s="46" t="s">
        <v>6247</v>
      </c>
      <c r="B14" s="46" t="s">
        <v>6248</v>
      </c>
      <c r="C14" s="46">
        <v>36</v>
      </c>
      <c r="D14" s="46" t="s">
        <v>6232</v>
      </c>
      <c r="E14" s="46" t="s">
        <v>6249</v>
      </c>
      <c r="F14" s="46" t="s">
        <v>122</v>
      </c>
      <c r="I14" s="46">
        <v>1</v>
      </c>
      <c r="M14" s="46">
        <v>1</v>
      </c>
      <c r="R14" s="46">
        <v>1</v>
      </c>
      <c r="T14" s="46">
        <v>1</v>
      </c>
      <c r="W14" s="46">
        <v>16</v>
      </c>
      <c r="X14" s="46">
        <v>18</v>
      </c>
      <c r="Y14" s="46">
        <v>20</v>
      </c>
      <c r="Z14" s="46">
        <v>8</v>
      </c>
      <c r="AA14" s="46">
        <v>8</v>
      </c>
      <c r="AB14" s="46">
        <v>7</v>
      </c>
      <c r="AG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Y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6216</v>
      </c>
    </row>
    <row r="15" spans="1:98">
      <c r="A15" s="46" t="s">
        <v>6250</v>
      </c>
      <c r="B15" s="46" t="s">
        <v>6251</v>
      </c>
      <c r="C15" s="46">
        <v>34</v>
      </c>
      <c r="D15" s="46" t="s">
        <v>6232</v>
      </c>
      <c r="E15" s="46" t="s">
        <v>6252</v>
      </c>
      <c r="F15" s="46" t="s">
        <v>112</v>
      </c>
      <c r="J15" s="46">
        <v>1</v>
      </c>
      <c r="M15" s="46">
        <v>1</v>
      </c>
      <c r="R15" s="46">
        <v>1</v>
      </c>
      <c r="T15" s="46">
        <v>1</v>
      </c>
      <c r="W15" s="46">
        <v>15</v>
      </c>
      <c r="X15" s="46">
        <v>15</v>
      </c>
      <c r="Y15" s="46">
        <v>16</v>
      </c>
      <c r="Z15" s="46">
        <v>7</v>
      </c>
      <c r="AA15" s="46">
        <v>7</v>
      </c>
      <c r="AB15" s="46">
        <v>7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BY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6216</v>
      </c>
    </row>
    <row r="16" spans="1:98">
      <c r="A16" s="46" t="s">
        <v>6253</v>
      </c>
      <c r="B16" s="46" t="s">
        <v>4974</v>
      </c>
      <c r="C16" s="46">
        <v>48</v>
      </c>
      <c r="D16" s="46" t="s">
        <v>6232</v>
      </c>
      <c r="E16" s="46" t="s">
        <v>6254</v>
      </c>
      <c r="F16" s="46" t="s">
        <v>112</v>
      </c>
      <c r="I16" s="46">
        <v>1</v>
      </c>
      <c r="M16" s="46">
        <v>1</v>
      </c>
      <c r="Q16" s="46">
        <v>1</v>
      </c>
      <c r="T16" s="46">
        <v>1</v>
      </c>
      <c r="W16" s="46">
        <v>14</v>
      </c>
      <c r="X16" s="46">
        <v>18</v>
      </c>
      <c r="Y16" s="46">
        <v>19</v>
      </c>
      <c r="Z16" s="46">
        <v>6</v>
      </c>
      <c r="AA16" s="46">
        <v>6</v>
      </c>
      <c r="AB16" s="46">
        <v>6</v>
      </c>
      <c r="AE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B16" s="46">
        <v>1</v>
      </c>
      <c r="BG16" s="46">
        <v>1</v>
      </c>
      <c r="BK16" s="46">
        <v>1</v>
      </c>
      <c r="CB16" s="46">
        <v>1</v>
      </c>
      <c r="CF16" s="46">
        <v>1</v>
      </c>
      <c r="CG16" s="46" t="s">
        <v>6255</v>
      </c>
      <c r="CI16" s="46">
        <v>1</v>
      </c>
      <c r="CK16" s="46">
        <v>1</v>
      </c>
      <c r="CR16" s="46">
        <v>1</v>
      </c>
      <c r="CT16" s="46" t="s">
        <v>6216</v>
      </c>
    </row>
    <row r="17" spans="1:98">
      <c r="A17" s="46" t="s">
        <v>6256</v>
      </c>
      <c r="B17" s="46" t="s">
        <v>6257</v>
      </c>
      <c r="C17" s="46">
        <v>42</v>
      </c>
      <c r="D17" s="46" t="s">
        <v>6232</v>
      </c>
      <c r="E17" s="46" t="s">
        <v>6258</v>
      </c>
      <c r="F17" s="46" t="s">
        <v>514</v>
      </c>
      <c r="I17" s="46">
        <v>1</v>
      </c>
      <c r="M17" s="46">
        <v>1</v>
      </c>
      <c r="R17" s="46">
        <v>1</v>
      </c>
      <c r="T17" s="46">
        <v>1</v>
      </c>
      <c r="W17" s="46">
        <v>14</v>
      </c>
      <c r="X17" s="46">
        <v>14</v>
      </c>
      <c r="Y17" s="46">
        <v>14</v>
      </c>
      <c r="Z17" s="46">
        <v>8</v>
      </c>
      <c r="AA17" s="46">
        <v>8</v>
      </c>
      <c r="AB17" s="46">
        <v>8</v>
      </c>
      <c r="AE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X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6259</v>
      </c>
    </row>
    <row r="18" spans="1:98">
      <c r="A18" s="46" t="s">
        <v>6260</v>
      </c>
      <c r="B18" s="46" t="s">
        <v>6261</v>
      </c>
      <c r="C18" s="46">
        <v>34</v>
      </c>
      <c r="D18" s="46" t="s">
        <v>6262</v>
      </c>
      <c r="E18" s="46" t="s">
        <v>4827</v>
      </c>
      <c r="F18" s="46" t="s">
        <v>112</v>
      </c>
      <c r="J18" s="46">
        <v>1</v>
      </c>
      <c r="M18" s="46">
        <v>1</v>
      </c>
      <c r="Q18" s="46">
        <v>1</v>
      </c>
      <c r="T18" s="46">
        <v>1</v>
      </c>
      <c r="X18" s="46">
        <v>20</v>
      </c>
      <c r="Y18" s="46">
        <v>22</v>
      </c>
      <c r="Z18" s="46">
        <v>6</v>
      </c>
      <c r="AA18" s="46">
        <v>6</v>
      </c>
      <c r="AB18" s="46">
        <v>6</v>
      </c>
      <c r="AD18" s="46">
        <v>1</v>
      </c>
      <c r="AE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M18" s="46">
        <v>1</v>
      </c>
      <c r="BY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6263</v>
      </c>
    </row>
    <row r="19" spans="1:98">
      <c r="A19" s="46" t="s">
        <v>6264</v>
      </c>
      <c r="B19" s="46" t="s">
        <v>6265</v>
      </c>
      <c r="C19" s="46">
        <v>54</v>
      </c>
      <c r="D19" s="46" t="s">
        <v>6232</v>
      </c>
      <c r="F19" s="46" t="s">
        <v>112</v>
      </c>
      <c r="I19" s="46">
        <v>1</v>
      </c>
      <c r="M19" s="46">
        <v>1</v>
      </c>
      <c r="Q19" s="46">
        <v>1</v>
      </c>
      <c r="T19" s="46">
        <v>1</v>
      </c>
      <c r="W19" s="46">
        <v>14</v>
      </c>
      <c r="X19" s="46">
        <v>17</v>
      </c>
      <c r="Y19" s="46">
        <v>20</v>
      </c>
      <c r="Z19" s="46">
        <v>10</v>
      </c>
      <c r="AA19" s="46">
        <v>10</v>
      </c>
      <c r="AB19" s="46">
        <v>10</v>
      </c>
      <c r="AE19" s="46">
        <v>1</v>
      </c>
      <c r="AG19" s="46">
        <v>1</v>
      </c>
      <c r="AH19" s="46">
        <v>1</v>
      </c>
      <c r="AI19" s="46">
        <v>1</v>
      </c>
      <c r="AK19" s="46">
        <v>1</v>
      </c>
      <c r="AT19" s="46">
        <v>1</v>
      </c>
      <c r="AX19" s="46">
        <v>1</v>
      </c>
      <c r="BA19" s="46">
        <v>1</v>
      </c>
      <c r="BL19" s="46">
        <v>1</v>
      </c>
      <c r="BY19" s="46">
        <v>1</v>
      </c>
      <c r="CB19" s="46">
        <v>1</v>
      </c>
      <c r="CE19" s="46">
        <v>1</v>
      </c>
      <c r="CK19" s="46">
        <v>1</v>
      </c>
      <c r="CR19" s="46">
        <v>1</v>
      </c>
      <c r="CT19" s="46" t="s">
        <v>6216</v>
      </c>
    </row>
    <row r="20" spans="1:98">
      <c r="A20" s="46" t="s">
        <v>6266</v>
      </c>
      <c r="B20" s="46" t="s">
        <v>6267</v>
      </c>
      <c r="C20" s="46">
        <v>60</v>
      </c>
      <c r="D20" s="46" t="s">
        <v>6268</v>
      </c>
      <c r="E20" s="46" t="s">
        <v>6269</v>
      </c>
      <c r="F20" s="46" t="s">
        <v>112</v>
      </c>
      <c r="J20" s="46">
        <v>1</v>
      </c>
      <c r="P20" s="46">
        <v>1</v>
      </c>
      <c r="R20" s="46">
        <v>1</v>
      </c>
      <c r="T20" s="46">
        <v>1</v>
      </c>
      <c r="W20" s="46">
        <v>15</v>
      </c>
      <c r="X20" s="46">
        <v>16</v>
      </c>
      <c r="Y20" s="46">
        <v>17</v>
      </c>
      <c r="Z20" s="46">
        <v>15</v>
      </c>
      <c r="AA20" s="46">
        <v>13</v>
      </c>
      <c r="AB20" s="46">
        <v>9</v>
      </c>
      <c r="AC20" s="46">
        <v>1</v>
      </c>
      <c r="AI20" s="46">
        <v>1</v>
      </c>
      <c r="AK20" s="46">
        <v>1</v>
      </c>
      <c r="AT20" s="46">
        <v>1</v>
      </c>
      <c r="AX20" s="46">
        <v>1</v>
      </c>
      <c r="BA20" s="46">
        <v>1</v>
      </c>
      <c r="BL20" s="46">
        <v>1</v>
      </c>
      <c r="BY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6216</v>
      </c>
    </row>
    <row r="21" spans="1:98">
      <c r="A21" s="46" t="s">
        <v>6270</v>
      </c>
      <c r="B21" s="46" t="s">
        <v>6271</v>
      </c>
      <c r="C21" s="46">
        <v>80</v>
      </c>
      <c r="D21" s="46" t="s">
        <v>6232</v>
      </c>
      <c r="F21" s="46" t="s">
        <v>112</v>
      </c>
      <c r="G21" s="46">
        <v>1</v>
      </c>
      <c r="O21" s="46">
        <v>1</v>
      </c>
      <c r="R21" s="46">
        <v>1</v>
      </c>
      <c r="S21" s="46">
        <v>1</v>
      </c>
      <c r="W21" s="46">
        <v>14</v>
      </c>
      <c r="X21" s="46">
        <v>15</v>
      </c>
      <c r="Y21" s="46">
        <v>16</v>
      </c>
      <c r="Z21" s="46">
        <v>3</v>
      </c>
      <c r="AA21" s="46">
        <v>3</v>
      </c>
      <c r="AB21" s="46">
        <v>1</v>
      </c>
      <c r="AH21" s="46">
        <v>1</v>
      </c>
      <c r="AI21" s="46">
        <v>1</v>
      </c>
      <c r="AM21" s="46">
        <v>1</v>
      </c>
      <c r="AT21" s="46">
        <v>1</v>
      </c>
      <c r="AZ21" s="46">
        <v>1</v>
      </c>
      <c r="BF21" s="46">
        <v>1</v>
      </c>
      <c r="BG21" s="46">
        <v>1</v>
      </c>
      <c r="BL21" s="46">
        <v>1</v>
      </c>
      <c r="BY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6216</v>
      </c>
    </row>
    <row r="22" spans="1:98">
      <c r="A22" s="46" t="s">
        <v>6272</v>
      </c>
      <c r="B22" s="46" t="s">
        <v>6034</v>
      </c>
      <c r="C22" s="46">
        <v>46</v>
      </c>
      <c r="D22" s="46" t="s">
        <v>6232</v>
      </c>
      <c r="F22" s="46" t="s">
        <v>112</v>
      </c>
      <c r="G22" s="46">
        <v>1</v>
      </c>
      <c r="M22" s="46">
        <v>1</v>
      </c>
      <c r="Q22" s="46">
        <v>1</v>
      </c>
      <c r="S22" s="46">
        <v>1</v>
      </c>
      <c r="W22" s="46">
        <v>15</v>
      </c>
      <c r="X22" s="46">
        <v>16</v>
      </c>
      <c r="Z22" s="46">
        <v>15</v>
      </c>
      <c r="AA22" s="46">
        <v>15</v>
      </c>
      <c r="AB22" s="46">
        <v>10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X22" s="46">
        <v>1</v>
      </c>
      <c r="BD22" s="46">
        <v>1</v>
      </c>
      <c r="BG22" s="46">
        <v>1</v>
      </c>
      <c r="BL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6216</v>
      </c>
    </row>
    <row r="23" spans="1:98">
      <c r="A23" s="46" t="s">
        <v>6273</v>
      </c>
      <c r="B23" s="46" t="s">
        <v>6274</v>
      </c>
      <c r="C23" s="46">
        <v>50</v>
      </c>
      <c r="D23" s="46" t="s">
        <v>6275</v>
      </c>
      <c r="E23" s="46" t="s">
        <v>6276</v>
      </c>
      <c r="F23" s="46" t="s">
        <v>112</v>
      </c>
      <c r="G23" s="46">
        <v>1</v>
      </c>
      <c r="M23" s="46">
        <v>1</v>
      </c>
      <c r="Q23" s="46">
        <v>1</v>
      </c>
      <c r="T23" s="46">
        <v>1</v>
      </c>
      <c r="W23" s="46">
        <v>15</v>
      </c>
      <c r="X23" s="46">
        <v>16</v>
      </c>
      <c r="Y23" s="46">
        <v>17</v>
      </c>
      <c r="Z23" s="46">
        <v>10</v>
      </c>
      <c r="AA23" s="46">
        <v>10</v>
      </c>
      <c r="AB23" s="46">
        <v>9</v>
      </c>
      <c r="AD23" s="46">
        <v>1</v>
      </c>
      <c r="AE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L23" s="46">
        <v>1</v>
      </c>
      <c r="BY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6216</v>
      </c>
    </row>
    <row r="24" spans="1:98">
      <c r="A24" s="46" t="s">
        <v>6277</v>
      </c>
      <c r="B24" s="46" t="s">
        <v>6278</v>
      </c>
      <c r="C24" s="46">
        <v>60</v>
      </c>
      <c r="D24" s="46" t="s">
        <v>6229</v>
      </c>
      <c r="E24" s="46" t="s">
        <v>6279</v>
      </c>
      <c r="F24" s="46" t="s">
        <v>112</v>
      </c>
      <c r="H24" s="46">
        <v>1</v>
      </c>
      <c r="M24" s="46">
        <v>1</v>
      </c>
      <c r="Q24" s="46">
        <v>1</v>
      </c>
      <c r="S24" s="46">
        <v>1</v>
      </c>
      <c r="W24" s="46">
        <v>13</v>
      </c>
      <c r="X24" s="46">
        <v>17</v>
      </c>
      <c r="AH24" s="46">
        <v>1</v>
      </c>
      <c r="AI24" s="46">
        <v>1</v>
      </c>
      <c r="AK24" s="46">
        <v>1</v>
      </c>
      <c r="AT24" s="46">
        <v>1</v>
      </c>
      <c r="AX24" s="46">
        <v>1</v>
      </c>
      <c r="BB24" s="46">
        <v>1</v>
      </c>
      <c r="BG24" s="46">
        <v>1</v>
      </c>
      <c r="BL24" s="46">
        <v>1</v>
      </c>
      <c r="BY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6216</v>
      </c>
    </row>
    <row r="25" spans="1:98">
      <c r="A25" s="46" t="s">
        <v>6280</v>
      </c>
      <c r="B25" s="46" t="s">
        <v>6281</v>
      </c>
      <c r="C25" s="46">
        <v>50</v>
      </c>
      <c r="D25" s="46" t="s">
        <v>6232</v>
      </c>
      <c r="F25" s="46" t="s">
        <v>662</v>
      </c>
      <c r="J25" s="46">
        <v>1</v>
      </c>
      <c r="M25" s="46">
        <v>1</v>
      </c>
      <c r="R25" s="46">
        <v>1</v>
      </c>
      <c r="S25" s="46">
        <v>1</v>
      </c>
      <c r="X25" s="46">
        <v>10</v>
      </c>
      <c r="Z25" s="46">
        <v>6</v>
      </c>
      <c r="AA25" s="46">
        <v>6</v>
      </c>
      <c r="AB25" s="46">
        <v>5</v>
      </c>
      <c r="AG25" s="46">
        <v>1</v>
      </c>
      <c r="AH25" s="46">
        <v>1</v>
      </c>
      <c r="AI25" s="46">
        <v>1</v>
      </c>
      <c r="AM25" s="46">
        <v>1</v>
      </c>
      <c r="AT25" s="46">
        <v>1</v>
      </c>
      <c r="AW25" s="46">
        <v>1</v>
      </c>
      <c r="BA25" s="46">
        <v>1</v>
      </c>
      <c r="BL25" s="46">
        <v>1</v>
      </c>
      <c r="BY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6216</v>
      </c>
    </row>
    <row r="26" spans="1:98">
      <c r="A26" s="46" t="s">
        <v>6282</v>
      </c>
      <c r="B26" s="46" t="s">
        <v>6283</v>
      </c>
      <c r="C26" s="46">
        <v>52</v>
      </c>
      <c r="D26" s="46" t="s">
        <v>6284</v>
      </c>
      <c r="E26" s="46" t="s">
        <v>6285</v>
      </c>
      <c r="F26" s="46" t="s">
        <v>112</v>
      </c>
      <c r="H26" s="46">
        <v>1</v>
      </c>
      <c r="M26" s="46">
        <v>1</v>
      </c>
      <c r="R26" s="46">
        <v>1</v>
      </c>
      <c r="U26" s="46">
        <v>1</v>
      </c>
      <c r="W26" s="46">
        <v>17</v>
      </c>
      <c r="X26" s="46">
        <v>20</v>
      </c>
      <c r="Y26" s="46">
        <v>20</v>
      </c>
      <c r="Z26" s="46">
        <v>2</v>
      </c>
      <c r="AA26" s="46">
        <v>2</v>
      </c>
      <c r="AB26" s="46">
        <v>2</v>
      </c>
      <c r="AE26" s="46">
        <v>1</v>
      </c>
      <c r="AI26" s="46">
        <v>1</v>
      </c>
      <c r="AL26" s="46">
        <v>1</v>
      </c>
      <c r="AP26" s="46">
        <v>1</v>
      </c>
      <c r="AQ26" s="46" t="s">
        <v>736</v>
      </c>
      <c r="AR26" s="134">
        <v>45413</v>
      </c>
      <c r="AT26" s="46">
        <v>1</v>
      </c>
      <c r="AW26" s="46">
        <v>1</v>
      </c>
      <c r="BA26" s="46">
        <v>1</v>
      </c>
      <c r="BL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6216</v>
      </c>
    </row>
    <row r="27" spans="1:98">
      <c r="A27" s="46" t="s">
        <v>6286</v>
      </c>
      <c r="B27" s="46" t="s">
        <v>6287</v>
      </c>
      <c r="C27" s="46">
        <v>63</v>
      </c>
      <c r="D27" s="46" t="s">
        <v>6288</v>
      </c>
      <c r="F27" s="46" t="s">
        <v>112</v>
      </c>
      <c r="H27" s="46">
        <v>1</v>
      </c>
      <c r="P27" s="46">
        <v>1</v>
      </c>
      <c r="R27" s="46">
        <v>1</v>
      </c>
      <c r="S27" s="46">
        <v>1</v>
      </c>
      <c r="W27" s="46">
        <v>15</v>
      </c>
      <c r="X27" s="46">
        <v>15</v>
      </c>
      <c r="Y27" s="46">
        <v>16</v>
      </c>
      <c r="Z27" s="46">
        <v>11</v>
      </c>
      <c r="AA27" s="46">
        <v>11</v>
      </c>
      <c r="AB27" s="46">
        <v>9</v>
      </c>
      <c r="AC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L27" s="46">
        <v>1</v>
      </c>
      <c r="BY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6216</v>
      </c>
    </row>
    <row r="28" spans="1:98">
      <c r="A28" s="46" t="s">
        <v>6289</v>
      </c>
      <c r="B28" s="46" t="s">
        <v>6290</v>
      </c>
      <c r="C28" s="46">
        <v>53</v>
      </c>
      <c r="D28" s="46" t="s">
        <v>6275</v>
      </c>
      <c r="E28" s="46" t="s">
        <v>6291</v>
      </c>
      <c r="F28" s="46" t="s">
        <v>5946</v>
      </c>
      <c r="G28" s="46">
        <v>1</v>
      </c>
      <c r="M28" s="46">
        <v>1</v>
      </c>
      <c r="Q28" s="46">
        <v>1</v>
      </c>
      <c r="T28" s="46">
        <v>1</v>
      </c>
      <c r="W28" s="46">
        <v>15</v>
      </c>
      <c r="X28" s="46">
        <v>16</v>
      </c>
      <c r="Y28" s="46">
        <v>18</v>
      </c>
      <c r="Z28" s="46">
        <v>8</v>
      </c>
      <c r="AA28" s="46">
        <v>8</v>
      </c>
      <c r="AB28" s="46">
        <v>7</v>
      </c>
      <c r="AE28" s="46">
        <v>1</v>
      </c>
      <c r="AG28" s="46">
        <v>1</v>
      </c>
      <c r="AH28" s="46">
        <v>1</v>
      </c>
      <c r="AJ28" s="46">
        <v>1</v>
      </c>
      <c r="AL28" s="46">
        <v>1</v>
      </c>
      <c r="AP28" s="46">
        <v>1</v>
      </c>
      <c r="AQ28" s="46" t="s">
        <v>736</v>
      </c>
      <c r="AR28" s="50">
        <v>45261</v>
      </c>
      <c r="AT28" s="46">
        <v>1</v>
      </c>
      <c r="AY28" s="46">
        <v>1</v>
      </c>
      <c r="BA28" s="46">
        <v>1</v>
      </c>
      <c r="BL28" s="46">
        <v>1</v>
      </c>
      <c r="BY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6216</v>
      </c>
    </row>
    <row r="29" spans="1:98">
      <c r="A29" s="46" t="s">
        <v>6292</v>
      </c>
      <c r="B29" s="46" t="s">
        <v>6293</v>
      </c>
      <c r="C29" s="46">
        <v>70</v>
      </c>
      <c r="D29" s="46" t="s">
        <v>6232</v>
      </c>
      <c r="E29" s="46" t="s">
        <v>6294</v>
      </c>
      <c r="F29" s="46" t="s">
        <v>112</v>
      </c>
      <c r="I29" s="46">
        <v>1</v>
      </c>
      <c r="M29" s="46">
        <v>1</v>
      </c>
      <c r="Q29" s="46">
        <v>1</v>
      </c>
      <c r="T29" s="46">
        <v>1</v>
      </c>
      <c r="W29" s="46">
        <v>17</v>
      </c>
      <c r="X29" s="46">
        <v>20</v>
      </c>
      <c r="Y29" s="46">
        <v>20</v>
      </c>
      <c r="Z29" s="46">
        <v>9</v>
      </c>
      <c r="AA29" s="46">
        <v>9</v>
      </c>
      <c r="AB29" s="46">
        <v>6</v>
      </c>
      <c r="AE29" s="46">
        <v>1</v>
      </c>
      <c r="AI29" s="46">
        <v>1</v>
      </c>
      <c r="AK29" s="46">
        <v>1</v>
      </c>
      <c r="AT29" s="46">
        <v>1</v>
      </c>
      <c r="AX29" s="46">
        <v>1</v>
      </c>
      <c r="BA29" s="46">
        <v>1</v>
      </c>
      <c r="BL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6216</v>
      </c>
    </row>
    <row r="30" spans="1:98">
      <c r="A30" s="46" t="s">
        <v>6295</v>
      </c>
      <c r="B30" s="46" t="s">
        <v>6296</v>
      </c>
      <c r="C30" s="46">
        <v>50</v>
      </c>
      <c r="D30" s="46" t="s">
        <v>6232</v>
      </c>
      <c r="F30" s="46" t="s">
        <v>112</v>
      </c>
      <c r="I30" s="46">
        <v>1</v>
      </c>
      <c r="O30" s="46">
        <v>1</v>
      </c>
      <c r="Q30" s="46">
        <v>1</v>
      </c>
      <c r="S30" s="46">
        <v>1</v>
      </c>
      <c r="W30" s="46">
        <v>15</v>
      </c>
      <c r="X30" s="46">
        <v>15</v>
      </c>
      <c r="Y30" s="46">
        <v>21</v>
      </c>
      <c r="Z30" s="46">
        <v>3</v>
      </c>
      <c r="AA30" s="46">
        <v>3</v>
      </c>
      <c r="AB30" s="46">
        <v>3</v>
      </c>
      <c r="AH30" s="46">
        <v>1</v>
      </c>
      <c r="AI30" s="46">
        <v>1</v>
      </c>
      <c r="AM30" s="46">
        <v>1</v>
      </c>
      <c r="AT30" s="46">
        <v>1</v>
      </c>
      <c r="AW30" s="46">
        <v>1</v>
      </c>
      <c r="BA30" s="46">
        <v>1</v>
      </c>
      <c r="BL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6216</v>
      </c>
    </row>
    <row r="31" spans="1:98">
      <c r="A31" s="46" t="s">
        <v>6297</v>
      </c>
      <c r="B31" s="46" t="s">
        <v>6298</v>
      </c>
      <c r="C31" s="46">
        <v>37</v>
      </c>
      <c r="D31" s="46" t="s">
        <v>4860</v>
      </c>
      <c r="E31" s="46" t="s">
        <v>6299</v>
      </c>
      <c r="F31" s="46" t="s">
        <v>112</v>
      </c>
      <c r="I31" s="46">
        <v>1</v>
      </c>
      <c r="M31" s="46">
        <v>1</v>
      </c>
      <c r="Q31" s="46">
        <v>1</v>
      </c>
      <c r="U31" s="46">
        <v>1</v>
      </c>
      <c r="W31" s="46">
        <v>17</v>
      </c>
      <c r="X31" s="46">
        <v>18</v>
      </c>
      <c r="Y31" s="46">
        <v>18</v>
      </c>
      <c r="Z31" s="46">
        <v>9</v>
      </c>
      <c r="AA31" s="46">
        <v>7</v>
      </c>
      <c r="AB31" s="46">
        <v>7</v>
      </c>
      <c r="BB31" s="46">
        <v>1</v>
      </c>
      <c r="BH31" s="46">
        <v>1</v>
      </c>
      <c r="BL31" s="46">
        <v>1</v>
      </c>
      <c r="BY31" s="46">
        <v>1</v>
      </c>
      <c r="CB31" s="46">
        <v>1</v>
      </c>
      <c r="CE31" s="46">
        <v>1</v>
      </c>
      <c r="CK31" s="46">
        <v>1</v>
      </c>
      <c r="CR31" s="46">
        <v>1</v>
      </c>
      <c r="CT31" s="46" t="s">
        <v>6216</v>
      </c>
    </row>
    <row r="32" spans="1:98">
      <c r="A32" s="46" t="s">
        <v>6300</v>
      </c>
      <c r="B32" s="46" t="s">
        <v>6301</v>
      </c>
      <c r="C32" s="46">
        <v>72</v>
      </c>
      <c r="D32" s="46" t="s">
        <v>6232</v>
      </c>
      <c r="F32" s="46" t="s">
        <v>112</v>
      </c>
      <c r="H32" s="46">
        <v>1</v>
      </c>
      <c r="P32" s="46">
        <v>1</v>
      </c>
      <c r="Q32" s="46">
        <v>1</v>
      </c>
      <c r="T32" s="46">
        <v>1</v>
      </c>
      <c r="X32" s="46">
        <v>18</v>
      </c>
      <c r="Z32" s="46">
        <v>9</v>
      </c>
      <c r="AA32" s="46">
        <v>9</v>
      </c>
      <c r="AB32" s="46">
        <v>2</v>
      </c>
      <c r="AC32" s="46">
        <v>1</v>
      </c>
      <c r="AI32" s="46">
        <v>1</v>
      </c>
      <c r="AL32" s="46">
        <v>1</v>
      </c>
      <c r="AP32" s="46">
        <v>1</v>
      </c>
      <c r="AQ32" s="46" t="s">
        <v>6302</v>
      </c>
      <c r="AR32" s="134">
        <v>45352</v>
      </c>
      <c r="AT32" s="46">
        <v>1</v>
      </c>
      <c r="AV32" s="46">
        <v>1</v>
      </c>
      <c r="BF32" s="46">
        <v>1</v>
      </c>
      <c r="BG32" s="46">
        <v>1</v>
      </c>
      <c r="BL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6216</v>
      </c>
    </row>
    <row r="33" spans="1:98">
      <c r="A33" s="46" t="s">
        <v>6303</v>
      </c>
      <c r="B33" s="46" t="s">
        <v>6304</v>
      </c>
      <c r="C33" s="46">
        <v>90</v>
      </c>
      <c r="D33" s="46" t="s">
        <v>6232</v>
      </c>
      <c r="F33" s="46" t="s">
        <v>112</v>
      </c>
      <c r="G33" s="46">
        <v>1</v>
      </c>
      <c r="P33" s="46">
        <v>1</v>
      </c>
      <c r="Q33" s="46">
        <v>1</v>
      </c>
      <c r="S33" s="46">
        <v>1</v>
      </c>
      <c r="W33" s="46">
        <v>15</v>
      </c>
      <c r="X33" s="46">
        <v>14</v>
      </c>
      <c r="Z33" s="46">
        <v>9</v>
      </c>
      <c r="AA33" s="46">
        <v>9</v>
      </c>
      <c r="AB33" s="46">
        <v>5</v>
      </c>
      <c r="AC33" s="46">
        <v>1</v>
      </c>
      <c r="AI33" s="46">
        <v>1</v>
      </c>
      <c r="AK33" s="46">
        <v>1</v>
      </c>
      <c r="AT33" s="46">
        <v>1</v>
      </c>
      <c r="AX33" s="46">
        <v>1</v>
      </c>
      <c r="BF33" s="46">
        <v>1</v>
      </c>
      <c r="BG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908</v>
      </c>
    </row>
    <row r="34" spans="1:98">
      <c r="A34" s="46" t="s">
        <v>6305</v>
      </c>
      <c r="B34" s="46" t="s">
        <v>6306</v>
      </c>
      <c r="C34" s="46">
        <v>80</v>
      </c>
      <c r="D34" s="46" t="s">
        <v>6232</v>
      </c>
      <c r="F34" s="46" t="s">
        <v>112</v>
      </c>
      <c r="G34" s="46">
        <v>1</v>
      </c>
      <c r="P34" s="46">
        <v>1</v>
      </c>
      <c r="R34" s="46">
        <v>1</v>
      </c>
      <c r="S34" s="46">
        <v>1</v>
      </c>
      <c r="W34" s="46">
        <v>15</v>
      </c>
      <c r="X34" s="46">
        <v>17</v>
      </c>
      <c r="Y34" s="46">
        <v>18</v>
      </c>
      <c r="Z34" s="46">
        <v>7</v>
      </c>
      <c r="AA34" s="46">
        <v>7</v>
      </c>
      <c r="AB34" s="46">
        <v>4</v>
      </c>
      <c r="AC34" s="46">
        <v>1</v>
      </c>
      <c r="AI34" s="46">
        <v>1</v>
      </c>
      <c r="AK34" s="46">
        <v>1</v>
      </c>
      <c r="AT34" s="46">
        <v>1</v>
      </c>
      <c r="AW34" s="46">
        <v>1</v>
      </c>
      <c r="BF34" s="46">
        <v>1</v>
      </c>
      <c r="BG34" s="46">
        <v>1</v>
      </c>
      <c r="CB34" s="46">
        <v>1</v>
      </c>
      <c r="CE34" s="46">
        <v>1</v>
      </c>
      <c r="CK34" s="46">
        <v>1</v>
      </c>
      <c r="CR34" s="46">
        <v>1</v>
      </c>
      <c r="CT34" s="46" t="s">
        <v>908</v>
      </c>
    </row>
    <row r="35" spans="1:98">
      <c r="A35" s="46" t="s">
        <v>6307</v>
      </c>
      <c r="B35" s="46" t="s">
        <v>6308</v>
      </c>
      <c r="C35" s="46">
        <v>50</v>
      </c>
      <c r="D35" s="46" t="s">
        <v>6309</v>
      </c>
      <c r="F35" s="46" t="s">
        <v>2561</v>
      </c>
      <c r="G35" s="46">
        <v>1</v>
      </c>
      <c r="M35" s="46">
        <v>1</v>
      </c>
      <c r="Q35" s="46">
        <v>1</v>
      </c>
      <c r="S35" s="46">
        <v>1</v>
      </c>
      <c r="Z35" s="46">
        <v>8</v>
      </c>
      <c r="AA35" s="46">
        <v>8</v>
      </c>
      <c r="AB35" s="46">
        <v>8</v>
      </c>
      <c r="AG35" s="46">
        <v>1</v>
      </c>
      <c r="AH35" s="46">
        <v>1</v>
      </c>
      <c r="AI35" s="46">
        <v>1</v>
      </c>
      <c r="AM35" s="46">
        <v>1</v>
      </c>
      <c r="AT35" s="46">
        <v>1</v>
      </c>
      <c r="AW35" s="46">
        <v>1</v>
      </c>
      <c r="BA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908</v>
      </c>
    </row>
    <row r="36" spans="1:98">
      <c r="A36" s="46" t="s">
        <v>6310</v>
      </c>
      <c r="B36" s="46" t="s">
        <v>4974</v>
      </c>
      <c r="C36" s="46">
        <v>40</v>
      </c>
      <c r="D36" s="46" t="s">
        <v>6232</v>
      </c>
      <c r="F36" s="46" t="s">
        <v>112</v>
      </c>
      <c r="I36" s="46">
        <v>1</v>
      </c>
      <c r="M36" s="46">
        <v>1</v>
      </c>
      <c r="Q36" s="46">
        <v>1</v>
      </c>
      <c r="S36" s="46">
        <v>1</v>
      </c>
      <c r="W36" s="46">
        <v>18</v>
      </c>
      <c r="X36" s="46">
        <v>18</v>
      </c>
      <c r="Z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B36" s="46">
        <v>1</v>
      </c>
      <c r="BG36" s="46">
        <v>1</v>
      </c>
      <c r="BK36" s="46">
        <v>1</v>
      </c>
      <c r="BO36" s="46">
        <v>1</v>
      </c>
      <c r="CB36" s="46">
        <v>1</v>
      </c>
      <c r="CE36" s="46">
        <v>1</v>
      </c>
      <c r="CK36" s="46">
        <v>1</v>
      </c>
      <c r="CR36" s="46">
        <v>1</v>
      </c>
      <c r="CT36" s="46" t="s">
        <v>908</v>
      </c>
    </row>
    <row r="37" spans="1:98">
      <c r="A37" s="46" t="s">
        <v>6311</v>
      </c>
      <c r="B37" s="46" t="s">
        <v>6312</v>
      </c>
      <c r="C37" s="46">
        <v>35</v>
      </c>
      <c r="D37" s="46" t="s">
        <v>6232</v>
      </c>
      <c r="F37" s="46" t="s">
        <v>1509</v>
      </c>
      <c r="I37" s="46">
        <v>1</v>
      </c>
      <c r="P37" s="46">
        <v>1</v>
      </c>
      <c r="R37" s="46">
        <v>1</v>
      </c>
      <c r="S37" s="46">
        <v>1</v>
      </c>
      <c r="Z37" s="46">
        <v>2</v>
      </c>
      <c r="AA37" s="46">
        <v>2</v>
      </c>
      <c r="AB37" s="46">
        <v>2</v>
      </c>
      <c r="AH37" s="46">
        <v>1</v>
      </c>
      <c r="AI37" s="46">
        <v>1</v>
      </c>
      <c r="AM37" s="46">
        <v>1</v>
      </c>
      <c r="AT37" s="46">
        <v>1</v>
      </c>
      <c r="AW37" s="46">
        <v>1</v>
      </c>
      <c r="BA37" s="46">
        <v>1</v>
      </c>
      <c r="CB37" s="46">
        <v>1</v>
      </c>
      <c r="CE37" s="46">
        <v>1</v>
      </c>
      <c r="CK37" s="46">
        <v>1</v>
      </c>
      <c r="CR37" s="46">
        <v>1</v>
      </c>
      <c r="CT37" s="46" t="s">
        <v>908</v>
      </c>
    </row>
  </sheetData>
  <autoFilter ref="A3:CT37"/>
  <mergeCells count="1">
    <mergeCell ref="AV1:AZ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6313</v>
      </c>
      <c r="B3" s="69">
        <v>5</v>
      </c>
      <c r="C3" s="69">
        <v>0</v>
      </c>
      <c r="D3" s="69">
        <v>2</v>
      </c>
      <c r="E3" s="69">
        <f>SUM(B3:D3)</f>
        <v>7</v>
      </c>
      <c r="F3" s="70">
        <v>0</v>
      </c>
      <c r="G3" s="70">
        <v>7</v>
      </c>
      <c r="H3" s="70">
        <v>0</v>
      </c>
      <c r="I3" s="70">
        <v>0</v>
      </c>
      <c r="J3" s="71">
        <f t="shared" ref="J3:J8" si="0">SUM(F3:I3)</f>
        <v>7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1">SUM(K3:O3)</f>
        <v>0</v>
      </c>
      <c r="Q3" s="70">
        <v>0</v>
      </c>
      <c r="R3" s="70">
        <v>0</v>
      </c>
      <c r="S3" s="70">
        <v>3</v>
      </c>
      <c r="T3" s="71">
        <f>SUM(Q3:S3)</f>
        <v>3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7</v>
      </c>
      <c r="AB3" s="73">
        <v>0</v>
      </c>
      <c r="AC3" s="73">
        <v>0</v>
      </c>
      <c r="AD3" s="73">
        <v>0</v>
      </c>
      <c r="AE3" s="186">
        <f>SUM(AA3,AB3,AC3,AD3)</f>
        <v>7</v>
      </c>
      <c r="AF3" s="73">
        <v>0</v>
      </c>
      <c r="AG3" s="73">
        <v>0</v>
      </c>
    </row>
    <row r="4" spans="1:33">
      <c r="A4" s="77" t="s">
        <v>5195</v>
      </c>
      <c r="B4" s="69">
        <v>6</v>
      </c>
      <c r="C4" s="69">
        <v>0</v>
      </c>
      <c r="D4" s="69">
        <v>2</v>
      </c>
      <c r="E4" s="69">
        <f>SUM(B4:D4)</f>
        <v>8</v>
      </c>
      <c r="F4" s="70">
        <v>0</v>
      </c>
      <c r="G4" s="70">
        <v>5</v>
      </c>
      <c r="H4" s="70">
        <v>0</v>
      </c>
      <c r="I4" s="70">
        <v>0</v>
      </c>
      <c r="J4" s="71">
        <f t="shared" si="0"/>
        <v>5</v>
      </c>
      <c r="K4" s="70">
        <v>1</v>
      </c>
      <c r="L4" s="70">
        <v>1</v>
      </c>
      <c r="M4" s="70">
        <v>0</v>
      </c>
      <c r="N4" s="70">
        <v>1</v>
      </c>
      <c r="O4" s="70">
        <v>0</v>
      </c>
      <c r="P4" s="71">
        <f t="shared" si="1"/>
        <v>3</v>
      </c>
      <c r="Q4" s="70">
        <v>0</v>
      </c>
      <c r="R4" s="70">
        <v>0</v>
      </c>
      <c r="S4" s="70">
        <v>5</v>
      </c>
      <c r="T4" s="71">
        <f>SUM(Q4:S4)</f>
        <v>5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8</v>
      </c>
      <c r="AB4" s="73">
        <v>0</v>
      </c>
      <c r="AC4" s="73">
        <v>0</v>
      </c>
      <c r="AD4" s="73">
        <v>0</v>
      </c>
      <c r="AE4" s="186">
        <f>SUM(AA4,AB4,AC4,AD4)</f>
        <v>8</v>
      </c>
      <c r="AF4" s="73">
        <v>0</v>
      </c>
      <c r="AG4" s="73">
        <v>0</v>
      </c>
    </row>
    <row r="5" spans="1:33">
      <c r="A5" s="77" t="s">
        <v>6314</v>
      </c>
      <c r="B5" s="69">
        <v>5</v>
      </c>
      <c r="C5" s="69">
        <v>0</v>
      </c>
      <c r="D5" s="69">
        <v>3</v>
      </c>
      <c r="E5" s="69">
        <f>SUM(B5:D5)</f>
        <v>8</v>
      </c>
      <c r="F5" s="70">
        <v>1</v>
      </c>
      <c r="G5" s="70">
        <v>2</v>
      </c>
      <c r="H5" s="70">
        <v>1</v>
      </c>
      <c r="I5" s="70">
        <v>0</v>
      </c>
      <c r="J5" s="71">
        <f t="shared" si="0"/>
        <v>4</v>
      </c>
      <c r="K5" s="70">
        <v>4</v>
      </c>
      <c r="L5" s="70">
        <v>0</v>
      </c>
      <c r="M5" s="70">
        <v>0</v>
      </c>
      <c r="N5" s="70">
        <v>0</v>
      </c>
      <c r="O5" s="70">
        <v>0</v>
      </c>
      <c r="P5" s="71">
        <f t="shared" si="1"/>
        <v>4</v>
      </c>
      <c r="Q5" s="70">
        <v>1</v>
      </c>
      <c r="R5" s="70">
        <v>0</v>
      </c>
      <c r="S5" s="70">
        <v>2</v>
      </c>
      <c r="T5" s="71">
        <f>SUM(Q5:S5)</f>
        <v>3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8</v>
      </c>
      <c r="AB5" s="73">
        <v>0</v>
      </c>
      <c r="AC5" s="73">
        <v>0</v>
      </c>
      <c r="AD5" s="73">
        <v>0</v>
      </c>
      <c r="AE5" s="186">
        <f>SUM(AA5,AB5,AC5,AD5)</f>
        <v>8</v>
      </c>
      <c r="AF5" s="73">
        <v>0</v>
      </c>
      <c r="AG5" s="73">
        <v>0</v>
      </c>
    </row>
    <row r="6" spans="1:33">
      <c r="A6" s="77" t="s">
        <v>5197</v>
      </c>
      <c r="B6" s="69">
        <v>3</v>
      </c>
      <c r="C6" s="69">
        <v>2</v>
      </c>
      <c r="D6" s="69">
        <v>0</v>
      </c>
      <c r="E6" s="69">
        <f>SUM(B6:D6)</f>
        <v>5</v>
      </c>
      <c r="F6" s="70">
        <v>0</v>
      </c>
      <c r="G6" s="70">
        <v>0</v>
      </c>
      <c r="H6" s="70">
        <v>0</v>
      </c>
      <c r="I6" s="70">
        <v>0</v>
      </c>
      <c r="J6" s="71">
        <f t="shared" si="0"/>
        <v>0</v>
      </c>
      <c r="K6" s="70">
        <v>5</v>
      </c>
      <c r="L6" s="70">
        <v>0</v>
      </c>
      <c r="M6" s="70">
        <v>0</v>
      </c>
      <c r="N6" s="70">
        <v>0</v>
      </c>
      <c r="O6" s="70">
        <v>0</v>
      </c>
      <c r="P6" s="71">
        <f t="shared" si="1"/>
        <v>5</v>
      </c>
      <c r="Q6" s="70">
        <v>0</v>
      </c>
      <c r="R6" s="70">
        <v>0</v>
      </c>
      <c r="S6" s="70">
        <v>4</v>
      </c>
      <c r="T6" s="71">
        <f>SUM(Q6:S6)</f>
        <v>4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5</v>
      </c>
      <c r="AB6" s="73">
        <v>0</v>
      </c>
      <c r="AC6" s="73">
        <v>0</v>
      </c>
      <c r="AD6" s="73">
        <v>0</v>
      </c>
      <c r="AE6" s="186">
        <f>SUM(AA6,AB6,AC6,AD6)</f>
        <v>5</v>
      </c>
      <c r="AF6" s="73">
        <v>0</v>
      </c>
      <c r="AG6" s="73">
        <v>0</v>
      </c>
    </row>
    <row r="7" spans="1:33">
      <c r="A7" s="191" t="s">
        <v>6315</v>
      </c>
      <c r="B7" s="69">
        <v>4</v>
      </c>
      <c r="C7" s="69">
        <v>1</v>
      </c>
      <c r="D7" s="69">
        <v>1</v>
      </c>
      <c r="E7" s="69">
        <f>SUM(B7:D7)</f>
        <v>6</v>
      </c>
      <c r="F7" s="69">
        <v>0</v>
      </c>
      <c r="G7" s="69">
        <v>0</v>
      </c>
      <c r="H7" s="69">
        <v>0</v>
      </c>
      <c r="I7" s="69">
        <v>0</v>
      </c>
      <c r="J7" s="71">
        <f t="shared" si="0"/>
        <v>0</v>
      </c>
      <c r="K7" s="114">
        <v>4</v>
      </c>
      <c r="L7" s="114">
        <v>0</v>
      </c>
      <c r="M7" s="114">
        <v>0</v>
      </c>
      <c r="N7" s="114">
        <v>0</v>
      </c>
      <c r="O7" s="114">
        <v>2</v>
      </c>
      <c r="P7" s="71">
        <f t="shared" si="1"/>
        <v>6</v>
      </c>
      <c r="Q7" s="114">
        <v>0</v>
      </c>
      <c r="R7" s="114">
        <v>0</v>
      </c>
      <c r="S7" s="114">
        <v>2</v>
      </c>
      <c r="T7" s="71">
        <f>SUM(Q7:S7)</f>
        <v>2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114">
        <v>6</v>
      </c>
      <c r="AB7" s="114">
        <v>0</v>
      </c>
      <c r="AC7" s="114">
        <v>0</v>
      </c>
      <c r="AD7" s="114">
        <v>0</v>
      </c>
      <c r="AE7" s="186">
        <f>SUM(AA7,AB7,AC7,AD7)</f>
        <v>6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2">SUM(B3:B7)</f>
        <v>23</v>
      </c>
      <c r="C8" s="69">
        <f t="shared" si="2"/>
        <v>3</v>
      </c>
      <c r="D8" s="69">
        <f t="shared" si="2"/>
        <v>8</v>
      </c>
      <c r="E8" s="69">
        <f t="shared" si="2"/>
        <v>34</v>
      </c>
      <c r="F8" s="69">
        <f t="shared" si="2"/>
        <v>1</v>
      </c>
      <c r="G8" s="69">
        <f t="shared" si="2"/>
        <v>14</v>
      </c>
      <c r="H8" s="69">
        <f t="shared" si="2"/>
        <v>1</v>
      </c>
      <c r="I8" s="69">
        <f t="shared" si="2"/>
        <v>0</v>
      </c>
      <c r="J8" s="71">
        <f t="shared" si="0"/>
        <v>16</v>
      </c>
      <c r="K8" s="114">
        <f>SUM(K3:K7)</f>
        <v>14</v>
      </c>
      <c r="L8" s="114">
        <f>SUM(L3:L7)</f>
        <v>1</v>
      </c>
      <c r="M8" s="114">
        <f>SUM(M3:M7)</f>
        <v>0</v>
      </c>
      <c r="N8" s="114">
        <f>SUM(N3:N7)</f>
        <v>1</v>
      </c>
      <c r="O8" s="114">
        <f>SUM(O3:O7)</f>
        <v>2</v>
      </c>
      <c r="P8" s="71">
        <f t="shared" si="1"/>
        <v>18</v>
      </c>
      <c r="Q8" s="114">
        <f>SUM(Q3:Q7)</f>
        <v>1</v>
      </c>
      <c r="R8" s="114">
        <f>SUM(R3:R7)</f>
        <v>0</v>
      </c>
      <c r="S8" s="114">
        <f>SUM(S3:S7)</f>
        <v>16</v>
      </c>
      <c r="T8" s="241">
        <f>SUM(Q3:S8)</f>
        <v>34</v>
      </c>
      <c r="U8" s="114">
        <f>SUM(U3:U7)</f>
        <v>0</v>
      </c>
      <c r="V8" s="114">
        <f>SUM(V3:V7)</f>
        <v>0</v>
      </c>
      <c r="W8" s="114">
        <f>SUM(W3:W7)</f>
        <v>0</v>
      </c>
      <c r="X8" s="114">
        <f>SUM(X3:X7)</f>
        <v>0</v>
      </c>
      <c r="Y8" s="114">
        <f>SUM(Y3:Y7)</f>
        <v>0</v>
      </c>
      <c r="Z8" s="114">
        <f>SUM(Z3:Z6)</f>
        <v>0</v>
      </c>
      <c r="AA8" s="114">
        <f t="shared" ref="AA8:AG8" si="3">SUM(AA3:AA7)</f>
        <v>34</v>
      </c>
      <c r="AB8" s="114">
        <f t="shared" si="3"/>
        <v>0</v>
      </c>
      <c r="AC8" s="114">
        <f t="shared" si="3"/>
        <v>0</v>
      </c>
      <c r="AD8" s="114">
        <f t="shared" si="3"/>
        <v>0</v>
      </c>
      <c r="AE8" s="73">
        <f t="shared" si="3"/>
        <v>34</v>
      </c>
      <c r="AF8" s="73">
        <f t="shared" si="3"/>
        <v>0</v>
      </c>
      <c r="AG8" s="73">
        <f t="shared" si="3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9"/>
  <sheetViews>
    <sheetView workbookViewId="0"/>
  </sheetViews>
  <sheetFormatPr defaultColWidth="14.42578125" defaultRowHeight="15" customHeight="1"/>
  <cols>
    <col min="2" max="2" width="32" customWidth="1"/>
    <col min="3" max="3" width="9.140625" customWidth="1"/>
    <col min="4" max="4" width="18" customWidth="1"/>
    <col min="5" max="5" width="16.42578125" customWidth="1"/>
    <col min="6" max="6" width="11" customWidth="1"/>
    <col min="7" max="7" width="7.7109375" customWidth="1"/>
    <col min="8" max="8" width="10.28515625" customWidth="1"/>
    <col min="17" max="17" width="8.5703125" customWidth="1"/>
    <col min="18" max="18" width="8" customWidth="1"/>
    <col min="35" max="35" width="7" customWidth="1"/>
    <col min="36" max="36" width="7.42578125" customWidth="1"/>
    <col min="46" max="46" width="7.7109375" customWidth="1"/>
    <col min="47" max="47" width="8.85546875" customWidth="1"/>
    <col min="48" max="48" width="8" customWidth="1"/>
    <col min="49" max="49" width="8.5703125" customWidth="1"/>
    <col min="50" max="50" width="8.85546875" customWidth="1"/>
    <col min="51" max="51" width="9.42578125" customWidth="1"/>
    <col min="52" max="52" width="4.7109375" customWidth="1"/>
    <col min="53" max="53" width="6.85546875" customWidth="1"/>
    <col min="54" max="54" width="9.42578125" customWidth="1"/>
    <col min="55" max="55" width="7.42578125" customWidth="1"/>
    <col min="56" max="56" width="8.140625" customWidth="1"/>
    <col min="57" max="57" width="11.140625" customWidth="1"/>
    <col min="58" max="58" width="9" customWidth="1"/>
    <col min="59" max="59" width="10.28515625" customWidth="1"/>
    <col min="60" max="60" width="7.140625" customWidth="1"/>
    <col min="65" max="65" width="12.140625" customWidth="1"/>
    <col min="66" max="66" width="13.7109375" customWidth="1"/>
    <col min="67" max="67" width="9.28515625" customWidth="1"/>
  </cols>
  <sheetData>
    <row r="1" spans="1:98">
      <c r="A1" s="197" t="s">
        <v>6015</v>
      </c>
      <c r="B1" s="143"/>
      <c r="C1" s="231" t="s">
        <v>6016</v>
      </c>
      <c r="D1" s="143"/>
      <c r="E1" s="143"/>
      <c r="F1" s="143"/>
      <c r="G1" s="510" t="s">
        <v>2</v>
      </c>
      <c r="H1" s="481"/>
      <c r="I1" s="481"/>
      <c r="J1" s="481"/>
      <c r="K1" s="480"/>
      <c r="L1" s="143" t="s">
        <v>3</v>
      </c>
      <c r="M1" s="143"/>
      <c r="N1" s="143"/>
      <c r="O1" s="143"/>
      <c r="P1" s="143"/>
      <c r="Q1" s="505" t="s">
        <v>4</v>
      </c>
      <c r="R1" s="480"/>
      <c r="S1" s="505" t="s">
        <v>5</v>
      </c>
      <c r="T1" s="481"/>
      <c r="U1" s="481"/>
      <c r="V1" s="480"/>
      <c r="W1" s="143" t="s">
        <v>6</v>
      </c>
      <c r="X1" s="143"/>
      <c r="Y1" s="143"/>
      <c r="Z1" s="143"/>
      <c r="AA1" s="143"/>
      <c r="AB1" s="143"/>
      <c r="AC1" s="505" t="s">
        <v>7</v>
      </c>
      <c r="AD1" s="481"/>
      <c r="AE1" s="481"/>
      <c r="AF1" s="481"/>
      <c r="AG1" s="481"/>
      <c r="AH1" s="480"/>
      <c r="AI1" s="505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505" t="s">
        <v>3542</v>
      </c>
      <c r="BE1" s="481"/>
      <c r="BF1" s="480"/>
      <c r="BG1" s="143"/>
      <c r="BH1" s="143"/>
      <c r="BI1" s="505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05" t="s">
        <v>19</v>
      </c>
      <c r="BX1" s="481"/>
      <c r="BY1" s="480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510" t="s">
        <v>23</v>
      </c>
      <c r="CI1" s="480"/>
      <c r="CJ1" s="143"/>
      <c r="CK1" s="505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28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6316</v>
      </c>
      <c r="B4" s="46" t="s">
        <v>6317</v>
      </c>
      <c r="C4" s="46">
        <v>35</v>
      </c>
      <c r="D4" s="46" t="s">
        <v>6318</v>
      </c>
      <c r="E4" s="46" t="s">
        <v>6319</v>
      </c>
      <c r="F4" s="46" t="s">
        <v>330</v>
      </c>
      <c r="I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15</v>
      </c>
      <c r="Y4" s="46">
        <v>16</v>
      </c>
      <c r="Z4" s="46">
        <v>6</v>
      </c>
      <c r="AA4" s="46">
        <v>6</v>
      </c>
      <c r="AB4" s="46">
        <v>5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C4" s="46">
        <v>1</v>
      </c>
      <c r="CE4" s="46">
        <v>1</v>
      </c>
      <c r="CP4" s="46">
        <v>1</v>
      </c>
      <c r="CT4" s="196">
        <v>46395</v>
      </c>
    </row>
    <row r="5" spans="1:98">
      <c r="A5" s="46" t="s">
        <v>6320</v>
      </c>
      <c r="B5" s="46" t="s">
        <v>6321</v>
      </c>
      <c r="C5" s="46">
        <v>37</v>
      </c>
      <c r="D5" s="46" t="s">
        <v>2642</v>
      </c>
      <c r="E5" s="46" t="s">
        <v>6322</v>
      </c>
      <c r="F5" s="46" t="s">
        <v>112</v>
      </c>
      <c r="J5" s="46">
        <v>1</v>
      </c>
      <c r="M5" s="46">
        <v>1</v>
      </c>
      <c r="Q5" s="46">
        <v>1</v>
      </c>
      <c r="V5" s="46">
        <v>1</v>
      </c>
      <c r="W5" s="46">
        <v>12</v>
      </c>
      <c r="X5" s="46">
        <v>29</v>
      </c>
      <c r="Y5" s="46">
        <v>32</v>
      </c>
      <c r="Z5" s="46">
        <v>2</v>
      </c>
      <c r="AA5" s="46">
        <v>2</v>
      </c>
      <c r="AB5" s="46">
        <v>2</v>
      </c>
      <c r="AD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P5" s="46">
        <v>1</v>
      </c>
      <c r="CT5" s="196">
        <v>46395</v>
      </c>
    </row>
    <row r="6" spans="1:98">
      <c r="A6" s="46" t="s">
        <v>6323</v>
      </c>
      <c r="B6" s="46" t="s">
        <v>6324</v>
      </c>
      <c r="C6" s="46">
        <v>51</v>
      </c>
      <c r="D6" s="46" t="s">
        <v>6325</v>
      </c>
      <c r="E6" s="46" t="s">
        <v>908</v>
      </c>
      <c r="F6" s="46" t="s">
        <v>112</v>
      </c>
      <c r="H6" s="46">
        <v>1</v>
      </c>
      <c r="M6" s="46">
        <v>1</v>
      </c>
      <c r="Q6" s="46">
        <v>1</v>
      </c>
      <c r="S6" s="46">
        <v>1</v>
      </c>
      <c r="W6" s="46">
        <v>14</v>
      </c>
      <c r="X6" s="46">
        <v>15</v>
      </c>
      <c r="Y6" s="46">
        <v>15</v>
      </c>
      <c r="Z6" s="46">
        <v>12</v>
      </c>
      <c r="AA6" s="46">
        <v>12</v>
      </c>
      <c r="AB6" s="46">
        <v>12</v>
      </c>
      <c r="AD6" s="46">
        <v>1</v>
      </c>
      <c r="AE6" s="46">
        <v>1</v>
      </c>
      <c r="AH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L6" s="46">
        <v>1</v>
      </c>
      <c r="CB6" s="46">
        <v>1</v>
      </c>
      <c r="CE6" s="46">
        <v>1</v>
      </c>
      <c r="CK6" s="46">
        <v>1</v>
      </c>
      <c r="CT6" s="196">
        <v>46395</v>
      </c>
    </row>
    <row r="7" spans="1:98">
      <c r="A7" s="46" t="s">
        <v>6326</v>
      </c>
      <c r="B7" s="46" t="s">
        <v>6327</v>
      </c>
      <c r="C7" s="46">
        <v>38</v>
      </c>
      <c r="D7" s="46" t="s">
        <v>6328</v>
      </c>
      <c r="E7" s="46" t="s">
        <v>6329</v>
      </c>
      <c r="F7" s="46" t="s">
        <v>112</v>
      </c>
      <c r="H7" s="46">
        <v>1</v>
      </c>
      <c r="M7" s="46">
        <v>1</v>
      </c>
      <c r="Q7" s="46">
        <v>1</v>
      </c>
      <c r="S7" s="46">
        <v>1</v>
      </c>
      <c r="W7" s="46">
        <v>14</v>
      </c>
      <c r="X7" s="46">
        <v>16</v>
      </c>
      <c r="Y7" s="46">
        <v>18</v>
      </c>
      <c r="Z7" s="46">
        <v>2</v>
      </c>
      <c r="AA7" s="46">
        <v>2</v>
      </c>
      <c r="AB7" s="46">
        <v>2</v>
      </c>
      <c r="AE7" s="46">
        <v>1</v>
      </c>
      <c r="AF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O7" s="46">
        <v>1</v>
      </c>
      <c r="BY7" s="46">
        <v>1</v>
      </c>
      <c r="CB7" s="46">
        <v>1</v>
      </c>
      <c r="CE7" s="46">
        <v>1</v>
      </c>
      <c r="CK7" s="46">
        <v>1</v>
      </c>
      <c r="CT7" s="196">
        <v>46395</v>
      </c>
    </row>
    <row r="8" spans="1:98">
      <c r="A8" s="46" t="s">
        <v>6330</v>
      </c>
      <c r="B8" s="46" t="s">
        <v>6331</v>
      </c>
      <c r="C8" s="46">
        <v>22</v>
      </c>
      <c r="D8" s="46" t="s">
        <v>6332</v>
      </c>
      <c r="E8" s="46" t="s">
        <v>6333</v>
      </c>
      <c r="F8" s="46" t="s">
        <v>112</v>
      </c>
      <c r="H8" s="46">
        <v>1</v>
      </c>
      <c r="M8" s="46">
        <v>1</v>
      </c>
      <c r="Q8" s="46">
        <v>1</v>
      </c>
      <c r="U8" s="46">
        <v>1</v>
      </c>
      <c r="W8" s="46">
        <v>14</v>
      </c>
      <c r="X8" s="46">
        <v>16</v>
      </c>
      <c r="Y8" s="46">
        <v>16</v>
      </c>
      <c r="Z8" s="46">
        <v>3</v>
      </c>
      <c r="AA8" s="46">
        <v>3</v>
      </c>
      <c r="AB8" s="46">
        <v>3</v>
      </c>
      <c r="AD8" s="46">
        <v>1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B8" s="46">
        <v>1</v>
      </c>
      <c r="BO8" s="46">
        <v>1</v>
      </c>
      <c r="BU8" s="46">
        <v>1</v>
      </c>
      <c r="CB8" s="46">
        <v>1</v>
      </c>
      <c r="CE8" s="46">
        <v>1</v>
      </c>
      <c r="CK8" s="46">
        <v>1</v>
      </c>
      <c r="CT8" s="196">
        <v>46395</v>
      </c>
    </row>
    <row r="9" spans="1:98">
      <c r="A9" s="46" t="s">
        <v>6334</v>
      </c>
      <c r="B9" s="46" t="s">
        <v>6335</v>
      </c>
      <c r="C9" s="46">
        <v>30</v>
      </c>
      <c r="D9" s="46" t="s">
        <v>5438</v>
      </c>
      <c r="E9" s="46" t="s">
        <v>6336</v>
      </c>
      <c r="F9" s="46" t="s">
        <v>112</v>
      </c>
      <c r="I9" s="46">
        <v>1</v>
      </c>
      <c r="M9" s="46">
        <v>1</v>
      </c>
      <c r="Q9" s="46">
        <v>1</v>
      </c>
      <c r="V9" s="46">
        <v>1</v>
      </c>
      <c r="W9" s="46">
        <v>13</v>
      </c>
      <c r="X9" s="46">
        <v>18</v>
      </c>
      <c r="Y9" s="46">
        <v>19</v>
      </c>
      <c r="Z9" s="46">
        <v>6</v>
      </c>
      <c r="AA9" s="46">
        <v>4</v>
      </c>
      <c r="AB9" s="46">
        <v>4</v>
      </c>
      <c r="AD9" s="46">
        <v>1</v>
      </c>
      <c r="AE9" s="46">
        <v>1</v>
      </c>
      <c r="AF9" s="46">
        <v>1</v>
      </c>
      <c r="AH9" s="46">
        <v>1</v>
      </c>
      <c r="AI9" s="46">
        <v>1</v>
      </c>
      <c r="AK9" s="46">
        <v>1</v>
      </c>
      <c r="AT9" s="46">
        <v>1</v>
      </c>
      <c r="AX9" s="46">
        <v>1</v>
      </c>
      <c r="BB9" s="46">
        <v>1</v>
      </c>
      <c r="BG9" s="46">
        <v>1</v>
      </c>
      <c r="BO9" s="46">
        <v>1</v>
      </c>
      <c r="BU9" s="46">
        <v>1</v>
      </c>
      <c r="BY9" s="46">
        <v>1</v>
      </c>
      <c r="CK9" s="46">
        <v>1</v>
      </c>
      <c r="CT9" s="196">
        <v>46395</v>
      </c>
    </row>
  </sheetData>
  <autoFilter ref="A3:CT9"/>
  <mergeCells count="19">
    <mergeCell ref="G1:K1"/>
    <mergeCell ref="Q1:R1"/>
    <mergeCell ref="S1:V1"/>
    <mergeCell ref="AC1:AH1"/>
    <mergeCell ref="AI1:AJ1"/>
    <mergeCell ref="AK1:AM1"/>
    <mergeCell ref="AN1:AP1"/>
    <mergeCell ref="CH1:CI1"/>
    <mergeCell ref="CK1:CN1"/>
    <mergeCell ref="CO1:CP1"/>
    <mergeCell ref="BP1:BR1"/>
    <mergeCell ref="BS1:BT1"/>
    <mergeCell ref="BW1:BY1"/>
    <mergeCell ref="BJ2:BK2"/>
    <mergeCell ref="BL2:BO2"/>
    <mergeCell ref="AQ1:AS1"/>
    <mergeCell ref="AV1:AZ1"/>
    <mergeCell ref="BD1:BF1"/>
    <mergeCell ref="BI1:BO1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6337</v>
      </c>
      <c r="B3" s="69">
        <v>2</v>
      </c>
      <c r="C3" s="69">
        <v>0</v>
      </c>
      <c r="D3" s="69">
        <v>0</v>
      </c>
      <c r="E3" s="69">
        <f>SUM(B3:D3)</f>
        <v>2</v>
      </c>
      <c r="F3" s="70">
        <v>0</v>
      </c>
      <c r="G3" s="70">
        <v>0</v>
      </c>
      <c r="H3" s="70">
        <v>0</v>
      </c>
      <c r="I3" s="70">
        <v>0</v>
      </c>
      <c r="J3" s="71">
        <f>SUM(F3:I3)</f>
        <v>0</v>
      </c>
      <c r="K3" s="70">
        <v>0</v>
      </c>
      <c r="L3" s="70">
        <v>0</v>
      </c>
      <c r="M3" s="70">
        <v>0</v>
      </c>
      <c r="N3" s="70">
        <v>2</v>
      </c>
      <c r="O3" s="70">
        <v>0</v>
      </c>
      <c r="P3" s="71">
        <f>SUM(K3:O3)</f>
        <v>2</v>
      </c>
      <c r="Q3" s="70">
        <v>0</v>
      </c>
      <c r="R3" s="70">
        <v>0</v>
      </c>
      <c r="S3" s="70">
        <v>1</v>
      </c>
      <c r="T3" s="71">
        <f>SUM(Q3:S3)</f>
        <v>1</v>
      </c>
      <c r="U3" s="75">
        <v>0</v>
      </c>
      <c r="V3" s="75">
        <v>0</v>
      </c>
      <c r="W3" s="75">
        <v>0</v>
      </c>
      <c r="X3" s="75">
        <v>2</v>
      </c>
      <c r="Y3" s="75">
        <v>0</v>
      </c>
      <c r="Z3" s="75"/>
      <c r="AA3" s="73">
        <v>2</v>
      </c>
      <c r="AB3" s="73">
        <v>0</v>
      </c>
      <c r="AC3" s="73">
        <v>0</v>
      </c>
      <c r="AD3" s="73">
        <v>0</v>
      </c>
      <c r="AE3" s="186">
        <f>SUM(AA3,AB3,AC3,AD3)</f>
        <v>2</v>
      </c>
      <c r="AF3" s="73">
        <v>0</v>
      </c>
      <c r="AG3" s="73">
        <v>0</v>
      </c>
    </row>
    <row r="4" spans="1:33">
      <c r="A4" s="77" t="s">
        <v>6338</v>
      </c>
      <c r="B4" s="69">
        <v>3</v>
      </c>
      <c r="C4" s="69">
        <v>0</v>
      </c>
      <c r="D4" s="69">
        <v>0</v>
      </c>
      <c r="E4" s="69">
        <f>SUM(B4:D4)</f>
        <v>3</v>
      </c>
      <c r="F4" s="70">
        <v>0</v>
      </c>
      <c r="G4" s="70">
        <v>3</v>
      </c>
      <c r="H4" s="70">
        <v>0</v>
      </c>
      <c r="I4" s="70">
        <v>0</v>
      </c>
      <c r="J4" s="71">
        <f>SUM(F4:I4)</f>
        <v>3</v>
      </c>
      <c r="K4" s="70">
        <v>2</v>
      </c>
      <c r="L4" s="70">
        <v>0</v>
      </c>
      <c r="M4" s="70">
        <v>0</v>
      </c>
      <c r="N4" s="70">
        <v>1</v>
      </c>
      <c r="O4" s="70">
        <v>0</v>
      </c>
      <c r="P4" s="71">
        <f>SUM(K4:O4)</f>
        <v>3</v>
      </c>
      <c r="Q4" s="70">
        <v>0</v>
      </c>
      <c r="R4" s="70">
        <v>0</v>
      </c>
      <c r="S4" s="70">
        <v>2</v>
      </c>
      <c r="T4" s="71">
        <f>SUM(Q4:S4)</f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3</v>
      </c>
      <c r="AB4" s="73">
        <v>0</v>
      </c>
      <c r="AC4" s="73">
        <v>0</v>
      </c>
      <c r="AD4" s="73">
        <v>0</v>
      </c>
      <c r="AE4" s="186">
        <f>SUM(AA4,AB4,AC4,AD4)</f>
        <v>3</v>
      </c>
      <c r="AF4" s="73">
        <v>0</v>
      </c>
      <c r="AG4" s="73">
        <v>0</v>
      </c>
    </row>
    <row r="5" spans="1:33">
      <c r="A5" s="77" t="s">
        <v>3432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0</v>
      </c>
      <c r="H5" s="70">
        <v>0</v>
      </c>
      <c r="I5" s="70">
        <v>0</v>
      </c>
      <c r="J5" s="71">
        <f>SUM(F5:I5)</f>
        <v>0</v>
      </c>
      <c r="K5" s="70">
        <v>1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1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</v>
      </c>
      <c r="AB5" s="73">
        <v>0</v>
      </c>
      <c r="AC5" s="73">
        <v>0</v>
      </c>
      <c r="AD5" s="73">
        <v>0</v>
      </c>
      <c r="AE5" s="186">
        <f>SUM(AA5,AB5,AC5,AD5)</f>
        <v>1</v>
      </c>
      <c r="AF5" s="73">
        <v>0</v>
      </c>
      <c r="AG5" s="73">
        <v>0</v>
      </c>
    </row>
    <row r="6" spans="1:33">
      <c r="A6" s="69" t="s">
        <v>376</v>
      </c>
      <c r="B6" s="69">
        <f t="shared" ref="B6:I6" si="0">SUM(B3:B5)</f>
        <v>6</v>
      </c>
      <c r="C6" s="69">
        <f t="shared" si="0"/>
        <v>0</v>
      </c>
      <c r="D6" s="69">
        <f t="shared" si="0"/>
        <v>0</v>
      </c>
      <c r="E6" s="69">
        <f t="shared" si="0"/>
        <v>6</v>
      </c>
      <c r="F6" s="69">
        <f t="shared" si="0"/>
        <v>0</v>
      </c>
      <c r="G6" s="69">
        <f t="shared" si="0"/>
        <v>3</v>
      </c>
      <c r="H6" s="69">
        <f t="shared" si="0"/>
        <v>0</v>
      </c>
      <c r="I6" s="69">
        <f t="shared" si="0"/>
        <v>0</v>
      </c>
      <c r="J6" s="71">
        <f>SUM(F6:I6)</f>
        <v>3</v>
      </c>
      <c r="K6" s="114">
        <f>SUM(K3:K5)</f>
        <v>3</v>
      </c>
      <c r="L6" s="114">
        <f>SUM(L3:L5)</f>
        <v>0</v>
      </c>
      <c r="M6" s="114">
        <f>SUM(M3:M5)</f>
        <v>0</v>
      </c>
      <c r="N6" s="114">
        <f>SUM(N3:N5)</f>
        <v>3</v>
      </c>
      <c r="O6" s="114">
        <f>SUM(O3:O5)</f>
        <v>0</v>
      </c>
      <c r="P6" s="71">
        <f>SUM(K6:N6)</f>
        <v>6</v>
      </c>
      <c r="Q6" s="114">
        <f t="shared" ref="Q6:AG6" si="1">SUM(Q3:Q5)</f>
        <v>0</v>
      </c>
      <c r="R6" s="114">
        <f t="shared" si="1"/>
        <v>0</v>
      </c>
      <c r="S6" s="114">
        <f t="shared" si="1"/>
        <v>3</v>
      </c>
      <c r="T6" s="71">
        <f t="shared" si="1"/>
        <v>3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2</v>
      </c>
      <c r="Y6" s="114">
        <f t="shared" si="1"/>
        <v>0</v>
      </c>
      <c r="Z6" s="114">
        <f t="shared" si="1"/>
        <v>0</v>
      </c>
      <c r="AA6" s="73">
        <f t="shared" si="1"/>
        <v>6</v>
      </c>
      <c r="AB6" s="73">
        <f t="shared" si="1"/>
        <v>0</v>
      </c>
      <c r="AC6" s="73">
        <f t="shared" si="1"/>
        <v>0</v>
      </c>
      <c r="AD6" s="73">
        <f t="shared" si="1"/>
        <v>0</v>
      </c>
      <c r="AE6" s="73">
        <f t="shared" si="1"/>
        <v>6</v>
      </c>
      <c r="AF6" s="73">
        <f t="shared" si="1"/>
        <v>0</v>
      </c>
      <c r="AG6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4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7109375" customWidth="1"/>
    <col min="2" max="2" width="22.140625" customWidth="1"/>
    <col min="3" max="3" width="10.28515625" customWidth="1"/>
    <col min="5" max="5" width="17.85546875" customWidth="1"/>
  </cols>
  <sheetData>
    <row r="1" spans="1:98">
      <c r="A1" s="197" t="s">
        <v>6339</v>
      </c>
      <c r="B1" s="143"/>
      <c r="C1" s="231" t="s">
        <v>6340</v>
      </c>
      <c r="D1" s="143"/>
      <c r="E1" s="143"/>
      <c r="F1" s="143"/>
      <c r="G1" s="510" t="s">
        <v>2</v>
      </c>
      <c r="H1" s="481"/>
      <c r="I1" s="481"/>
      <c r="J1" s="481"/>
      <c r="K1" s="480"/>
      <c r="L1" s="143" t="s">
        <v>3</v>
      </c>
      <c r="M1" s="143"/>
      <c r="N1" s="143"/>
      <c r="O1" s="143"/>
      <c r="P1" s="143"/>
      <c r="Q1" s="505" t="s">
        <v>4</v>
      </c>
      <c r="R1" s="480"/>
      <c r="S1" s="505" t="s">
        <v>5</v>
      </c>
      <c r="T1" s="481"/>
      <c r="U1" s="481"/>
      <c r="V1" s="480"/>
      <c r="W1" s="143" t="s">
        <v>6</v>
      </c>
      <c r="X1" s="143"/>
      <c r="Y1" s="143"/>
      <c r="Z1" s="143"/>
      <c r="AA1" s="143"/>
      <c r="AB1" s="143"/>
      <c r="AC1" s="505" t="s">
        <v>7</v>
      </c>
      <c r="AD1" s="481"/>
      <c r="AE1" s="481"/>
      <c r="AF1" s="481"/>
      <c r="AG1" s="481"/>
      <c r="AH1" s="480"/>
      <c r="AI1" s="505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505" t="s">
        <v>3542</v>
      </c>
      <c r="BE1" s="481"/>
      <c r="BF1" s="480"/>
      <c r="BG1" s="143"/>
      <c r="BH1" s="143"/>
      <c r="BI1" s="505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05" t="s">
        <v>19</v>
      </c>
      <c r="BX1" s="481"/>
      <c r="BY1" s="480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510" t="s">
        <v>23</v>
      </c>
      <c r="CI1" s="480"/>
      <c r="CJ1" s="143"/>
      <c r="CK1" s="505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28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6341</v>
      </c>
      <c r="B4" s="46" t="s">
        <v>6342</v>
      </c>
      <c r="C4" s="46">
        <v>24</v>
      </c>
      <c r="D4" s="46" t="s">
        <v>6343</v>
      </c>
      <c r="E4" s="46" t="s">
        <v>6344</v>
      </c>
      <c r="F4" s="46" t="s">
        <v>2472</v>
      </c>
      <c r="H4" s="46">
        <v>1</v>
      </c>
      <c r="N4" s="46">
        <v>1</v>
      </c>
      <c r="R4" s="46">
        <v>1</v>
      </c>
      <c r="U4" s="46">
        <v>1</v>
      </c>
      <c r="W4" s="46">
        <v>14</v>
      </c>
      <c r="X4" s="46">
        <v>13</v>
      </c>
      <c r="Y4" s="46">
        <v>20</v>
      </c>
      <c r="Z4" s="46">
        <v>1</v>
      </c>
      <c r="AA4" s="46">
        <v>1</v>
      </c>
      <c r="AB4" s="46">
        <v>1</v>
      </c>
      <c r="AE4" s="46">
        <v>1</v>
      </c>
      <c r="AF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C4" s="46">
        <v>1</v>
      </c>
      <c r="CD4" s="46">
        <v>2023</v>
      </c>
      <c r="CE4" s="46">
        <v>1</v>
      </c>
      <c r="CL4" s="46">
        <v>1</v>
      </c>
      <c r="CP4" s="46" t="s">
        <v>6345</v>
      </c>
      <c r="CR4" s="46">
        <v>1</v>
      </c>
      <c r="CT4" s="46" t="s">
        <v>6346</v>
      </c>
    </row>
    <row r="5" spans="1:98" hidden="1">
      <c r="A5" s="46" t="s">
        <v>6347</v>
      </c>
      <c r="B5" s="46" t="s">
        <v>6348</v>
      </c>
      <c r="C5" s="46">
        <v>24</v>
      </c>
      <c r="D5" s="46" t="s">
        <v>6343</v>
      </c>
      <c r="E5" s="46" t="s">
        <v>6349</v>
      </c>
      <c r="F5" s="46" t="s">
        <v>2472</v>
      </c>
      <c r="H5" s="46">
        <v>1</v>
      </c>
      <c r="N5" s="46">
        <v>1</v>
      </c>
      <c r="Q5" s="46">
        <v>1</v>
      </c>
      <c r="U5" s="46">
        <v>1</v>
      </c>
      <c r="W5" s="46">
        <v>13</v>
      </c>
      <c r="X5" s="46">
        <v>16</v>
      </c>
      <c r="Y5" s="46">
        <v>17</v>
      </c>
      <c r="Z5" s="46">
        <v>4</v>
      </c>
      <c r="AA5" s="46">
        <v>1</v>
      </c>
      <c r="AB5" s="46">
        <v>1</v>
      </c>
      <c r="AE5" s="46">
        <v>1</v>
      </c>
      <c r="AF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R5" s="46">
        <v>1</v>
      </c>
      <c r="CT5" s="46" t="s">
        <v>6346</v>
      </c>
    </row>
    <row r="6" spans="1:98" hidden="1">
      <c r="A6" s="46" t="s">
        <v>6350</v>
      </c>
      <c r="B6" s="46" t="s">
        <v>6351</v>
      </c>
      <c r="C6" s="46">
        <v>45</v>
      </c>
      <c r="D6" s="46" t="s">
        <v>6343</v>
      </c>
      <c r="E6" s="46" t="s">
        <v>6352</v>
      </c>
      <c r="F6" s="46" t="s">
        <v>2472</v>
      </c>
      <c r="H6" s="46">
        <v>1</v>
      </c>
      <c r="N6" s="46">
        <v>1</v>
      </c>
      <c r="R6" s="46">
        <v>1</v>
      </c>
      <c r="T6" s="46">
        <v>1</v>
      </c>
      <c r="W6" s="46">
        <v>17</v>
      </c>
      <c r="X6" s="46">
        <v>18</v>
      </c>
      <c r="Y6" s="46">
        <v>18</v>
      </c>
      <c r="Z6" s="46">
        <v>12</v>
      </c>
      <c r="AA6" s="46">
        <v>12</v>
      </c>
      <c r="AB6" s="46">
        <v>12</v>
      </c>
      <c r="AE6" s="46">
        <v>1</v>
      </c>
      <c r="AF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K6" s="46">
        <v>1</v>
      </c>
      <c r="CR6" s="46">
        <v>1</v>
      </c>
      <c r="CT6" s="46" t="s">
        <v>6346</v>
      </c>
    </row>
    <row r="7" spans="1:98" hidden="1">
      <c r="A7" s="46" t="s">
        <v>6353</v>
      </c>
      <c r="B7" s="46" t="s">
        <v>6354</v>
      </c>
      <c r="C7" s="46">
        <v>25</v>
      </c>
      <c r="D7" s="46" t="s">
        <v>6343</v>
      </c>
      <c r="E7" s="46" t="s">
        <v>6355</v>
      </c>
      <c r="F7" s="46" t="s">
        <v>2472</v>
      </c>
      <c r="M7" s="46">
        <v>1</v>
      </c>
      <c r="N7" s="46">
        <v>1</v>
      </c>
      <c r="Q7" s="46">
        <v>1</v>
      </c>
      <c r="T7" s="46">
        <v>1</v>
      </c>
      <c r="W7" s="46">
        <v>13</v>
      </c>
      <c r="X7" s="46">
        <v>15</v>
      </c>
      <c r="Y7" s="46">
        <v>16</v>
      </c>
      <c r="Z7" s="46">
        <v>3</v>
      </c>
      <c r="AA7" s="46">
        <v>3</v>
      </c>
      <c r="AB7" s="46">
        <v>3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R7" s="46">
        <v>1</v>
      </c>
      <c r="CT7" s="46" t="s">
        <v>6346</v>
      </c>
    </row>
    <row r="8" spans="1:98" hidden="1">
      <c r="A8" s="46" t="s">
        <v>6356</v>
      </c>
      <c r="B8" s="46" t="s">
        <v>6357</v>
      </c>
      <c r="C8" s="46">
        <v>45</v>
      </c>
      <c r="D8" s="46" t="s">
        <v>6343</v>
      </c>
      <c r="E8" s="46" t="s">
        <v>6358</v>
      </c>
      <c r="F8" s="46" t="s">
        <v>2472</v>
      </c>
      <c r="H8" s="46">
        <v>1</v>
      </c>
      <c r="N8" s="46">
        <v>1</v>
      </c>
      <c r="Q8" s="46">
        <v>1</v>
      </c>
      <c r="S8" s="46">
        <v>1</v>
      </c>
      <c r="W8" s="46">
        <v>13</v>
      </c>
      <c r="X8" s="46">
        <v>15</v>
      </c>
      <c r="Y8" s="46">
        <v>18</v>
      </c>
      <c r="Z8" s="46">
        <v>10</v>
      </c>
      <c r="AA8" s="46">
        <v>10</v>
      </c>
      <c r="AB8" s="46">
        <v>9</v>
      </c>
      <c r="AH8" s="46">
        <v>1</v>
      </c>
      <c r="AJ8" s="46">
        <v>1</v>
      </c>
      <c r="AM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46" t="s">
        <v>6346</v>
      </c>
    </row>
    <row r="9" spans="1:98" hidden="1">
      <c r="A9" s="46" t="s">
        <v>6359</v>
      </c>
      <c r="B9" s="46" t="s">
        <v>4402</v>
      </c>
      <c r="C9" s="46">
        <v>43</v>
      </c>
      <c r="D9" s="46" t="s">
        <v>6343</v>
      </c>
      <c r="E9" s="46" t="s">
        <v>6360</v>
      </c>
      <c r="F9" s="46" t="s">
        <v>2472</v>
      </c>
      <c r="I9" s="46">
        <v>1</v>
      </c>
      <c r="N9" s="46">
        <v>1</v>
      </c>
      <c r="R9" s="46">
        <v>1</v>
      </c>
      <c r="U9" s="46">
        <v>1</v>
      </c>
      <c r="W9" s="46">
        <v>16</v>
      </c>
      <c r="X9" s="46">
        <v>17</v>
      </c>
      <c r="Y9" s="46">
        <v>17</v>
      </c>
      <c r="Z9" s="46">
        <v>8</v>
      </c>
      <c r="AA9" s="46">
        <v>8</v>
      </c>
      <c r="AB9" s="46">
        <v>6</v>
      </c>
      <c r="AF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46" t="s">
        <v>6346</v>
      </c>
    </row>
    <row r="10" spans="1:98" hidden="1">
      <c r="A10" s="46" t="s">
        <v>6361</v>
      </c>
      <c r="B10" s="46" t="s">
        <v>6362</v>
      </c>
      <c r="C10" s="46">
        <v>28</v>
      </c>
      <c r="D10" s="46" t="s">
        <v>6343</v>
      </c>
      <c r="E10" s="46" t="s">
        <v>6363</v>
      </c>
      <c r="F10" s="46" t="s">
        <v>2472</v>
      </c>
      <c r="H10" s="46">
        <v>1</v>
      </c>
      <c r="M10" s="46">
        <v>1</v>
      </c>
      <c r="Q10" s="46">
        <v>1</v>
      </c>
      <c r="T10" s="46">
        <v>1</v>
      </c>
      <c r="W10" s="46">
        <v>15</v>
      </c>
      <c r="X10" s="46">
        <v>16</v>
      </c>
      <c r="Y10" s="46">
        <v>18</v>
      </c>
      <c r="Z10" s="46">
        <v>4</v>
      </c>
      <c r="AA10" s="46">
        <v>4</v>
      </c>
      <c r="AB10" s="46">
        <v>4</v>
      </c>
      <c r="AG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46" t="s">
        <v>6346</v>
      </c>
    </row>
    <row r="11" spans="1:98" hidden="1">
      <c r="A11" s="46" t="s">
        <v>6364</v>
      </c>
      <c r="B11" s="46" t="s">
        <v>6365</v>
      </c>
      <c r="C11" s="46">
        <v>20</v>
      </c>
      <c r="D11" s="46" t="s">
        <v>6343</v>
      </c>
      <c r="E11" s="46" t="s">
        <v>6366</v>
      </c>
      <c r="F11" s="46" t="s">
        <v>2472</v>
      </c>
      <c r="H11" s="46">
        <v>1</v>
      </c>
      <c r="N11" s="46">
        <v>1</v>
      </c>
      <c r="Q11" s="46">
        <v>1</v>
      </c>
      <c r="T11" s="46">
        <v>1</v>
      </c>
      <c r="W11" s="46">
        <v>13</v>
      </c>
      <c r="X11" s="46">
        <v>15</v>
      </c>
      <c r="Y11" s="46">
        <v>15</v>
      </c>
      <c r="Z11" s="46">
        <v>1</v>
      </c>
      <c r="AA11" s="46">
        <v>1</v>
      </c>
      <c r="AB11" s="46">
        <v>1</v>
      </c>
      <c r="AE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46" t="s">
        <v>6346</v>
      </c>
    </row>
    <row r="12" spans="1:98" hidden="1">
      <c r="A12" s="46" t="s">
        <v>6367</v>
      </c>
      <c r="B12" s="46" t="s">
        <v>6368</v>
      </c>
      <c r="C12" s="46">
        <v>55</v>
      </c>
      <c r="D12" s="46" t="s">
        <v>6343</v>
      </c>
      <c r="E12" s="46" t="s">
        <v>6369</v>
      </c>
      <c r="F12" s="46" t="s">
        <v>2472</v>
      </c>
      <c r="H12" s="46">
        <v>1</v>
      </c>
      <c r="N12" s="46">
        <v>1</v>
      </c>
      <c r="Q12" s="46">
        <v>1</v>
      </c>
      <c r="T12" s="46">
        <v>1</v>
      </c>
      <c r="W12" s="46">
        <v>19</v>
      </c>
      <c r="X12" s="46">
        <v>20</v>
      </c>
      <c r="Y12" s="46">
        <v>20</v>
      </c>
      <c r="Z12" s="46">
        <v>10</v>
      </c>
      <c r="AA12" s="46">
        <v>10</v>
      </c>
      <c r="AB12" s="46">
        <v>9</v>
      </c>
      <c r="AE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6346</v>
      </c>
    </row>
    <row r="13" spans="1:98" hidden="1">
      <c r="A13" s="46" t="s">
        <v>6370</v>
      </c>
      <c r="B13" s="46" t="s">
        <v>6371</v>
      </c>
      <c r="C13" s="46">
        <v>35</v>
      </c>
      <c r="D13" s="46" t="s">
        <v>6343</v>
      </c>
      <c r="E13" s="46" t="s">
        <v>6372</v>
      </c>
      <c r="F13" s="46" t="s">
        <v>2472</v>
      </c>
      <c r="H13" s="46">
        <v>1</v>
      </c>
      <c r="N13" s="46">
        <v>1</v>
      </c>
      <c r="Q13" s="46">
        <v>1</v>
      </c>
      <c r="T13" s="46">
        <v>1</v>
      </c>
      <c r="W13" s="46">
        <v>17</v>
      </c>
      <c r="X13" s="46">
        <v>18</v>
      </c>
      <c r="Y13" s="46">
        <v>20</v>
      </c>
      <c r="Z13" s="46">
        <v>6</v>
      </c>
      <c r="AA13" s="46">
        <v>6</v>
      </c>
      <c r="AB13" s="46">
        <v>5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6346</v>
      </c>
    </row>
    <row r="14" spans="1:98" hidden="1">
      <c r="A14" s="46" t="s">
        <v>6373</v>
      </c>
      <c r="B14" s="46" t="s">
        <v>6374</v>
      </c>
      <c r="C14" s="46">
        <v>21</v>
      </c>
      <c r="D14" s="46" t="s">
        <v>6343</v>
      </c>
      <c r="E14" s="46" t="s">
        <v>191</v>
      </c>
      <c r="F14" s="46" t="s">
        <v>2472</v>
      </c>
      <c r="H14" s="46">
        <v>1</v>
      </c>
      <c r="M14" s="46">
        <v>1</v>
      </c>
      <c r="Q14" s="46">
        <v>1</v>
      </c>
      <c r="S14" s="46">
        <v>1</v>
      </c>
      <c r="W14" s="46">
        <v>13</v>
      </c>
      <c r="X14" s="46">
        <v>16</v>
      </c>
      <c r="Y14" s="46">
        <v>16</v>
      </c>
      <c r="Z14" s="46">
        <v>3</v>
      </c>
      <c r="AA14" s="46">
        <v>3</v>
      </c>
      <c r="AB14" s="46">
        <v>3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6346</v>
      </c>
    </row>
    <row r="15" spans="1:98" hidden="1">
      <c r="A15" s="46" t="s">
        <v>6375</v>
      </c>
      <c r="B15" s="46" t="s">
        <v>6376</v>
      </c>
      <c r="C15" s="46">
        <v>26</v>
      </c>
      <c r="D15" s="46" t="s">
        <v>6343</v>
      </c>
      <c r="E15" s="46" t="s">
        <v>6377</v>
      </c>
      <c r="F15" s="46" t="s">
        <v>2472</v>
      </c>
      <c r="H15" s="46">
        <v>1</v>
      </c>
      <c r="N15" s="46">
        <v>1</v>
      </c>
      <c r="Q15" s="46">
        <v>1</v>
      </c>
      <c r="T15" s="46">
        <v>1</v>
      </c>
      <c r="W15" s="46">
        <v>16</v>
      </c>
      <c r="X15" s="46">
        <v>18</v>
      </c>
      <c r="Y15" s="46">
        <v>18</v>
      </c>
      <c r="Z15" s="46">
        <v>7</v>
      </c>
      <c r="AA15" s="46">
        <v>7</v>
      </c>
      <c r="AB15" s="46">
        <v>7</v>
      </c>
      <c r="AF15" s="46">
        <v>1</v>
      </c>
      <c r="AH15" s="46">
        <v>1</v>
      </c>
      <c r="AJ15" s="46">
        <v>1</v>
      </c>
      <c r="AM15" s="46">
        <v>1</v>
      </c>
      <c r="AT15" s="46">
        <v>1</v>
      </c>
      <c r="AW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6346</v>
      </c>
    </row>
    <row r="16" spans="1:98" hidden="1">
      <c r="A16" s="46" t="s">
        <v>6378</v>
      </c>
      <c r="B16" s="46" t="s">
        <v>6379</v>
      </c>
      <c r="C16" s="46">
        <v>43</v>
      </c>
      <c r="D16" s="46" t="s">
        <v>6343</v>
      </c>
      <c r="E16" s="46" t="s">
        <v>6380</v>
      </c>
      <c r="F16" s="46" t="s">
        <v>2472</v>
      </c>
      <c r="H16" s="46">
        <v>1</v>
      </c>
      <c r="M16" s="46">
        <v>1</v>
      </c>
      <c r="Q16" s="46">
        <v>1</v>
      </c>
      <c r="T16" s="46">
        <v>1</v>
      </c>
      <c r="W16" s="46">
        <v>12</v>
      </c>
      <c r="X16" s="46">
        <v>18</v>
      </c>
      <c r="Y16" s="46">
        <v>21</v>
      </c>
      <c r="Z16" s="46">
        <v>9</v>
      </c>
      <c r="AA16" s="46">
        <v>9</v>
      </c>
      <c r="AB16" s="46">
        <v>9</v>
      </c>
      <c r="AE16" s="46">
        <v>1</v>
      </c>
      <c r="AH16" s="46">
        <v>1</v>
      </c>
      <c r="AJ16" s="46">
        <v>1</v>
      </c>
      <c r="AM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6346</v>
      </c>
    </row>
    <row r="17" spans="1:98" hidden="1">
      <c r="A17" s="46" t="s">
        <v>6381</v>
      </c>
      <c r="B17" s="46" t="s">
        <v>6382</v>
      </c>
      <c r="C17" s="46">
        <v>38</v>
      </c>
      <c r="D17" s="46" t="s">
        <v>6343</v>
      </c>
      <c r="E17" s="46" t="s">
        <v>6383</v>
      </c>
      <c r="F17" s="46" t="s">
        <v>2472</v>
      </c>
      <c r="H17" s="46">
        <v>1</v>
      </c>
      <c r="M17" s="46">
        <v>1</v>
      </c>
      <c r="Q17" s="46">
        <v>1</v>
      </c>
      <c r="T17" s="46">
        <v>1</v>
      </c>
      <c r="W17" s="46">
        <v>18</v>
      </c>
      <c r="X17" s="46">
        <v>20</v>
      </c>
      <c r="Y17" s="46">
        <v>28</v>
      </c>
      <c r="Z17" s="46">
        <v>5</v>
      </c>
      <c r="AA17" s="46">
        <v>4</v>
      </c>
      <c r="AB17" s="46">
        <v>4</v>
      </c>
      <c r="AG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6346</v>
      </c>
    </row>
    <row r="18" spans="1:98" hidden="1">
      <c r="A18" s="46" t="s">
        <v>6384</v>
      </c>
      <c r="B18" s="46" t="s">
        <v>6385</v>
      </c>
      <c r="C18" s="46">
        <v>32</v>
      </c>
      <c r="D18" s="46" t="s">
        <v>6343</v>
      </c>
      <c r="E18" s="46" t="s">
        <v>6386</v>
      </c>
      <c r="F18" s="46" t="s">
        <v>2472</v>
      </c>
      <c r="I18" s="46">
        <v>1</v>
      </c>
      <c r="N18" s="46">
        <v>1</v>
      </c>
      <c r="R18" s="46">
        <v>1</v>
      </c>
      <c r="T18" s="46">
        <v>1</v>
      </c>
      <c r="W18" s="46">
        <v>16</v>
      </c>
      <c r="X18" s="46">
        <v>17</v>
      </c>
      <c r="Y18" s="46">
        <v>17</v>
      </c>
      <c r="Z18" s="46">
        <v>6</v>
      </c>
      <c r="AA18" s="46">
        <v>6</v>
      </c>
      <c r="AB18" s="46">
        <v>5</v>
      </c>
      <c r="AE18" s="46">
        <v>1</v>
      </c>
      <c r="AF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6346</v>
      </c>
    </row>
    <row r="19" spans="1:98" hidden="1">
      <c r="A19" s="46" t="s">
        <v>6387</v>
      </c>
      <c r="B19" s="46" t="s">
        <v>6388</v>
      </c>
      <c r="C19" s="46">
        <v>24</v>
      </c>
      <c r="D19" s="46" t="s">
        <v>6343</v>
      </c>
      <c r="E19" s="46" t="s">
        <v>191</v>
      </c>
      <c r="F19" s="46" t="s">
        <v>2472</v>
      </c>
      <c r="H19" s="46">
        <v>1</v>
      </c>
      <c r="M19" s="46">
        <v>1</v>
      </c>
      <c r="Q19" s="46">
        <v>1</v>
      </c>
      <c r="U19" s="46">
        <v>1</v>
      </c>
      <c r="W19" s="46">
        <v>10</v>
      </c>
      <c r="X19" s="46">
        <v>18</v>
      </c>
      <c r="Y19" s="46">
        <v>20</v>
      </c>
      <c r="Z19" s="46">
        <v>3</v>
      </c>
      <c r="AA19" s="46">
        <v>3</v>
      </c>
      <c r="AB19" s="46">
        <v>3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BY19" s="46">
        <v>1</v>
      </c>
      <c r="CB19" s="46">
        <v>1</v>
      </c>
      <c r="CE19" s="46">
        <v>1</v>
      </c>
      <c r="CK19" s="46">
        <v>1</v>
      </c>
      <c r="CR19" s="46">
        <v>1</v>
      </c>
      <c r="CT19" s="46" t="s">
        <v>6346</v>
      </c>
    </row>
    <row r="20" spans="1:98" hidden="1">
      <c r="A20" s="46" t="s">
        <v>6389</v>
      </c>
      <c r="B20" s="46" t="s">
        <v>4057</v>
      </c>
      <c r="C20" s="46">
        <v>18</v>
      </c>
      <c r="D20" s="46" t="s">
        <v>6343</v>
      </c>
      <c r="E20" s="46" t="s">
        <v>191</v>
      </c>
      <c r="F20" s="46" t="s">
        <v>2472</v>
      </c>
      <c r="H20" s="46">
        <v>1</v>
      </c>
      <c r="M20" s="46">
        <v>1</v>
      </c>
      <c r="Q20" s="46">
        <v>1</v>
      </c>
      <c r="T20" s="46">
        <v>1</v>
      </c>
      <c r="W20" s="46">
        <v>12</v>
      </c>
      <c r="X20" s="46">
        <v>16</v>
      </c>
      <c r="Y20" s="46">
        <v>16</v>
      </c>
      <c r="Z20" s="46">
        <v>2</v>
      </c>
      <c r="AA20" s="46">
        <v>2</v>
      </c>
      <c r="AB20" s="46">
        <v>2</v>
      </c>
      <c r="AC20" s="46">
        <v>1</v>
      </c>
      <c r="AJ20" s="46">
        <v>1</v>
      </c>
      <c r="AM20" s="46">
        <v>1</v>
      </c>
      <c r="AT20" s="46">
        <v>1</v>
      </c>
      <c r="AW20" s="46">
        <v>1</v>
      </c>
      <c r="BA20" s="46">
        <v>1</v>
      </c>
      <c r="BK20" s="46">
        <v>1</v>
      </c>
      <c r="BY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6346</v>
      </c>
    </row>
    <row r="21" spans="1:98" hidden="1">
      <c r="A21" s="46" t="s">
        <v>6390</v>
      </c>
      <c r="B21" s="46" t="s">
        <v>6391</v>
      </c>
      <c r="C21" s="46">
        <v>21</v>
      </c>
      <c r="D21" s="46" t="s">
        <v>6343</v>
      </c>
      <c r="E21" s="46" t="s">
        <v>6392</v>
      </c>
      <c r="F21" s="46" t="s">
        <v>2472</v>
      </c>
      <c r="G21" s="46">
        <v>1</v>
      </c>
      <c r="L21" s="46">
        <v>1</v>
      </c>
      <c r="Q21" s="46">
        <v>1</v>
      </c>
      <c r="V21" s="46">
        <v>1</v>
      </c>
      <c r="W21" s="46">
        <v>14</v>
      </c>
      <c r="X21" s="46">
        <v>16</v>
      </c>
      <c r="Y21" s="46">
        <v>18</v>
      </c>
      <c r="Z21" s="46">
        <v>1</v>
      </c>
      <c r="AA21" s="46">
        <v>1</v>
      </c>
      <c r="AB21" s="46">
        <v>1</v>
      </c>
      <c r="AF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BY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6346</v>
      </c>
    </row>
    <row r="22" spans="1:98" hidden="1">
      <c r="A22" s="46" t="s">
        <v>6393</v>
      </c>
      <c r="B22" s="46" t="s">
        <v>6394</v>
      </c>
      <c r="C22" s="46">
        <v>20</v>
      </c>
      <c r="D22" s="46" t="s">
        <v>6343</v>
      </c>
      <c r="E22" s="46" t="s">
        <v>6395</v>
      </c>
      <c r="F22" s="46" t="s">
        <v>2472</v>
      </c>
      <c r="I22" s="46">
        <v>1</v>
      </c>
      <c r="N22" s="46">
        <v>1</v>
      </c>
      <c r="Q22" s="46">
        <v>1</v>
      </c>
      <c r="T22" s="46">
        <v>1</v>
      </c>
      <c r="W22" s="46">
        <v>10</v>
      </c>
      <c r="X22" s="46">
        <v>15</v>
      </c>
      <c r="Y22" s="46">
        <v>18</v>
      </c>
      <c r="Z22" s="46">
        <v>2</v>
      </c>
      <c r="AA22" s="46">
        <v>2</v>
      </c>
      <c r="AB22" s="46">
        <v>2</v>
      </c>
      <c r="AF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BY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6346</v>
      </c>
    </row>
    <row r="23" spans="1:98" hidden="1">
      <c r="A23" s="46" t="s">
        <v>6396</v>
      </c>
      <c r="B23" s="46" t="s">
        <v>6397</v>
      </c>
      <c r="C23" s="46">
        <v>39</v>
      </c>
      <c r="D23" s="46" t="s">
        <v>6343</v>
      </c>
      <c r="E23" s="46" t="s">
        <v>6363</v>
      </c>
      <c r="F23" s="46" t="s">
        <v>2472</v>
      </c>
      <c r="H23" s="46">
        <v>1</v>
      </c>
      <c r="N23" s="46">
        <v>1</v>
      </c>
      <c r="Q23" s="46">
        <v>1</v>
      </c>
      <c r="T23" s="46">
        <v>1</v>
      </c>
      <c r="W23" s="46">
        <v>14</v>
      </c>
      <c r="X23" s="46">
        <v>19</v>
      </c>
      <c r="Y23" s="46">
        <v>20</v>
      </c>
      <c r="Z23" s="46">
        <v>6</v>
      </c>
      <c r="AA23" s="46">
        <v>6</v>
      </c>
      <c r="AB23" s="46">
        <v>6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6346</v>
      </c>
    </row>
    <row r="24" spans="1:98" hidden="1">
      <c r="A24" s="46" t="s">
        <v>6398</v>
      </c>
      <c r="B24" s="46" t="s">
        <v>6399</v>
      </c>
      <c r="C24" s="46">
        <v>23</v>
      </c>
      <c r="D24" s="46" t="s">
        <v>6343</v>
      </c>
      <c r="E24" s="46" t="s">
        <v>6400</v>
      </c>
      <c r="F24" s="46" t="s">
        <v>2472</v>
      </c>
      <c r="M24" s="46">
        <v>1</v>
      </c>
      <c r="Q24" s="46">
        <v>1</v>
      </c>
      <c r="U24" s="46">
        <v>1</v>
      </c>
      <c r="W24" s="46">
        <v>13</v>
      </c>
      <c r="X24" s="46">
        <v>18</v>
      </c>
      <c r="Y24" s="46">
        <v>19</v>
      </c>
      <c r="Z24" s="46">
        <v>1</v>
      </c>
      <c r="AA24" s="46">
        <v>1</v>
      </c>
      <c r="AB24" s="46">
        <v>1</v>
      </c>
      <c r="AH24" s="46">
        <v>1</v>
      </c>
      <c r="AJ24" s="46">
        <v>1</v>
      </c>
      <c r="AM24" s="46">
        <v>1</v>
      </c>
      <c r="AT24" s="46">
        <v>1</v>
      </c>
      <c r="AW24" s="46">
        <v>1</v>
      </c>
      <c r="BA24" s="46">
        <v>1</v>
      </c>
      <c r="BK24" s="46">
        <v>1</v>
      </c>
      <c r="BY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6346</v>
      </c>
    </row>
    <row r="25" spans="1:98" hidden="1">
      <c r="A25" s="46" t="s">
        <v>6401</v>
      </c>
      <c r="B25" s="46" t="s">
        <v>4629</v>
      </c>
      <c r="C25" s="46">
        <v>25</v>
      </c>
      <c r="D25" s="46" t="s">
        <v>6343</v>
      </c>
      <c r="E25" s="46" t="s">
        <v>6402</v>
      </c>
      <c r="F25" s="46" t="s">
        <v>2472</v>
      </c>
      <c r="I25" s="46">
        <v>1</v>
      </c>
      <c r="M25" s="46">
        <v>1</v>
      </c>
      <c r="Q25" s="46">
        <v>1</v>
      </c>
      <c r="T25" s="46">
        <v>1</v>
      </c>
      <c r="W25" s="46">
        <v>14</v>
      </c>
      <c r="X25" s="46">
        <v>17</v>
      </c>
      <c r="Y25" s="46">
        <v>21</v>
      </c>
      <c r="Z25" s="46">
        <v>1</v>
      </c>
      <c r="AA25" s="46">
        <v>1</v>
      </c>
      <c r="AB25" s="46">
        <v>1</v>
      </c>
      <c r="AH25" s="46">
        <v>1</v>
      </c>
      <c r="AJ25" s="46">
        <v>1</v>
      </c>
      <c r="AM25" s="46">
        <v>1</v>
      </c>
      <c r="AT25" s="46">
        <v>1</v>
      </c>
      <c r="AW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6346</v>
      </c>
    </row>
    <row r="26" spans="1:98" hidden="1">
      <c r="A26" s="46" t="s">
        <v>6403</v>
      </c>
      <c r="B26" s="46" t="s">
        <v>6404</v>
      </c>
      <c r="C26" s="46">
        <v>34</v>
      </c>
      <c r="D26" s="46" t="s">
        <v>6343</v>
      </c>
      <c r="E26" s="46" t="s">
        <v>6405</v>
      </c>
      <c r="F26" s="46" t="s">
        <v>2472</v>
      </c>
      <c r="I26" s="46">
        <v>1</v>
      </c>
      <c r="M26" s="46">
        <v>1</v>
      </c>
      <c r="Q26" s="46">
        <v>1</v>
      </c>
      <c r="U26" s="46">
        <v>1</v>
      </c>
      <c r="W26" s="46">
        <v>15</v>
      </c>
      <c r="X26" s="46">
        <v>15</v>
      </c>
      <c r="Y26" s="46">
        <v>18</v>
      </c>
      <c r="Z26" s="46">
        <v>5</v>
      </c>
      <c r="AA26" s="46">
        <v>5</v>
      </c>
      <c r="AB26" s="46">
        <v>5</v>
      </c>
      <c r="AD26" s="46">
        <v>1</v>
      </c>
      <c r="AJ26" s="46">
        <v>1</v>
      </c>
      <c r="AK26" s="46">
        <v>1</v>
      </c>
      <c r="AT26" s="46">
        <v>1</v>
      </c>
      <c r="AX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6346</v>
      </c>
    </row>
    <row r="27" spans="1:98" hidden="1">
      <c r="A27" s="46" t="s">
        <v>6406</v>
      </c>
      <c r="B27" s="46" t="s">
        <v>1315</v>
      </c>
      <c r="C27" s="46">
        <v>40</v>
      </c>
      <c r="D27" s="46" t="s">
        <v>6343</v>
      </c>
      <c r="E27" s="46" t="s">
        <v>6407</v>
      </c>
      <c r="F27" s="46" t="s">
        <v>2472</v>
      </c>
      <c r="H27" s="46">
        <v>1</v>
      </c>
      <c r="N27" s="46">
        <v>1</v>
      </c>
      <c r="R27" s="46">
        <v>1</v>
      </c>
      <c r="T27" s="46">
        <v>1</v>
      </c>
      <c r="W27" s="46">
        <v>14</v>
      </c>
      <c r="X27" s="46">
        <v>18</v>
      </c>
      <c r="Y27" s="46">
        <v>20</v>
      </c>
      <c r="Z27" s="46">
        <v>9</v>
      </c>
      <c r="AA27" s="46">
        <v>9</v>
      </c>
      <c r="AB27" s="46">
        <v>7</v>
      </c>
      <c r="AC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BY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6346</v>
      </c>
    </row>
    <row r="28" spans="1:98" hidden="1">
      <c r="A28" s="46" t="s">
        <v>6408</v>
      </c>
      <c r="B28" s="46" t="s">
        <v>6409</v>
      </c>
      <c r="C28" s="46">
        <v>30</v>
      </c>
      <c r="D28" s="46" t="s">
        <v>6343</v>
      </c>
      <c r="E28" s="46" t="s">
        <v>6410</v>
      </c>
      <c r="F28" s="46" t="s">
        <v>2472</v>
      </c>
      <c r="H28" s="46">
        <v>1</v>
      </c>
      <c r="N28" s="46">
        <v>1</v>
      </c>
      <c r="Q28" s="46">
        <v>1</v>
      </c>
      <c r="T28" s="46">
        <v>1</v>
      </c>
      <c r="W28" s="46">
        <v>16</v>
      </c>
      <c r="X28" s="46">
        <v>18</v>
      </c>
      <c r="Y28" s="46">
        <v>24</v>
      </c>
      <c r="Z28" s="46">
        <v>3</v>
      </c>
      <c r="AA28" s="46">
        <v>3</v>
      </c>
      <c r="AB28" s="46">
        <v>3</v>
      </c>
      <c r="AE28" s="46">
        <v>1</v>
      </c>
      <c r="AF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K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6346</v>
      </c>
    </row>
    <row r="29" spans="1:98" hidden="1">
      <c r="A29" s="46" t="s">
        <v>6411</v>
      </c>
      <c r="B29" s="46" t="s">
        <v>6412</v>
      </c>
      <c r="C29" s="46">
        <v>19</v>
      </c>
      <c r="D29" s="46" t="s">
        <v>6343</v>
      </c>
      <c r="E29" s="46" t="s">
        <v>6413</v>
      </c>
      <c r="F29" s="46" t="s">
        <v>2472</v>
      </c>
      <c r="G29" s="46">
        <v>1</v>
      </c>
      <c r="N29" s="46">
        <v>1</v>
      </c>
      <c r="Q29" s="46">
        <v>1</v>
      </c>
      <c r="U29" s="46">
        <v>1</v>
      </c>
      <c r="W29" s="46">
        <v>16</v>
      </c>
      <c r="X29" s="46">
        <v>16</v>
      </c>
      <c r="Y29" s="46">
        <v>0</v>
      </c>
      <c r="Z29" s="46">
        <v>0</v>
      </c>
      <c r="AA29" s="46">
        <v>0</v>
      </c>
      <c r="AB29" s="46">
        <v>0</v>
      </c>
      <c r="AF29" s="46">
        <v>1</v>
      </c>
      <c r="AH29" s="46">
        <v>1</v>
      </c>
      <c r="AJ29" s="46">
        <v>1</v>
      </c>
      <c r="AM29" s="46">
        <v>1</v>
      </c>
      <c r="AT29" s="46">
        <v>1</v>
      </c>
      <c r="AW29" s="46">
        <v>1</v>
      </c>
      <c r="BA29" s="46">
        <v>1</v>
      </c>
      <c r="BK29" s="46">
        <v>1</v>
      </c>
      <c r="BY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6346</v>
      </c>
    </row>
    <row r="30" spans="1:98" hidden="1">
      <c r="A30" s="46" t="s">
        <v>6414</v>
      </c>
      <c r="B30" s="46" t="s">
        <v>6415</v>
      </c>
      <c r="C30" s="46">
        <v>22</v>
      </c>
      <c r="D30" s="46" t="s">
        <v>6343</v>
      </c>
      <c r="E30" s="46" t="s">
        <v>6416</v>
      </c>
      <c r="F30" s="46" t="s">
        <v>2472</v>
      </c>
      <c r="G30" s="46">
        <v>1</v>
      </c>
      <c r="N30" s="46">
        <v>1</v>
      </c>
      <c r="Q30" s="46">
        <v>1</v>
      </c>
      <c r="U30" s="46">
        <v>1</v>
      </c>
      <c r="W30" s="46">
        <v>16</v>
      </c>
      <c r="X30" s="46">
        <v>17</v>
      </c>
      <c r="Y30" s="46">
        <v>20</v>
      </c>
      <c r="Z30" s="46">
        <v>1</v>
      </c>
      <c r="AA30" s="46">
        <v>1</v>
      </c>
      <c r="AB30" s="46">
        <v>1</v>
      </c>
      <c r="AE30" s="46">
        <v>1</v>
      </c>
      <c r="AF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K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6346</v>
      </c>
    </row>
    <row r="31" spans="1:98" hidden="1">
      <c r="A31" s="46" t="s">
        <v>6417</v>
      </c>
      <c r="B31" s="46" t="s">
        <v>6418</v>
      </c>
      <c r="C31" s="46">
        <v>25</v>
      </c>
      <c r="D31" s="46" t="s">
        <v>6343</v>
      </c>
      <c r="E31" s="46" t="s">
        <v>6419</v>
      </c>
      <c r="F31" s="46" t="s">
        <v>2472</v>
      </c>
      <c r="I31" s="46">
        <v>1</v>
      </c>
      <c r="N31" s="46">
        <v>1</v>
      </c>
      <c r="Q31" s="46">
        <v>1</v>
      </c>
      <c r="T31" s="46">
        <v>1</v>
      </c>
      <c r="W31" s="46">
        <v>13</v>
      </c>
      <c r="X31" s="46">
        <v>15</v>
      </c>
      <c r="Y31" s="46">
        <v>20</v>
      </c>
      <c r="Z31" s="46">
        <v>2</v>
      </c>
      <c r="AA31" s="46">
        <v>2</v>
      </c>
      <c r="AB31" s="46">
        <v>2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K31" s="46">
        <v>1</v>
      </c>
      <c r="CB31" s="46">
        <v>1</v>
      </c>
      <c r="CE31" s="46">
        <v>1</v>
      </c>
      <c r="CK31" s="46">
        <v>1</v>
      </c>
      <c r="CR31" s="46">
        <v>1</v>
      </c>
      <c r="CT31" s="46" t="s">
        <v>6346</v>
      </c>
    </row>
    <row r="32" spans="1:98" hidden="1">
      <c r="A32" s="46" t="s">
        <v>6420</v>
      </c>
      <c r="B32" s="46" t="s">
        <v>6421</v>
      </c>
      <c r="C32" s="46">
        <v>37</v>
      </c>
      <c r="D32" s="46" t="s">
        <v>6343</v>
      </c>
      <c r="E32" s="46" t="s">
        <v>6422</v>
      </c>
      <c r="F32" s="46" t="s">
        <v>2472</v>
      </c>
      <c r="J32" s="46">
        <v>1</v>
      </c>
      <c r="M32" s="46">
        <v>1</v>
      </c>
      <c r="Q32" s="46">
        <v>1</v>
      </c>
      <c r="T32" s="46">
        <v>1</v>
      </c>
      <c r="W32" s="46">
        <v>16</v>
      </c>
      <c r="X32" s="46">
        <v>17</v>
      </c>
      <c r="Y32" s="46">
        <v>18</v>
      </c>
      <c r="Z32" s="46">
        <v>8</v>
      </c>
      <c r="AA32" s="46">
        <v>8</v>
      </c>
      <c r="AB32" s="46">
        <v>7</v>
      </c>
      <c r="AH32" s="46">
        <v>1</v>
      </c>
      <c r="AJ32" s="46">
        <v>1</v>
      </c>
      <c r="AK32" s="46">
        <v>1</v>
      </c>
      <c r="AT32" s="46">
        <v>1</v>
      </c>
      <c r="AX32" s="46">
        <v>1</v>
      </c>
      <c r="BA32" s="46">
        <v>1</v>
      </c>
      <c r="BK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6346</v>
      </c>
    </row>
    <row r="33" spans="1:98">
      <c r="A33" s="46" t="s">
        <v>6423</v>
      </c>
      <c r="B33" s="46" t="s">
        <v>6424</v>
      </c>
      <c r="C33" s="46">
        <v>50</v>
      </c>
      <c r="D33" s="46" t="s">
        <v>6343</v>
      </c>
      <c r="E33" s="46" t="s">
        <v>191</v>
      </c>
      <c r="F33" s="46" t="s">
        <v>2472</v>
      </c>
      <c r="H33" s="46">
        <v>1</v>
      </c>
      <c r="N33" s="46">
        <v>1</v>
      </c>
      <c r="Q33" s="46">
        <v>1</v>
      </c>
      <c r="T33" s="46">
        <v>1</v>
      </c>
      <c r="W33" s="46">
        <v>15</v>
      </c>
      <c r="X33" s="46">
        <v>17</v>
      </c>
      <c r="Y33" s="46">
        <v>18</v>
      </c>
      <c r="Z33" s="46">
        <v>7</v>
      </c>
      <c r="AA33" s="46">
        <v>7</v>
      </c>
      <c r="AB33" s="46">
        <v>6</v>
      </c>
      <c r="AC33" s="46">
        <v>1</v>
      </c>
      <c r="AI33" s="46">
        <v>1</v>
      </c>
      <c r="AM33" s="46">
        <v>1</v>
      </c>
      <c r="AT33" s="46">
        <v>1</v>
      </c>
      <c r="AW33" s="46">
        <v>1</v>
      </c>
      <c r="BA33" s="46">
        <v>1</v>
      </c>
      <c r="BL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6346</v>
      </c>
    </row>
    <row r="34" spans="1:98" hidden="1">
      <c r="A34" s="46" t="s">
        <v>6425</v>
      </c>
      <c r="B34" s="46" t="s">
        <v>6426</v>
      </c>
      <c r="C34" s="46">
        <v>50</v>
      </c>
      <c r="D34" s="46" t="s">
        <v>6343</v>
      </c>
      <c r="E34" s="46" t="s">
        <v>6427</v>
      </c>
      <c r="F34" s="46" t="s">
        <v>2472</v>
      </c>
      <c r="G34" s="46">
        <v>1</v>
      </c>
      <c r="M34" s="46">
        <v>1</v>
      </c>
      <c r="R34" s="46">
        <v>1</v>
      </c>
      <c r="S34" s="46">
        <v>1</v>
      </c>
      <c r="W34" s="46">
        <v>12</v>
      </c>
      <c r="X34" s="46">
        <v>14</v>
      </c>
      <c r="Y34" s="46">
        <v>16</v>
      </c>
      <c r="Z34" s="46">
        <v>9</v>
      </c>
      <c r="AA34" s="46">
        <v>9</v>
      </c>
      <c r="AB34" s="46">
        <v>8</v>
      </c>
      <c r="AH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K34" s="46">
        <v>1</v>
      </c>
      <c r="CB34" s="46">
        <v>1</v>
      </c>
      <c r="CE34" s="46">
        <v>1</v>
      </c>
      <c r="CK34" s="46">
        <v>1</v>
      </c>
      <c r="CR34" s="46">
        <v>1</v>
      </c>
      <c r="CT34" s="46" t="s">
        <v>6346</v>
      </c>
    </row>
    <row r="35" spans="1:98">
      <c r="A35" s="46" t="s">
        <v>6428</v>
      </c>
      <c r="B35" s="46" t="s">
        <v>4483</v>
      </c>
      <c r="C35" s="46">
        <v>63</v>
      </c>
      <c r="D35" s="46" t="s">
        <v>6343</v>
      </c>
      <c r="E35" s="46" t="s">
        <v>6429</v>
      </c>
      <c r="F35" s="46" t="s">
        <v>2472</v>
      </c>
      <c r="H35" s="46">
        <v>1</v>
      </c>
      <c r="N35" s="46">
        <v>1</v>
      </c>
      <c r="Q35" s="46">
        <v>1</v>
      </c>
      <c r="T35" s="46">
        <v>1</v>
      </c>
      <c r="W35" s="46">
        <v>15</v>
      </c>
      <c r="X35" s="46">
        <v>18</v>
      </c>
      <c r="Y35" s="46">
        <v>19</v>
      </c>
      <c r="Z35" s="46">
        <v>10</v>
      </c>
      <c r="AA35" s="46">
        <v>10</v>
      </c>
      <c r="AB35" s="46">
        <v>7</v>
      </c>
      <c r="AF35" s="46">
        <v>1</v>
      </c>
      <c r="AH35" s="46">
        <v>1</v>
      </c>
      <c r="AK35" s="46">
        <v>1</v>
      </c>
      <c r="AT35" s="46">
        <v>1</v>
      </c>
      <c r="AW35" s="46">
        <v>1</v>
      </c>
      <c r="BA35" s="46">
        <v>1</v>
      </c>
      <c r="BL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6346</v>
      </c>
    </row>
    <row r="36" spans="1:98">
      <c r="A36" s="46" t="s">
        <v>6430</v>
      </c>
      <c r="B36" s="46" t="s">
        <v>6431</v>
      </c>
      <c r="C36" s="46">
        <v>70</v>
      </c>
      <c r="D36" s="46" t="s">
        <v>6343</v>
      </c>
      <c r="E36" s="46" t="s">
        <v>191</v>
      </c>
      <c r="F36" s="46" t="s">
        <v>2472</v>
      </c>
      <c r="H36" s="46">
        <v>1</v>
      </c>
      <c r="P36" s="46">
        <v>1</v>
      </c>
      <c r="Q36" s="46">
        <v>1</v>
      </c>
      <c r="S36" s="46">
        <v>1</v>
      </c>
      <c r="W36" s="46">
        <v>18</v>
      </c>
      <c r="X36" s="46">
        <v>18</v>
      </c>
      <c r="Y36" s="46">
        <v>19</v>
      </c>
      <c r="Z36" s="46">
        <v>10</v>
      </c>
      <c r="AA36" s="46">
        <v>10</v>
      </c>
      <c r="AB36" s="46">
        <v>4</v>
      </c>
      <c r="AH36" s="46">
        <v>1</v>
      </c>
      <c r="AJ36" s="46">
        <v>1</v>
      </c>
      <c r="AM36" s="46">
        <v>1</v>
      </c>
      <c r="AT36" s="46">
        <v>1</v>
      </c>
      <c r="AW36" s="46">
        <v>1</v>
      </c>
      <c r="BA36" s="46">
        <v>1</v>
      </c>
      <c r="BL36" s="46">
        <v>1</v>
      </c>
      <c r="CB36" s="46">
        <v>1</v>
      </c>
      <c r="CE36" s="46">
        <v>1</v>
      </c>
      <c r="CK36" s="46">
        <v>1</v>
      </c>
      <c r="CR36" s="46">
        <v>1</v>
      </c>
      <c r="CT36" s="46" t="s">
        <v>6346</v>
      </c>
    </row>
    <row r="37" spans="1:98">
      <c r="A37" s="46" t="s">
        <v>6432</v>
      </c>
      <c r="B37" s="46" t="s">
        <v>6433</v>
      </c>
      <c r="C37" s="46">
        <v>54</v>
      </c>
      <c r="D37" s="46" t="s">
        <v>6343</v>
      </c>
      <c r="E37" s="46" t="s">
        <v>6434</v>
      </c>
      <c r="F37" s="46" t="s">
        <v>2472</v>
      </c>
      <c r="H37" s="46">
        <v>1</v>
      </c>
      <c r="M37" s="46">
        <v>1</v>
      </c>
      <c r="R37" s="46">
        <v>1</v>
      </c>
      <c r="T37" s="46">
        <v>1</v>
      </c>
      <c r="W37" s="46">
        <v>15</v>
      </c>
      <c r="X37" s="46">
        <v>16</v>
      </c>
      <c r="Y37" s="46">
        <v>16</v>
      </c>
      <c r="Z37" s="46">
        <v>15</v>
      </c>
      <c r="AA37" s="46">
        <v>9</v>
      </c>
      <c r="AB37" s="46">
        <v>9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L37" s="46">
        <v>1</v>
      </c>
      <c r="BO37" s="46" t="s">
        <v>6435</v>
      </c>
      <c r="CB37" s="46">
        <v>1</v>
      </c>
      <c r="CE37" s="46">
        <v>1</v>
      </c>
      <c r="CK37" s="46">
        <v>1</v>
      </c>
      <c r="CR37" s="46">
        <v>1</v>
      </c>
      <c r="CT37" s="46" t="s">
        <v>6346</v>
      </c>
    </row>
    <row r="38" spans="1:98">
      <c r="A38" s="46" t="s">
        <v>6436</v>
      </c>
      <c r="B38" s="46" t="s">
        <v>6437</v>
      </c>
      <c r="C38" s="46">
        <v>78</v>
      </c>
      <c r="D38" s="46" t="s">
        <v>6343</v>
      </c>
      <c r="E38" s="46" t="s">
        <v>6438</v>
      </c>
      <c r="F38" s="46" t="s">
        <v>2472</v>
      </c>
      <c r="I38" s="46">
        <v>1</v>
      </c>
      <c r="O38" s="46">
        <v>1</v>
      </c>
      <c r="Q38" s="46">
        <v>1</v>
      </c>
      <c r="U38" s="46">
        <v>1</v>
      </c>
      <c r="W38" s="46">
        <v>15</v>
      </c>
      <c r="X38" s="46">
        <v>15</v>
      </c>
      <c r="Y38" s="46">
        <v>15</v>
      </c>
      <c r="Z38" s="46">
        <v>11</v>
      </c>
      <c r="AA38" s="46">
        <v>11</v>
      </c>
      <c r="AB38" s="46">
        <v>9</v>
      </c>
      <c r="AG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O38" s="46" t="s">
        <v>6439</v>
      </c>
      <c r="CB38" s="46">
        <v>1</v>
      </c>
      <c r="CE38" s="46">
        <v>1</v>
      </c>
      <c r="CK38" s="46">
        <v>1</v>
      </c>
      <c r="CR38" s="46">
        <v>1</v>
      </c>
      <c r="CT38" s="46" t="s">
        <v>6440</v>
      </c>
    </row>
    <row r="39" spans="1:98">
      <c r="A39" s="46" t="s">
        <v>6441</v>
      </c>
      <c r="B39" s="46" t="s">
        <v>2850</v>
      </c>
      <c r="C39" s="46">
        <v>45</v>
      </c>
      <c r="D39" s="46" t="s">
        <v>6343</v>
      </c>
      <c r="E39" s="46" t="s">
        <v>6442</v>
      </c>
      <c r="F39" s="46" t="s">
        <v>2472</v>
      </c>
      <c r="H39" s="46">
        <v>1</v>
      </c>
      <c r="M39" s="46">
        <v>1</v>
      </c>
      <c r="R39" s="46">
        <v>1</v>
      </c>
      <c r="T39" s="46">
        <v>1</v>
      </c>
      <c r="W39" s="46">
        <v>14</v>
      </c>
      <c r="X39" s="46">
        <v>17</v>
      </c>
      <c r="Y39" s="46">
        <v>17</v>
      </c>
      <c r="Z39" s="46">
        <v>9</v>
      </c>
      <c r="AA39" s="46">
        <v>7</v>
      </c>
      <c r="AB39" s="46">
        <v>7</v>
      </c>
      <c r="AD39" s="46">
        <v>1</v>
      </c>
      <c r="AH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BO39" s="46" t="s">
        <v>6443</v>
      </c>
      <c r="CB39" s="46">
        <v>1</v>
      </c>
      <c r="CE39" s="46">
        <v>1</v>
      </c>
      <c r="CK39" s="46">
        <v>1</v>
      </c>
      <c r="CR39" s="46">
        <v>1</v>
      </c>
      <c r="CT39" s="139">
        <v>45574</v>
      </c>
    </row>
    <row r="40" spans="1:98">
      <c r="A40" s="46" t="s">
        <v>6444</v>
      </c>
      <c r="B40" s="46" t="s">
        <v>6445</v>
      </c>
      <c r="C40" s="46">
        <v>67</v>
      </c>
      <c r="D40" s="46" t="s">
        <v>6343</v>
      </c>
      <c r="E40" s="46" t="s">
        <v>6446</v>
      </c>
      <c r="F40" s="46" t="s">
        <v>2472</v>
      </c>
      <c r="H40" s="46">
        <v>1</v>
      </c>
      <c r="P40" s="46">
        <v>1</v>
      </c>
      <c r="R40" s="46">
        <v>1</v>
      </c>
      <c r="S40" s="46">
        <v>1</v>
      </c>
      <c r="W40" s="46">
        <v>17</v>
      </c>
      <c r="X40" s="46">
        <v>16</v>
      </c>
      <c r="Y40" s="46">
        <v>18</v>
      </c>
      <c r="Z40" s="46">
        <v>4</v>
      </c>
      <c r="AA40" s="46">
        <v>4</v>
      </c>
      <c r="AB40" s="46">
        <v>4</v>
      </c>
      <c r="AC40" s="46">
        <v>1</v>
      </c>
      <c r="AI40" s="46">
        <v>1</v>
      </c>
      <c r="AM40" s="46">
        <v>1</v>
      </c>
      <c r="AT40" s="46">
        <v>1</v>
      </c>
      <c r="AW40" s="46">
        <v>1</v>
      </c>
      <c r="BA40" s="46">
        <v>1</v>
      </c>
      <c r="CB40" s="46">
        <v>1</v>
      </c>
      <c r="CE40" s="46">
        <v>1</v>
      </c>
      <c r="CK40" s="46">
        <v>1</v>
      </c>
      <c r="CR40" s="46">
        <v>1</v>
      </c>
      <c r="CT40" s="46" t="s">
        <v>6440</v>
      </c>
    </row>
    <row r="41" spans="1:98">
      <c r="A41" s="46" t="s">
        <v>6447</v>
      </c>
      <c r="B41" s="46" t="s">
        <v>6448</v>
      </c>
      <c r="C41" s="46">
        <v>70</v>
      </c>
      <c r="D41" s="46" t="s">
        <v>6343</v>
      </c>
      <c r="E41" s="46" t="s">
        <v>191</v>
      </c>
      <c r="F41" s="46" t="s">
        <v>2472</v>
      </c>
      <c r="H41" s="46">
        <v>1</v>
      </c>
      <c r="P41" s="46">
        <v>1</v>
      </c>
      <c r="Q41" s="46">
        <v>1</v>
      </c>
      <c r="S41" s="46">
        <v>1</v>
      </c>
      <c r="W41" s="46">
        <v>18</v>
      </c>
      <c r="X41" s="46">
        <v>18</v>
      </c>
      <c r="Y41" s="46">
        <v>20</v>
      </c>
      <c r="Z41" s="46">
        <v>3</v>
      </c>
      <c r="AA41" s="46">
        <v>3</v>
      </c>
      <c r="AB41" s="46">
        <v>1</v>
      </c>
      <c r="AC41" s="46">
        <v>1</v>
      </c>
      <c r="AI41" s="46">
        <v>1</v>
      </c>
      <c r="AM41" s="46">
        <v>1</v>
      </c>
      <c r="AT41" s="46">
        <v>1</v>
      </c>
      <c r="AW41" s="46">
        <v>1</v>
      </c>
      <c r="BA41" s="46">
        <v>1</v>
      </c>
      <c r="CB41" s="46">
        <v>1</v>
      </c>
      <c r="CE41" s="46">
        <v>1</v>
      </c>
      <c r="CK41" s="46">
        <v>1</v>
      </c>
      <c r="CR41" s="46">
        <v>1</v>
      </c>
      <c r="CT41" s="46" t="s">
        <v>6440</v>
      </c>
    </row>
    <row r="42" spans="1:98">
      <c r="A42" s="46" t="s">
        <v>6449</v>
      </c>
      <c r="B42" s="46" t="s">
        <v>6450</v>
      </c>
      <c r="C42" s="46">
        <v>80</v>
      </c>
      <c r="D42" s="46" t="s">
        <v>6343</v>
      </c>
      <c r="E42" s="46" t="s">
        <v>191</v>
      </c>
      <c r="F42" s="46" t="s">
        <v>2472</v>
      </c>
      <c r="H42" s="46">
        <v>1</v>
      </c>
      <c r="P42" s="46">
        <v>1</v>
      </c>
      <c r="Q42" s="46">
        <v>1</v>
      </c>
      <c r="S42" s="46">
        <v>1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H42" s="46">
        <v>1</v>
      </c>
      <c r="AJ42" s="46">
        <v>1</v>
      </c>
      <c r="AK42" s="46">
        <v>1</v>
      </c>
      <c r="AT42" s="46">
        <v>1</v>
      </c>
      <c r="AV42" s="46">
        <v>1</v>
      </c>
      <c r="BA42" s="46">
        <v>1</v>
      </c>
      <c r="CB42" s="46">
        <v>1</v>
      </c>
      <c r="CE42" s="46">
        <v>1</v>
      </c>
      <c r="CK42" s="46">
        <v>1</v>
      </c>
      <c r="CR42" s="46">
        <v>1</v>
      </c>
      <c r="CT42" s="46" t="s">
        <v>6440</v>
      </c>
    </row>
    <row r="43" spans="1:98">
      <c r="A43" s="46" t="s">
        <v>6451</v>
      </c>
      <c r="B43" s="46" t="s">
        <v>6452</v>
      </c>
      <c r="C43" s="46">
        <v>70</v>
      </c>
      <c r="D43" s="46" t="s">
        <v>6343</v>
      </c>
      <c r="E43" s="46" t="s">
        <v>191</v>
      </c>
      <c r="F43" s="46" t="s">
        <v>2472</v>
      </c>
      <c r="G43" s="46">
        <v>1</v>
      </c>
      <c r="P43" s="46">
        <v>1</v>
      </c>
      <c r="Q43" s="46">
        <v>1</v>
      </c>
      <c r="S43" s="46">
        <v>1</v>
      </c>
      <c r="W43" s="46">
        <v>18</v>
      </c>
      <c r="X43" s="46">
        <v>20</v>
      </c>
      <c r="Y43" s="46">
        <v>21</v>
      </c>
      <c r="Z43" s="46">
        <v>2</v>
      </c>
      <c r="AA43" s="46">
        <v>2</v>
      </c>
      <c r="AB43" s="46">
        <v>2</v>
      </c>
      <c r="AF43" s="46">
        <v>1</v>
      </c>
      <c r="AH43" s="46">
        <v>1</v>
      </c>
      <c r="AI43" s="46">
        <v>1</v>
      </c>
      <c r="AM43" s="46">
        <v>1</v>
      </c>
      <c r="AT43" s="46">
        <v>1</v>
      </c>
      <c r="AW43" s="46">
        <v>1</v>
      </c>
      <c r="BA43" s="46">
        <v>1</v>
      </c>
      <c r="CB43" s="46">
        <v>1</v>
      </c>
      <c r="CE43" s="46">
        <v>1</v>
      </c>
      <c r="CK43" s="46">
        <v>1</v>
      </c>
      <c r="CR43" s="46">
        <v>1</v>
      </c>
      <c r="CT43" s="46" t="s">
        <v>6440</v>
      </c>
    </row>
    <row r="44" spans="1:98">
      <c r="A44" s="46" t="s">
        <v>6453</v>
      </c>
      <c r="B44" s="46" t="s">
        <v>6454</v>
      </c>
      <c r="C44" s="46">
        <v>67</v>
      </c>
      <c r="D44" s="46" t="s">
        <v>6343</v>
      </c>
      <c r="E44" s="46" t="s">
        <v>6455</v>
      </c>
      <c r="F44" s="46" t="s">
        <v>2472</v>
      </c>
      <c r="G44" s="46">
        <v>1</v>
      </c>
      <c r="P44" s="46">
        <v>1</v>
      </c>
      <c r="Q44" s="46">
        <v>1</v>
      </c>
      <c r="S44" s="46">
        <v>1</v>
      </c>
      <c r="W44" s="46">
        <v>15</v>
      </c>
      <c r="X44" s="46">
        <v>17</v>
      </c>
      <c r="Y44" s="46">
        <v>15</v>
      </c>
      <c r="Z44" s="46">
        <v>8</v>
      </c>
      <c r="AA44" s="46">
        <v>8</v>
      </c>
      <c r="AB44" s="46">
        <v>6</v>
      </c>
      <c r="AH44" s="46">
        <v>1</v>
      </c>
      <c r="AI44" s="46">
        <v>1</v>
      </c>
      <c r="AM44" s="46">
        <v>1</v>
      </c>
      <c r="AT44" s="46">
        <v>1</v>
      </c>
      <c r="AW44" s="46">
        <v>1</v>
      </c>
      <c r="BA44" s="46">
        <v>1</v>
      </c>
      <c r="CB44" s="46">
        <v>1</v>
      </c>
      <c r="CE44" s="46">
        <v>1</v>
      </c>
      <c r="CK44" s="46">
        <v>1</v>
      </c>
      <c r="CR44" s="46">
        <v>1</v>
      </c>
      <c r="CT44" s="46" t="s">
        <v>6440</v>
      </c>
    </row>
    <row r="45" spans="1:98">
      <c r="A45" s="46" t="s">
        <v>6456</v>
      </c>
      <c r="B45" s="46" t="s">
        <v>6457</v>
      </c>
      <c r="C45" s="46">
        <v>29</v>
      </c>
      <c r="D45" s="46" t="s">
        <v>6343</v>
      </c>
      <c r="E45" s="46" t="s">
        <v>191</v>
      </c>
      <c r="F45" s="46" t="s">
        <v>2472</v>
      </c>
      <c r="H45" s="46">
        <v>1</v>
      </c>
      <c r="N45" s="46">
        <v>1</v>
      </c>
      <c r="Q45" s="46">
        <v>1</v>
      </c>
      <c r="U45" s="46">
        <v>1</v>
      </c>
      <c r="W45" s="46">
        <v>13</v>
      </c>
      <c r="X45" s="46">
        <v>14</v>
      </c>
      <c r="Y45" s="46">
        <v>18</v>
      </c>
      <c r="Z45" s="46">
        <v>2</v>
      </c>
      <c r="AA45" s="46">
        <v>2</v>
      </c>
      <c r="AB45" s="46">
        <v>2</v>
      </c>
      <c r="AC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CB45" s="46">
        <v>1</v>
      </c>
      <c r="CE45" s="46">
        <v>1</v>
      </c>
      <c r="CK45" s="46">
        <v>1</v>
      </c>
      <c r="CR45" s="46">
        <v>1</v>
      </c>
      <c r="CT45" s="46" t="s">
        <v>6440</v>
      </c>
    </row>
  </sheetData>
  <autoFilter ref="A3:CT45">
    <filterColumn colId="62">
      <filters blank="1"/>
    </filterColumn>
  </autoFilter>
  <mergeCells count="19">
    <mergeCell ref="G1:K1"/>
    <mergeCell ref="Q1:R1"/>
    <mergeCell ref="S1:V1"/>
    <mergeCell ref="AC1:AH1"/>
    <mergeCell ref="AI1:AJ1"/>
    <mergeCell ref="AK1:AM1"/>
    <mergeCell ref="AN1:AP1"/>
    <mergeCell ref="CH1:CI1"/>
    <mergeCell ref="CK1:CN1"/>
    <mergeCell ref="CO1:CP1"/>
    <mergeCell ref="BP1:BR1"/>
    <mergeCell ref="BS1:BT1"/>
    <mergeCell ref="BW1:BY1"/>
    <mergeCell ref="BJ2:BK2"/>
    <mergeCell ref="BL2:BO2"/>
    <mergeCell ref="AQ1:AS1"/>
    <mergeCell ref="AV1:AZ1"/>
    <mergeCell ref="BD1:BF1"/>
    <mergeCell ref="BI1:BO1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G9"/>
  <sheetViews>
    <sheetView workbookViewId="0"/>
  </sheetViews>
  <sheetFormatPr defaultColWidth="14.42578125" defaultRowHeight="15" customHeight="1"/>
  <sheetData>
    <row r="2" spans="1:33">
      <c r="A2" s="486" t="s">
        <v>351</v>
      </c>
      <c r="B2" s="488" t="s">
        <v>352</v>
      </c>
      <c r="C2" s="481"/>
      <c r="D2" s="481"/>
      <c r="E2" s="480"/>
      <c r="F2" s="484" t="s">
        <v>353</v>
      </c>
      <c r="G2" s="481"/>
      <c r="H2" s="480"/>
      <c r="I2" s="61"/>
      <c r="J2" s="61"/>
      <c r="K2" s="484" t="s">
        <v>354</v>
      </c>
      <c r="L2" s="481"/>
      <c r="M2" s="481"/>
      <c r="N2" s="481"/>
      <c r="O2" s="481"/>
      <c r="P2" s="480"/>
      <c r="Q2" s="484" t="s">
        <v>355</v>
      </c>
      <c r="R2" s="481"/>
      <c r="S2" s="481"/>
      <c r="T2" s="480"/>
      <c r="U2" s="484" t="s">
        <v>356</v>
      </c>
      <c r="V2" s="481"/>
      <c r="W2" s="481"/>
      <c r="X2" s="481"/>
      <c r="Y2" s="481"/>
      <c r="Z2" s="480"/>
      <c r="AA2" s="485" t="s">
        <v>357</v>
      </c>
      <c r="AB2" s="481"/>
      <c r="AC2" s="481"/>
      <c r="AD2" s="481"/>
      <c r="AE2" s="480"/>
      <c r="AF2" s="182" t="s">
        <v>356</v>
      </c>
      <c r="AG2" s="183"/>
    </row>
    <row r="3" spans="1:33">
      <c r="A3" s="487"/>
      <c r="B3" s="63" t="s">
        <v>358</v>
      </c>
      <c r="C3" s="63" t="s">
        <v>359</v>
      </c>
      <c r="D3" s="63" t="s">
        <v>360</v>
      </c>
      <c r="E3" s="63" t="s">
        <v>361</v>
      </c>
      <c r="F3" s="64" t="s">
        <v>3106</v>
      </c>
      <c r="G3" s="64" t="s">
        <v>358</v>
      </c>
      <c r="H3" s="184" t="s">
        <v>362</v>
      </c>
      <c r="I3" s="64" t="s">
        <v>3429</v>
      </c>
      <c r="J3" s="65" t="s">
        <v>361</v>
      </c>
      <c r="K3" s="64" t="s">
        <v>96</v>
      </c>
      <c r="L3" s="64" t="s">
        <v>84</v>
      </c>
      <c r="M3" s="64" t="s">
        <v>98</v>
      </c>
      <c r="N3" s="64" t="s">
        <v>38</v>
      </c>
      <c r="O3" s="64" t="s">
        <v>930</v>
      </c>
      <c r="P3" s="65" t="s">
        <v>361</v>
      </c>
      <c r="Q3" s="64" t="s">
        <v>91</v>
      </c>
      <c r="R3" s="64" t="s">
        <v>362</v>
      </c>
      <c r="S3" s="64" t="s">
        <v>363</v>
      </c>
      <c r="T3" s="65" t="s">
        <v>361</v>
      </c>
      <c r="U3" s="64" t="s">
        <v>364</v>
      </c>
      <c r="V3" s="64" t="s">
        <v>91</v>
      </c>
      <c r="W3" s="64" t="s">
        <v>365</v>
      </c>
      <c r="X3" s="64" t="s">
        <v>366</v>
      </c>
      <c r="Y3" s="64" t="s">
        <v>367</v>
      </c>
      <c r="Z3" s="64"/>
      <c r="AA3" s="66" t="s">
        <v>96</v>
      </c>
      <c r="AB3" s="66" t="s">
        <v>97</v>
      </c>
      <c r="AC3" s="66" t="s">
        <v>98</v>
      </c>
      <c r="AD3" s="137" t="s">
        <v>360</v>
      </c>
      <c r="AE3" s="66" t="s">
        <v>369</v>
      </c>
      <c r="AF3" s="64" t="s">
        <v>365</v>
      </c>
      <c r="AG3" s="185" t="s">
        <v>3430</v>
      </c>
    </row>
    <row r="4" spans="1:33">
      <c r="A4" s="74" t="s">
        <v>6458</v>
      </c>
      <c r="B4" s="69">
        <v>13</v>
      </c>
      <c r="C4" s="69">
        <v>0</v>
      </c>
      <c r="D4" s="69">
        <v>5</v>
      </c>
      <c r="E4" s="69">
        <f>SUM(B4:D4)</f>
        <v>18</v>
      </c>
      <c r="F4" s="70">
        <v>0</v>
      </c>
      <c r="G4" s="70">
        <v>17</v>
      </c>
      <c r="H4" s="70">
        <v>1</v>
      </c>
      <c r="I4" s="70">
        <v>0</v>
      </c>
      <c r="J4" s="71">
        <f t="shared" ref="J4:J9" si="0">SUM(F4:I4)</f>
        <v>18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 t="shared" ref="P4:P9" si="1">SUM(K4:O4)</f>
        <v>0</v>
      </c>
      <c r="Q4" s="70">
        <v>0</v>
      </c>
      <c r="R4" s="70">
        <v>0</v>
      </c>
      <c r="S4" s="70">
        <v>7</v>
      </c>
      <c r="T4" s="71">
        <f t="shared" ref="T4:T9" si="2">SUM(Q4:S4)</f>
        <v>7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17</v>
      </c>
      <c r="AB4" s="73">
        <v>1</v>
      </c>
      <c r="AC4" s="73">
        <v>0</v>
      </c>
      <c r="AD4" s="73">
        <v>0</v>
      </c>
      <c r="AE4" s="186">
        <f>SUM(AA4,AB4,AC4,AD4)</f>
        <v>18</v>
      </c>
      <c r="AF4" s="73">
        <v>0</v>
      </c>
      <c r="AG4" s="73">
        <v>0</v>
      </c>
    </row>
    <row r="5" spans="1:33">
      <c r="A5" s="77" t="s">
        <v>1363</v>
      </c>
      <c r="B5" s="69">
        <v>7</v>
      </c>
      <c r="C5" s="69">
        <v>0</v>
      </c>
      <c r="D5" s="69"/>
      <c r="E5" s="69">
        <f>SUM(B5:D5)</f>
        <v>7</v>
      </c>
      <c r="F5" s="70">
        <v>0</v>
      </c>
      <c r="G5" s="70">
        <v>7</v>
      </c>
      <c r="H5" s="70">
        <v>0</v>
      </c>
      <c r="I5" s="70">
        <v>0</v>
      </c>
      <c r="J5" s="71">
        <f t="shared" si="0"/>
        <v>7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 t="shared" si="1"/>
        <v>0</v>
      </c>
      <c r="Q5" s="70">
        <v>0</v>
      </c>
      <c r="R5" s="70">
        <v>0</v>
      </c>
      <c r="S5" s="70">
        <v>2</v>
      </c>
      <c r="T5" s="71">
        <f t="shared" si="2"/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7</v>
      </c>
      <c r="AB5" s="73">
        <v>0</v>
      </c>
      <c r="AC5" s="73">
        <v>0</v>
      </c>
      <c r="AD5" s="73">
        <v>0</v>
      </c>
      <c r="AE5" s="186">
        <f>SUM(AA5,AB5,AC5,AD5)</f>
        <v>7</v>
      </c>
      <c r="AF5" s="73">
        <v>0</v>
      </c>
      <c r="AG5" s="73">
        <v>0</v>
      </c>
    </row>
    <row r="6" spans="1:33">
      <c r="A6" s="77" t="s">
        <v>4225</v>
      </c>
      <c r="B6" s="69">
        <v>4</v>
      </c>
      <c r="C6" s="69">
        <v>0</v>
      </c>
      <c r="D6" s="69">
        <v>3</v>
      </c>
      <c r="E6" s="69">
        <f>SUM(B6:D6)</f>
        <v>7</v>
      </c>
      <c r="F6" s="70">
        <v>0</v>
      </c>
      <c r="G6" s="70">
        <v>5</v>
      </c>
      <c r="H6" s="70">
        <v>0</v>
      </c>
      <c r="I6" s="70">
        <v>0</v>
      </c>
      <c r="J6" s="71">
        <f t="shared" si="0"/>
        <v>5</v>
      </c>
      <c r="K6" s="70">
        <v>1</v>
      </c>
      <c r="L6" s="70">
        <v>1</v>
      </c>
      <c r="M6" s="70">
        <v>0</v>
      </c>
      <c r="N6" s="70">
        <v>0</v>
      </c>
      <c r="O6" s="70">
        <v>0</v>
      </c>
      <c r="P6" s="71">
        <f t="shared" si="1"/>
        <v>2</v>
      </c>
      <c r="Q6" s="70">
        <v>0</v>
      </c>
      <c r="R6" s="70">
        <v>0</v>
      </c>
      <c r="S6" s="70">
        <v>0</v>
      </c>
      <c r="T6" s="71">
        <f t="shared" si="2"/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7</v>
      </c>
      <c r="AB6" s="73">
        <v>0</v>
      </c>
      <c r="AC6" s="73">
        <v>0</v>
      </c>
      <c r="AD6" s="73">
        <v>0</v>
      </c>
      <c r="AE6" s="186">
        <f>SUM(AA6,AB6,AC6,AD6)</f>
        <v>7</v>
      </c>
      <c r="AF6" s="73">
        <v>0</v>
      </c>
      <c r="AG6" s="73">
        <v>0</v>
      </c>
    </row>
    <row r="7" spans="1:33">
      <c r="A7" s="77" t="s">
        <v>6459</v>
      </c>
      <c r="B7" s="69">
        <v>2</v>
      </c>
      <c r="C7" s="69">
        <v>0</v>
      </c>
      <c r="D7" s="69"/>
      <c r="E7" s="69">
        <f>SUM(B7:D7)</f>
        <v>2</v>
      </c>
      <c r="F7" s="70">
        <v>0</v>
      </c>
      <c r="G7" s="70">
        <v>1</v>
      </c>
      <c r="H7" s="70">
        <v>0</v>
      </c>
      <c r="I7" s="70">
        <v>0</v>
      </c>
      <c r="J7" s="71">
        <f t="shared" si="0"/>
        <v>1</v>
      </c>
      <c r="K7" s="70">
        <v>1</v>
      </c>
      <c r="L7" s="70">
        <v>0</v>
      </c>
      <c r="M7" s="70">
        <v>0</v>
      </c>
      <c r="N7" s="70">
        <v>0</v>
      </c>
      <c r="O7" s="70">
        <v>0</v>
      </c>
      <c r="P7" s="71">
        <f t="shared" si="1"/>
        <v>1</v>
      </c>
      <c r="Q7" s="70">
        <v>0</v>
      </c>
      <c r="R7" s="70">
        <v>0</v>
      </c>
      <c r="S7" s="70">
        <v>0</v>
      </c>
      <c r="T7" s="71">
        <f t="shared" si="2"/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2</v>
      </c>
      <c r="AB7" s="73">
        <v>0</v>
      </c>
      <c r="AC7" s="73">
        <v>0</v>
      </c>
      <c r="AD7" s="73">
        <v>0</v>
      </c>
      <c r="AE7" s="186">
        <f>SUM(AA7,AB7,AC7,AD7)</f>
        <v>2</v>
      </c>
      <c r="AF7" s="73">
        <v>0</v>
      </c>
      <c r="AG7" s="73">
        <v>0</v>
      </c>
    </row>
    <row r="8" spans="1:33">
      <c r="A8" s="191" t="s">
        <v>6460</v>
      </c>
      <c r="B8" s="69">
        <v>3</v>
      </c>
      <c r="C8" s="69">
        <v>0</v>
      </c>
      <c r="D8" s="69">
        <v>5</v>
      </c>
      <c r="E8" s="69">
        <f>SUM(B8:D8)</f>
        <v>8</v>
      </c>
      <c r="F8" s="69">
        <v>0</v>
      </c>
      <c r="G8" s="69">
        <v>0</v>
      </c>
      <c r="H8" s="69">
        <v>0</v>
      </c>
      <c r="I8" s="69">
        <v>0</v>
      </c>
      <c r="J8" s="71">
        <f t="shared" si="0"/>
        <v>0</v>
      </c>
      <c r="K8" s="114">
        <v>2</v>
      </c>
      <c r="L8" s="114">
        <v>0</v>
      </c>
      <c r="M8" s="114">
        <v>0</v>
      </c>
      <c r="N8" s="114">
        <v>0</v>
      </c>
      <c r="O8" s="114">
        <v>6</v>
      </c>
      <c r="P8" s="71">
        <f t="shared" si="1"/>
        <v>8</v>
      </c>
      <c r="Q8" s="114">
        <v>0</v>
      </c>
      <c r="R8" s="114">
        <v>0</v>
      </c>
      <c r="S8" s="114">
        <v>0</v>
      </c>
      <c r="T8" s="71">
        <f t="shared" si="2"/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114">
        <v>8</v>
      </c>
      <c r="AB8" s="114">
        <v>0</v>
      </c>
      <c r="AC8" s="114">
        <v>0</v>
      </c>
      <c r="AD8" s="114">
        <v>0</v>
      </c>
      <c r="AE8" s="186">
        <f>SUM(AA8,AB8,AC8,AD8)</f>
        <v>8</v>
      </c>
      <c r="AF8" s="73">
        <v>0</v>
      </c>
      <c r="AG8" s="73">
        <v>0</v>
      </c>
    </row>
    <row r="9" spans="1:33">
      <c r="A9" s="69" t="s">
        <v>376</v>
      </c>
      <c r="B9" s="69">
        <f t="shared" ref="B9:I9" si="3">SUM(B4:B8)</f>
        <v>29</v>
      </c>
      <c r="C9" s="69">
        <f t="shared" si="3"/>
        <v>0</v>
      </c>
      <c r="D9" s="69">
        <f t="shared" si="3"/>
        <v>13</v>
      </c>
      <c r="E9" s="69">
        <f t="shared" si="3"/>
        <v>42</v>
      </c>
      <c r="F9" s="69">
        <f t="shared" si="3"/>
        <v>0</v>
      </c>
      <c r="G9" s="69">
        <f t="shared" si="3"/>
        <v>30</v>
      </c>
      <c r="H9" s="69">
        <f t="shared" si="3"/>
        <v>1</v>
      </c>
      <c r="I9" s="69">
        <f t="shared" si="3"/>
        <v>0</v>
      </c>
      <c r="J9" s="71">
        <f t="shared" si="0"/>
        <v>31</v>
      </c>
      <c r="K9" s="114">
        <f>SUM(K4:K8)</f>
        <v>4</v>
      </c>
      <c r="L9" s="114">
        <f>SUM(L4:L8)</f>
        <v>1</v>
      </c>
      <c r="M9" s="114">
        <f>SUM(M4:M8)</f>
        <v>0</v>
      </c>
      <c r="N9" s="114">
        <f>SUM(N4:N8)</f>
        <v>0</v>
      </c>
      <c r="O9" s="114">
        <f>SUM(O4:O8)</f>
        <v>6</v>
      </c>
      <c r="P9" s="71">
        <f t="shared" si="1"/>
        <v>11</v>
      </c>
      <c r="Q9" s="114">
        <f>SUM(Q4:Q8)</f>
        <v>0</v>
      </c>
      <c r="R9" s="114">
        <f>SUM(R4:R8)</f>
        <v>0</v>
      </c>
      <c r="S9" s="114">
        <f>SUM(S4:S8)</f>
        <v>9</v>
      </c>
      <c r="T9" s="241">
        <f t="shared" si="2"/>
        <v>9</v>
      </c>
      <c r="U9" s="114">
        <f t="shared" ref="U9:AG9" si="4">SUM(U4:U8)</f>
        <v>0</v>
      </c>
      <c r="V9" s="114">
        <f t="shared" si="4"/>
        <v>0</v>
      </c>
      <c r="W9" s="114">
        <f t="shared" si="4"/>
        <v>0</v>
      </c>
      <c r="X9" s="114">
        <f t="shared" si="4"/>
        <v>0</v>
      </c>
      <c r="Y9" s="114">
        <f t="shared" si="4"/>
        <v>0</v>
      </c>
      <c r="Z9" s="114">
        <f t="shared" si="4"/>
        <v>0</v>
      </c>
      <c r="AA9" s="114">
        <f t="shared" si="4"/>
        <v>41</v>
      </c>
      <c r="AB9" s="114">
        <f t="shared" si="4"/>
        <v>1</v>
      </c>
      <c r="AC9" s="114">
        <f t="shared" si="4"/>
        <v>0</v>
      </c>
      <c r="AD9" s="114">
        <f t="shared" si="4"/>
        <v>0</v>
      </c>
      <c r="AE9" s="73">
        <f t="shared" si="4"/>
        <v>42</v>
      </c>
      <c r="AF9" s="73">
        <f t="shared" si="4"/>
        <v>0</v>
      </c>
      <c r="AG9" s="73">
        <f t="shared" si="4"/>
        <v>0</v>
      </c>
    </row>
  </sheetData>
  <mergeCells count="7">
    <mergeCell ref="U2:Z2"/>
    <mergeCell ref="AA2:AE2"/>
    <mergeCell ref="A2:A3"/>
    <mergeCell ref="B2:E2"/>
    <mergeCell ref="F2:H2"/>
    <mergeCell ref="K2:P2"/>
    <mergeCell ref="Q2:T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2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1.140625" customWidth="1"/>
    <col min="2" max="2" width="23.85546875" customWidth="1"/>
    <col min="3" max="3" width="9.42578125" customWidth="1"/>
    <col min="4" max="4" width="16.28515625" customWidth="1"/>
    <col min="5" max="5" width="19.28515625" customWidth="1"/>
  </cols>
  <sheetData>
    <row r="1" spans="1:98">
      <c r="A1" s="197" t="s">
        <v>6461</v>
      </c>
      <c r="B1" s="143"/>
      <c r="C1" s="231" t="s">
        <v>6462</v>
      </c>
      <c r="D1" s="143"/>
      <c r="E1" s="143"/>
      <c r="F1" s="143"/>
      <c r="G1" s="510" t="s">
        <v>2</v>
      </c>
      <c r="H1" s="481"/>
      <c r="I1" s="481"/>
      <c r="J1" s="481"/>
      <c r="K1" s="480"/>
      <c r="L1" s="143" t="s">
        <v>3</v>
      </c>
      <c r="M1" s="143"/>
      <c r="N1" s="143"/>
      <c r="O1" s="143"/>
      <c r="P1" s="143"/>
      <c r="Q1" s="505" t="s">
        <v>4</v>
      </c>
      <c r="R1" s="480"/>
      <c r="S1" s="505" t="s">
        <v>5</v>
      </c>
      <c r="T1" s="481"/>
      <c r="U1" s="481"/>
      <c r="V1" s="480"/>
      <c r="W1" s="143" t="s">
        <v>6</v>
      </c>
      <c r="X1" s="143"/>
      <c r="Y1" s="143"/>
      <c r="Z1" s="143"/>
      <c r="AA1" s="143"/>
      <c r="AB1" s="143"/>
      <c r="AC1" s="505" t="s">
        <v>7</v>
      </c>
      <c r="AD1" s="481"/>
      <c r="AE1" s="481"/>
      <c r="AF1" s="481"/>
      <c r="AG1" s="481"/>
      <c r="AH1" s="480"/>
      <c r="AI1" s="505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505" t="s">
        <v>3542</v>
      </c>
      <c r="BE1" s="481"/>
      <c r="BF1" s="480"/>
      <c r="BG1" s="143"/>
      <c r="BH1" s="143"/>
      <c r="BI1" s="505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05" t="s">
        <v>19</v>
      </c>
      <c r="BX1" s="481"/>
      <c r="BY1" s="480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510" t="s">
        <v>23</v>
      </c>
      <c r="CI1" s="480"/>
      <c r="CJ1" s="143"/>
      <c r="CK1" s="505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28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6463</v>
      </c>
      <c r="B4" s="46" t="s">
        <v>6464</v>
      </c>
      <c r="C4" s="46">
        <v>37</v>
      </c>
      <c r="D4" s="46" t="s">
        <v>2350</v>
      </c>
      <c r="E4" s="46" t="s">
        <v>191</v>
      </c>
      <c r="F4" s="46" t="s">
        <v>2472</v>
      </c>
      <c r="K4" s="46">
        <v>1</v>
      </c>
      <c r="L4" s="46">
        <v>1</v>
      </c>
      <c r="Q4" s="46">
        <v>1</v>
      </c>
      <c r="U4" s="46">
        <v>1</v>
      </c>
      <c r="W4" s="46">
        <v>16</v>
      </c>
      <c r="X4" s="46">
        <v>19</v>
      </c>
      <c r="Y4" s="46">
        <v>20</v>
      </c>
      <c r="Z4" s="46">
        <v>2</v>
      </c>
      <c r="AA4" s="46">
        <v>2</v>
      </c>
      <c r="AB4" s="46">
        <v>2</v>
      </c>
      <c r="AF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O4" s="46" t="s">
        <v>6465</v>
      </c>
      <c r="CB4" s="46">
        <v>1</v>
      </c>
      <c r="CE4" s="46">
        <v>1</v>
      </c>
      <c r="CK4" s="46">
        <v>1</v>
      </c>
      <c r="CR4" s="46">
        <v>1</v>
      </c>
      <c r="CT4" s="46" t="s">
        <v>2704</v>
      </c>
    </row>
    <row r="5" spans="1:98">
      <c r="A5" s="46" t="s">
        <v>6466</v>
      </c>
      <c r="B5" s="46" t="s">
        <v>6467</v>
      </c>
      <c r="C5" s="46">
        <v>50</v>
      </c>
      <c r="D5" s="46" t="s">
        <v>4623</v>
      </c>
      <c r="E5" s="46" t="s">
        <v>6468</v>
      </c>
      <c r="F5" s="46" t="s">
        <v>2472</v>
      </c>
      <c r="K5" s="46">
        <v>1</v>
      </c>
      <c r="L5" s="46">
        <v>1</v>
      </c>
      <c r="Q5" s="46">
        <v>1</v>
      </c>
      <c r="S5" s="46">
        <v>1</v>
      </c>
      <c r="W5" s="46">
        <v>17</v>
      </c>
      <c r="X5" s="46">
        <v>20</v>
      </c>
      <c r="Y5" s="46">
        <v>25</v>
      </c>
      <c r="Z5" s="46">
        <v>5</v>
      </c>
      <c r="AA5" s="46">
        <v>2</v>
      </c>
      <c r="AB5" s="46">
        <v>1</v>
      </c>
      <c r="AC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CB5" s="46">
        <v>1</v>
      </c>
      <c r="CE5" s="46">
        <v>1</v>
      </c>
      <c r="CK5" s="46">
        <v>1</v>
      </c>
      <c r="CR5" s="46">
        <v>1</v>
      </c>
      <c r="CT5" s="46" t="s">
        <v>6440</v>
      </c>
    </row>
    <row r="6" spans="1:98">
      <c r="A6" s="46" t="s">
        <v>6469</v>
      </c>
      <c r="B6" s="46" t="s">
        <v>6470</v>
      </c>
      <c r="C6" s="46">
        <v>24</v>
      </c>
      <c r="D6" s="46" t="s">
        <v>1149</v>
      </c>
      <c r="E6" s="46" t="s">
        <v>6471</v>
      </c>
      <c r="F6" s="46" t="s">
        <v>2472</v>
      </c>
      <c r="K6" s="46">
        <v>1</v>
      </c>
      <c r="N6" s="46">
        <v>1</v>
      </c>
      <c r="Q6" s="46">
        <v>1</v>
      </c>
      <c r="T6" s="46">
        <v>1</v>
      </c>
      <c r="W6" s="46">
        <v>17</v>
      </c>
      <c r="X6" s="46">
        <v>17</v>
      </c>
      <c r="Y6" s="46">
        <v>18</v>
      </c>
      <c r="Z6" s="46">
        <v>1</v>
      </c>
      <c r="AA6" s="46">
        <v>1</v>
      </c>
      <c r="AB6" s="46">
        <v>1</v>
      </c>
      <c r="AC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CB6" s="46">
        <v>1</v>
      </c>
      <c r="CE6" s="46">
        <v>1</v>
      </c>
      <c r="CK6" s="46">
        <v>1</v>
      </c>
      <c r="CR6" s="46">
        <v>1</v>
      </c>
      <c r="CT6" s="46" t="s">
        <v>6440</v>
      </c>
    </row>
    <row r="7" spans="1:98">
      <c r="A7" s="46" t="s">
        <v>6472</v>
      </c>
      <c r="B7" s="46" t="s">
        <v>6473</v>
      </c>
      <c r="C7" s="46">
        <v>51</v>
      </c>
      <c r="D7" s="46" t="s">
        <v>2255</v>
      </c>
      <c r="E7" s="46" t="s">
        <v>6474</v>
      </c>
      <c r="F7" s="46" t="s">
        <v>2472</v>
      </c>
      <c r="K7" s="46">
        <v>1</v>
      </c>
      <c r="M7" s="46">
        <v>1</v>
      </c>
      <c r="Q7" s="46">
        <v>1</v>
      </c>
      <c r="S7" s="46">
        <v>1</v>
      </c>
      <c r="T7" s="46">
        <v>1</v>
      </c>
      <c r="W7" s="46">
        <v>16</v>
      </c>
      <c r="X7" s="46">
        <v>20</v>
      </c>
      <c r="Y7" s="46">
        <v>20</v>
      </c>
      <c r="Z7" s="46">
        <v>6</v>
      </c>
      <c r="AA7" s="46">
        <v>6</v>
      </c>
      <c r="AB7" s="46">
        <v>6</v>
      </c>
      <c r="AE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O7" s="46" t="s">
        <v>6475</v>
      </c>
      <c r="CB7" s="46">
        <v>1</v>
      </c>
      <c r="CE7" s="46">
        <v>1</v>
      </c>
      <c r="CK7" s="46">
        <v>1</v>
      </c>
      <c r="CR7" s="46">
        <v>1</v>
      </c>
      <c r="CT7" s="46" t="s">
        <v>6440</v>
      </c>
    </row>
    <row r="8" spans="1:98">
      <c r="A8" s="46" t="s">
        <v>6476</v>
      </c>
      <c r="B8" s="46" t="s">
        <v>6477</v>
      </c>
      <c r="C8" s="46">
        <v>24</v>
      </c>
      <c r="D8" s="46" t="s">
        <v>6478</v>
      </c>
      <c r="E8" s="46" t="s">
        <v>6479</v>
      </c>
      <c r="F8" s="46" t="s">
        <v>2472</v>
      </c>
      <c r="K8" s="46">
        <v>1</v>
      </c>
      <c r="N8" s="46">
        <v>1</v>
      </c>
      <c r="Q8" s="46">
        <v>1</v>
      </c>
      <c r="U8" s="46">
        <v>1</v>
      </c>
      <c r="W8" s="46">
        <v>14</v>
      </c>
      <c r="X8" s="46">
        <v>16</v>
      </c>
      <c r="Y8" s="46">
        <v>17</v>
      </c>
      <c r="Z8" s="46">
        <v>3</v>
      </c>
      <c r="AA8" s="46">
        <v>3</v>
      </c>
      <c r="AB8" s="46">
        <v>3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B8" s="46">
        <v>1</v>
      </c>
      <c r="CE8" s="46">
        <v>1</v>
      </c>
      <c r="CK8" s="46">
        <v>1</v>
      </c>
      <c r="CR8" s="46">
        <v>1</v>
      </c>
      <c r="CT8" s="46" t="s">
        <v>6346</v>
      </c>
    </row>
    <row r="9" spans="1:98">
      <c r="A9" s="46" t="s">
        <v>6480</v>
      </c>
      <c r="B9" s="46" t="s">
        <v>2889</v>
      </c>
      <c r="C9" s="46">
        <v>48</v>
      </c>
      <c r="D9" s="46" t="s">
        <v>6481</v>
      </c>
      <c r="E9" s="46" t="s">
        <v>6482</v>
      </c>
      <c r="F9" s="46" t="s">
        <v>2472</v>
      </c>
      <c r="K9" s="46">
        <v>1</v>
      </c>
      <c r="M9" s="46">
        <v>1</v>
      </c>
      <c r="Q9" s="46">
        <v>1</v>
      </c>
      <c r="U9" s="46">
        <v>1</v>
      </c>
      <c r="W9" s="46">
        <v>16</v>
      </c>
      <c r="X9" s="46">
        <v>18</v>
      </c>
      <c r="Y9" s="46">
        <v>24</v>
      </c>
      <c r="Z9" s="46">
        <v>8</v>
      </c>
      <c r="AA9" s="46">
        <v>8</v>
      </c>
      <c r="AB9" s="46">
        <v>8</v>
      </c>
      <c r="AD9" s="46">
        <v>1</v>
      </c>
      <c r="AF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46" t="s">
        <v>6346</v>
      </c>
    </row>
    <row r="10" spans="1:98">
      <c r="A10" s="46" t="s">
        <v>6483</v>
      </c>
      <c r="B10" s="46" t="s">
        <v>6484</v>
      </c>
      <c r="C10" s="46">
        <v>38</v>
      </c>
      <c r="D10" s="46" t="s">
        <v>2642</v>
      </c>
      <c r="E10" s="46" t="s">
        <v>6485</v>
      </c>
      <c r="F10" s="46" t="s">
        <v>2472</v>
      </c>
      <c r="K10" s="46">
        <v>1</v>
      </c>
      <c r="M10" s="46">
        <v>1</v>
      </c>
      <c r="Q10" s="46">
        <v>1</v>
      </c>
      <c r="T10" s="46">
        <v>1</v>
      </c>
      <c r="W10" s="46">
        <v>16</v>
      </c>
      <c r="X10" s="46">
        <v>15</v>
      </c>
      <c r="Y10" s="46">
        <v>20</v>
      </c>
      <c r="Z10" s="46">
        <v>3</v>
      </c>
      <c r="AA10" s="46">
        <v>3</v>
      </c>
      <c r="AB10" s="46">
        <v>3</v>
      </c>
      <c r="AF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46" t="s">
        <v>6346</v>
      </c>
    </row>
    <row r="11" spans="1:98">
      <c r="A11" s="46" t="s">
        <v>6486</v>
      </c>
      <c r="B11" s="46" t="s">
        <v>6487</v>
      </c>
      <c r="C11" s="46">
        <v>62</v>
      </c>
      <c r="D11" s="46" t="s">
        <v>2710</v>
      </c>
      <c r="E11" s="46" t="s">
        <v>6488</v>
      </c>
      <c r="F11" s="46" t="s">
        <v>2523</v>
      </c>
      <c r="K11" s="46">
        <v>1</v>
      </c>
      <c r="M11" s="46">
        <v>1</v>
      </c>
      <c r="Q11" s="46">
        <v>1</v>
      </c>
      <c r="U11" s="46">
        <v>1</v>
      </c>
      <c r="W11" s="46">
        <v>14</v>
      </c>
      <c r="X11" s="46">
        <v>19</v>
      </c>
      <c r="Y11" s="46">
        <v>19</v>
      </c>
      <c r="Z11" s="46">
        <v>5</v>
      </c>
      <c r="AA11" s="46">
        <v>5</v>
      </c>
      <c r="AB11" s="46">
        <v>5</v>
      </c>
      <c r="AE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46" t="s">
        <v>6346</v>
      </c>
    </row>
    <row r="12" spans="1:98">
      <c r="A12" s="46" t="s">
        <v>6489</v>
      </c>
      <c r="B12" s="46" t="s">
        <v>6490</v>
      </c>
      <c r="C12" s="46">
        <v>49</v>
      </c>
      <c r="D12" s="46" t="s">
        <v>1162</v>
      </c>
      <c r="E12" s="46" t="s">
        <v>6491</v>
      </c>
      <c r="F12" s="46" t="s">
        <v>2472</v>
      </c>
      <c r="K12" s="46">
        <v>1</v>
      </c>
      <c r="M12" s="46">
        <v>1</v>
      </c>
      <c r="Q12" s="46">
        <v>1</v>
      </c>
      <c r="U12" s="46">
        <v>1</v>
      </c>
      <c r="W12" s="46">
        <v>17</v>
      </c>
      <c r="X12" s="46">
        <v>20</v>
      </c>
      <c r="Y12" s="46">
        <v>20</v>
      </c>
      <c r="Z12" s="46">
        <v>4</v>
      </c>
      <c r="AA12" s="46">
        <v>4</v>
      </c>
      <c r="AB12" s="46">
        <v>4</v>
      </c>
      <c r="AF12" s="46">
        <v>1</v>
      </c>
      <c r="AJ12" s="46">
        <v>1</v>
      </c>
      <c r="AK12" s="46">
        <v>1</v>
      </c>
      <c r="AT12" s="46">
        <v>1</v>
      </c>
      <c r="AW12" s="46">
        <v>1</v>
      </c>
      <c r="BB12" s="46">
        <v>1</v>
      </c>
      <c r="BG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6346</v>
      </c>
    </row>
    <row r="13" spans="1:98">
      <c r="A13" s="46" t="s">
        <v>6492</v>
      </c>
      <c r="B13" s="46" t="s">
        <v>6493</v>
      </c>
      <c r="C13" s="46">
        <v>39</v>
      </c>
      <c r="D13" s="46" t="s">
        <v>2350</v>
      </c>
      <c r="E13" s="46" t="s">
        <v>6494</v>
      </c>
      <c r="F13" s="46" t="s">
        <v>2472</v>
      </c>
      <c r="K13" s="46">
        <v>1</v>
      </c>
      <c r="M13" s="46">
        <v>1</v>
      </c>
      <c r="Q13" s="46">
        <v>1</v>
      </c>
      <c r="U13" s="46">
        <v>1</v>
      </c>
      <c r="W13" s="46">
        <v>13</v>
      </c>
      <c r="X13" s="46">
        <v>25</v>
      </c>
      <c r="Y13" s="46">
        <v>27</v>
      </c>
      <c r="Z13" s="46">
        <v>4</v>
      </c>
      <c r="AA13" s="46">
        <v>4</v>
      </c>
      <c r="AB13" s="46">
        <v>4</v>
      </c>
      <c r="AF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Y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6346</v>
      </c>
    </row>
    <row r="14" spans="1:98">
      <c r="A14" s="46" t="s">
        <v>6495</v>
      </c>
      <c r="B14" s="46" t="s">
        <v>6496</v>
      </c>
      <c r="C14" s="46">
        <v>34</v>
      </c>
      <c r="D14" s="46" t="s">
        <v>2350</v>
      </c>
      <c r="E14" s="46" t="s">
        <v>6497</v>
      </c>
      <c r="F14" s="46" t="s">
        <v>2472</v>
      </c>
      <c r="K14" s="46">
        <v>1</v>
      </c>
      <c r="M14" s="46">
        <v>1</v>
      </c>
      <c r="Q14" s="46">
        <v>1</v>
      </c>
      <c r="V14" s="46">
        <v>1</v>
      </c>
      <c r="W14" s="46">
        <v>15</v>
      </c>
      <c r="X14" s="46">
        <v>15</v>
      </c>
      <c r="Y14" s="46">
        <v>16</v>
      </c>
      <c r="Z14" s="46">
        <v>6</v>
      </c>
      <c r="AA14" s="46">
        <v>6</v>
      </c>
      <c r="AB14" s="46">
        <v>6</v>
      </c>
      <c r="AE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Y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6346</v>
      </c>
    </row>
    <row r="15" spans="1:98">
      <c r="A15" s="46" t="s">
        <v>6498</v>
      </c>
      <c r="B15" s="46" t="s">
        <v>6499</v>
      </c>
      <c r="C15" s="46">
        <v>36</v>
      </c>
      <c r="D15" s="46" t="s">
        <v>4623</v>
      </c>
      <c r="E15" s="46" t="s">
        <v>6500</v>
      </c>
      <c r="F15" s="46" t="s">
        <v>4494</v>
      </c>
      <c r="K15" s="46">
        <v>1</v>
      </c>
      <c r="M15" s="46">
        <v>1</v>
      </c>
      <c r="Q15" s="46">
        <v>1</v>
      </c>
      <c r="V15" s="46">
        <v>1</v>
      </c>
      <c r="W15" s="46">
        <v>15</v>
      </c>
      <c r="X15" s="46">
        <v>27</v>
      </c>
      <c r="Y15" s="46">
        <v>27</v>
      </c>
      <c r="Z15" s="46">
        <v>3</v>
      </c>
      <c r="AA15" s="46">
        <v>3</v>
      </c>
      <c r="AB15" s="46">
        <v>3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6346</v>
      </c>
    </row>
    <row r="16" spans="1:98">
      <c r="A16" s="46" t="s">
        <v>6501</v>
      </c>
      <c r="B16" s="46" t="s">
        <v>6502</v>
      </c>
      <c r="C16" s="46">
        <v>38</v>
      </c>
      <c r="D16" s="46" t="s">
        <v>2288</v>
      </c>
      <c r="E16" s="46" t="s">
        <v>6503</v>
      </c>
      <c r="F16" s="46" t="s">
        <v>3363</v>
      </c>
      <c r="K16" s="46">
        <v>1</v>
      </c>
      <c r="M16" s="46">
        <v>1</v>
      </c>
      <c r="Q16" s="46">
        <v>1</v>
      </c>
      <c r="U16" s="46">
        <v>1</v>
      </c>
      <c r="W16" s="46">
        <v>13</v>
      </c>
      <c r="X16" s="46">
        <v>21</v>
      </c>
      <c r="Y16" s="46">
        <v>21</v>
      </c>
      <c r="Z16" s="46">
        <v>3</v>
      </c>
      <c r="AA16" s="46">
        <v>3</v>
      </c>
      <c r="AB16" s="46">
        <v>3</v>
      </c>
      <c r="AC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BY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6346</v>
      </c>
    </row>
    <row r="17" spans="1:98">
      <c r="A17" s="46" t="s">
        <v>6504</v>
      </c>
      <c r="B17" s="46" t="s">
        <v>6505</v>
      </c>
      <c r="C17" s="46">
        <v>42</v>
      </c>
      <c r="D17" s="46" t="s">
        <v>1448</v>
      </c>
      <c r="E17" s="46" t="s">
        <v>6506</v>
      </c>
      <c r="F17" s="46" t="s">
        <v>2523</v>
      </c>
      <c r="K17" s="46">
        <v>1</v>
      </c>
      <c r="M17" s="46">
        <v>1</v>
      </c>
      <c r="Q17" s="46">
        <v>1</v>
      </c>
      <c r="U17" s="46">
        <v>1</v>
      </c>
      <c r="W17" s="46">
        <v>16</v>
      </c>
      <c r="X17" s="46">
        <v>20</v>
      </c>
      <c r="Y17" s="46">
        <v>21</v>
      </c>
      <c r="Z17" s="46">
        <v>6</v>
      </c>
      <c r="AA17" s="46">
        <v>6</v>
      </c>
      <c r="AB17" s="46">
        <v>6</v>
      </c>
      <c r="AC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6346</v>
      </c>
    </row>
    <row r="18" spans="1:98">
      <c r="A18" s="46" t="s">
        <v>6507</v>
      </c>
      <c r="B18" s="46" t="s">
        <v>6508</v>
      </c>
      <c r="C18" s="46">
        <v>48</v>
      </c>
      <c r="D18" s="46" t="s">
        <v>1162</v>
      </c>
      <c r="E18" s="46" t="s">
        <v>6509</v>
      </c>
      <c r="F18" s="46" t="s">
        <v>2472</v>
      </c>
      <c r="K18" s="46">
        <v>1</v>
      </c>
      <c r="N18" s="46">
        <v>1</v>
      </c>
      <c r="Q18" s="46">
        <v>1</v>
      </c>
      <c r="U18" s="46">
        <v>1</v>
      </c>
      <c r="W18" s="46">
        <v>14</v>
      </c>
      <c r="X18" s="46">
        <v>12</v>
      </c>
      <c r="Y18" s="46">
        <v>18</v>
      </c>
      <c r="Z18" s="46">
        <v>4</v>
      </c>
      <c r="AA18" s="46">
        <v>4</v>
      </c>
      <c r="AB18" s="46">
        <v>4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B18" s="46">
        <v>1</v>
      </c>
      <c r="BG18" s="46">
        <v>1</v>
      </c>
      <c r="BK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6346</v>
      </c>
    </row>
    <row r="19" spans="1:98">
      <c r="A19" s="46" t="s">
        <v>6510</v>
      </c>
      <c r="B19" s="46" t="s">
        <v>6511</v>
      </c>
      <c r="C19" s="46">
        <v>50</v>
      </c>
      <c r="D19" s="46" t="s">
        <v>1162</v>
      </c>
      <c r="E19" s="46" t="s">
        <v>6512</v>
      </c>
      <c r="F19" s="46" t="s">
        <v>2472</v>
      </c>
      <c r="K19" s="46">
        <v>1</v>
      </c>
      <c r="L19" s="46">
        <v>1</v>
      </c>
      <c r="R19" s="46">
        <v>1</v>
      </c>
      <c r="S19" s="46">
        <v>1</v>
      </c>
      <c r="W19" s="46">
        <v>13</v>
      </c>
      <c r="X19" s="46">
        <v>15</v>
      </c>
      <c r="Y19" s="46">
        <v>16</v>
      </c>
      <c r="Z19" s="46">
        <v>10</v>
      </c>
      <c r="AA19" s="46">
        <v>9</v>
      </c>
      <c r="AB19" s="46">
        <v>7</v>
      </c>
      <c r="AG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K19" s="46">
        <v>1</v>
      </c>
      <c r="CR19" s="46">
        <v>1</v>
      </c>
      <c r="CT19" s="46" t="s">
        <v>6346</v>
      </c>
    </row>
    <row r="20" spans="1:98">
      <c r="A20" s="46" t="s">
        <v>6513</v>
      </c>
      <c r="B20" s="46" t="s">
        <v>6514</v>
      </c>
      <c r="C20" s="46">
        <v>18</v>
      </c>
      <c r="D20" s="46" t="s">
        <v>2350</v>
      </c>
      <c r="E20" s="46" t="s">
        <v>6515</v>
      </c>
      <c r="F20" s="46" t="s">
        <v>2472</v>
      </c>
      <c r="K20" s="46">
        <v>1</v>
      </c>
      <c r="N20" s="46">
        <v>1</v>
      </c>
      <c r="Q20" s="46">
        <v>1</v>
      </c>
      <c r="T20" s="46">
        <v>1</v>
      </c>
      <c r="W20" s="46">
        <v>14</v>
      </c>
      <c r="X20" s="46">
        <v>15</v>
      </c>
      <c r="Y20" s="46">
        <v>17</v>
      </c>
      <c r="Z20" s="46">
        <v>1</v>
      </c>
      <c r="AA20" s="46">
        <v>1</v>
      </c>
      <c r="AB20" s="46">
        <v>1</v>
      </c>
      <c r="AF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6346</v>
      </c>
    </row>
    <row r="21" spans="1:98">
      <c r="A21" s="46" t="s">
        <v>6516</v>
      </c>
      <c r="B21" s="46" t="s">
        <v>6517</v>
      </c>
      <c r="C21" s="46">
        <v>21</v>
      </c>
      <c r="D21" s="46" t="s">
        <v>6518</v>
      </c>
      <c r="E21" s="46" t="s">
        <v>6519</v>
      </c>
      <c r="F21" s="46" t="s">
        <v>2472</v>
      </c>
      <c r="K21" s="46">
        <v>1</v>
      </c>
      <c r="N21" s="46">
        <v>1</v>
      </c>
      <c r="Q21" s="46">
        <v>1</v>
      </c>
      <c r="T21" s="46">
        <v>1</v>
      </c>
      <c r="W21" s="46">
        <v>13</v>
      </c>
      <c r="X21" s="46">
        <v>13</v>
      </c>
      <c r="Y21" s="46">
        <v>14</v>
      </c>
      <c r="Z21" s="46">
        <v>3</v>
      </c>
      <c r="AA21" s="46">
        <v>3</v>
      </c>
      <c r="AB21" s="46">
        <v>3</v>
      </c>
      <c r="AF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6346</v>
      </c>
    </row>
    <row r="22" spans="1:98">
      <c r="A22" s="46" t="s">
        <v>6520</v>
      </c>
      <c r="B22" s="46" t="s">
        <v>6521</v>
      </c>
      <c r="C22" s="46">
        <v>54</v>
      </c>
      <c r="D22" s="46" t="s">
        <v>1162</v>
      </c>
      <c r="E22" s="46" t="s">
        <v>6522</v>
      </c>
      <c r="F22" s="46" t="s">
        <v>2472</v>
      </c>
      <c r="K22" s="46">
        <v>1</v>
      </c>
      <c r="M22" s="46">
        <v>1</v>
      </c>
      <c r="Q22" s="46">
        <v>1</v>
      </c>
      <c r="T22" s="46">
        <v>1</v>
      </c>
      <c r="W22" s="46">
        <v>17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H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6346</v>
      </c>
    </row>
    <row r="23" spans="1:98">
      <c r="A23" s="46" t="s">
        <v>6523</v>
      </c>
      <c r="B23" s="46" t="s">
        <v>6524</v>
      </c>
      <c r="C23" s="46">
        <v>54</v>
      </c>
      <c r="D23" s="46" t="s">
        <v>1448</v>
      </c>
      <c r="E23" s="46" t="s">
        <v>6525</v>
      </c>
      <c r="F23" s="46" t="s">
        <v>3363</v>
      </c>
      <c r="K23" s="46">
        <v>1</v>
      </c>
      <c r="Q23" s="46">
        <v>1</v>
      </c>
      <c r="T23" s="46">
        <v>1</v>
      </c>
      <c r="W23" s="46">
        <v>12</v>
      </c>
      <c r="X23" s="46">
        <v>15</v>
      </c>
      <c r="Y23" s="46">
        <v>15</v>
      </c>
      <c r="Z23" s="46">
        <v>5</v>
      </c>
      <c r="AA23" s="46">
        <v>5</v>
      </c>
      <c r="AB23" s="46">
        <v>5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6346</v>
      </c>
    </row>
    <row r="24" spans="1:98">
      <c r="A24" s="46" t="s">
        <v>6526</v>
      </c>
      <c r="B24" s="46" t="s">
        <v>6527</v>
      </c>
      <c r="C24" s="46">
        <v>52</v>
      </c>
      <c r="D24" s="46" t="s">
        <v>1162</v>
      </c>
      <c r="E24" s="46" t="s">
        <v>6528</v>
      </c>
      <c r="F24" s="46" t="s">
        <v>2472</v>
      </c>
      <c r="K24" s="46">
        <v>1</v>
      </c>
      <c r="L24" s="46">
        <v>1</v>
      </c>
      <c r="Q24" s="46">
        <v>1</v>
      </c>
      <c r="V24" s="46">
        <v>1</v>
      </c>
      <c r="W24" s="46">
        <v>15</v>
      </c>
      <c r="X24" s="46">
        <v>16</v>
      </c>
      <c r="Y24" s="46">
        <v>32</v>
      </c>
      <c r="Z24" s="46">
        <v>1</v>
      </c>
      <c r="AA24" s="46">
        <v>1</v>
      </c>
      <c r="AB24" s="46">
        <v>1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6346</v>
      </c>
    </row>
    <row r="25" spans="1:98">
      <c r="A25" s="46" t="s">
        <v>6529</v>
      </c>
      <c r="B25" s="46" t="s">
        <v>6530</v>
      </c>
      <c r="C25" s="46">
        <v>36</v>
      </c>
      <c r="D25" s="46" t="s">
        <v>6531</v>
      </c>
      <c r="E25" s="46" t="s">
        <v>6532</v>
      </c>
      <c r="F25" s="46" t="s">
        <v>145</v>
      </c>
      <c r="K25" s="46">
        <v>1</v>
      </c>
      <c r="N25" s="46">
        <v>1</v>
      </c>
      <c r="Q25" s="46">
        <v>1</v>
      </c>
      <c r="U25" s="46">
        <v>1</v>
      </c>
      <c r="W25" s="46">
        <v>15</v>
      </c>
      <c r="X25" s="46">
        <v>19</v>
      </c>
      <c r="Y25" s="46">
        <v>30</v>
      </c>
      <c r="Z25" s="46">
        <v>1</v>
      </c>
      <c r="AA25" s="46">
        <v>1</v>
      </c>
      <c r="AB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6346</v>
      </c>
    </row>
    <row r="26" spans="1:98">
      <c r="A26" s="46" t="s">
        <v>6533</v>
      </c>
      <c r="B26" s="46" t="s">
        <v>6534</v>
      </c>
      <c r="C26" s="46">
        <v>38</v>
      </c>
      <c r="D26" s="46" t="s">
        <v>2642</v>
      </c>
      <c r="E26" s="46" t="s">
        <v>6535</v>
      </c>
      <c r="F26" s="46" t="s">
        <v>2472</v>
      </c>
      <c r="K26" s="46">
        <v>1</v>
      </c>
      <c r="M26" s="46">
        <v>1</v>
      </c>
      <c r="Q26" s="46">
        <v>1</v>
      </c>
      <c r="U26" s="46">
        <v>1</v>
      </c>
      <c r="W26" s="46">
        <v>12</v>
      </c>
      <c r="X26" s="46">
        <v>12</v>
      </c>
      <c r="Y26" s="46">
        <v>24</v>
      </c>
      <c r="Z26" s="46">
        <v>5</v>
      </c>
      <c r="AA26" s="46">
        <v>5</v>
      </c>
      <c r="AB26" s="46">
        <v>5</v>
      </c>
      <c r="AC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J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6536</v>
      </c>
    </row>
    <row r="27" spans="1:98">
      <c r="A27" s="46" t="s">
        <v>6537</v>
      </c>
      <c r="B27" s="46" t="s">
        <v>6538</v>
      </c>
      <c r="C27" s="46">
        <v>64</v>
      </c>
      <c r="D27" s="46" t="s">
        <v>4623</v>
      </c>
      <c r="E27" s="46" t="s">
        <v>6539</v>
      </c>
      <c r="F27" s="46" t="s">
        <v>2574</v>
      </c>
      <c r="K27" s="46">
        <v>1</v>
      </c>
      <c r="M27" s="46">
        <v>1</v>
      </c>
      <c r="Q27" s="46">
        <v>1</v>
      </c>
      <c r="T27" s="46">
        <v>1</v>
      </c>
      <c r="W27" s="46">
        <v>15</v>
      </c>
      <c r="X27" s="46">
        <v>20</v>
      </c>
      <c r="Y27" s="46">
        <v>28</v>
      </c>
      <c r="Z27" s="46">
        <v>8</v>
      </c>
      <c r="AA27" s="46">
        <v>8</v>
      </c>
      <c r="AB27" s="46">
        <v>5</v>
      </c>
      <c r="AG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L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6346</v>
      </c>
    </row>
    <row r="28" spans="1:98">
      <c r="A28" s="46" t="s">
        <v>6540</v>
      </c>
      <c r="B28" s="46" t="s">
        <v>6541</v>
      </c>
      <c r="C28" s="46">
        <v>58</v>
      </c>
      <c r="D28" s="46" t="s">
        <v>6478</v>
      </c>
      <c r="E28" s="46" t="s">
        <v>6542</v>
      </c>
      <c r="F28" s="46" t="s">
        <v>2472</v>
      </c>
      <c r="K28" s="46">
        <v>1</v>
      </c>
      <c r="P28" s="46">
        <v>1</v>
      </c>
      <c r="Q28" s="46">
        <v>1</v>
      </c>
      <c r="U28" s="46">
        <v>1</v>
      </c>
      <c r="W28" s="46">
        <v>14</v>
      </c>
      <c r="X28" s="46">
        <v>17</v>
      </c>
      <c r="Y28" s="46">
        <v>20</v>
      </c>
      <c r="Z28" s="46">
        <v>10</v>
      </c>
      <c r="AA28" s="46">
        <v>5</v>
      </c>
      <c r="AB28" s="46">
        <v>5</v>
      </c>
      <c r="AC28" s="46">
        <v>1</v>
      </c>
      <c r="AJ28" s="46">
        <v>1</v>
      </c>
      <c r="AK28" s="46">
        <v>1</v>
      </c>
      <c r="AT28" s="46">
        <v>1</v>
      </c>
      <c r="AW28" s="46">
        <v>1</v>
      </c>
      <c r="BB28" s="46">
        <v>1</v>
      </c>
      <c r="BG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6346</v>
      </c>
    </row>
    <row r="29" spans="1:98">
      <c r="A29" s="46" t="s">
        <v>6543</v>
      </c>
      <c r="B29" s="46" t="s">
        <v>6544</v>
      </c>
      <c r="C29" s="46">
        <v>48</v>
      </c>
      <c r="D29" s="46" t="s">
        <v>2642</v>
      </c>
      <c r="E29" s="46" t="s">
        <v>6545</v>
      </c>
      <c r="F29" s="46" t="s">
        <v>2472</v>
      </c>
      <c r="K29" s="46">
        <v>1</v>
      </c>
      <c r="L29" s="46">
        <v>1</v>
      </c>
      <c r="Q29" s="46">
        <v>1</v>
      </c>
      <c r="U29" s="46">
        <v>1</v>
      </c>
      <c r="W29" s="46">
        <v>14</v>
      </c>
      <c r="X29" s="46">
        <v>20</v>
      </c>
      <c r="Y29" s="46">
        <v>28</v>
      </c>
      <c r="Z29" s="46">
        <v>3</v>
      </c>
      <c r="AA29" s="46">
        <v>3</v>
      </c>
      <c r="AB29" s="46">
        <v>3</v>
      </c>
      <c r="AC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L29" s="46">
        <v>1</v>
      </c>
      <c r="BY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6346</v>
      </c>
    </row>
  </sheetData>
  <mergeCells count="19">
    <mergeCell ref="G1:K1"/>
    <mergeCell ref="Q1:R1"/>
    <mergeCell ref="S1:V1"/>
    <mergeCell ref="AC1:AH1"/>
    <mergeCell ref="AI1:AJ1"/>
    <mergeCell ref="AK1:AM1"/>
    <mergeCell ref="AN1:AP1"/>
    <mergeCell ref="CH1:CI1"/>
    <mergeCell ref="CK1:CN1"/>
    <mergeCell ref="CO1:CP1"/>
    <mergeCell ref="BP1:BR1"/>
    <mergeCell ref="BS1:BT1"/>
    <mergeCell ref="BW1:BY1"/>
    <mergeCell ref="BJ2:BK2"/>
    <mergeCell ref="BL2:BO2"/>
    <mergeCell ref="AQ1:AS1"/>
    <mergeCell ref="AV1:AZ1"/>
    <mergeCell ref="BD1:BF1"/>
    <mergeCell ref="BI1:BO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6546</v>
      </c>
      <c r="B3" s="69">
        <v>4</v>
      </c>
      <c r="C3" s="69"/>
      <c r="D3" s="69"/>
      <c r="E3" s="69">
        <f>SUM(B3:D3)</f>
        <v>4</v>
      </c>
      <c r="F3" s="70"/>
      <c r="G3" s="70">
        <v>3</v>
      </c>
      <c r="H3" s="70">
        <v>1</v>
      </c>
      <c r="I3" s="70"/>
      <c r="J3" s="71">
        <f t="shared" ref="J3:J8" si="0">SUM(F3:I3)</f>
        <v>4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1">SUM(K3:O3)</f>
        <v>0</v>
      </c>
      <c r="Q3" s="70"/>
      <c r="R3" s="70"/>
      <c r="S3" s="70">
        <v>1</v>
      </c>
      <c r="T3" s="71">
        <f t="shared" ref="T3:T8" si="2">SUM(Q3:S3)</f>
        <v>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4</v>
      </c>
      <c r="AB3" s="73"/>
      <c r="AC3" s="73"/>
      <c r="AD3" s="73"/>
      <c r="AE3" s="186">
        <f>SUM(AA3,AB3,AC3,AD3)</f>
        <v>4</v>
      </c>
      <c r="AF3" s="73">
        <v>0</v>
      </c>
      <c r="AG3" s="73">
        <v>0</v>
      </c>
    </row>
    <row r="4" spans="1:33">
      <c r="A4" s="77" t="s">
        <v>6547</v>
      </c>
      <c r="B4" s="69">
        <v>8</v>
      </c>
      <c r="C4" s="69"/>
      <c r="D4" s="69"/>
      <c r="E4" s="69">
        <f>SUM(B4:D4)</f>
        <v>8</v>
      </c>
      <c r="F4" s="70">
        <v>1</v>
      </c>
      <c r="G4" s="70">
        <v>7</v>
      </c>
      <c r="H4" s="70">
        <v>0</v>
      </c>
      <c r="I4" s="70">
        <v>0</v>
      </c>
      <c r="J4" s="71">
        <f t="shared" si="0"/>
        <v>8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 t="shared" si="1"/>
        <v>0</v>
      </c>
      <c r="Q4" s="70">
        <v>1</v>
      </c>
      <c r="R4" s="70"/>
      <c r="S4" s="70">
        <v>4</v>
      </c>
      <c r="T4" s="71">
        <f t="shared" si="2"/>
        <v>5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8</v>
      </c>
      <c r="AB4" s="73"/>
      <c r="AC4" s="73"/>
      <c r="AD4" s="73"/>
      <c r="AE4" s="186">
        <f>SUM(AA4,AB4,AC4,AD4)</f>
        <v>8</v>
      </c>
      <c r="AF4" s="73">
        <v>0</v>
      </c>
      <c r="AG4" s="73">
        <v>0</v>
      </c>
    </row>
    <row r="5" spans="1:33">
      <c r="A5" s="77" t="s">
        <v>4225</v>
      </c>
      <c r="B5" s="69">
        <v>7</v>
      </c>
      <c r="C5" s="69"/>
      <c r="D5" s="69"/>
      <c r="E5" s="69">
        <f>SUM(B5:D5)</f>
        <v>7</v>
      </c>
      <c r="F5" s="70"/>
      <c r="G5" s="70">
        <v>5</v>
      </c>
      <c r="H5" s="70">
        <v>1</v>
      </c>
      <c r="I5" s="70"/>
      <c r="J5" s="71">
        <f t="shared" si="0"/>
        <v>6</v>
      </c>
      <c r="K5" s="70">
        <v>1</v>
      </c>
      <c r="L5" s="70">
        <v>0</v>
      </c>
      <c r="M5" s="70">
        <v>0</v>
      </c>
      <c r="N5" s="70">
        <v>0</v>
      </c>
      <c r="O5" s="70">
        <v>0</v>
      </c>
      <c r="P5" s="71">
        <f t="shared" si="1"/>
        <v>1</v>
      </c>
      <c r="Q5" s="70"/>
      <c r="R5" s="70"/>
      <c r="S5" s="70">
        <v>2</v>
      </c>
      <c r="T5" s="71">
        <f t="shared" si="2"/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7</v>
      </c>
      <c r="AB5" s="73"/>
      <c r="AC5" s="73"/>
      <c r="AD5" s="73"/>
      <c r="AE5" s="186">
        <f>SUM(AA5,AB5,AC5,AD5)</f>
        <v>7</v>
      </c>
      <c r="AF5" s="73">
        <v>0</v>
      </c>
      <c r="AG5" s="73">
        <v>0</v>
      </c>
    </row>
    <row r="6" spans="1:33">
      <c r="A6" s="77" t="s">
        <v>555</v>
      </c>
      <c r="B6" s="69">
        <v>5</v>
      </c>
      <c r="C6" s="69"/>
      <c r="D6" s="69"/>
      <c r="E6" s="69">
        <f>SUM(B6:D6)</f>
        <v>5</v>
      </c>
      <c r="F6" s="70"/>
      <c r="G6" s="70">
        <v>3</v>
      </c>
      <c r="H6" s="70">
        <v>2</v>
      </c>
      <c r="I6" s="70"/>
      <c r="J6" s="71">
        <f t="shared" si="0"/>
        <v>5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1">
        <f t="shared" si="1"/>
        <v>0</v>
      </c>
      <c r="Q6" s="70"/>
      <c r="R6" s="70"/>
      <c r="S6" s="70">
        <v>0</v>
      </c>
      <c r="T6" s="71">
        <f t="shared" si="2"/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5</v>
      </c>
      <c r="AB6" s="73"/>
      <c r="AC6" s="73"/>
      <c r="AD6" s="73"/>
      <c r="AE6" s="186">
        <f>SUM(AA6,AB6,AC6,AD6)</f>
        <v>5</v>
      </c>
      <c r="AF6" s="73">
        <v>0</v>
      </c>
      <c r="AG6" s="73">
        <v>0</v>
      </c>
    </row>
    <row r="7" spans="1:33">
      <c r="A7" s="191" t="s">
        <v>1364</v>
      </c>
      <c r="B7" s="69">
        <v>2</v>
      </c>
      <c r="C7" s="69"/>
      <c r="D7" s="69"/>
      <c r="E7" s="69">
        <f>SUM(B7:D7)</f>
        <v>2</v>
      </c>
      <c r="F7" s="69"/>
      <c r="G7" s="69">
        <v>1</v>
      </c>
      <c r="H7" s="69"/>
      <c r="I7" s="69"/>
      <c r="J7" s="71">
        <f t="shared" si="0"/>
        <v>1</v>
      </c>
      <c r="K7" s="114">
        <v>1</v>
      </c>
      <c r="L7" s="70">
        <v>0</v>
      </c>
      <c r="M7" s="70">
        <v>0</v>
      </c>
      <c r="N7" s="70">
        <v>0</v>
      </c>
      <c r="O7" s="70">
        <v>0</v>
      </c>
      <c r="P7" s="71">
        <f t="shared" si="1"/>
        <v>1</v>
      </c>
      <c r="Q7" s="114"/>
      <c r="R7" s="114"/>
      <c r="S7" s="114">
        <v>0</v>
      </c>
      <c r="T7" s="71">
        <f t="shared" si="2"/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114">
        <v>2</v>
      </c>
      <c r="AB7" s="114"/>
      <c r="AC7" s="114"/>
      <c r="AD7" s="114"/>
      <c r="AE7" s="186">
        <f>SUM(AA7,AB7,AC7,AD7)</f>
        <v>2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3">SUM(B3:B7)</f>
        <v>26</v>
      </c>
      <c r="C8" s="69">
        <f t="shared" si="3"/>
        <v>0</v>
      </c>
      <c r="D8" s="69">
        <f t="shared" si="3"/>
        <v>0</v>
      </c>
      <c r="E8" s="69">
        <f t="shared" si="3"/>
        <v>26</v>
      </c>
      <c r="F8" s="69">
        <f t="shared" si="3"/>
        <v>1</v>
      </c>
      <c r="G8" s="69">
        <f t="shared" si="3"/>
        <v>19</v>
      </c>
      <c r="H8" s="69">
        <f t="shared" si="3"/>
        <v>4</v>
      </c>
      <c r="I8" s="69">
        <f t="shared" si="3"/>
        <v>0</v>
      </c>
      <c r="J8" s="71">
        <f t="shared" si="0"/>
        <v>24</v>
      </c>
      <c r="K8" s="114">
        <f>SUM(K3:K7)</f>
        <v>2</v>
      </c>
      <c r="L8" s="114">
        <f>SUM(L3:L7)</f>
        <v>0</v>
      </c>
      <c r="M8" s="114">
        <f>SUM(M3:M7)</f>
        <v>0</v>
      </c>
      <c r="N8" s="114">
        <f>SUM(N3:N7)</f>
        <v>0</v>
      </c>
      <c r="O8" s="114">
        <f>SUM(O3:O7)</f>
        <v>0</v>
      </c>
      <c r="P8" s="71">
        <f t="shared" si="1"/>
        <v>2</v>
      </c>
      <c r="Q8" s="114">
        <f>SUM(Q3:Q7)</f>
        <v>1</v>
      </c>
      <c r="R8" s="114">
        <f>SUM(R3:R7)</f>
        <v>0</v>
      </c>
      <c r="S8" s="114">
        <f>SUM(S3:S7)</f>
        <v>7</v>
      </c>
      <c r="T8" s="241">
        <f t="shared" si="2"/>
        <v>8</v>
      </c>
      <c r="U8" s="114">
        <f>SUM(U3:U7)</f>
        <v>0</v>
      </c>
      <c r="V8" s="114">
        <f>SUM(V3:V7)</f>
        <v>0</v>
      </c>
      <c r="W8" s="114">
        <f>SUM(W3:W7)</f>
        <v>0</v>
      </c>
      <c r="X8" s="114">
        <f>SUM(X3:X7)</f>
        <v>0</v>
      </c>
      <c r="Y8" s="114">
        <f>SUM(Y3:Y7)</f>
        <v>0</v>
      </c>
      <c r="Z8" s="114">
        <f>SUM(Z3:Z6)</f>
        <v>0</v>
      </c>
      <c r="AA8" s="114">
        <f t="shared" ref="AA8:AG8" si="4">SUM(AA3:AA7)</f>
        <v>26</v>
      </c>
      <c r="AB8" s="114">
        <f t="shared" si="4"/>
        <v>0</v>
      </c>
      <c r="AC8" s="114">
        <f t="shared" si="4"/>
        <v>0</v>
      </c>
      <c r="AD8" s="114">
        <f t="shared" si="4"/>
        <v>0</v>
      </c>
      <c r="AE8" s="73">
        <f t="shared" si="4"/>
        <v>26</v>
      </c>
      <c r="AF8" s="73">
        <f t="shared" si="4"/>
        <v>0</v>
      </c>
      <c r="AG8" s="73">
        <f t="shared" si="4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3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85546875" customWidth="1"/>
    <col min="2" max="2" width="23.28515625" customWidth="1"/>
    <col min="3" max="3" width="10.7109375" customWidth="1"/>
    <col min="4" max="4" width="17.85546875" customWidth="1"/>
    <col min="5" max="5" width="18.7109375" customWidth="1"/>
    <col min="97" max="97" width="17.28515625" customWidth="1"/>
  </cols>
  <sheetData>
    <row r="1" spans="1:98">
      <c r="A1" s="197" t="s">
        <v>6548</v>
      </c>
      <c r="B1" s="143"/>
      <c r="C1" s="231" t="s">
        <v>6549</v>
      </c>
      <c r="D1" s="143"/>
      <c r="E1" s="143"/>
      <c r="F1" s="143"/>
      <c r="G1" s="510" t="s">
        <v>2</v>
      </c>
      <c r="H1" s="481"/>
      <c r="I1" s="481"/>
      <c r="J1" s="481"/>
      <c r="K1" s="480"/>
      <c r="L1" s="143" t="s">
        <v>3</v>
      </c>
      <c r="M1" s="143"/>
      <c r="N1" s="143"/>
      <c r="O1" s="143"/>
      <c r="P1" s="143"/>
      <c r="Q1" s="505" t="s">
        <v>4</v>
      </c>
      <c r="R1" s="480"/>
      <c r="S1" s="505" t="s">
        <v>5</v>
      </c>
      <c r="T1" s="481"/>
      <c r="U1" s="481"/>
      <c r="V1" s="480"/>
      <c r="W1" s="143" t="s">
        <v>6</v>
      </c>
      <c r="X1" s="143"/>
      <c r="Y1" s="143"/>
      <c r="Z1" s="143"/>
      <c r="AA1" s="143"/>
      <c r="AB1" s="143"/>
      <c r="AC1" s="505" t="s">
        <v>7</v>
      </c>
      <c r="AD1" s="481"/>
      <c r="AE1" s="481"/>
      <c r="AF1" s="481"/>
      <c r="AG1" s="481"/>
      <c r="AH1" s="480"/>
      <c r="AI1" s="505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240" t="s">
        <v>12</v>
      </c>
      <c r="AU1" s="143"/>
      <c r="AV1" s="509" t="s">
        <v>13</v>
      </c>
      <c r="AW1" s="481"/>
      <c r="AX1" s="481"/>
      <c r="AY1" s="481"/>
      <c r="AZ1" s="480"/>
      <c r="BA1" s="240" t="s">
        <v>14</v>
      </c>
      <c r="BB1" s="143"/>
      <c r="BC1" s="143"/>
      <c r="BD1" s="505" t="s">
        <v>3542</v>
      </c>
      <c r="BE1" s="481"/>
      <c r="BF1" s="480"/>
      <c r="BG1" s="143"/>
      <c r="BH1" s="143"/>
      <c r="BI1" s="505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05" t="s">
        <v>19</v>
      </c>
      <c r="BX1" s="481"/>
      <c r="BY1" s="480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510" t="s">
        <v>23</v>
      </c>
      <c r="CI1" s="480"/>
      <c r="CJ1" s="143"/>
      <c r="CK1" s="505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28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6550</v>
      </c>
      <c r="B4" s="46" t="s">
        <v>6551</v>
      </c>
      <c r="C4" s="46">
        <v>37</v>
      </c>
      <c r="D4" s="46" t="s">
        <v>3935</v>
      </c>
      <c r="E4" s="46" t="s">
        <v>6552</v>
      </c>
      <c r="F4" s="46" t="s">
        <v>2574</v>
      </c>
      <c r="H4" s="46">
        <v>1</v>
      </c>
      <c r="M4" s="46">
        <v>1</v>
      </c>
      <c r="R4" s="46">
        <v>1</v>
      </c>
      <c r="U4" s="46">
        <v>1</v>
      </c>
      <c r="W4" s="46">
        <v>15</v>
      </c>
      <c r="X4" s="46">
        <v>17</v>
      </c>
      <c r="Y4" s="46">
        <v>18</v>
      </c>
      <c r="Z4" s="46">
        <v>7</v>
      </c>
      <c r="AA4" s="46">
        <v>7</v>
      </c>
      <c r="AB4" s="46">
        <v>7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BY4" s="46">
        <v>1</v>
      </c>
      <c r="CB4" s="46">
        <v>1</v>
      </c>
      <c r="CE4" s="46">
        <v>1</v>
      </c>
      <c r="CK4" s="46">
        <v>1</v>
      </c>
      <c r="CR4" s="46">
        <v>1</v>
      </c>
      <c r="CT4" s="46" t="s">
        <v>6346</v>
      </c>
    </row>
    <row r="5" spans="1:98">
      <c r="A5" s="46" t="s">
        <v>6553</v>
      </c>
      <c r="B5" s="46" t="s">
        <v>6554</v>
      </c>
      <c r="C5" s="46">
        <v>17</v>
      </c>
      <c r="D5" s="46" t="s">
        <v>6555</v>
      </c>
      <c r="E5" s="46" t="s">
        <v>191</v>
      </c>
      <c r="F5" s="46" t="s">
        <v>2985</v>
      </c>
      <c r="H5" s="46">
        <v>1</v>
      </c>
      <c r="L5" s="46">
        <v>1</v>
      </c>
      <c r="Q5" s="46">
        <v>1</v>
      </c>
      <c r="T5" s="46">
        <v>1</v>
      </c>
      <c r="W5" s="46">
        <v>11</v>
      </c>
      <c r="X5" s="46">
        <v>14</v>
      </c>
      <c r="Y5" s="46">
        <v>16</v>
      </c>
      <c r="Z5" s="46">
        <v>1</v>
      </c>
      <c r="AA5" s="46">
        <v>1</v>
      </c>
      <c r="AB5" s="46">
        <v>1</v>
      </c>
      <c r="AC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CB5" s="46">
        <v>1</v>
      </c>
      <c r="CE5" s="46">
        <v>1</v>
      </c>
      <c r="CR5" s="46">
        <v>1</v>
      </c>
      <c r="CT5" s="46" t="s">
        <v>6346</v>
      </c>
    </row>
    <row r="6" spans="1:98">
      <c r="A6" s="46" t="s">
        <v>6556</v>
      </c>
      <c r="B6" s="46" t="s">
        <v>6557</v>
      </c>
      <c r="C6" s="46">
        <v>26</v>
      </c>
      <c r="D6" s="46" t="s">
        <v>3943</v>
      </c>
      <c r="E6" s="46" t="s">
        <v>6558</v>
      </c>
      <c r="F6" s="46" t="s">
        <v>107</v>
      </c>
      <c r="J6" s="46">
        <v>1</v>
      </c>
      <c r="O6" s="46">
        <v>1</v>
      </c>
      <c r="U6" s="46">
        <v>1</v>
      </c>
      <c r="W6" s="46">
        <v>16</v>
      </c>
      <c r="X6" s="46">
        <v>19</v>
      </c>
      <c r="Y6" s="46">
        <v>20</v>
      </c>
      <c r="Z6" s="46">
        <v>3</v>
      </c>
      <c r="AA6" s="46">
        <v>2</v>
      </c>
      <c r="AB6" s="46">
        <v>2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R6" s="46">
        <v>1</v>
      </c>
      <c r="CT6" s="46" t="s">
        <v>6346</v>
      </c>
    </row>
    <row r="7" spans="1:98">
      <c r="A7" s="46" t="s">
        <v>6559</v>
      </c>
      <c r="B7" s="46" t="s">
        <v>6560</v>
      </c>
      <c r="C7" s="46">
        <v>34</v>
      </c>
      <c r="D7" s="46" t="s">
        <v>6561</v>
      </c>
      <c r="E7" s="46" t="s">
        <v>6562</v>
      </c>
      <c r="F7" s="46" t="s">
        <v>145</v>
      </c>
      <c r="J7" s="46">
        <v>1</v>
      </c>
      <c r="M7" s="46">
        <v>1</v>
      </c>
      <c r="Q7" s="46">
        <v>1</v>
      </c>
      <c r="U7" s="46">
        <v>1</v>
      </c>
      <c r="W7" s="46">
        <v>19</v>
      </c>
      <c r="X7" s="46">
        <v>24</v>
      </c>
      <c r="Y7" s="46">
        <v>26</v>
      </c>
      <c r="Z7" s="46">
        <v>4</v>
      </c>
      <c r="AA7" s="46">
        <v>4</v>
      </c>
      <c r="AB7" s="46">
        <v>4</v>
      </c>
      <c r="AD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R7" s="46">
        <v>1</v>
      </c>
      <c r="CT7" s="46" t="s">
        <v>6346</v>
      </c>
    </row>
    <row r="8" spans="1:98">
      <c r="A8" s="46" t="s">
        <v>6563</v>
      </c>
      <c r="B8" s="46" t="s">
        <v>6564</v>
      </c>
      <c r="C8" s="46">
        <v>38</v>
      </c>
      <c r="D8" s="46" t="s">
        <v>6555</v>
      </c>
      <c r="E8" s="46" t="s">
        <v>6565</v>
      </c>
      <c r="F8" s="46" t="s">
        <v>2985</v>
      </c>
      <c r="G8" s="46">
        <v>1</v>
      </c>
      <c r="M8" s="46">
        <v>1</v>
      </c>
      <c r="R8" s="46">
        <v>1</v>
      </c>
      <c r="T8" s="46">
        <v>1</v>
      </c>
      <c r="W8" s="46">
        <v>18</v>
      </c>
      <c r="X8" s="46">
        <v>18</v>
      </c>
      <c r="Y8" s="46">
        <v>20</v>
      </c>
      <c r="Z8" s="46">
        <v>2</v>
      </c>
      <c r="AA8" s="46">
        <v>2</v>
      </c>
      <c r="AB8" s="46">
        <v>2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R8" s="46">
        <v>1</v>
      </c>
      <c r="CT8" s="46" t="s">
        <v>6346</v>
      </c>
    </row>
    <row r="9" spans="1:98">
      <c r="A9" s="46" t="s">
        <v>6566</v>
      </c>
      <c r="B9" s="46" t="s">
        <v>6567</v>
      </c>
      <c r="C9" s="46">
        <v>29</v>
      </c>
      <c r="D9" s="46" t="s">
        <v>3938</v>
      </c>
      <c r="E9" s="46" t="s">
        <v>6568</v>
      </c>
      <c r="F9" s="46" t="s">
        <v>2985</v>
      </c>
      <c r="G9" s="46">
        <v>1</v>
      </c>
      <c r="M9" s="46">
        <v>1</v>
      </c>
      <c r="Q9" s="46">
        <v>1</v>
      </c>
      <c r="T9" s="46">
        <v>1</v>
      </c>
      <c r="W9" s="46">
        <v>20</v>
      </c>
      <c r="X9" s="46">
        <v>20</v>
      </c>
      <c r="Y9" s="46">
        <v>20</v>
      </c>
      <c r="Z9" s="46">
        <v>4</v>
      </c>
      <c r="AA9" s="46">
        <v>4</v>
      </c>
      <c r="AB9" s="46">
        <v>3</v>
      </c>
      <c r="AE9" s="46">
        <v>1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R9" s="46">
        <v>1</v>
      </c>
      <c r="CT9" s="46" t="s">
        <v>6346</v>
      </c>
    </row>
    <row r="10" spans="1:98">
      <c r="A10" s="46" t="s">
        <v>6569</v>
      </c>
      <c r="B10" s="46" t="s">
        <v>6570</v>
      </c>
      <c r="C10" s="46">
        <v>22</v>
      </c>
      <c r="D10" s="46" t="s">
        <v>6561</v>
      </c>
      <c r="E10" s="46" t="s">
        <v>191</v>
      </c>
      <c r="F10" s="46" t="s">
        <v>2675</v>
      </c>
      <c r="J10" s="46">
        <v>1</v>
      </c>
      <c r="M10" s="46">
        <v>1</v>
      </c>
      <c r="R10" s="46">
        <v>1</v>
      </c>
      <c r="T10" s="46">
        <v>1</v>
      </c>
      <c r="W10" s="46">
        <v>12</v>
      </c>
      <c r="X10" s="46">
        <v>17</v>
      </c>
      <c r="Y10" s="46">
        <v>20</v>
      </c>
      <c r="Z10" s="46">
        <v>2</v>
      </c>
      <c r="AA10" s="46">
        <v>2</v>
      </c>
      <c r="AB10" s="46">
        <v>2</v>
      </c>
      <c r="AH10" s="46">
        <v>1</v>
      </c>
      <c r="AJ10" s="46">
        <v>1</v>
      </c>
      <c r="AM10" s="46">
        <v>1</v>
      </c>
      <c r="AT10" s="46">
        <v>1</v>
      </c>
      <c r="AW10" s="46">
        <v>1</v>
      </c>
      <c r="BA10" s="46">
        <v>1</v>
      </c>
      <c r="BK10" s="46">
        <v>1</v>
      </c>
      <c r="CB10" s="46">
        <v>1</v>
      </c>
      <c r="CE10" s="46">
        <v>1</v>
      </c>
      <c r="CR10" s="46">
        <v>1</v>
      </c>
      <c r="CT10" s="46" t="s">
        <v>6346</v>
      </c>
    </row>
    <row r="11" spans="1:98">
      <c r="A11" s="46" t="s">
        <v>6571</v>
      </c>
      <c r="B11" s="46" t="s">
        <v>6572</v>
      </c>
      <c r="C11" s="46">
        <v>35</v>
      </c>
      <c r="D11" s="46" t="s">
        <v>6561</v>
      </c>
      <c r="E11" s="46" t="s">
        <v>6573</v>
      </c>
      <c r="F11" s="46" t="s">
        <v>972</v>
      </c>
      <c r="J11" s="46">
        <v>1</v>
      </c>
      <c r="M11" s="46">
        <v>1</v>
      </c>
      <c r="R11" s="46">
        <v>1</v>
      </c>
      <c r="T11" s="46">
        <v>1</v>
      </c>
      <c r="W11" s="46">
        <v>15</v>
      </c>
      <c r="X11" s="46">
        <v>15</v>
      </c>
      <c r="Y11" s="46">
        <v>17</v>
      </c>
      <c r="Z11" s="46">
        <v>9</v>
      </c>
      <c r="AA11" s="46">
        <v>9</v>
      </c>
      <c r="AB11" s="46">
        <v>7</v>
      </c>
      <c r="AE11" s="46">
        <v>1</v>
      </c>
      <c r="AG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X11" s="46">
        <v>1</v>
      </c>
      <c r="BY11" s="46">
        <v>1</v>
      </c>
      <c r="CB11" s="46">
        <v>1</v>
      </c>
      <c r="CE11" s="46">
        <v>1</v>
      </c>
      <c r="CR11" s="46">
        <v>1</v>
      </c>
      <c r="CT11" s="46" t="s">
        <v>6536</v>
      </c>
    </row>
    <row r="12" spans="1:98">
      <c r="A12" s="46" t="s">
        <v>6574</v>
      </c>
      <c r="B12" s="46" t="s">
        <v>6575</v>
      </c>
      <c r="C12" s="46">
        <v>58</v>
      </c>
      <c r="D12" s="46" t="s">
        <v>6561</v>
      </c>
      <c r="E12" s="46" t="s">
        <v>191</v>
      </c>
      <c r="F12" s="46" t="s">
        <v>2985</v>
      </c>
      <c r="I12" s="46">
        <v>1</v>
      </c>
      <c r="M12" s="46">
        <v>1</v>
      </c>
      <c r="R12" s="46">
        <v>1</v>
      </c>
      <c r="T12" s="46">
        <v>1</v>
      </c>
      <c r="W12" s="46">
        <v>15</v>
      </c>
      <c r="X12" s="46">
        <v>18</v>
      </c>
      <c r="Y12" s="46">
        <v>20</v>
      </c>
      <c r="Z12" s="46">
        <v>9</v>
      </c>
      <c r="AA12" s="46">
        <v>9</v>
      </c>
      <c r="AB12" s="46">
        <v>5</v>
      </c>
      <c r="AG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L12" s="46">
        <v>1</v>
      </c>
      <c r="CB12" s="46">
        <v>1</v>
      </c>
      <c r="CE12" s="46">
        <v>1</v>
      </c>
      <c r="CR12" s="46">
        <v>1</v>
      </c>
      <c r="CT12" s="46" t="s">
        <v>6346</v>
      </c>
    </row>
    <row r="13" spans="1:98">
      <c r="A13" s="46" t="s">
        <v>6576</v>
      </c>
      <c r="B13" s="46" t="s">
        <v>6577</v>
      </c>
      <c r="C13" s="46">
        <v>18</v>
      </c>
      <c r="D13" s="46" t="s">
        <v>4287</v>
      </c>
      <c r="E13" s="46" t="s">
        <v>6578</v>
      </c>
      <c r="F13" s="46" t="s">
        <v>6579</v>
      </c>
      <c r="G13" s="46">
        <v>1</v>
      </c>
      <c r="L13" s="46">
        <v>1</v>
      </c>
      <c r="Q13" s="46">
        <v>1</v>
      </c>
      <c r="U13" s="46">
        <v>1</v>
      </c>
      <c r="W13" s="46">
        <v>14</v>
      </c>
      <c r="X13" s="46">
        <v>15</v>
      </c>
      <c r="Y13" s="46">
        <v>0</v>
      </c>
      <c r="Z13" s="46">
        <v>0</v>
      </c>
      <c r="AA13" s="46">
        <v>0</v>
      </c>
      <c r="AB13" s="46">
        <v>0</v>
      </c>
      <c r="AE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O13" s="46" t="s">
        <v>6580</v>
      </c>
      <c r="BY13" s="46">
        <v>1</v>
      </c>
      <c r="CB13" s="46">
        <v>1</v>
      </c>
      <c r="CE13" s="46">
        <v>1</v>
      </c>
      <c r="CR13" s="46">
        <v>1</v>
      </c>
      <c r="CT13" s="46" t="s">
        <v>6581</v>
      </c>
    </row>
    <row r="14" spans="1:98">
      <c r="A14" s="46" t="s">
        <v>6582</v>
      </c>
      <c r="B14" s="46" t="s">
        <v>6583</v>
      </c>
      <c r="C14" s="46">
        <v>22</v>
      </c>
      <c r="D14" s="46" t="s">
        <v>4287</v>
      </c>
      <c r="E14" s="46" t="s">
        <v>6584</v>
      </c>
      <c r="F14" s="46" t="s">
        <v>2675</v>
      </c>
      <c r="J14" s="46">
        <v>1</v>
      </c>
      <c r="M14" s="46">
        <v>1</v>
      </c>
      <c r="Q14" s="46">
        <v>1</v>
      </c>
      <c r="U14" s="46">
        <v>1</v>
      </c>
      <c r="W14" s="46">
        <v>14</v>
      </c>
      <c r="X14" s="46">
        <v>20</v>
      </c>
      <c r="Y14" s="46">
        <v>21</v>
      </c>
      <c r="Z14" s="46">
        <v>1</v>
      </c>
      <c r="AA14" s="46">
        <v>1</v>
      </c>
      <c r="AB14" s="46">
        <v>1</v>
      </c>
      <c r="AE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Y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6346</v>
      </c>
    </row>
    <row r="15" spans="1:98">
      <c r="A15" s="46" t="s">
        <v>6585</v>
      </c>
      <c r="B15" s="46" t="s">
        <v>3982</v>
      </c>
      <c r="C15" s="46">
        <v>23</v>
      </c>
      <c r="D15" s="46" t="s">
        <v>6555</v>
      </c>
      <c r="E15" s="46" t="s">
        <v>6586</v>
      </c>
      <c r="F15" s="46" t="s">
        <v>2985</v>
      </c>
      <c r="G15" s="46">
        <v>1</v>
      </c>
      <c r="M15" s="46">
        <v>1</v>
      </c>
      <c r="Q15" s="46">
        <v>1</v>
      </c>
      <c r="U15" s="46">
        <v>1</v>
      </c>
      <c r="W15" s="46">
        <v>16</v>
      </c>
      <c r="X15" s="46">
        <v>18</v>
      </c>
      <c r="Y15" s="46">
        <v>18</v>
      </c>
      <c r="Z15" s="46">
        <v>3</v>
      </c>
      <c r="AA15" s="46">
        <v>3</v>
      </c>
      <c r="AB15" s="46">
        <v>3</v>
      </c>
      <c r="AE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6346</v>
      </c>
    </row>
    <row r="16" spans="1:98">
      <c r="A16" s="46" t="s">
        <v>6587</v>
      </c>
      <c r="B16" s="46" t="s">
        <v>6588</v>
      </c>
      <c r="C16" s="46">
        <v>35</v>
      </c>
      <c r="D16" s="46" t="s">
        <v>6555</v>
      </c>
      <c r="E16" s="46" t="s">
        <v>6589</v>
      </c>
      <c r="F16" s="46" t="s">
        <v>2244</v>
      </c>
      <c r="G16" s="46">
        <v>1</v>
      </c>
      <c r="O16" s="46">
        <v>1</v>
      </c>
      <c r="Q16" s="46">
        <v>1</v>
      </c>
      <c r="U16" s="46">
        <v>1</v>
      </c>
      <c r="W16" s="46">
        <v>14</v>
      </c>
      <c r="X16" s="46">
        <v>18</v>
      </c>
      <c r="Y16" s="46">
        <v>20</v>
      </c>
      <c r="Z16" s="46">
        <v>4</v>
      </c>
      <c r="AA16" s="46">
        <v>4</v>
      </c>
      <c r="AB16" s="46">
        <v>4</v>
      </c>
      <c r="AD16" s="46">
        <v>1</v>
      </c>
      <c r="AE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6346</v>
      </c>
    </row>
    <row r="17" spans="1:98">
      <c r="A17" s="46" t="s">
        <v>6590</v>
      </c>
      <c r="B17" s="46" t="s">
        <v>6591</v>
      </c>
      <c r="C17" s="46">
        <v>25</v>
      </c>
      <c r="D17" s="46" t="s">
        <v>6592</v>
      </c>
      <c r="E17" s="46" t="s">
        <v>6593</v>
      </c>
      <c r="F17" s="46" t="s">
        <v>2985</v>
      </c>
      <c r="J17" s="46">
        <v>1</v>
      </c>
      <c r="M17" s="46">
        <v>1</v>
      </c>
      <c r="Q17" s="46">
        <v>1</v>
      </c>
      <c r="T17" s="46">
        <v>1</v>
      </c>
      <c r="W17" s="46">
        <v>13</v>
      </c>
      <c r="X17" s="46">
        <v>15</v>
      </c>
      <c r="Y17" s="46">
        <v>16</v>
      </c>
      <c r="Z17" s="46">
        <v>3</v>
      </c>
      <c r="AA17" s="46">
        <v>2</v>
      </c>
      <c r="AB17" s="46">
        <v>2</v>
      </c>
      <c r="AE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6346</v>
      </c>
    </row>
    <row r="18" spans="1:98">
      <c r="A18" s="46" t="s">
        <v>6594</v>
      </c>
      <c r="B18" s="46" t="s">
        <v>6595</v>
      </c>
      <c r="C18" s="46">
        <v>27</v>
      </c>
      <c r="D18" s="46" t="s">
        <v>6596</v>
      </c>
      <c r="E18" s="46" t="s">
        <v>6597</v>
      </c>
      <c r="F18" s="46" t="s">
        <v>2574</v>
      </c>
      <c r="I18" s="46">
        <v>1</v>
      </c>
      <c r="M18" s="46">
        <v>1</v>
      </c>
      <c r="R18" s="46">
        <v>1</v>
      </c>
      <c r="T18" s="46">
        <v>1</v>
      </c>
      <c r="W18" s="46">
        <v>14</v>
      </c>
      <c r="X18" s="46">
        <v>14</v>
      </c>
      <c r="Y18" s="46">
        <v>15</v>
      </c>
      <c r="Z18" s="46">
        <v>4</v>
      </c>
      <c r="AA18" s="46">
        <v>4</v>
      </c>
      <c r="AB18" s="46">
        <v>4</v>
      </c>
      <c r="AE18" s="46">
        <v>1</v>
      </c>
      <c r="AG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BY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6346</v>
      </c>
    </row>
    <row r="19" spans="1:98">
      <c r="A19" s="46" t="s">
        <v>6598</v>
      </c>
      <c r="B19" s="46" t="s">
        <v>6599</v>
      </c>
      <c r="C19" s="46">
        <v>27</v>
      </c>
      <c r="D19" s="46" t="s">
        <v>4287</v>
      </c>
      <c r="E19" s="46" t="s">
        <v>6600</v>
      </c>
      <c r="F19" s="46" t="s">
        <v>2523</v>
      </c>
      <c r="J19" s="46">
        <v>1</v>
      </c>
      <c r="M19" s="46">
        <v>1</v>
      </c>
      <c r="Q19" s="46">
        <v>1</v>
      </c>
      <c r="T19" s="46">
        <v>1</v>
      </c>
      <c r="W19" s="46">
        <v>18</v>
      </c>
      <c r="X19" s="46">
        <v>20</v>
      </c>
      <c r="Y19" s="46">
        <v>22</v>
      </c>
      <c r="Z19" s="46">
        <v>4</v>
      </c>
      <c r="AA19" s="46">
        <v>4</v>
      </c>
      <c r="AB19" s="46">
        <v>4</v>
      </c>
      <c r="AG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L19" s="46">
        <v>1</v>
      </c>
      <c r="CS19" s="46" t="s">
        <v>6601</v>
      </c>
      <c r="CT19" s="46" t="s">
        <v>6536</v>
      </c>
    </row>
    <row r="20" spans="1:98">
      <c r="A20" s="46" t="s">
        <v>6602</v>
      </c>
      <c r="B20" s="46" t="s">
        <v>6603</v>
      </c>
      <c r="C20" s="46">
        <v>37</v>
      </c>
      <c r="D20" s="46" t="s">
        <v>6604</v>
      </c>
      <c r="E20" s="46" t="s">
        <v>6605</v>
      </c>
      <c r="F20" s="46" t="s">
        <v>6606</v>
      </c>
      <c r="H20" s="46">
        <v>1</v>
      </c>
      <c r="M20" s="46">
        <v>1</v>
      </c>
      <c r="R20" s="46">
        <v>1</v>
      </c>
      <c r="U20" s="46">
        <v>1</v>
      </c>
      <c r="W20" s="46">
        <v>13</v>
      </c>
      <c r="X20" s="46">
        <v>21</v>
      </c>
      <c r="Y20" s="46">
        <v>23</v>
      </c>
      <c r="Z20" s="46">
        <v>6</v>
      </c>
      <c r="AA20" s="46">
        <v>6</v>
      </c>
      <c r="AB20" s="46">
        <v>6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6346</v>
      </c>
    </row>
    <row r="21" spans="1:98">
      <c r="A21" s="46" t="s">
        <v>6607</v>
      </c>
      <c r="B21" s="46" t="s">
        <v>6608</v>
      </c>
      <c r="C21" s="46">
        <v>21</v>
      </c>
      <c r="D21" s="46" t="s">
        <v>6609</v>
      </c>
      <c r="E21" s="46" t="s">
        <v>191</v>
      </c>
      <c r="F21" s="46" t="s">
        <v>2523</v>
      </c>
      <c r="J21" s="46">
        <v>1</v>
      </c>
      <c r="M21" s="46">
        <v>1</v>
      </c>
      <c r="Q21" s="46">
        <v>1</v>
      </c>
      <c r="T21" s="46">
        <v>1</v>
      </c>
      <c r="W21" s="46">
        <v>14</v>
      </c>
      <c r="X21" s="46">
        <v>17</v>
      </c>
      <c r="Y21" s="46">
        <v>20</v>
      </c>
      <c r="Z21" s="46">
        <v>1</v>
      </c>
      <c r="AA21" s="46">
        <v>1</v>
      </c>
      <c r="AB21" s="46">
        <v>1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6346</v>
      </c>
    </row>
    <row r="22" spans="1:98">
      <c r="A22" s="46" t="s">
        <v>6610</v>
      </c>
      <c r="B22" s="46" t="s">
        <v>6611</v>
      </c>
      <c r="C22" s="46">
        <v>18</v>
      </c>
      <c r="D22" s="46" t="s">
        <v>6612</v>
      </c>
      <c r="E22" s="46" t="s">
        <v>191</v>
      </c>
      <c r="F22" s="46" t="s">
        <v>2985</v>
      </c>
      <c r="H22" s="46">
        <v>1</v>
      </c>
      <c r="M22" s="46">
        <v>1</v>
      </c>
      <c r="Q22" s="46">
        <v>1</v>
      </c>
      <c r="W22" s="46">
        <v>16</v>
      </c>
      <c r="X22" s="46">
        <v>17</v>
      </c>
      <c r="Y22" s="46">
        <v>18</v>
      </c>
      <c r="Z22" s="46">
        <v>1</v>
      </c>
      <c r="AA22" s="46">
        <v>1</v>
      </c>
      <c r="AB22" s="46">
        <v>1</v>
      </c>
      <c r="AE22" s="46">
        <v>1</v>
      </c>
      <c r="AH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6346</v>
      </c>
    </row>
    <row r="23" spans="1:98">
      <c r="A23" s="46" t="s">
        <v>6613</v>
      </c>
      <c r="B23" s="46" t="s">
        <v>6614</v>
      </c>
      <c r="C23" s="46">
        <v>18</v>
      </c>
      <c r="D23" s="46" t="s">
        <v>6615</v>
      </c>
      <c r="E23" s="46" t="s">
        <v>6616</v>
      </c>
      <c r="F23" s="46" t="s">
        <v>218</v>
      </c>
      <c r="I23" s="46">
        <v>1</v>
      </c>
      <c r="M23" s="46">
        <v>1</v>
      </c>
      <c r="Q23" s="46">
        <v>1</v>
      </c>
      <c r="T23" s="46">
        <v>1</v>
      </c>
      <c r="W23" s="46">
        <v>14</v>
      </c>
      <c r="X23" s="46">
        <v>17</v>
      </c>
      <c r="Y23" s="46">
        <v>18</v>
      </c>
      <c r="Z23" s="46">
        <v>1</v>
      </c>
      <c r="AA23" s="46">
        <v>1</v>
      </c>
      <c r="AB23" s="46">
        <v>1</v>
      </c>
      <c r="AE23" s="46">
        <v>1</v>
      </c>
      <c r="AH23" s="46">
        <v>1</v>
      </c>
      <c r="AI23" s="46">
        <v>1</v>
      </c>
      <c r="AK23" s="46">
        <v>1</v>
      </c>
      <c r="AT23" s="46">
        <v>1</v>
      </c>
      <c r="AX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R23" s="46">
        <v>1</v>
      </c>
      <c r="CT23" s="46" t="s">
        <v>6346</v>
      </c>
    </row>
    <row r="24" spans="1:98">
      <c r="A24" s="46" t="s">
        <v>6617</v>
      </c>
      <c r="B24" s="46" t="s">
        <v>6618</v>
      </c>
      <c r="C24" s="46">
        <v>19</v>
      </c>
      <c r="D24" s="46" t="s">
        <v>6619</v>
      </c>
      <c r="E24" s="46" t="s">
        <v>191</v>
      </c>
      <c r="F24" s="46" t="s">
        <v>2506</v>
      </c>
      <c r="I24" s="46">
        <v>1</v>
      </c>
      <c r="M24" s="46">
        <v>1</v>
      </c>
      <c r="Q24" s="46">
        <v>1</v>
      </c>
      <c r="U24" s="46">
        <v>1</v>
      </c>
      <c r="W24" s="46">
        <v>13</v>
      </c>
      <c r="X24" s="46">
        <v>17</v>
      </c>
      <c r="Y24" s="46">
        <v>18</v>
      </c>
      <c r="Z24" s="46">
        <v>1</v>
      </c>
      <c r="AA24" s="46">
        <v>1</v>
      </c>
      <c r="AB24" s="46">
        <v>1</v>
      </c>
      <c r="AG24" s="46">
        <v>1</v>
      </c>
      <c r="AI24" s="46">
        <v>1</v>
      </c>
      <c r="AM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6346</v>
      </c>
    </row>
    <row r="25" spans="1:98">
      <c r="A25" s="46" t="s">
        <v>6620</v>
      </c>
      <c r="B25" s="46" t="s">
        <v>6621</v>
      </c>
      <c r="C25" s="46">
        <v>24</v>
      </c>
      <c r="D25" s="46" t="s">
        <v>6604</v>
      </c>
      <c r="E25" s="46" t="s">
        <v>6622</v>
      </c>
      <c r="F25" s="46" t="s">
        <v>6606</v>
      </c>
      <c r="H25" s="46">
        <v>1</v>
      </c>
      <c r="M25" s="46">
        <v>1</v>
      </c>
      <c r="Q25" s="46">
        <v>1</v>
      </c>
      <c r="T25" s="46">
        <v>1</v>
      </c>
      <c r="W25" s="46">
        <v>14</v>
      </c>
      <c r="X25" s="46">
        <v>15</v>
      </c>
      <c r="Y25" s="46">
        <v>19</v>
      </c>
      <c r="Z25" s="46">
        <v>3</v>
      </c>
      <c r="AA25" s="46">
        <v>2</v>
      </c>
      <c r="AB25" s="46">
        <v>2</v>
      </c>
      <c r="AD25" s="46">
        <v>1</v>
      </c>
      <c r="AE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X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6346</v>
      </c>
    </row>
    <row r="26" spans="1:98">
      <c r="A26" s="46" t="s">
        <v>6623</v>
      </c>
      <c r="B26" s="46" t="s">
        <v>6624</v>
      </c>
      <c r="C26" s="46">
        <v>29</v>
      </c>
      <c r="D26" s="46" t="s">
        <v>6625</v>
      </c>
      <c r="E26" s="46" t="s">
        <v>6626</v>
      </c>
      <c r="F26" s="46" t="s">
        <v>2985</v>
      </c>
      <c r="G26" s="46">
        <v>1</v>
      </c>
      <c r="O26" s="46">
        <v>1</v>
      </c>
      <c r="R26" s="46">
        <v>1</v>
      </c>
      <c r="T26" s="46">
        <v>1</v>
      </c>
      <c r="W26" s="46">
        <v>14</v>
      </c>
      <c r="X26" s="46">
        <v>14</v>
      </c>
      <c r="Y26" s="46">
        <v>15</v>
      </c>
      <c r="Z26" s="46">
        <v>3</v>
      </c>
      <c r="AA26" s="46">
        <v>3</v>
      </c>
      <c r="AB26" s="46">
        <v>3</v>
      </c>
      <c r="AD26" s="46">
        <v>1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X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6346</v>
      </c>
    </row>
    <row r="27" spans="1:98">
      <c r="A27" s="46" t="s">
        <v>6627</v>
      </c>
      <c r="B27" s="46" t="s">
        <v>6628</v>
      </c>
      <c r="C27" s="46">
        <v>31</v>
      </c>
      <c r="D27" s="46" t="s">
        <v>6555</v>
      </c>
      <c r="E27" s="46" t="s">
        <v>6629</v>
      </c>
      <c r="F27" s="46" t="s">
        <v>2472</v>
      </c>
      <c r="I27" s="46">
        <v>1</v>
      </c>
      <c r="M27" s="46">
        <v>1</v>
      </c>
      <c r="Q27" s="46">
        <v>1</v>
      </c>
      <c r="V27" s="46">
        <v>1</v>
      </c>
      <c r="W27" s="46">
        <v>15</v>
      </c>
      <c r="X27" s="46">
        <v>19</v>
      </c>
      <c r="Y27" s="46">
        <v>20</v>
      </c>
      <c r="Z27" s="46">
        <v>3</v>
      </c>
      <c r="AA27" s="46">
        <v>3</v>
      </c>
      <c r="AB27" s="46">
        <v>3</v>
      </c>
      <c r="AH27" s="46">
        <v>1</v>
      </c>
      <c r="AJ27" s="46">
        <v>1</v>
      </c>
      <c r="AK27" s="46">
        <v>1</v>
      </c>
      <c r="AT27" s="46">
        <v>1</v>
      </c>
      <c r="AX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6346</v>
      </c>
    </row>
    <row r="28" spans="1:98">
      <c r="A28" s="46" t="s">
        <v>6630</v>
      </c>
      <c r="B28" s="46" t="s">
        <v>6631</v>
      </c>
      <c r="C28" s="46">
        <v>24</v>
      </c>
      <c r="D28" s="46" t="s">
        <v>6555</v>
      </c>
      <c r="E28" s="46" t="s">
        <v>6632</v>
      </c>
      <c r="F28" s="46" t="s">
        <v>3173</v>
      </c>
      <c r="G28" s="46">
        <v>1</v>
      </c>
      <c r="M28" s="46">
        <v>1</v>
      </c>
      <c r="Q28" s="46">
        <v>1</v>
      </c>
      <c r="T28" s="46">
        <v>1</v>
      </c>
      <c r="W28" s="46">
        <v>15</v>
      </c>
      <c r="X28" s="46">
        <v>17</v>
      </c>
      <c r="Y28" s="46">
        <v>18</v>
      </c>
      <c r="Z28" s="46">
        <v>3</v>
      </c>
      <c r="AA28" s="46">
        <v>3</v>
      </c>
      <c r="AB28" s="46">
        <v>3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J28" s="46">
        <v>1</v>
      </c>
      <c r="BX28" s="46">
        <v>1</v>
      </c>
      <c r="BY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6536</v>
      </c>
    </row>
    <row r="29" spans="1:98">
      <c r="A29" s="46" t="s">
        <v>6633</v>
      </c>
      <c r="B29" s="46" t="s">
        <v>3785</v>
      </c>
      <c r="C29" s="46">
        <v>29</v>
      </c>
      <c r="D29" s="46" t="s">
        <v>6604</v>
      </c>
      <c r="E29" s="46" t="s">
        <v>6634</v>
      </c>
      <c r="F29" s="46" t="s">
        <v>2484</v>
      </c>
      <c r="I29" s="46">
        <v>1</v>
      </c>
      <c r="O29" s="46">
        <v>1</v>
      </c>
      <c r="R29" s="46">
        <v>1</v>
      </c>
      <c r="S29" s="46">
        <v>1</v>
      </c>
      <c r="W29" s="46">
        <v>13</v>
      </c>
      <c r="X29" s="46">
        <v>15</v>
      </c>
      <c r="Y29" s="46">
        <v>16</v>
      </c>
      <c r="Z29" s="46">
        <v>6</v>
      </c>
      <c r="AA29" s="46">
        <v>6</v>
      </c>
      <c r="AB29" s="46">
        <v>5</v>
      </c>
      <c r="AC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J29" s="46">
        <v>1</v>
      </c>
      <c r="BX29" s="46">
        <v>1</v>
      </c>
      <c r="BY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6536</v>
      </c>
    </row>
    <row r="30" spans="1:98">
      <c r="A30" s="46" t="s">
        <v>6635</v>
      </c>
      <c r="B30" s="46" t="s">
        <v>6636</v>
      </c>
      <c r="C30" s="46">
        <v>53</v>
      </c>
      <c r="D30" s="46" t="s">
        <v>4061</v>
      </c>
      <c r="E30" s="46" t="s">
        <v>191</v>
      </c>
      <c r="F30" s="46" t="s">
        <v>2484</v>
      </c>
      <c r="J30" s="46">
        <v>1</v>
      </c>
      <c r="O30" s="46">
        <v>1</v>
      </c>
      <c r="Q30" s="46">
        <v>1</v>
      </c>
      <c r="S30" s="46">
        <v>1</v>
      </c>
      <c r="W30" s="46">
        <v>17</v>
      </c>
      <c r="X30" s="46">
        <v>17</v>
      </c>
      <c r="Y30" s="46">
        <v>18</v>
      </c>
      <c r="Z30" s="46">
        <v>9</v>
      </c>
      <c r="AA30" s="46">
        <v>9</v>
      </c>
      <c r="AB30" s="46">
        <v>7</v>
      </c>
      <c r="AG30" s="46">
        <v>1</v>
      </c>
      <c r="AH30" s="46">
        <v>1</v>
      </c>
      <c r="AI30" s="46">
        <v>1</v>
      </c>
      <c r="AK30" s="46">
        <v>1</v>
      </c>
      <c r="AT30" s="46">
        <v>1</v>
      </c>
      <c r="AX30" s="46">
        <v>1</v>
      </c>
      <c r="BA30" s="46">
        <v>1</v>
      </c>
      <c r="BL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6346</v>
      </c>
    </row>
    <row r="31" spans="1:98">
      <c r="A31" s="46" t="s">
        <v>6637</v>
      </c>
      <c r="B31" s="46" t="s">
        <v>6638</v>
      </c>
      <c r="C31" s="46">
        <v>50</v>
      </c>
      <c r="D31" s="46" t="s">
        <v>6639</v>
      </c>
      <c r="E31" s="46" t="s">
        <v>191</v>
      </c>
      <c r="F31" s="46" t="s">
        <v>2484</v>
      </c>
      <c r="H31" s="46">
        <v>1</v>
      </c>
      <c r="M31" s="46">
        <v>1</v>
      </c>
      <c r="R31" s="46">
        <v>1</v>
      </c>
      <c r="T31" s="46">
        <v>1</v>
      </c>
      <c r="W31" s="46">
        <v>14</v>
      </c>
      <c r="X31" s="46">
        <v>14</v>
      </c>
      <c r="Y31" s="46">
        <v>15</v>
      </c>
      <c r="Z31" s="46">
        <v>10</v>
      </c>
      <c r="AA31" s="46">
        <v>9</v>
      </c>
      <c r="AB31" s="46">
        <v>7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L31" s="46">
        <v>1</v>
      </c>
      <c r="BY31" s="46">
        <v>1</v>
      </c>
      <c r="CB31" s="46">
        <v>1</v>
      </c>
      <c r="CF31" s="46">
        <v>1</v>
      </c>
      <c r="CG31" s="50">
        <v>45261</v>
      </c>
      <c r="CK31" s="46">
        <v>1</v>
      </c>
      <c r="CR31" s="46">
        <v>1</v>
      </c>
      <c r="CT31" s="46" t="s">
        <v>6346</v>
      </c>
    </row>
    <row r="32" spans="1:98">
      <c r="A32" s="46" t="s">
        <v>6640</v>
      </c>
      <c r="B32" s="46" t="s">
        <v>6641</v>
      </c>
      <c r="C32" s="46">
        <v>21</v>
      </c>
      <c r="D32" s="46" t="s">
        <v>4061</v>
      </c>
      <c r="E32" s="46" t="s">
        <v>6642</v>
      </c>
      <c r="F32" s="46" t="s">
        <v>145</v>
      </c>
      <c r="J32" s="46">
        <v>1</v>
      </c>
      <c r="M32" s="46">
        <v>1</v>
      </c>
      <c r="Q32" s="46">
        <v>1</v>
      </c>
      <c r="U32" s="46">
        <v>1</v>
      </c>
      <c r="W32" s="46">
        <v>14</v>
      </c>
      <c r="X32" s="46">
        <v>18</v>
      </c>
      <c r="Y32" s="46">
        <v>19</v>
      </c>
      <c r="Z32" s="46">
        <v>2</v>
      </c>
      <c r="AA32" s="46">
        <v>2</v>
      </c>
      <c r="AB32" s="46">
        <v>2</v>
      </c>
      <c r="AC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6440</v>
      </c>
    </row>
    <row r="33" spans="1:98">
      <c r="A33" s="46" t="s">
        <v>6643</v>
      </c>
      <c r="B33" s="46" t="s">
        <v>6644</v>
      </c>
      <c r="C33" s="46">
        <v>27</v>
      </c>
      <c r="D33" s="46" t="s">
        <v>6645</v>
      </c>
      <c r="E33" s="46" t="s">
        <v>6646</v>
      </c>
      <c r="F33" s="46" t="s">
        <v>3363</v>
      </c>
      <c r="I33" s="46">
        <v>1</v>
      </c>
      <c r="O33" s="46">
        <v>1</v>
      </c>
      <c r="R33" s="46">
        <v>1</v>
      </c>
      <c r="T33" s="46">
        <v>1</v>
      </c>
      <c r="W33" s="46">
        <v>17</v>
      </c>
      <c r="X33" s="46">
        <v>18</v>
      </c>
      <c r="Y33" s="46">
        <v>19</v>
      </c>
      <c r="Z33" s="46">
        <v>5</v>
      </c>
      <c r="AA33" s="46">
        <v>5</v>
      </c>
      <c r="AB33" s="46">
        <v>4</v>
      </c>
      <c r="AH33" s="46">
        <v>1</v>
      </c>
      <c r="AJ33" s="46">
        <v>1</v>
      </c>
      <c r="AK33" s="46">
        <v>1</v>
      </c>
      <c r="AT33" s="46">
        <v>1</v>
      </c>
      <c r="AX33" s="46">
        <v>1</v>
      </c>
      <c r="BA33" s="46">
        <v>1</v>
      </c>
      <c r="BY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6440</v>
      </c>
    </row>
    <row r="34" spans="1:98">
      <c r="A34" s="46" t="s">
        <v>6647</v>
      </c>
      <c r="B34" s="46" t="s">
        <v>6648</v>
      </c>
      <c r="C34" s="46">
        <v>30</v>
      </c>
      <c r="D34" s="46" t="s">
        <v>3935</v>
      </c>
      <c r="E34" s="46" t="s">
        <v>6649</v>
      </c>
      <c r="F34" s="46" t="s">
        <v>2574</v>
      </c>
      <c r="H34" s="46">
        <v>1</v>
      </c>
      <c r="M34" s="46">
        <v>1</v>
      </c>
      <c r="R34" s="46">
        <v>1</v>
      </c>
      <c r="T34" s="46">
        <v>1</v>
      </c>
      <c r="W34" s="46">
        <v>15</v>
      </c>
      <c r="X34" s="46">
        <v>20</v>
      </c>
      <c r="Y34" s="46">
        <v>21</v>
      </c>
      <c r="Z34" s="46">
        <v>3</v>
      </c>
      <c r="AA34" s="46">
        <v>3</v>
      </c>
      <c r="AB34" s="46">
        <v>3</v>
      </c>
      <c r="AC34" s="46">
        <v>1</v>
      </c>
      <c r="AI34" s="46">
        <v>1</v>
      </c>
      <c r="AK34" s="46">
        <v>1</v>
      </c>
      <c r="AT34" s="46">
        <v>1</v>
      </c>
      <c r="AW34" s="46">
        <v>1</v>
      </c>
      <c r="BA34" s="46">
        <v>1</v>
      </c>
      <c r="BO34" s="46" t="s">
        <v>6650</v>
      </c>
      <c r="BY34" s="46">
        <v>1</v>
      </c>
      <c r="CC34" s="46">
        <v>1</v>
      </c>
      <c r="CD34" s="46">
        <v>2021</v>
      </c>
      <c r="CE34" s="46">
        <v>1</v>
      </c>
      <c r="CK34" s="46">
        <v>1</v>
      </c>
      <c r="CR34" s="46">
        <v>1</v>
      </c>
      <c r="CT34" s="46" t="s">
        <v>6651</v>
      </c>
    </row>
    <row r="35" spans="1:98">
      <c r="A35" s="46" t="s">
        <v>6652</v>
      </c>
      <c r="B35" s="46" t="s">
        <v>6653</v>
      </c>
      <c r="C35" s="46">
        <v>35</v>
      </c>
      <c r="D35" s="46" t="s">
        <v>4287</v>
      </c>
      <c r="E35" s="46" t="s">
        <v>6654</v>
      </c>
      <c r="F35" s="46" t="s">
        <v>2484</v>
      </c>
      <c r="I35" s="46">
        <v>1</v>
      </c>
      <c r="M35" s="46">
        <v>1</v>
      </c>
      <c r="Q35" s="46">
        <v>1</v>
      </c>
      <c r="U35" s="46">
        <v>1</v>
      </c>
      <c r="W35" s="46">
        <v>16</v>
      </c>
      <c r="X35" s="46">
        <v>16</v>
      </c>
      <c r="Y35" s="46">
        <v>20</v>
      </c>
      <c r="Z35" s="46">
        <v>3</v>
      </c>
      <c r="AA35" s="46">
        <v>3</v>
      </c>
      <c r="AB35" s="46">
        <v>3</v>
      </c>
      <c r="AE35" s="46">
        <v>1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W35" s="46">
        <v>1</v>
      </c>
      <c r="BA35" s="46">
        <v>1</v>
      </c>
      <c r="BO35" s="46" t="s">
        <v>4435</v>
      </c>
      <c r="BP35" s="46">
        <v>1</v>
      </c>
      <c r="BQ35" s="46" t="s">
        <v>6655</v>
      </c>
      <c r="BY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6651</v>
      </c>
    </row>
  </sheetData>
  <autoFilter ref="A3:F35"/>
  <mergeCells count="19">
    <mergeCell ref="G1:K1"/>
    <mergeCell ref="Q1:R1"/>
    <mergeCell ref="S1:V1"/>
    <mergeCell ref="AC1:AH1"/>
    <mergeCell ref="AI1:AJ1"/>
    <mergeCell ref="AK1:AM1"/>
    <mergeCell ref="AN1:AP1"/>
    <mergeCell ref="CH1:CI1"/>
    <mergeCell ref="CK1:CN1"/>
    <mergeCell ref="CO1:CP1"/>
    <mergeCell ref="BP1:BR1"/>
    <mergeCell ref="BS1:BT1"/>
    <mergeCell ref="BW1:BY1"/>
    <mergeCell ref="BJ2:BK2"/>
    <mergeCell ref="BL2:BO2"/>
    <mergeCell ref="AQ1:AS1"/>
    <mergeCell ref="AV1:AZ1"/>
    <mergeCell ref="BD1:BF1"/>
    <mergeCell ref="BI1:BO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7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6656</v>
      </c>
      <c r="B3" s="69">
        <v>19</v>
      </c>
      <c r="C3" s="69">
        <v>0</v>
      </c>
      <c r="D3" s="69">
        <v>2</v>
      </c>
      <c r="E3" s="69">
        <f>SUM(B3:D3)</f>
        <v>21</v>
      </c>
      <c r="F3" s="70">
        <v>2</v>
      </c>
      <c r="G3" s="70">
        <v>15</v>
      </c>
      <c r="H3" s="70">
        <v>4</v>
      </c>
      <c r="I3" s="70">
        <v>0</v>
      </c>
      <c r="J3" s="71">
        <f>SUM(F3:I3)</f>
        <v>21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>SUM(K3:O3)</f>
        <v>0</v>
      </c>
      <c r="Q3" s="70">
        <v>2</v>
      </c>
      <c r="R3" s="70">
        <v>0</v>
      </c>
      <c r="S3" s="70">
        <v>9</v>
      </c>
      <c r="T3" s="71">
        <f>SUM(Q3:S3)</f>
        <v>11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15</v>
      </c>
      <c r="AB3" s="73">
        <v>1</v>
      </c>
      <c r="AC3" s="73"/>
      <c r="AD3" s="73">
        <v>5</v>
      </c>
      <c r="AE3" s="186">
        <f>SUM(AA3,AB3,AC3,AD3)</f>
        <v>21</v>
      </c>
      <c r="AF3" s="73">
        <v>0</v>
      </c>
      <c r="AG3" s="73">
        <v>0</v>
      </c>
    </row>
    <row r="4" spans="1:33">
      <c r="A4" s="77" t="s">
        <v>6547</v>
      </c>
      <c r="B4" s="69">
        <v>8</v>
      </c>
      <c r="C4" s="69">
        <v>0</v>
      </c>
      <c r="D4" s="69">
        <v>0</v>
      </c>
      <c r="E4" s="69">
        <f>SUM(B4:D4)</f>
        <v>8</v>
      </c>
      <c r="F4" s="70">
        <v>1</v>
      </c>
      <c r="G4" s="70">
        <v>6</v>
      </c>
      <c r="H4" s="70">
        <v>1</v>
      </c>
      <c r="I4" s="70">
        <v>0</v>
      </c>
      <c r="J4" s="71">
        <f>SUM(F4:I4)</f>
        <v>8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>SUM(K4:O4)</f>
        <v>0</v>
      </c>
      <c r="Q4" s="70">
        <v>1</v>
      </c>
      <c r="R4" s="70">
        <v>0</v>
      </c>
      <c r="S4" s="70">
        <v>3</v>
      </c>
      <c r="T4" s="71">
        <f>SUM(Q4:S4)</f>
        <v>4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6</v>
      </c>
      <c r="AB4" s="73"/>
      <c r="AC4" s="73"/>
      <c r="AD4" s="73">
        <v>2</v>
      </c>
      <c r="AE4" s="186">
        <f>SUM(AA4,AB4,AC4,AD4)</f>
        <v>8</v>
      </c>
      <c r="AF4" s="73">
        <v>0</v>
      </c>
      <c r="AG4" s="73">
        <v>0</v>
      </c>
    </row>
    <row r="5" spans="1:33">
      <c r="A5" s="77" t="s">
        <v>1171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1">
        <f>SUM(F5:I5)</f>
        <v>1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0</v>
      </c>
      <c r="R5" s="70">
        <v>0</v>
      </c>
      <c r="S5" s="70">
        <v>1</v>
      </c>
      <c r="T5" s="71">
        <f>SUM(Q5:S5)</f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</v>
      </c>
      <c r="AB5" s="73"/>
      <c r="AC5" s="73"/>
      <c r="AD5" s="73"/>
      <c r="AE5" s="186">
        <f>SUM(AA5,AB5,AC5,AD5)</f>
        <v>1</v>
      </c>
      <c r="AF5" s="73">
        <v>0</v>
      </c>
      <c r="AG5" s="73">
        <v>0</v>
      </c>
    </row>
    <row r="6" spans="1:33">
      <c r="A6" s="77" t="s">
        <v>6459</v>
      </c>
      <c r="B6" s="69">
        <v>2</v>
      </c>
      <c r="C6" s="69">
        <v>0</v>
      </c>
      <c r="D6" s="69">
        <v>0</v>
      </c>
      <c r="E6" s="69">
        <f>SUM(B6:D6)</f>
        <v>2</v>
      </c>
      <c r="F6" s="70">
        <v>0</v>
      </c>
      <c r="G6" s="70">
        <v>2</v>
      </c>
      <c r="H6" s="70">
        <v>0</v>
      </c>
      <c r="I6" s="70">
        <v>0</v>
      </c>
      <c r="J6" s="71">
        <f>SUM(F6:I6)</f>
        <v>2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1">
        <f>SUM(K6:O6)</f>
        <v>0</v>
      </c>
      <c r="Q6" s="70">
        <v>0</v>
      </c>
      <c r="R6" s="70">
        <v>0</v>
      </c>
      <c r="S6" s="70">
        <v>0</v>
      </c>
      <c r="T6" s="71">
        <f>SUM(Q6:S6)</f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</v>
      </c>
      <c r="AB6" s="73"/>
      <c r="AC6" s="73"/>
      <c r="AD6" s="73">
        <v>1</v>
      </c>
      <c r="AE6" s="186">
        <f>SUM(AA6,AB6,AC6,AD6)</f>
        <v>2</v>
      </c>
      <c r="AF6" s="73">
        <v>0</v>
      </c>
      <c r="AG6" s="73">
        <v>0</v>
      </c>
    </row>
    <row r="7" spans="1:33">
      <c r="A7" s="69" t="s">
        <v>376</v>
      </c>
      <c r="B7" s="69">
        <f t="shared" ref="B7:I7" si="0">SUM(B3:B6)</f>
        <v>30</v>
      </c>
      <c r="C7" s="69">
        <f t="shared" si="0"/>
        <v>0</v>
      </c>
      <c r="D7" s="69">
        <f t="shared" si="0"/>
        <v>2</v>
      </c>
      <c r="E7" s="69">
        <f t="shared" si="0"/>
        <v>32</v>
      </c>
      <c r="F7" s="69">
        <f t="shared" si="0"/>
        <v>3</v>
      </c>
      <c r="G7" s="69">
        <f t="shared" si="0"/>
        <v>24</v>
      </c>
      <c r="H7" s="69">
        <f t="shared" si="0"/>
        <v>5</v>
      </c>
      <c r="I7" s="69">
        <f t="shared" si="0"/>
        <v>0</v>
      </c>
      <c r="J7" s="71">
        <f>SUM(F7:I7)</f>
        <v>32</v>
      </c>
      <c r="K7" s="114">
        <f>SUM(K3:K6)</f>
        <v>0</v>
      </c>
      <c r="L7" s="114">
        <f>SUM(L3:L6)</f>
        <v>0</v>
      </c>
      <c r="M7" s="114">
        <f>SUM(M3:M6)</f>
        <v>0</v>
      </c>
      <c r="N7" s="114">
        <f>SUM(N3:N6)</f>
        <v>0</v>
      </c>
      <c r="O7" s="114">
        <f>SUM(O3:O6)</f>
        <v>0</v>
      </c>
      <c r="P7" s="71">
        <f>SUM(K7:O7)</f>
        <v>0</v>
      </c>
      <c r="Q7" s="114">
        <f>SUM(Q3:Q6)</f>
        <v>3</v>
      </c>
      <c r="R7" s="114">
        <f>SUM(R3:R6)</f>
        <v>0</v>
      </c>
      <c r="S7" s="114">
        <f>SUM(S3:S6)</f>
        <v>13</v>
      </c>
      <c r="T7" s="241">
        <f>SUM(Q7:S7)</f>
        <v>16</v>
      </c>
      <c r="U7" s="114">
        <f t="shared" ref="U7:AG7" si="1">SUM(U3:U6)</f>
        <v>0</v>
      </c>
      <c r="V7" s="114">
        <f t="shared" si="1"/>
        <v>0</v>
      </c>
      <c r="W7" s="114">
        <f t="shared" si="1"/>
        <v>0</v>
      </c>
      <c r="X7" s="114">
        <f t="shared" si="1"/>
        <v>0</v>
      </c>
      <c r="Y7" s="114">
        <f t="shared" si="1"/>
        <v>0</v>
      </c>
      <c r="Z7" s="114">
        <f t="shared" si="1"/>
        <v>0</v>
      </c>
      <c r="AA7" s="114">
        <f t="shared" si="1"/>
        <v>23</v>
      </c>
      <c r="AB7" s="114">
        <f t="shared" si="1"/>
        <v>1</v>
      </c>
      <c r="AC7" s="114">
        <f t="shared" si="1"/>
        <v>0</v>
      </c>
      <c r="AD7" s="114">
        <f t="shared" si="1"/>
        <v>8</v>
      </c>
      <c r="AE7" s="73">
        <f t="shared" si="1"/>
        <v>32</v>
      </c>
      <c r="AF7" s="73">
        <f t="shared" si="1"/>
        <v>0</v>
      </c>
      <c r="AG7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5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0.140625" customWidth="1"/>
    <col min="2" max="2" width="24.85546875" customWidth="1"/>
    <col min="3" max="3" width="6.28515625" customWidth="1"/>
    <col min="4" max="4" width="11.140625" customWidth="1"/>
    <col min="5" max="6" width="13.7109375" customWidth="1"/>
    <col min="7" max="7" width="6.42578125" customWidth="1"/>
    <col min="8" max="9" width="6.85546875" customWidth="1"/>
    <col min="10" max="10" width="7.140625" customWidth="1"/>
    <col min="11" max="11" width="7.28515625" customWidth="1"/>
    <col min="12" max="12" width="5.5703125" customWidth="1"/>
    <col min="13" max="13" width="6" customWidth="1"/>
    <col min="14" max="14" width="5.7109375" customWidth="1"/>
    <col min="15" max="15" width="6.5703125" customWidth="1"/>
    <col min="16" max="16" width="7" customWidth="1"/>
    <col min="17" max="17" width="7.42578125" customWidth="1"/>
    <col min="18" max="18" width="6.28515625" customWidth="1"/>
    <col min="19" max="19" width="7.140625" customWidth="1"/>
    <col min="20" max="20" width="6.42578125" customWidth="1"/>
    <col min="21" max="21" width="6.85546875" customWidth="1"/>
    <col min="22" max="22" width="5.140625" customWidth="1"/>
    <col min="23" max="23" width="10.28515625" customWidth="1"/>
    <col min="24" max="24" width="14.140625" customWidth="1"/>
    <col min="25" max="25" width="11.7109375" customWidth="1"/>
    <col min="26" max="26" width="7.42578125" customWidth="1"/>
    <col min="27" max="27" width="11.7109375" customWidth="1"/>
    <col min="28" max="28" width="13.42578125" customWidth="1"/>
    <col min="29" max="29" width="5.140625" customWidth="1"/>
    <col min="30" max="30" width="7.5703125" customWidth="1"/>
    <col min="31" max="31" width="7.140625" customWidth="1"/>
    <col min="32" max="33" width="8.28515625" customWidth="1"/>
    <col min="34" max="34" width="5.7109375" customWidth="1"/>
    <col min="35" max="35" width="4.7109375" customWidth="1"/>
    <col min="36" max="36" width="7.5703125" customWidth="1"/>
    <col min="37" max="37" width="6.5703125" customWidth="1"/>
    <col min="38" max="38" width="7.28515625" customWidth="1"/>
    <col min="39" max="39" width="11.5703125" customWidth="1"/>
    <col min="40" max="40" width="12" customWidth="1"/>
    <col min="41" max="41" width="8.28515625" customWidth="1"/>
    <col min="42" max="42" width="9.140625" customWidth="1"/>
    <col min="45" max="45" width="13.28515625" customWidth="1"/>
    <col min="46" max="46" width="8.140625" customWidth="1"/>
    <col min="47" max="47" width="9.42578125" customWidth="1"/>
    <col min="48" max="48" width="7.140625" customWidth="1"/>
    <col min="49" max="49" width="9.42578125" customWidth="1"/>
    <col min="50" max="50" width="9" customWidth="1"/>
    <col min="51" max="51" width="8.7109375" customWidth="1"/>
    <col min="52" max="52" width="5.7109375" customWidth="1"/>
    <col min="53" max="53" width="7.28515625" customWidth="1"/>
    <col min="54" max="54" width="9" customWidth="1"/>
    <col min="55" max="55" width="6.85546875" customWidth="1"/>
    <col min="56" max="56" width="6.42578125" customWidth="1"/>
    <col min="57" max="57" width="11.5703125" customWidth="1"/>
    <col min="58" max="58" width="8.28515625" customWidth="1"/>
    <col min="59" max="59" width="9.140625" customWidth="1"/>
    <col min="60" max="60" width="10.5703125" customWidth="1"/>
    <col min="61" max="61" width="7.7109375" customWidth="1"/>
    <col min="62" max="62" width="8" customWidth="1"/>
    <col min="63" max="63" width="7.7109375" customWidth="1"/>
    <col min="64" max="64" width="10.140625" customWidth="1"/>
    <col min="65" max="65" width="11.140625" customWidth="1"/>
    <col min="67" max="67" width="9.140625" customWidth="1"/>
    <col min="68" max="68" width="8.85546875" customWidth="1"/>
    <col min="69" max="69" width="9.140625" customWidth="1"/>
    <col min="70" max="70" width="6.5703125" customWidth="1"/>
    <col min="71" max="72" width="7.85546875" customWidth="1"/>
    <col min="75" max="75" width="7.85546875" customWidth="1"/>
    <col min="76" max="76" width="9.5703125" customWidth="1"/>
    <col min="77" max="77" width="12.140625" customWidth="1"/>
    <col min="80" max="80" width="7.7109375" customWidth="1"/>
    <col min="81" max="81" width="8.28515625" customWidth="1"/>
    <col min="82" max="82" width="9.7109375" customWidth="1"/>
    <col min="83" max="83" width="8" customWidth="1"/>
    <col min="84" max="84" width="11.28515625" customWidth="1"/>
    <col min="85" max="85" width="11.85546875" customWidth="1"/>
    <col min="86" max="87" width="12.140625" customWidth="1"/>
    <col min="88" max="88" width="10.28515625" customWidth="1"/>
    <col min="89" max="89" width="10.85546875" customWidth="1"/>
  </cols>
  <sheetData>
    <row r="1" spans="1:98">
      <c r="A1" s="197" t="s">
        <v>6548</v>
      </c>
      <c r="B1" s="143"/>
      <c r="C1" s="231" t="s">
        <v>6657</v>
      </c>
      <c r="D1" s="143"/>
      <c r="E1" s="143"/>
      <c r="F1" s="143"/>
      <c r="G1" s="529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242"/>
      <c r="S1" s="505" t="s">
        <v>5</v>
      </c>
      <c r="T1" s="481"/>
      <c r="U1" s="481"/>
      <c r="V1" s="480"/>
      <c r="W1" s="510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05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05" t="s">
        <v>12</v>
      </c>
      <c r="AU1" s="480"/>
      <c r="AV1" s="509" t="s">
        <v>13</v>
      </c>
      <c r="AW1" s="481"/>
      <c r="AX1" s="481"/>
      <c r="AY1" s="481"/>
      <c r="AZ1" s="480"/>
      <c r="BA1" s="510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05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05" t="s">
        <v>6659</v>
      </c>
      <c r="BX1" s="481"/>
      <c r="BY1" s="480"/>
      <c r="BZ1" s="143"/>
      <c r="CA1" s="143"/>
      <c r="CB1" s="240" t="s">
        <v>20</v>
      </c>
      <c r="CC1" s="143"/>
      <c r="CD1" s="143"/>
      <c r="CE1" s="240" t="s">
        <v>21</v>
      </c>
      <c r="CF1" s="143"/>
      <c r="CG1" s="143" t="s">
        <v>22</v>
      </c>
      <c r="CH1" s="510" t="s">
        <v>23</v>
      </c>
      <c r="CI1" s="480"/>
      <c r="CJ1" s="143"/>
      <c r="CK1" s="505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28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6660</v>
      </c>
      <c r="B4" s="46" t="s">
        <v>6661</v>
      </c>
      <c r="C4" s="46">
        <v>33</v>
      </c>
      <c r="D4" s="46" t="s">
        <v>2565</v>
      </c>
      <c r="E4" s="46" t="s">
        <v>6662</v>
      </c>
      <c r="F4" s="46" t="s">
        <v>2472</v>
      </c>
      <c r="I4" s="46">
        <v>1</v>
      </c>
      <c r="M4" s="46">
        <v>1</v>
      </c>
      <c r="R4" s="46">
        <v>1</v>
      </c>
      <c r="S4" s="46">
        <v>1</v>
      </c>
      <c r="W4" s="46">
        <v>15</v>
      </c>
      <c r="X4" s="46">
        <v>17</v>
      </c>
      <c r="Y4" s="46">
        <v>17</v>
      </c>
      <c r="Z4" s="46">
        <v>7</v>
      </c>
      <c r="AA4" s="46">
        <v>7</v>
      </c>
      <c r="AB4" s="46">
        <v>7</v>
      </c>
      <c r="AD4" s="46">
        <v>1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X4" s="46">
        <v>1</v>
      </c>
      <c r="BA4" s="46">
        <v>1</v>
      </c>
      <c r="BK4" s="46">
        <v>1</v>
      </c>
      <c r="CB4" s="46">
        <v>1</v>
      </c>
      <c r="CE4" s="46">
        <v>1</v>
      </c>
      <c r="CR4" s="46">
        <v>1</v>
      </c>
      <c r="CT4" s="46" t="s">
        <v>6346</v>
      </c>
    </row>
    <row r="5" spans="1:98">
      <c r="A5" s="46" t="s">
        <v>6663</v>
      </c>
      <c r="B5" s="46" t="s">
        <v>6664</v>
      </c>
      <c r="C5" s="46">
        <v>30</v>
      </c>
      <c r="D5" s="46" t="s">
        <v>2565</v>
      </c>
      <c r="E5" s="46" t="s">
        <v>6665</v>
      </c>
      <c r="F5" s="46" t="s">
        <v>3173</v>
      </c>
      <c r="J5" s="46">
        <v>1</v>
      </c>
      <c r="O5" s="46">
        <v>1</v>
      </c>
      <c r="R5" s="46">
        <v>1</v>
      </c>
      <c r="T5" s="46">
        <v>1</v>
      </c>
      <c r="W5" s="46">
        <v>18</v>
      </c>
      <c r="X5" s="46">
        <v>20</v>
      </c>
      <c r="Y5" s="46">
        <v>0</v>
      </c>
      <c r="Z5" s="46">
        <v>0</v>
      </c>
      <c r="AA5" s="46">
        <v>0</v>
      </c>
      <c r="AB5" s="46">
        <v>0</v>
      </c>
      <c r="AE5" s="46">
        <v>1</v>
      </c>
      <c r="AH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CB5" s="46">
        <v>1</v>
      </c>
      <c r="CE5" s="46">
        <v>1</v>
      </c>
      <c r="CR5" s="46">
        <v>1</v>
      </c>
      <c r="CT5" s="46" t="s">
        <v>6346</v>
      </c>
    </row>
    <row r="6" spans="1:98">
      <c r="A6" s="46" t="s">
        <v>6666</v>
      </c>
      <c r="B6" s="46" t="s">
        <v>6667</v>
      </c>
      <c r="C6" s="46">
        <v>57</v>
      </c>
      <c r="D6" s="46" t="s">
        <v>3212</v>
      </c>
      <c r="E6" s="46" t="s">
        <v>6668</v>
      </c>
      <c r="F6" s="46" t="s">
        <v>2523</v>
      </c>
      <c r="I6" s="46">
        <v>1</v>
      </c>
      <c r="M6" s="46">
        <v>1</v>
      </c>
      <c r="Q6" s="46">
        <v>1</v>
      </c>
      <c r="T6" s="46">
        <v>1</v>
      </c>
      <c r="W6" s="46">
        <v>14</v>
      </c>
      <c r="X6" s="46">
        <v>16</v>
      </c>
      <c r="Y6" s="46">
        <v>20</v>
      </c>
      <c r="Z6" s="46">
        <v>6</v>
      </c>
      <c r="AA6" s="46">
        <v>6</v>
      </c>
      <c r="AB6" s="46">
        <v>6</v>
      </c>
      <c r="AF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L6" s="46">
        <v>1</v>
      </c>
      <c r="BY6" s="46">
        <v>1</v>
      </c>
      <c r="CB6" s="46">
        <v>1</v>
      </c>
      <c r="CE6" s="46">
        <v>1</v>
      </c>
      <c r="CR6" s="46">
        <v>1</v>
      </c>
      <c r="CT6" s="46" t="s">
        <v>6346</v>
      </c>
    </row>
    <row r="7" spans="1:98">
      <c r="A7" s="46" t="s">
        <v>6669</v>
      </c>
      <c r="B7" s="46" t="s">
        <v>6670</v>
      </c>
      <c r="C7" s="46">
        <v>58</v>
      </c>
      <c r="D7" s="46" t="s">
        <v>6671</v>
      </c>
      <c r="E7" s="46" t="s">
        <v>6672</v>
      </c>
      <c r="F7" s="46" t="s">
        <v>3363</v>
      </c>
      <c r="J7" s="46">
        <v>1</v>
      </c>
      <c r="P7" s="46">
        <v>1</v>
      </c>
      <c r="R7" s="46">
        <v>1</v>
      </c>
      <c r="T7" s="46">
        <v>1</v>
      </c>
      <c r="W7" s="46">
        <v>13</v>
      </c>
      <c r="X7" s="46">
        <v>13</v>
      </c>
      <c r="Y7" s="46">
        <v>16</v>
      </c>
      <c r="Z7" s="46">
        <v>5</v>
      </c>
      <c r="AA7" s="46">
        <v>5</v>
      </c>
      <c r="AB7" s="46">
        <v>5</v>
      </c>
      <c r="AE7" s="46">
        <v>1</v>
      </c>
      <c r="AH7" s="46">
        <v>1</v>
      </c>
      <c r="AJ7" s="46">
        <v>1</v>
      </c>
      <c r="AK7" s="46">
        <v>1</v>
      </c>
      <c r="AT7" s="46">
        <v>1</v>
      </c>
      <c r="AX7" s="46">
        <v>1</v>
      </c>
      <c r="BA7" s="46">
        <v>1</v>
      </c>
      <c r="BM7" s="46">
        <v>1</v>
      </c>
      <c r="BU7" s="46">
        <v>1</v>
      </c>
      <c r="CB7" s="46">
        <v>1</v>
      </c>
      <c r="CE7" s="46">
        <v>1</v>
      </c>
      <c r="CR7" s="46">
        <v>1</v>
      </c>
      <c r="CT7" s="46" t="s">
        <v>6536</v>
      </c>
    </row>
    <row r="8" spans="1:98">
      <c r="A8" s="46" t="s">
        <v>6673</v>
      </c>
      <c r="B8" s="46" t="s">
        <v>6674</v>
      </c>
      <c r="C8" s="46">
        <v>48</v>
      </c>
      <c r="D8" s="46" t="s">
        <v>6675</v>
      </c>
      <c r="E8" s="46" t="s">
        <v>191</v>
      </c>
      <c r="F8" s="46" t="s">
        <v>6676</v>
      </c>
      <c r="J8" s="46">
        <v>1</v>
      </c>
      <c r="O8" s="46">
        <v>1</v>
      </c>
      <c r="Q8" s="46">
        <v>1</v>
      </c>
      <c r="T8" s="46">
        <v>1</v>
      </c>
      <c r="W8" s="46">
        <v>16</v>
      </c>
      <c r="X8" s="46">
        <v>17</v>
      </c>
      <c r="Y8" s="46">
        <v>17</v>
      </c>
      <c r="Z8" s="46">
        <v>9</v>
      </c>
      <c r="AA8" s="46">
        <v>9</v>
      </c>
      <c r="AB8" s="46">
        <v>9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B8" s="46">
        <v>1</v>
      </c>
      <c r="BG8" s="46">
        <v>1</v>
      </c>
      <c r="BM8" s="46">
        <v>1</v>
      </c>
      <c r="BU8" s="46" t="s">
        <v>5582</v>
      </c>
      <c r="CB8" s="46">
        <v>1</v>
      </c>
      <c r="CE8" s="46">
        <v>1</v>
      </c>
      <c r="CR8" s="46">
        <v>1</v>
      </c>
      <c r="CT8" s="46" t="s">
        <v>6536</v>
      </c>
    </row>
    <row r="9" spans="1:98">
      <c r="A9" s="46" t="s">
        <v>6677</v>
      </c>
      <c r="B9" s="46" t="s">
        <v>6678</v>
      </c>
      <c r="C9" s="46">
        <v>45</v>
      </c>
      <c r="D9" s="46" t="s">
        <v>2565</v>
      </c>
      <c r="E9" s="46" t="s">
        <v>191</v>
      </c>
      <c r="F9" s="46" t="s">
        <v>2472</v>
      </c>
      <c r="I9" s="46">
        <v>1</v>
      </c>
      <c r="O9" s="46">
        <v>1</v>
      </c>
      <c r="Q9" s="46">
        <v>1</v>
      </c>
      <c r="S9" s="46">
        <v>1</v>
      </c>
      <c r="W9" s="46">
        <v>16</v>
      </c>
      <c r="X9" s="46">
        <v>18</v>
      </c>
      <c r="Y9" s="46">
        <v>19</v>
      </c>
      <c r="Z9" s="46">
        <v>7</v>
      </c>
      <c r="AA9" s="46">
        <v>6</v>
      </c>
      <c r="AB9" s="46">
        <v>4</v>
      </c>
      <c r="AH9" s="46">
        <v>1</v>
      </c>
      <c r="AJ9" s="46">
        <v>1</v>
      </c>
      <c r="AL9" s="46">
        <v>1</v>
      </c>
      <c r="AP9" s="46">
        <v>1</v>
      </c>
      <c r="AS9" s="46">
        <v>1</v>
      </c>
      <c r="AT9" s="46">
        <v>1</v>
      </c>
      <c r="AX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R9" s="46">
        <v>1</v>
      </c>
      <c r="CT9" s="46" t="s">
        <v>6346</v>
      </c>
    </row>
    <row r="10" spans="1:98">
      <c r="A10" s="46" t="s">
        <v>6679</v>
      </c>
      <c r="B10" s="46" t="s">
        <v>2630</v>
      </c>
      <c r="C10" s="46">
        <v>24</v>
      </c>
      <c r="D10" s="46" t="s">
        <v>2565</v>
      </c>
      <c r="E10" s="46" t="s">
        <v>6680</v>
      </c>
      <c r="F10" s="46" t="s">
        <v>2472</v>
      </c>
      <c r="I10" s="46">
        <v>1</v>
      </c>
      <c r="M10" s="46">
        <v>1</v>
      </c>
      <c r="Q10" s="46">
        <v>1</v>
      </c>
      <c r="U10" s="46">
        <v>1</v>
      </c>
      <c r="W10" s="46">
        <v>14</v>
      </c>
      <c r="X10" s="46">
        <v>20</v>
      </c>
      <c r="Y10" s="46">
        <v>22</v>
      </c>
      <c r="Z10" s="46">
        <v>1</v>
      </c>
      <c r="AA10" s="46">
        <v>1</v>
      </c>
      <c r="AB10" s="46">
        <v>1</v>
      </c>
      <c r="AH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R10" s="46">
        <v>1</v>
      </c>
      <c r="CT10" s="46" t="s">
        <v>6346</v>
      </c>
    </row>
    <row r="11" spans="1:98">
      <c r="A11" s="46" t="s">
        <v>6681</v>
      </c>
      <c r="B11" s="46" t="s">
        <v>6682</v>
      </c>
      <c r="C11" s="46">
        <v>22</v>
      </c>
      <c r="D11" s="46" t="s">
        <v>2565</v>
      </c>
      <c r="E11" s="46" t="s">
        <v>6683</v>
      </c>
      <c r="F11" s="46" t="s">
        <v>3238</v>
      </c>
      <c r="I11" s="46">
        <v>1</v>
      </c>
      <c r="M11" s="46">
        <v>1</v>
      </c>
      <c r="Q11" s="46">
        <v>1</v>
      </c>
      <c r="S11" s="46">
        <v>1</v>
      </c>
      <c r="W11" s="46">
        <v>15</v>
      </c>
      <c r="X11" s="46">
        <v>16</v>
      </c>
      <c r="Y11" s="46">
        <v>17</v>
      </c>
      <c r="Z11" s="46">
        <v>1</v>
      </c>
      <c r="AA11" s="46">
        <v>1</v>
      </c>
      <c r="AB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R11" s="46">
        <v>1</v>
      </c>
      <c r="CT11" s="46" t="s">
        <v>6346</v>
      </c>
    </row>
    <row r="12" spans="1:98">
      <c r="A12" s="46" t="s">
        <v>6684</v>
      </c>
      <c r="B12" s="46" t="s">
        <v>6685</v>
      </c>
      <c r="C12" s="46">
        <v>29</v>
      </c>
      <c r="D12" s="46" t="s">
        <v>3212</v>
      </c>
      <c r="E12" s="46" t="s">
        <v>6686</v>
      </c>
      <c r="F12" s="46" t="s">
        <v>3238</v>
      </c>
      <c r="I12" s="46">
        <v>1</v>
      </c>
      <c r="M12" s="46">
        <v>1</v>
      </c>
      <c r="Q12" s="46">
        <v>1</v>
      </c>
      <c r="S12" s="46">
        <v>1</v>
      </c>
      <c r="W12" s="46">
        <v>15</v>
      </c>
      <c r="X12" s="46">
        <v>17</v>
      </c>
      <c r="Y12" s="46">
        <v>17</v>
      </c>
      <c r="Z12" s="46">
        <v>3</v>
      </c>
      <c r="AA12" s="46">
        <v>3</v>
      </c>
      <c r="AB12" s="46">
        <v>3</v>
      </c>
      <c r="AG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>
        <v>1</v>
      </c>
      <c r="CT12" s="46" t="s">
        <v>6346</v>
      </c>
    </row>
    <row r="13" spans="1:98">
      <c r="A13" s="46" t="s">
        <v>6687</v>
      </c>
      <c r="B13" s="46" t="s">
        <v>6688</v>
      </c>
      <c r="C13" s="46">
        <v>25</v>
      </c>
      <c r="D13" s="46" t="s">
        <v>3212</v>
      </c>
      <c r="E13" s="46" t="s">
        <v>6689</v>
      </c>
      <c r="F13" s="46" t="s">
        <v>3173</v>
      </c>
      <c r="I13" s="46">
        <v>1</v>
      </c>
      <c r="M13" s="46">
        <v>1</v>
      </c>
      <c r="Q13" s="46">
        <v>1</v>
      </c>
      <c r="T13" s="46">
        <v>1</v>
      </c>
      <c r="W13" s="46">
        <v>13</v>
      </c>
      <c r="X13" s="46">
        <v>14</v>
      </c>
      <c r="Y13" s="46">
        <v>14</v>
      </c>
      <c r="Z13" s="46">
        <v>4</v>
      </c>
      <c r="AA13" s="46">
        <v>4</v>
      </c>
      <c r="AB13" s="46">
        <v>3</v>
      </c>
      <c r="AE13" s="46">
        <v>1</v>
      </c>
      <c r="AG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R13" s="46">
        <v>1</v>
      </c>
      <c r="CT13" s="46" t="s">
        <v>6346</v>
      </c>
    </row>
    <row r="14" spans="1:98">
      <c r="A14" s="46" t="s">
        <v>6690</v>
      </c>
      <c r="B14" s="46" t="s">
        <v>6691</v>
      </c>
      <c r="C14" s="46">
        <v>26</v>
      </c>
      <c r="D14" s="46" t="s">
        <v>2565</v>
      </c>
      <c r="E14" s="46" t="s">
        <v>6692</v>
      </c>
      <c r="F14" s="46" t="s">
        <v>2472</v>
      </c>
      <c r="G14" s="46">
        <v>1</v>
      </c>
      <c r="M14" s="46">
        <v>1</v>
      </c>
      <c r="Q14" s="46">
        <v>1</v>
      </c>
      <c r="S14" s="46">
        <v>1</v>
      </c>
      <c r="W14" s="46">
        <v>14</v>
      </c>
      <c r="X14" s="46">
        <v>20</v>
      </c>
      <c r="Y14" s="46">
        <v>20</v>
      </c>
      <c r="Z14" s="46">
        <v>4</v>
      </c>
      <c r="AA14" s="46">
        <v>4</v>
      </c>
      <c r="AB14" s="46">
        <v>4</v>
      </c>
      <c r="AE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R14" s="46">
        <v>1</v>
      </c>
      <c r="CT14" s="46" t="s">
        <v>6346</v>
      </c>
    </row>
    <row r="15" spans="1:98">
      <c r="A15" s="46" t="s">
        <v>6693</v>
      </c>
      <c r="B15" s="46" t="s">
        <v>6694</v>
      </c>
      <c r="C15" s="46">
        <v>28</v>
      </c>
      <c r="D15" s="46" t="s">
        <v>6695</v>
      </c>
      <c r="E15" s="46" t="s">
        <v>6696</v>
      </c>
      <c r="F15" s="46" t="s">
        <v>2523</v>
      </c>
      <c r="H15" s="46">
        <v>1</v>
      </c>
      <c r="L15" s="46">
        <v>1</v>
      </c>
      <c r="R15" s="46">
        <v>1</v>
      </c>
      <c r="U15" s="46">
        <v>1</v>
      </c>
      <c r="W15" s="46">
        <v>14</v>
      </c>
      <c r="X15" s="46">
        <v>22</v>
      </c>
      <c r="Y15" s="46">
        <v>23</v>
      </c>
      <c r="Z15" s="46">
        <v>2</v>
      </c>
      <c r="AA15" s="46">
        <v>2</v>
      </c>
      <c r="AB15" s="46">
        <v>2</v>
      </c>
      <c r="AC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R15" s="46">
        <v>1</v>
      </c>
      <c r="CT15" s="46" t="s">
        <v>6346</v>
      </c>
    </row>
    <row r="16" spans="1:98">
      <c r="A16" s="46" t="s">
        <v>6697</v>
      </c>
      <c r="B16" s="46" t="s">
        <v>6698</v>
      </c>
      <c r="C16" s="46">
        <v>30</v>
      </c>
      <c r="D16" s="46" t="s">
        <v>936</v>
      </c>
      <c r="E16" s="46" t="s">
        <v>6699</v>
      </c>
      <c r="F16" s="46" t="s">
        <v>3363</v>
      </c>
      <c r="H16" s="46">
        <v>1</v>
      </c>
      <c r="M16" s="46">
        <v>1</v>
      </c>
      <c r="R16" s="46">
        <v>1</v>
      </c>
      <c r="U16" s="46">
        <v>1</v>
      </c>
      <c r="W16" s="46">
        <v>15</v>
      </c>
      <c r="X16" s="46">
        <v>19</v>
      </c>
      <c r="Y16" s="46">
        <v>19</v>
      </c>
      <c r="Z16" s="46">
        <v>3</v>
      </c>
      <c r="AA16" s="46">
        <v>3</v>
      </c>
      <c r="AB16" s="46">
        <v>3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R16" s="46">
        <v>1</v>
      </c>
      <c r="CT16" s="46" t="s">
        <v>6346</v>
      </c>
    </row>
    <row r="17" spans="1:98">
      <c r="A17" s="46" t="s">
        <v>6700</v>
      </c>
      <c r="B17" s="46" t="s">
        <v>6701</v>
      </c>
      <c r="C17" s="46">
        <v>19</v>
      </c>
      <c r="D17" s="46" t="s">
        <v>2565</v>
      </c>
      <c r="E17" s="46" t="s">
        <v>191</v>
      </c>
      <c r="F17" s="46" t="s">
        <v>6702</v>
      </c>
      <c r="J17" s="46">
        <v>1</v>
      </c>
      <c r="M17" s="46">
        <v>1</v>
      </c>
      <c r="Q17" s="46">
        <v>1</v>
      </c>
      <c r="T17" s="46">
        <v>1</v>
      </c>
      <c r="W17" s="46">
        <v>14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R17" s="46">
        <v>1</v>
      </c>
      <c r="CT17" s="46" t="s">
        <v>6346</v>
      </c>
    </row>
    <row r="18" spans="1:98">
      <c r="A18" s="46" t="s">
        <v>6703</v>
      </c>
      <c r="B18" s="46" t="s">
        <v>6704</v>
      </c>
      <c r="C18" s="46">
        <v>44</v>
      </c>
      <c r="D18" s="46" t="s">
        <v>6705</v>
      </c>
      <c r="E18" s="46" t="s">
        <v>6706</v>
      </c>
      <c r="F18" s="46" t="s">
        <v>2472</v>
      </c>
      <c r="G18" s="46">
        <v>1</v>
      </c>
      <c r="M18" s="46">
        <v>1</v>
      </c>
      <c r="Q18" s="46">
        <v>1</v>
      </c>
      <c r="T18" s="46">
        <v>1</v>
      </c>
      <c r="W18" s="46">
        <v>18</v>
      </c>
      <c r="X18" s="46">
        <v>19</v>
      </c>
      <c r="Y18" s="46">
        <v>20</v>
      </c>
      <c r="Z18" s="46">
        <v>7</v>
      </c>
      <c r="AA18" s="46">
        <v>7</v>
      </c>
      <c r="AB18" s="46">
        <v>7</v>
      </c>
      <c r="AD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R18" s="46">
        <v>1</v>
      </c>
      <c r="CT18" s="46" t="s">
        <v>6346</v>
      </c>
    </row>
    <row r="19" spans="1:98">
      <c r="A19" s="46" t="s">
        <v>6707</v>
      </c>
      <c r="B19" s="46" t="s">
        <v>6708</v>
      </c>
      <c r="C19" s="46">
        <v>44</v>
      </c>
      <c r="D19" s="46" t="s">
        <v>3212</v>
      </c>
      <c r="E19" s="46" t="s">
        <v>6709</v>
      </c>
      <c r="F19" s="46" t="s">
        <v>3173</v>
      </c>
      <c r="J19" s="46">
        <v>1</v>
      </c>
      <c r="M19" s="46">
        <v>1</v>
      </c>
      <c r="Q19" s="46">
        <v>1</v>
      </c>
      <c r="S19" s="46">
        <v>1</v>
      </c>
      <c r="W19" s="46">
        <v>12</v>
      </c>
      <c r="X19" s="46">
        <v>15</v>
      </c>
      <c r="Y19" s="46">
        <v>17</v>
      </c>
      <c r="Z19" s="46">
        <v>7</v>
      </c>
      <c r="AA19" s="46">
        <v>7</v>
      </c>
      <c r="AB19" s="46">
        <v>7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B19" s="46">
        <v>1</v>
      </c>
      <c r="BG19" s="46">
        <v>1</v>
      </c>
      <c r="BK19" s="46">
        <v>1</v>
      </c>
      <c r="CB19" s="46">
        <v>1</v>
      </c>
      <c r="CE19" s="46">
        <v>1</v>
      </c>
      <c r="CK19" s="46">
        <v>1</v>
      </c>
      <c r="CR19" s="46">
        <v>1</v>
      </c>
      <c r="CT19" s="46" t="s">
        <v>6346</v>
      </c>
    </row>
    <row r="20" spans="1:98">
      <c r="A20" s="46" t="s">
        <v>6710</v>
      </c>
      <c r="B20" s="46" t="s">
        <v>6711</v>
      </c>
      <c r="C20" s="46">
        <v>50</v>
      </c>
      <c r="D20" s="46" t="s">
        <v>6712</v>
      </c>
      <c r="E20" s="46" t="s">
        <v>6713</v>
      </c>
      <c r="F20" s="46" t="s">
        <v>2472</v>
      </c>
      <c r="H20" s="46">
        <v>1</v>
      </c>
      <c r="O20" s="46">
        <v>1</v>
      </c>
      <c r="R20" s="46">
        <v>1</v>
      </c>
      <c r="T20" s="46">
        <v>1</v>
      </c>
      <c r="W20" s="46">
        <v>13</v>
      </c>
      <c r="X20" s="46">
        <v>18</v>
      </c>
      <c r="Y20" s="46">
        <v>20</v>
      </c>
      <c r="Z20" s="46">
        <v>11</v>
      </c>
      <c r="AA20" s="46">
        <v>11</v>
      </c>
      <c r="AB20" s="46">
        <v>8</v>
      </c>
      <c r="AC20" s="46">
        <v>1</v>
      </c>
      <c r="AI20" s="46">
        <v>1</v>
      </c>
      <c r="AK20" s="46">
        <v>1</v>
      </c>
      <c r="AT20" s="46">
        <v>1</v>
      </c>
      <c r="AX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46" t="s">
        <v>6346</v>
      </c>
    </row>
    <row r="21" spans="1:98">
      <c r="A21" s="46" t="s">
        <v>6714</v>
      </c>
      <c r="B21" s="46" t="s">
        <v>6715</v>
      </c>
      <c r="C21" s="46">
        <v>38</v>
      </c>
      <c r="D21" s="46" t="s">
        <v>2565</v>
      </c>
      <c r="E21" s="46" t="s">
        <v>6716</v>
      </c>
      <c r="F21" s="46" t="s">
        <v>2675</v>
      </c>
      <c r="G21" s="46">
        <v>1</v>
      </c>
      <c r="M21" s="46">
        <v>1</v>
      </c>
      <c r="Q21" s="46">
        <v>1</v>
      </c>
      <c r="U21" s="46">
        <v>1</v>
      </c>
      <c r="W21" s="46">
        <v>17</v>
      </c>
      <c r="X21" s="46">
        <v>17</v>
      </c>
      <c r="Y21" s="46">
        <v>20</v>
      </c>
      <c r="Z21" s="46">
        <v>6</v>
      </c>
      <c r="AA21" s="46">
        <v>6</v>
      </c>
      <c r="AB21" s="46">
        <v>6</v>
      </c>
      <c r="AE21" s="46">
        <v>1</v>
      </c>
      <c r="AG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BY21" s="46">
        <v>1</v>
      </c>
      <c r="CB21" s="46">
        <v>1</v>
      </c>
      <c r="CE21" s="46">
        <v>1</v>
      </c>
      <c r="CK21" s="46">
        <v>1</v>
      </c>
      <c r="CR21" s="46">
        <v>1</v>
      </c>
      <c r="CT21" s="46" t="s">
        <v>6346</v>
      </c>
    </row>
    <row r="22" spans="1:98">
      <c r="A22" s="46" t="s">
        <v>6717</v>
      </c>
      <c r="B22" s="46" t="s">
        <v>6718</v>
      </c>
      <c r="C22" s="46">
        <v>33</v>
      </c>
      <c r="D22" s="46" t="s">
        <v>2565</v>
      </c>
      <c r="E22" s="46" t="s">
        <v>6719</v>
      </c>
      <c r="F22" s="46" t="s">
        <v>2472</v>
      </c>
      <c r="H22" s="46">
        <v>1</v>
      </c>
      <c r="O22" s="46">
        <v>1</v>
      </c>
      <c r="Q22" s="46">
        <v>1</v>
      </c>
      <c r="S22" s="46">
        <v>1</v>
      </c>
      <c r="W22" s="46">
        <v>14</v>
      </c>
      <c r="X22" s="46">
        <v>18</v>
      </c>
      <c r="Y22" s="46">
        <v>18</v>
      </c>
      <c r="Z22" s="46">
        <v>6</v>
      </c>
      <c r="AA22" s="46">
        <v>6</v>
      </c>
      <c r="AB22" s="46">
        <v>6</v>
      </c>
      <c r="AE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B22" s="46">
        <v>1</v>
      </c>
      <c r="BK22" s="46">
        <v>1</v>
      </c>
      <c r="BY22" s="46">
        <v>1</v>
      </c>
      <c r="CB22" s="46">
        <v>1</v>
      </c>
      <c r="CE22" s="46">
        <v>1</v>
      </c>
      <c r="CK22" s="46">
        <v>1</v>
      </c>
      <c r="CR22" s="46">
        <v>1</v>
      </c>
      <c r="CT22" s="46" t="s">
        <v>6346</v>
      </c>
    </row>
    <row r="23" spans="1:98">
      <c r="A23" s="46" t="s">
        <v>6720</v>
      </c>
      <c r="B23" s="46" t="s">
        <v>6721</v>
      </c>
      <c r="C23" s="46">
        <v>32</v>
      </c>
      <c r="D23" s="46" t="s">
        <v>6722</v>
      </c>
      <c r="E23" s="46" t="s">
        <v>6723</v>
      </c>
      <c r="F23" s="46" t="s">
        <v>112</v>
      </c>
      <c r="H23" s="46">
        <v>1</v>
      </c>
      <c r="M23" s="46">
        <v>1</v>
      </c>
      <c r="R23" s="46">
        <v>1</v>
      </c>
      <c r="S23" s="46">
        <v>1</v>
      </c>
      <c r="W23" s="46">
        <v>15</v>
      </c>
      <c r="X23" s="46">
        <v>20</v>
      </c>
      <c r="Y23" s="46">
        <v>20</v>
      </c>
      <c r="Z23" s="46">
        <v>4</v>
      </c>
      <c r="AA23" s="46">
        <v>4</v>
      </c>
      <c r="AB23" s="46">
        <v>4</v>
      </c>
      <c r="AC23" s="46">
        <v>1</v>
      </c>
      <c r="AJ23" s="46">
        <v>1</v>
      </c>
      <c r="AL23" s="46">
        <v>1</v>
      </c>
      <c r="AO23" s="46">
        <v>1</v>
      </c>
      <c r="AQ23" s="46" t="s">
        <v>251</v>
      </c>
      <c r="AR23" s="134">
        <v>45474</v>
      </c>
      <c r="AT23" s="46">
        <v>1</v>
      </c>
      <c r="AW23" s="46">
        <v>1</v>
      </c>
      <c r="BB23" s="46">
        <v>1</v>
      </c>
      <c r="BG23" s="46">
        <v>1</v>
      </c>
      <c r="BK23" s="46">
        <v>1</v>
      </c>
      <c r="CC23" s="46">
        <v>1</v>
      </c>
      <c r="CD23" s="46" t="s">
        <v>6263</v>
      </c>
      <c r="CE23" s="46">
        <v>1</v>
      </c>
      <c r="CK23" s="46">
        <v>1</v>
      </c>
      <c r="CR23" s="46">
        <v>1</v>
      </c>
      <c r="CT23" s="46" t="s">
        <v>6346</v>
      </c>
    </row>
    <row r="24" spans="1:98">
      <c r="A24" s="46" t="s">
        <v>6724</v>
      </c>
      <c r="B24" s="46" t="s">
        <v>6725</v>
      </c>
      <c r="C24" s="46">
        <v>49</v>
      </c>
      <c r="D24" s="46" t="s">
        <v>936</v>
      </c>
      <c r="E24" s="46" t="s">
        <v>6726</v>
      </c>
      <c r="F24" s="46" t="s">
        <v>107</v>
      </c>
      <c r="J24" s="46">
        <v>1</v>
      </c>
      <c r="M24" s="46">
        <v>1</v>
      </c>
      <c r="Q24" s="46">
        <v>1</v>
      </c>
      <c r="T24" s="46">
        <v>1</v>
      </c>
      <c r="W24" s="46">
        <v>14</v>
      </c>
      <c r="X24" s="46">
        <v>18</v>
      </c>
      <c r="Y24" s="46">
        <v>24</v>
      </c>
      <c r="Z24" s="46">
        <v>7</v>
      </c>
      <c r="AA24" s="46">
        <v>7</v>
      </c>
      <c r="AB24" s="46">
        <v>6</v>
      </c>
      <c r="AC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46" t="s">
        <v>6346</v>
      </c>
    </row>
    <row r="25" spans="1:98">
      <c r="A25" s="46" t="s">
        <v>6727</v>
      </c>
      <c r="B25" s="46" t="s">
        <v>6728</v>
      </c>
      <c r="C25" s="46">
        <v>46</v>
      </c>
      <c r="D25" s="46" t="s">
        <v>6729</v>
      </c>
      <c r="E25" s="46" t="s">
        <v>6730</v>
      </c>
      <c r="F25" s="46" t="s">
        <v>2285</v>
      </c>
      <c r="J25" s="46">
        <v>1</v>
      </c>
      <c r="M25" s="46">
        <v>1</v>
      </c>
      <c r="Q25" s="46">
        <v>1</v>
      </c>
      <c r="S25" s="46">
        <v>1</v>
      </c>
      <c r="W25" s="46">
        <v>14</v>
      </c>
      <c r="X25" s="46">
        <v>15</v>
      </c>
      <c r="Y25" s="46">
        <v>16</v>
      </c>
      <c r="Z25" s="46">
        <v>10</v>
      </c>
      <c r="AA25" s="46">
        <v>10</v>
      </c>
      <c r="AB25" s="46">
        <v>10</v>
      </c>
      <c r="AC25" s="46">
        <v>1</v>
      </c>
      <c r="AJ25" s="46">
        <v>1</v>
      </c>
      <c r="AL25" s="46">
        <v>1</v>
      </c>
      <c r="AP25" s="46">
        <v>1</v>
      </c>
      <c r="AS25" s="46">
        <v>1</v>
      </c>
      <c r="AT25" s="46">
        <v>1</v>
      </c>
      <c r="AW25" s="46">
        <v>1</v>
      </c>
      <c r="BB25" s="46">
        <v>1</v>
      </c>
      <c r="BG25" s="46">
        <v>1</v>
      </c>
      <c r="BK25" s="46">
        <v>1</v>
      </c>
      <c r="CB25" s="46">
        <v>1</v>
      </c>
      <c r="CE25" s="46">
        <v>1</v>
      </c>
      <c r="CK25" s="46">
        <v>1</v>
      </c>
      <c r="CR25" s="46">
        <v>1</v>
      </c>
      <c r="CT25" s="46" t="s">
        <v>6346</v>
      </c>
    </row>
    <row r="26" spans="1:98">
      <c r="A26" s="46" t="s">
        <v>6731</v>
      </c>
      <c r="B26" s="46" t="s">
        <v>6732</v>
      </c>
      <c r="C26" s="46">
        <v>23</v>
      </c>
      <c r="D26" s="46" t="s">
        <v>3212</v>
      </c>
      <c r="E26" s="46" t="s">
        <v>6733</v>
      </c>
      <c r="F26" s="46" t="s">
        <v>477</v>
      </c>
      <c r="J26" s="46">
        <v>1</v>
      </c>
      <c r="M26" s="46">
        <v>1</v>
      </c>
      <c r="R26" s="46">
        <v>1</v>
      </c>
      <c r="T26" s="46">
        <v>1</v>
      </c>
      <c r="W26" s="46">
        <v>16</v>
      </c>
      <c r="X26" s="46">
        <v>19</v>
      </c>
      <c r="Y26" s="46" t="s">
        <v>191</v>
      </c>
      <c r="Z26" s="46">
        <v>0</v>
      </c>
      <c r="AA26" s="46">
        <v>0</v>
      </c>
      <c r="AB26" s="46">
        <v>0</v>
      </c>
      <c r="AE26" s="46">
        <v>1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CB26" s="46">
        <v>1</v>
      </c>
      <c r="CE26" s="46">
        <v>1</v>
      </c>
      <c r="CK26" s="46">
        <v>1</v>
      </c>
      <c r="CR26" s="46">
        <v>1</v>
      </c>
      <c r="CT26" s="46" t="s">
        <v>6346</v>
      </c>
    </row>
    <row r="27" spans="1:98">
      <c r="A27" s="46" t="s">
        <v>6734</v>
      </c>
      <c r="B27" s="46" t="s">
        <v>6735</v>
      </c>
      <c r="C27" s="46">
        <v>28</v>
      </c>
      <c r="D27" s="46" t="s">
        <v>2565</v>
      </c>
      <c r="E27" s="46" t="s">
        <v>191</v>
      </c>
      <c r="F27" s="46" t="s">
        <v>624</v>
      </c>
      <c r="G27" s="46">
        <v>1</v>
      </c>
      <c r="N27" s="46">
        <v>1</v>
      </c>
      <c r="R27" s="46">
        <v>1</v>
      </c>
      <c r="U27" s="46">
        <v>1</v>
      </c>
      <c r="W27" s="46">
        <v>14</v>
      </c>
      <c r="X27" s="46">
        <v>18</v>
      </c>
      <c r="Y27" s="46">
        <v>20</v>
      </c>
      <c r="Z27" s="46">
        <v>4</v>
      </c>
      <c r="AA27" s="46">
        <v>3</v>
      </c>
      <c r="AB27" s="46">
        <v>3</v>
      </c>
      <c r="AC27" s="46">
        <v>1</v>
      </c>
      <c r="AJ27" s="46">
        <v>1</v>
      </c>
      <c r="AL27" s="46">
        <v>1</v>
      </c>
      <c r="AO27" s="46">
        <v>1</v>
      </c>
      <c r="AS27" s="46">
        <v>1</v>
      </c>
      <c r="AT27" s="46">
        <v>1</v>
      </c>
      <c r="AX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R27" s="46">
        <v>1</v>
      </c>
      <c r="CT27" s="46" t="s">
        <v>6346</v>
      </c>
    </row>
    <row r="28" spans="1:98">
      <c r="A28" s="46" t="s">
        <v>6736</v>
      </c>
      <c r="B28" s="46" t="s">
        <v>6737</v>
      </c>
      <c r="C28" s="46">
        <v>24</v>
      </c>
      <c r="D28" s="46" t="s">
        <v>2565</v>
      </c>
      <c r="E28" s="46" t="s">
        <v>6738</v>
      </c>
      <c r="F28" s="46" t="s">
        <v>107</v>
      </c>
      <c r="G28" s="46">
        <v>1</v>
      </c>
      <c r="N28" s="46">
        <v>1</v>
      </c>
      <c r="R28" s="46">
        <v>1</v>
      </c>
      <c r="U28" s="46">
        <v>1</v>
      </c>
      <c r="W28" s="46">
        <v>14</v>
      </c>
      <c r="X28" s="46">
        <v>17</v>
      </c>
      <c r="Y28" s="46">
        <v>22</v>
      </c>
      <c r="Z28" s="46">
        <v>2</v>
      </c>
      <c r="AA28" s="46">
        <v>2</v>
      </c>
      <c r="AB28" s="46">
        <v>2</v>
      </c>
      <c r="AD28" s="46">
        <v>1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Z28" s="46">
        <v>1</v>
      </c>
      <c r="BA28" s="46">
        <v>1</v>
      </c>
      <c r="BK28" s="46">
        <v>1</v>
      </c>
      <c r="BY28" s="46">
        <v>1</v>
      </c>
      <c r="CB28" s="46">
        <v>1</v>
      </c>
      <c r="CE28" s="46">
        <v>1</v>
      </c>
      <c r="CK28" s="46">
        <v>1</v>
      </c>
      <c r="CR28" s="46">
        <v>1</v>
      </c>
      <c r="CT28" s="46" t="s">
        <v>6739</v>
      </c>
    </row>
    <row r="29" spans="1:98">
      <c r="A29" s="46" t="s">
        <v>6740</v>
      </c>
      <c r="B29" s="46" t="s">
        <v>6741</v>
      </c>
      <c r="C29" s="46">
        <v>24</v>
      </c>
      <c r="D29" s="46" t="s">
        <v>6722</v>
      </c>
      <c r="E29" s="46" t="s">
        <v>6742</v>
      </c>
      <c r="F29" s="46" t="s">
        <v>112</v>
      </c>
      <c r="H29" s="46">
        <v>1</v>
      </c>
      <c r="M29" s="46">
        <v>1</v>
      </c>
      <c r="Q29" s="46">
        <v>1</v>
      </c>
      <c r="U29" s="46">
        <v>1</v>
      </c>
      <c r="W29" s="46">
        <v>11</v>
      </c>
      <c r="X29" s="46">
        <v>19</v>
      </c>
      <c r="Y29" s="46">
        <v>20</v>
      </c>
      <c r="Z29" s="46">
        <v>1</v>
      </c>
      <c r="AA29" s="46">
        <v>1</v>
      </c>
      <c r="AB29" s="46">
        <v>1</v>
      </c>
      <c r="AD29" s="46">
        <v>1</v>
      </c>
      <c r="AE29" s="46">
        <v>1</v>
      </c>
      <c r="AG29" s="46">
        <v>1</v>
      </c>
      <c r="AH29" s="46">
        <v>1</v>
      </c>
      <c r="AJ29" s="46">
        <v>1</v>
      </c>
      <c r="AL29" s="46">
        <v>1</v>
      </c>
      <c r="AP29" s="46">
        <v>1</v>
      </c>
      <c r="AQ29" s="46" t="s">
        <v>251</v>
      </c>
      <c r="AR29" s="134">
        <v>45413</v>
      </c>
      <c r="AT29" s="46">
        <v>1</v>
      </c>
      <c r="AW29" s="46">
        <v>1</v>
      </c>
      <c r="BB29" s="46">
        <v>1</v>
      </c>
      <c r="BH29" s="46">
        <v>1</v>
      </c>
      <c r="BK29" s="46">
        <v>1</v>
      </c>
      <c r="CB29" s="46">
        <v>1</v>
      </c>
      <c r="CE29" s="46">
        <v>1</v>
      </c>
      <c r="CK29" s="46">
        <v>1</v>
      </c>
      <c r="CR29" s="46">
        <v>1</v>
      </c>
      <c r="CT29" s="46" t="s">
        <v>6346</v>
      </c>
    </row>
    <row r="30" spans="1:98">
      <c r="A30" s="46" t="s">
        <v>6743</v>
      </c>
      <c r="B30" s="46" t="s">
        <v>6744</v>
      </c>
      <c r="C30" s="46">
        <v>23</v>
      </c>
      <c r="D30" s="46" t="s">
        <v>2565</v>
      </c>
      <c r="E30" s="46" t="s">
        <v>6745</v>
      </c>
      <c r="F30" s="46" t="s">
        <v>1960</v>
      </c>
      <c r="I30" s="46">
        <v>1</v>
      </c>
      <c r="O30" s="46">
        <v>1</v>
      </c>
      <c r="Q30" s="46">
        <v>1</v>
      </c>
      <c r="U30" s="46">
        <v>1</v>
      </c>
      <c r="W30" s="46">
        <v>18</v>
      </c>
      <c r="X30" s="46">
        <v>20</v>
      </c>
      <c r="Y30" s="46">
        <v>21</v>
      </c>
      <c r="Z30" s="46">
        <v>1</v>
      </c>
      <c r="AA30" s="46">
        <v>1</v>
      </c>
      <c r="AB30" s="46">
        <v>1</v>
      </c>
      <c r="AD30" s="46">
        <v>1</v>
      </c>
      <c r="AE30" s="46">
        <v>1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K30" s="46">
        <v>1</v>
      </c>
      <c r="BY30" s="46">
        <v>1</v>
      </c>
      <c r="CB30" s="46">
        <v>1</v>
      </c>
      <c r="CE30" s="46">
        <v>1</v>
      </c>
      <c r="CK30" s="46">
        <v>1</v>
      </c>
      <c r="CR30" s="46">
        <v>1</v>
      </c>
      <c r="CT30" s="46" t="s">
        <v>6346</v>
      </c>
    </row>
    <row r="31" spans="1:98">
      <c r="A31" s="46" t="s">
        <v>6746</v>
      </c>
      <c r="B31" s="46" t="s">
        <v>6747</v>
      </c>
      <c r="C31" s="46">
        <v>32</v>
      </c>
      <c r="D31" s="46" t="s">
        <v>936</v>
      </c>
      <c r="E31" s="46" t="s">
        <v>6748</v>
      </c>
      <c r="F31" s="46" t="s">
        <v>162</v>
      </c>
      <c r="H31" s="46">
        <v>1</v>
      </c>
      <c r="O31" s="46">
        <v>1</v>
      </c>
      <c r="Q31" s="46">
        <v>1</v>
      </c>
      <c r="T31" s="46">
        <v>1</v>
      </c>
      <c r="W31" s="46">
        <v>12</v>
      </c>
      <c r="X31" s="46">
        <v>18</v>
      </c>
      <c r="Y31" s="46">
        <v>19</v>
      </c>
      <c r="Z31" s="46">
        <v>4</v>
      </c>
      <c r="AA31" s="46">
        <v>4</v>
      </c>
      <c r="AB31" s="46">
        <v>4</v>
      </c>
      <c r="AC31" s="46">
        <v>1</v>
      </c>
      <c r="AJ31" s="46">
        <v>1</v>
      </c>
      <c r="AK31" s="46">
        <v>1</v>
      </c>
      <c r="AT31" s="46">
        <v>1</v>
      </c>
      <c r="AX31" s="46">
        <v>1</v>
      </c>
      <c r="BB31" s="46">
        <v>1</v>
      </c>
      <c r="BG31" s="46">
        <v>1</v>
      </c>
      <c r="BK31" s="46">
        <v>1</v>
      </c>
      <c r="BY31" s="46">
        <v>1</v>
      </c>
      <c r="CB31" s="46">
        <v>1</v>
      </c>
      <c r="CE31" s="46">
        <v>1</v>
      </c>
      <c r="CK31" s="46">
        <v>1</v>
      </c>
      <c r="CR31" s="46">
        <v>1</v>
      </c>
      <c r="CT31" s="46" t="s">
        <v>6346</v>
      </c>
    </row>
    <row r="32" spans="1:98">
      <c r="A32" s="46" t="s">
        <v>6749</v>
      </c>
      <c r="B32" s="46" t="s">
        <v>6750</v>
      </c>
      <c r="C32" s="46">
        <v>30</v>
      </c>
      <c r="D32" s="46" t="s">
        <v>3212</v>
      </c>
      <c r="E32" s="46" t="s">
        <v>6751</v>
      </c>
      <c r="F32" s="46" t="s">
        <v>122</v>
      </c>
      <c r="H32" s="46">
        <v>1</v>
      </c>
      <c r="M32" s="46">
        <v>1</v>
      </c>
      <c r="Q32" s="46">
        <v>1</v>
      </c>
      <c r="U32" s="46">
        <v>1</v>
      </c>
      <c r="W32" s="46">
        <v>13</v>
      </c>
      <c r="X32" s="46">
        <v>19</v>
      </c>
      <c r="Y32" s="46">
        <v>20</v>
      </c>
      <c r="Z32" s="46">
        <v>1</v>
      </c>
      <c r="AA32" s="46">
        <v>1</v>
      </c>
      <c r="AB32" s="46">
        <v>1</v>
      </c>
      <c r="AE32" s="46">
        <v>1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K32" s="46">
        <v>1</v>
      </c>
      <c r="CB32" s="46">
        <v>1</v>
      </c>
      <c r="CE32" s="46">
        <v>1</v>
      </c>
      <c r="CK32" s="46">
        <v>1</v>
      </c>
      <c r="CR32" s="46">
        <v>1</v>
      </c>
      <c r="CT32" s="46" t="s">
        <v>6346</v>
      </c>
    </row>
    <row r="33" spans="1:98">
      <c r="A33" s="46" t="s">
        <v>6752</v>
      </c>
      <c r="B33" s="46" t="s">
        <v>6753</v>
      </c>
      <c r="C33" s="46">
        <v>37</v>
      </c>
      <c r="D33" s="46" t="s">
        <v>2565</v>
      </c>
      <c r="E33" s="46" t="s">
        <v>6754</v>
      </c>
      <c r="F33" s="46" t="s">
        <v>122</v>
      </c>
      <c r="G33" s="46">
        <v>1</v>
      </c>
      <c r="M33" s="46">
        <v>1</v>
      </c>
      <c r="Q33" s="46">
        <v>1</v>
      </c>
      <c r="U33" s="46">
        <v>1</v>
      </c>
      <c r="W33" s="46">
        <v>20</v>
      </c>
      <c r="X33" s="46">
        <v>24</v>
      </c>
      <c r="Y33" s="46">
        <v>20</v>
      </c>
      <c r="Z33" s="46">
        <v>4</v>
      </c>
      <c r="AA33" s="46">
        <v>4</v>
      </c>
      <c r="AB33" s="46">
        <v>4</v>
      </c>
      <c r="AD33" s="46">
        <v>1</v>
      </c>
      <c r="AH33" s="46">
        <v>1</v>
      </c>
      <c r="AI33" s="46">
        <v>1</v>
      </c>
      <c r="AL33" s="46">
        <v>1</v>
      </c>
      <c r="AO33" s="46">
        <v>1</v>
      </c>
      <c r="AS33" s="46">
        <v>1</v>
      </c>
      <c r="AT33" s="46">
        <v>1</v>
      </c>
      <c r="AW33" s="46">
        <v>1</v>
      </c>
      <c r="BB33" s="46">
        <v>1</v>
      </c>
      <c r="BH33" s="46" t="s">
        <v>2402</v>
      </c>
      <c r="BK33" s="46">
        <v>1</v>
      </c>
      <c r="CB33" s="46">
        <v>1</v>
      </c>
      <c r="CE33" s="46">
        <v>1</v>
      </c>
      <c r="CK33" s="46">
        <v>1</v>
      </c>
      <c r="CR33" s="46">
        <v>1</v>
      </c>
      <c r="CT33" s="46" t="s">
        <v>6346</v>
      </c>
    </row>
    <row r="34" spans="1:98">
      <c r="A34" s="46" t="s">
        <v>6755</v>
      </c>
      <c r="B34" s="46" t="s">
        <v>6756</v>
      </c>
      <c r="C34" s="46">
        <v>46</v>
      </c>
      <c r="D34" s="46" t="s">
        <v>936</v>
      </c>
      <c r="E34" s="46" t="s">
        <v>6757</v>
      </c>
      <c r="F34" s="46" t="s">
        <v>112</v>
      </c>
      <c r="I34" s="46">
        <v>1</v>
      </c>
      <c r="M34" s="46">
        <v>1</v>
      </c>
      <c r="Q34" s="46">
        <v>1</v>
      </c>
      <c r="T34" s="46">
        <v>1</v>
      </c>
      <c r="W34" s="46">
        <v>14</v>
      </c>
      <c r="X34" s="46">
        <v>16</v>
      </c>
      <c r="Y34" s="46">
        <v>16</v>
      </c>
      <c r="Z34" s="46">
        <v>4</v>
      </c>
      <c r="AA34" s="46">
        <v>4</v>
      </c>
      <c r="AB34" s="46">
        <v>4</v>
      </c>
      <c r="AH34" s="46">
        <v>1</v>
      </c>
      <c r="AL34" s="46">
        <v>1</v>
      </c>
      <c r="AN34" s="46">
        <v>1</v>
      </c>
      <c r="AS34" s="46">
        <v>1</v>
      </c>
      <c r="AT34" s="46">
        <v>1</v>
      </c>
      <c r="AZ34" s="46">
        <v>1</v>
      </c>
      <c r="BB34" s="46">
        <v>1</v>
      </c>
      <c r="BG34" s="46">
        <v>1</v>
      </c>
      <c r="BK34" s="46">
        <v>1</v>
      </c>
      <c r="CB34" s="46">
        <v>1</v>
      </c>
      <c r="CE34" s="46">
        <v>1</v>
      </c>
      <c r="CK34" s="46">
        <v>1</v>
      </c>
      <c r="CR34" s="46">
        <v>1</v>
      </c>
      <c r="CT34" s="46" t="s">
        <v>6346</v>
      </c>
    </row>
    <row r="35" spans="1:98">
      <c r="A35" s="46" t="s">
        <v>6758</v>
      </c>
      <c r="B35" s="46" t="s">
        <v>6759</v>
      </c>
      <c r="C35" s="46">
        <v>47</v>
      </c>
      <c r="D35" s="46" t="s">
        <v>2565</v>
      </c>
      <c r="E35" s="46" t="s">
        <v>6760</v>
      </c>
      <c r="F35" s="46" t="s">
        <v>107</v>
      </c>
      <c r="I35" s="46">
        <v>1</v>
      </c>
      <c r="M35" s="46">
        <v>1</v>
      </c>
      <c r="R35" s="46">
        <v>1</v>
      </c>
      <c r="T35" s="46">
        <v>1</v>
      </c>
      <c r="W35" s="46">
        <v>12</v>
      </c>
      <c r="X35" s="46">
        <v>13</v>
      </c>
      <c r="Y35" s="46">
        <v>14</v>
      </c>
      <c r="Z35" s="46">
        <v>16</v>
      </c>
      <c r="AA35" s="46">
        <v>13</v>
      </c>
      <c r="AB35" s="46">
        <v>8</v>
      </c>
      <c r="AD35" s="46">
        <v>1</v>
      </c>
      <c r="AE35" s="46">
        <v>1</v>
      </c>
      <c r="AG35" s="46">
        <v>1</v>
      </c>
      <c r="AH35" s="46">
        <v>1</v>
      </c>
      <c r="AI35" s="46">
        <v>1</v>
      </c>
      <c r="AK35" s="46">
        <v>1</v>
      </c>
      <c r="AT35" s="46">
        <v>1</v>
      </c>
      <c r="AX35" s="46">
        <v>1</v>
      </c>
      <c r="BA35" s="46">
        <v>1</v>
      </c>
      <c r="BK35" s="46">
        <v>1</v>
      </c>
      <c r="CB35" s="46">
        <v>1</v>
      </c>
      <c r="CE35" s="46">
        <v>1</v>
      </c>
      <c r="CK35" s="46">
        <v>1</v>
      </c>
      <c r="CR35" s="46">
        <v>1</v>
      </c>
      <c r="CT35" s="46" t="s">
        <v>6346</v>
      </c>
    </row>
    <row r="36" spans="1:98">
      <c r="A36" s="46" t="s">
        <v>6761</v>
      </c>
      <c r="B36" s="46" t="s">
        <v>6762</v>
      </c>
      <c r="C36" s="46">
        <v>33</v>
      </c>
      <c r="D36" s="46" t="s">
        <v>2565</v>
      </c>
      <c r="E36" s="46" t="s">
        <v>6763</v>
      </c>
      <c r="F36" s="46" t="s">
        <v>112</v>
      </c>
      <c r="J36" s="46">
        <v>1</v>
      </c>
      <c r="O36" s="46">
        <v>1</v>
      </c>
      <c r="R36" s="46">
        <v>1</v>
      </c>
      <c r="T36" s="46">
        <v>1</v>
      </c>
      <c r="W36" s="46">
        <v>15</v>
      </c>
      <c r="X36" s="46">
        <v>15</v>
      </c>
      <c r="Y36" s="46">
        <v>18</v>
      </c>
      <c r="Z36" s="46">
        <v>4</v>
      </c>
      <c r="AA36" s="46">
        <v>4</v>
      </c>
      <c r="AB36" s="46">
        <v>3</v>
      </c>
      <c r="AE36" s="46">
        <v>1</v>
      </c>
      <c r="AG36" s="46">
        <v>1</v>
      </c>
      <c r="AH36" s="46">
        <v>1</v>
      </c>
      <c r="AI36" s="46">
        <v>1</v>
      </c>
      <c r="AK36" s="46">
        <v>1</v>
      </c>
      <c r="AT36" s="46">
        <v>1</v>
      </c>
      <c r="AY36" s="46">
        <v>1</v>
      </c>
      <c r="BB36" s="46">
        <v>1</v>
      </c>
      <c r="BG36" s="46">
        <v>1</v>
      </c>
      <c r="BK36" s="46">
        <v>1</v>
      </c>
      <c r="CC36" s="46">
        <v>1</v>
      </c>
      <c r="CD36" s="46">
        <v>2023</v>
      </c>
      <c r="CE36" s="46">
        <v>1</v>
      </c>
      <c r="CK36" s="46">
        <v>1</v>
      </c>
      <c r="CR36" s="46">
        <v>1</v>
      </c>
      <c r="CT36" s="46" t="s">
        <v>6346</v>
      </c>
    </row>
    <row r="37" spans="1:98">
      <c r="A37" s="46" t="s">
        <v>6764</v>
      </c>
      <c r="B37" s="46" t="s">
        <v>6765</v>
      </c>
      <c r="C37" s="46">
        <v>35</v>
      </c>
      <c r="D37" s="46" t="s">
        <v>6766</v>
      </c>
      <c r="E37" s="46" t="s">
        <v>6767</v>
      </c>
      <c r="F37" s="46" t="s">
        <v>330</v>
      </c>
      <c r="G37" s="46">
        <v>1</v>
      </c>
      <c r="M37" s="46">
        <v>1</v>
      </c>
      <c r="Q37" s="46">
        <v>1</v>
      </c>
      <c r="T37" s="46">
        <v>1</v>
      </c>
      <c r="W37" s="46">
        <v>14</v>
      </c>
      <c r="X37" s="46">
        <v>14</v>
      </c>
      <c r="Y37" s="46">
        <v>15</v>
      </c>
      <c r="Z37" s="46">
        <v>4</v>
      </c>
      <c r="AA37" s="46">
        <v>4</v>
      </c>
      <c r="AB37" s="46">
        <v>4</v>
      </c>
      <c r="AC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K37" s="46">
        <v>1</v>
      </c>
      <c r="CB37" s="46">
        <v>1</v>
      </c>
      <c r="CE37" s="46">
        <v>1</v>
      </c>
      <c r="CK37" s="46">
        <v>1</v>
      </c>
      <c r="CR37" s="46">
        <v>1</v>
      </c>
      <c r="CT37" s="46" t="s">
        <v>6346</v>
      </c>
    </row>
    <row r="38" spans="1:98">
      <c r="A38" s="46" t="s">
        <v>6768</v>
      </c>
      <c r="B38" s="46" t="s">
        <v>6769</v>
      </c>
      <c r="C38" s="46">
        <v>30</v>
      </c>
      <c r="D38" s="46" t="s">
        <v>3212</v>
      </c>
      <c r="E38" s="46" t="s">
        <v>6770</v>
      </c>
      <c r="F38" s="46" t="s">
        <v>173</v>
      </c>
      <c r="J38" s="46">
        <v>1</v>
      </c>
      <c r="M38" s="46">
        <v>1</v>
      </c>
      <c r="Q38" s="46">
        <v>1</v>
      </c>
      <c r="S38" s="46">
        <v>1</v>
      </c>
      <c r="W38" s="46">
        <v>17</v>
      </c>
      <c r="X38" s="46">
        <v>18</v>
      </c>
      <c r="Y38" s="46">
        <v>22</v>
      </c>
      <c r="Z38" s="46">
        <v>2</v>
      </c>
      <c r="AA38" s="46">
        <v>2</v>
      </c>
      <c r="AB38" s="46">
        <v>2</v>
      </c>
      <c r="AH38" s="46">
        <v>1</v>
      </c>
      <c r="AI38" s="46">
        <v>1</v>
      </c>
      <c r="AL38" s="46">
        <v>1</v>
      </c>
      <c r="AP38" s="46">
        <v>1</v>
      </c>
      <c r="AQ38" s="46" t="s">
        <v>251</v>
      </c>
      <c r="AR38" s="134">
        <v>45444</v>
      </c>
      <c r="AT38" s="46">
        <v>1</v>
      </c>
      <c r="AX38" s="46">
        <v>1</v>
      </c>
      <c r="BA38" s="46">
        <v>1</v>
      </c>
      <c r="BK38" s="46">
        <v>1</v>
      </c>
      <c r="CB38" s="46">
        <v>1</v>
      </c>
      <c r="CE38" s="46">
        <v>1</v>
      </c>
      <c r="CK38" s="46">
        <v>1</v>
      </c>
      <c r="CR38" s="46">
        <v>1</v>
      </c>
      <c r="CT38" s="46" t="s">
        <v>6346</v>
      </c>
    </row>
    <row r="39" spans="1:98">
      <c r="A39" s="46" t="s">
        <v>6771</v>
      </c>
      <c r="B39" s="46" t="s">
        <v>6772</v>
      </c>
      <c r="C39" s="46">
        <v>45</v>
      </c>
      <c r="D39" s="46" t="s">
        <v>6695</v>
      </c>
      <c r="E39" s="46" t="s">
        <v>6773</v>
      </c>
      <c r="F39" s="46" t="s">
        <v>107</v>
      </c>
      <c r="J39" s="46">
        <v>1</v>
      </c>
      <c r="M39" s="46">
        <v>1</v>
      </c>
      <c r="Q39" s="46">
        <v>1</v>
      </c>
      <c r="W39" s="46">
        <v>14</v>
      </c>
      <c r="X39" s="46">
        <v>16</v>
      </c>
      <c r="Y39" s="46">
        <v>18</v>
      </c>
      <c r="Z39" s="46">
        <v>3</v>
      </c>
      <c r="AA39" s="46">
        <v>3</v>
      </c>
      <c r="AB39" s="46">
        <v>3</v>
      </c>
      <c r="AD39" s="46">
        <v>1</v>
      </c>
      <c r="AE39" s="46">
        <v>1</v>
      </c>
      <c r="AH39" s="46">
        <v>1</v>
      </c>
      <c r="AJ39" s="46">
        <v>1</v>
      </c>
      <c r="AK39" s="46">
        <v>1</v>
      </c>
      <c r="AT39" s="46">
        <v>1</v>
      </c>
      <c r="AY39" s="46">
        <v>1</v>
      </c>
      <c r="BB39" s="46">
        <v>1</v>
      </c>
      <c r="BH39" s="46">
        <v>1</v>
      </c>
      <c r="BK39" s="46">
        <v>1</v>
      </c>
      <c r="CB39" s="46">
        <v>1</v>
      </c>
      <c r="CE39" s="46">
        <v>1</v>
      </c>
      <c r="CK39" s="46">
        <v>1</v>
      </c>
      <c r="CR39" s="46">
        <v>1</v>
      </c>
      <c r="CT39" s="46" t="s">
        <v>6346</v>
      </c>
    </row>
    <row r="40" spans="1:98">
      <c r="A40" s="46" t="s">
        <v>6774</v>
      </c>
      <c r="B40" s="46" t="s">
        <v>6775</v>
      </c>
      <c r="C40" s="46">
        <v>27</v>
      </c>
      <c r="D40" s="46" t="s">
        <v>6695</v>
      </c>
      <c r="E40" s="46" t="s">
        <v>6776</v>
      </c>
      <c r="F40" s="46" t="s">
        <v>122</v>
      </c>
      <c r="I40" s="46">
        <v>1</v>
      </c>
      <c r="M40" s="46">
        <v>1</v>
      </c>
      <c r="Q40" s="46">
        <v>1</v>
      </c>
      <c r="U40" s="46">
        <v>1</v>
      </c>
      <c r="W40" s="46">
        <v>17</v>
      </c>
      <c r="X40" s="46">
        <v>17</v>
      </c>
      <c r="Y40" s="46">
        <v>18</v>
      </c>
      <c r="Z40" s="46">
        <v>6</v>
      </c>
      <c r="AA40" s="46">
        <v>6</v>
      </c>
      <c r="AB40" s="46">
        <v>6</v>
      </c>
      <c r="AD40" s="46">
        <v>1</v>
      </c>
      <c r="AE40" s="46">
        <v>1</v>
      </c>
      <c r="AG40" s="46">
        <v>1</v>
      </c>
      <c r="AH40" s="46">
        <v>1</v>
      </c>
      <c r="AJ40" s="46">
        <v>1</v>
      </c>
      <c r="AK40" s="46">
        <v>1</v>
      </c>
      <c r="AT40" s="46">
        <v>1</v>
      </c>
      <c r="AW40" s="46">
        <v>1</v>
      </c>
      <c r="BB40" s="46">
        <v>1</v>
      </c>
      <c r="BG40" s="46">
        <v>1</v>
      </c>
      <c r="BK40" s="46">
        <v>1</v>
      </c>
      <c r="CB40" s="46">
        <v>1</v>
      </c>
      <c r="CE40" s="46">
        <v>1</v>
      </c>
      <c r="CK40" s="46">
        <v>1</v>
      </c>
      <c r="CR40" s="46">
        <v>1</v>
      </c>
      <c r="CT40" s="46" t="s">
        <v>6346</v>
      </c>
    </row>
    <row r="41" spans="1:98">
      <c r="A41" s="46" t="s">
        <v>6777</v>
      </c>
      <c r="B41" s="46" t="s">
        <v>6778</v>
      </c>
      <c r="C41" s="46">
        <v>46</v>
      </c>
      <c r="D41" s="46" t="s">
        <v>2565</v>
      </c>
      <c r="E41" s="46" t="s">
        <v>6779</v>
      </c>
      <c r="F41" s="46" t="s">
        <v>1960</v>
      </c>
      <c r="I41" s="46">
        <v>1</v>
      </c>
      <c r="M41" s="46">
        <v>1</v>
      </c>
      <c r="R41" s="46">
        <v>1</v>
      </c>
      <c r="S41" s="46">
        <v>1</v>
      </c>
      <c r="W41" s="46">
        <v>16</v>
      </c>
      <c r="X41" s="46">
        <v>20</v>
      </c>
      <c r="Y41" s="46">
        <v>21</v>
      </c>
      <c r="Z41" s="46">
        <v>8</v>
      </c>
      <c r="AA41" s="46">
        <v>8</v>
      </c>
      <c r="AB41" s="46">
        <v>7</v>
      </c>
      <c r="AH41" s="46">
        <v>1</v>
      </c>
      <c r="AI41" s="113"/>
      <c r="AJ41" s="113"/>
      <c r="AK41" s="46">
        <v>1</v>
      </c>
      <c r="AT41" s="46">
        <v>1</v>
      </c>
      <c r="AW41" s="46">
        <v>1</v>
      </c>
      <c r="BA41" s="46">
        <v>1</v>
      </c>
      <c r="BK41" s="46">
        <v>1</v>
      </c>
      <c r="CB41" s="46">
        <v>1</v>
      </c>
      <c r="CE41" s="46">
        <v>1</v>
      </c>
      <c r="CK41" s="46">
        <v>1</v>
      </c>
      <c r="CR41" s="46">
        <v>1</v>
      </c>
      <c r="CT41" s="46" t="s">
        <v>6346</v>
      </c>
    </row>
    <row r="42" spans="1:98">
      <c r="A42" s="46" t="s">
        <v>6780</v>
      </c>
      <c r="B42" s="46" t="s">
        <v>6781</v>
      </c>
      <c r="C42" s="46">
        <v>40</v>
      </c>
      <c r="D42" s="46" t="s">
        <v>6722</v>
      </c>
      <c r="E42" s="46" t="s">
        <v>6782</v>
      </c>
      <c r="F42" s="46" t="s">
        <v>5946</v>
      </c>
      <c r="J42" s="46">
        <v>1</v>
      </c>
      <c r="M42" s="46">
        <v>1</v>
      </c>
      <c r="Q42" s="46">
        <v>1</v>
      </c>
      <c r="V42" s="46">
        <v>1</v>
      </c>
      <c r="W42" s="46">
        <v>15</v>
      </c>
      <c r="X42" s="46">
        <v>34</v>
      </c>
      <c r="Y42" s="46">
        <v>35</v>
      </c>
      <c r="Z42" s="46">
        <v>2</v>
      </c>
      <c r="AA42" s="46">
        <v>2</v>
      </c>
      <c r="AB42" s="46">
        <v>2</v>
      </c>
      <c r="AC42" s="46">
        <v>1</v>
      </c>
      <c r="AI42" s="46">
        <v>1</v>
      </c>
      <c r="AK42" s="46">
        <v>1</v>
      </c>
      <c r="AT42" s="46">
        <v>1</v>
      </c>
      <c r="AW42" s="46">
        <v>1</v>
      </c>
      <c r="BA42" s="46">
        <v>1</v>
      </c>
      <c r="BK42" s="46">
        <v>1</v>
      </c>
      <c r="CB42" s="46">
        <v>1</v>
      </c>
      <c r="CE42" s="46">
        <v>1</v>
      </c>
      <c r="CK42" s="46">
        <v>1</v>
      </c>
      <c r="CR42" s="46">
        <v>1</v>
      </c>
      <c r="CT42" s="46" t="s">
        <v>6263</v>
      </c>
    </row>
    <row r="43" spans="1:98">
      <c r="A43" s="46" t="s">
        <v>6783</v>
      </c>
      <c r="B43" s="46" t="s">
        <v>5454</v>
      </c>
      <c r="C43" s="46">
        <v>34</v>
      </c>
      <c r="D43" s="46" t="s">
        <v>2565</v>
      </c>
      <c r="E43" s="46" t="s">
        <v>6784</v>
      </c>
      <c r="F43" s="46" t="s">
        <v>112</v>
      </c>
      <c r="I43" s="46">
        <v>1</v>
      </c>
      <c r="M43" s="46">
        <v>1</v>
      </c>
      <c r="R43" s="46">
        <v>1</v>
      </c>
      <c r="U43" s="46">
        <v>1</v>
      </c>
      <c r="W43" s="46">
        <v>15</v>
      </c>
      <c r="X43" s="46">
        <v>19</v>
      </c>
      <c r="Y43" s="46">
        <v>20</v>
      </c>
      <c r="Z43" s="46">
        <v>4</v>
      </c>
      <c r="AA43" s="46">
        <v>4</v>
      </c>
      <c r="AB43" s="46">
        <v>4</v>
      </c>
      <c r="AD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K43" s="46">
        <v>1</v>
      </c>
      <c r="CB43" s="46">
        <v>1</v>
      </c>
      <c r="CE43" s="46">
        <v>1</v>
      </c>
      <c r="CK43" s="46">
        <v>1</v>
      </c>
      <c r="CR43" s="46">
        <v>1</v>
      </c>
      <c r="CT43" s="46" t="s">
        <v>6346</v>
      </c>
    </row>
    <row r="44" spans="1:98">
      <c r="A44" s="46" t="s">
        <v>6785</v>
      </c>
      <c r="B44" s="46" t="s">
        <v>6786</v>
      </c>
      <c r="C44" s="46">
        <v>21</v>
      </c>
      <c r="D44" s="46" t="s">
        <v>6722</v>
      </c>
      <c r="E44" s="46" t="s">
        <v>6787</v>
      </c>
      <c r="F44" s="46" t="s">
        <v>107</v>
      </c>
      <c r="I44" s="46">
        <v>1</v>
      </c>
      <c r="M44" s="46">
        <v>1</v>
      </c>
      <c r="Q44" s="46">
        <v>1</v>
      </c>
      <c r="U44" s="46">
        <v>1</v>
      </c>
      <c r="W44" s="46">
        <v>14</v>
      </c>
      <c r="X44" s="46">
        <v>18</v>
      </c>
      <c r="Y44" s="46">
        <v>19</v>
      </c>
      <c r="Z44" s="46">
        <v>2</v>
      </c>
      <c r="AA44" s="46">
        <v>2</v>
      </c>
      <c r="AB44" s="46">
        <v>2</v>
      </c>
      <c r="AH44" s="46">
        <v>1</v>
      </c>
      <c r="AJ44" s="46">
        <v>1</v>
      </c>
      <c r="AK44" s="46">
        <v>1</v>
      </c>
      <c r="AT44" s="46">
        <v>1</v>
      </c>
      <c r="AW44" s="46">
        <v>1</v>
      </c>
      <c r="BA44" s="46">
        <v>1</v>
      </c>
      <c r="BK44" s="46">
        <v>1</v>
      </c>
      <c r="BY44" s="46">
        <v>1</v>
      </c>
      <c r="CB44" s="46">
        <v>1</v>
      </c>
      <c r="CE44" s="46">
        <v>1</v>
      </c>
      <c r="CK44" s="46">
        <v>1</v>
      </c>
      <c r="CR44" s="46">
        <v>1</v>
      </c>
      <c r="CT44" s="46" t="s">
        <v>6346</v>
      </c>
    </row>
    <row r="45" spans="1:98">
      <c r="A45" s="46" t="s">
        <v>6788</v>
      </c>
      <c r="B45" s="46" t="s">
        <v>6789</v>
      </c>
      <c r="C45" s="46">
        <v>43</v>
      </c>
      <c r="D45" s="46" t="s">
        <v>6722</v>
      </c>
      <c r="E45" s="46" t="s">
        <v>6790</v>
      </c>
      <c r="F45" s="46" t="s">
        <v>162</v>
      </c>
      <c r="J45" s="46">
        <v>1</v>
      </c>
      <c r="M45" s="46">
        <v>1</v>
      </c>
      <c r="Q45" s="46">
        <v>1</v>
      </c>
      <c r="T45" s="46">
        <v>1</v>
      </c>
      <c r="W45" s="46">
        <v>16</v>
      </c>
      <c r="X45" s="46">
        <v>32</v>
      </c>
      <c r="Y45" s="46">
        <v>33</v>
      </c>
      <c r="Z45" s="46">
        <v>4</v>
      </c>
      <c r="AA45" s="46">
        <v>4</v>
      </c>
      <c r="AB45" s="46">
        <v>4</v>
      </c>
      <c r="AE45" s="46">
        <v>1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K45" s="46">
        <v>1</v>
      </c>
      <c r="CB45" s="46">
        <v>1</v>
      </c>
      <c r="CE45" s="46">
        <v>1</v>
      </c>
      <c r="CK45" s="46">
        <v>1</v>
      </c>
      <c r="CR45" s="46">
        <v>1</v>
      </c>
      <c r="CT45" s="46" t="s">
        <v>6346</v>
      </c>
    </row>
    <row r="46" spans="1:98">
      <c r="A46" s="46" t="s">
        <v>6791</v>
      </c>
      <c r="B46" s="46" t="s">
        <v>6792</v>
      </c>
      <c r="C46" s="46">
        <v>63</v>
      </c>
      <c r="D46" s="46" t="s">
        <v>6793</v>
      </c>
      <c r="E46" s="46" t="s">
        <v>191</v>
      </c>
      <c r="F46" s="46" t="s">
        <v>107</v>
      </c>
      <c r="H46" s="46">
        <v>1</v>
      </c>
      <c r="O46" s="46">
        <v>1</v>
      </c>
      <c r="Q46" s="46">
        <v>1</v>
      </c>
      <c r="S46" s="46">
        <v>1</v>
      </c>
      <c r="W46" s="46">
        <v>17</v>
      </c>
      <c r="X46" s="46">
        <v>18</v>
      </c>
      <c r="Y46" s="46">
        <v>9</v>
      </c>
      <c r="Z46" s="46">
        <v>9</v>
      </c>
      <c r="AA46" s="46">
        <v>6</v>
      </c>
      <c r="AC46" s="46">
        <v>1</v>
      </c>
      <c r="AI46" s="113"/>
      <c r="AJ46" s="113"/>
      <c r="AK46" s="46">
        <v>1</v>
      </c>
      <c r="AT46" s="46">
        <v>1</v>
      </c>
      <c r="AW46" s="46">
        <v>1</v>
      </c>
      <c r="BA46" s="46">
        <v>1</v>
      </c>
      <c r="BO46" s="46" t="s">
        <v>930</v>
      </c>
      <c r="CB46" s="46">
        <v>1</v>
      </c>
      <c r="CE46" s="46">
        <v>1</v>
      </c>
      <c r="CK46" s="46">
        <v>1</v>
      </c>
      <c r="CR46" s="46">
        <v>1</v>
      </c>
      <c r="CT46" s="46" t="s">
        <v>6346</v>
      </c>
    </row>
    <row r="47" spans="1:98">
      <c r="A47" s="46" t="s">
        <v>6794</v>
      </c>
      <c r="B47" s="46" t="s">
        <v>6795</v>
      </c>
      <c r="C47" s="46">
        <v>20</v>
      </c>
      <c r="D47" s="46" t="s">
        <v>2565</v>
      </c>
      <c r="E47" s="46" t="s">
        <v>191</v>
      </c>
      <c r="F47" s="46" t="s">
        <v>662</v>
      </c>
      <c r="G47" s="46">
        <v>1</v>
      </c>
      <c r="M47" s="46">
        <v>1</v>
      </c>
      <c r="R47" s="46">
        <v>1</v>
      </c>
      <c r="T47" s="46">
        <v>1</v>
      </c>
      <c r="W47" s="46" t="s">
        <v>182</v>
      </c>
      <c r="X47" s="46">
        <v>13</v>
      </c>
      <c r="Y47" s="46" t="s">
        <v>182</v>
      </c>
      <c r="Z47" s="46">
        <v>3</v>
      </c>
      <c r="AA47" s="46">
        <v>3</v>
      </c>
      <c r="AB47" s="46">
        <v>3</v>
      </c>
      <c r="AE47" s="46">
        <v>1</v>
      </c>
      <c r="AJ47" s="46">
        <v>1</v>
      </c>
      <c r="AK47" s="46">
        <v>1</v>
      </c>
      <c r="AT47" s="46">
        <v>1</v>
      </c>
      <c r="AW47" s="46">
        <v>1</v>
      </c>
      <c r="BA47" s="46">
        <v>1</v>
      </c>
      <c r="BO47" s="46" t="s">
        <v>930</v>
      </c>
      <c r="CC47" s="46">
        <v>1</v>
      </c>
      <c r="CD47" s="46">
        <v>2024</v>
      </c>
      <c r="CE47" s="46">
        <v>1</v>
      </c>
      <c r="CK47" s="46">
        <v>1</v>
      </c>
      <c r="CR47" s="46">
        <v>1</v>
      </c>
      <c r="CT47" s="46" t="s">
        <v>6346</v>
      </c>
    </row>
    <row r="48" spans="1:98">
      <c r="A48" s="46" t="s">
        <v>6796</v>
      </c>
      <c r="B48" s="46" t="s">
        <v>6797</v>
      </c>
      <c r="C48" s="46">
        <v>48</v>
      </c>
      <c r="D48" s="46" t="s">
        <v>2565</v>
      </c>
      <c r="E48" s="46" t="s">
        <v>6798</v>
      </c>
      <c r="F48" s="46" t="s">
        <v>3969</v>
      </c>
      <c r="I48" s="46">
        <v>1</v>
      </c>
      <c r="O48" s="46">
        <v>1</v>
      </c>
      <c r="R48" s="46">
        <v>1</v>
      </c>
      <c r="S48" s="46">
        <v>1</v>
      </c>
      <c r="W48" s="46">
        <v>14</v>
      </c>
      <c r="X48" s="46">
        <v>15</v>
      </c>
      <c r="Y48" s="46">
        <v>15</v>
      </c>
      <c r="Z48" s="46">
        <v>8</v>
      </c>
      <c r="AA48" s="46">
        <v>8</v>
      </c>
      <c r="AB48" s="46">
        <v>7</v>
      </c>
      <c r="AC48" s="46">
        <v>1</v>
      </c>
      <c r="AI48" s="113"/>
      <c r="AJ48" s="113"/>
      <c r="AK48" s="46">
        <v>1</v>
      </c>
      <c r="AT48" s="46">
        <v>1</v>
      </c>
      <c r="AW48" s="46">
        <v>1</v>
      </c>
      <c r="BA48" s="46">
        <v>1</v>
      </c>
      <c r="BO48" s="46" t="s">
        <v>930</v>
      </c>
      <c r="CB48" s="46">
        <v>1</v>
      </c>
      <c r="CE48" s="46">
        <v>1</v>
      </c>
      <c r="CK48" s="46">
        <v>1</v>
      </c>
      <c r="CR48" s="46">
        <v>1</v>
      </c>
      <c r="CT48" s="46" t="s">
        <v>6346</v>
      </c>
    </row>
    <row r="49" spans="1:98">
      <c r="A49" s="46" t="s">
        <v>6799</v>
      </c>
      <c r="B49" s="46" t="s">
        <v>6800</v>
      </c>
      <c r="C49" s="46">
        <v>16</v>
      </c>
      <c r="D49" s="46" t="s">
        <v>936</v>
      </c>
      <c r="E49" s="46" t="s">
        <v>6801</v>
      </c>
      <c r="F49" s="46" t="s">
        <v>107</v>
      </c>
      <c r="J49" s="46">
        <v>1</v>
      </c>
      <c r="L49" s="46">
        <v>1</v>
      </c>
      <c r="Q49" s="46" t="s">
        <v>191</v>
      </c>
      <c r="U49" s="46">
        <v>1</v>
      </c>
      <c r="W49" s="46">
        <v>15</v>
      </c>
      <c r="X49" s="46" t="s">
        <v>4549</v>
      </c>
      <c r="Y49" s="46" t="s">
        <v>191</v>
      </c>
      <c r="Z49" s="46">
        <v>0</v>
      </c>
      <c r="AA49" s="46">
        <v>0</v>
      </c>
      <c r="AB49" s="46">
        <v>0</v>
      </c>
      <c r="AC49" s="46">
        <v>1</v>
      </c>
      <c r="AI49" s="113"/>
      <c r="AJ49" s="113"/>
      <c r="AM49" s="46">
        <v>1</v>
      </c>
      <c r="AT49" s="113"/>
      <c r="AU49" s="113"/>
      <c r="AV49" s="46">
        <v>1</v>
      </c>
      <c r="AW49" s="46">
        <v>1</v>
      </c>
      <c r="BA49" s="46">
        <v>1</v>
      </c>
      <c r="BO49" s="46" t="s">
        <v>930</v>
      </c>
      <c r="CB49" s="46">
        <v>1</v>
      </c>
      <c r="CE49" s="46">
        <v>1</v>
      </c>
      <c r="CK49" s="46">
        <v>1</v>
      </c>
      <c r="CR49" s="46">
        <v>1</v>
      </c>
      <c r="CT49" s="46" t="s">
        <v>6346</v>
      </c>
    </row>
    <row r="50" spans="1:98">
      <c r="A50" s="46" t="s">
        <v>6802</v>
      </c>
      <c r="B50" s="46" t="s">
        <v>6803</v>
      </c>
      <c r="C50" s="46">
        <v>33</v>
      </c>
      <c r="D50" s="46" t="s">
        <v>2565</v>
      </c>
      <c r="E50" s="46" t="s">
        <v>6804</v>
      </c>
      <c r="F50" s="46" t="s">
        <v>107</v>
      </c>
      <c r="G50" s="46">
        <v>1</v>
      </c>
      <c r="M50" s="46">
        <v>1</v>
      </c>
      <c r="Q50" s="46">
        <v>1</v>
      </c>
      <c r="T50" s="46">
        <v>1</v>
      </c>
      <c r="W50" s="46">
        <v>14</v>
      </c>
      <c r="X50" s="46">
        <v>16</v>
      </c>
      <c r="Y50" s="46">
        <v>17</v>
      </c>
      <c r="Z50" s="46">
        <v>6</v>
      </c>
      <c r="AA50" s="46">
        <v>6</v>
      </c>
      <c r="AB50" s="46">
        <v>4</v>
      </c>
      <c r="AE50" s="46">
        <v>1</v>
      </c>
      <c r="AJ50" s="46">
        <v>1</v>
      </c>
      <c r="AK50" s="46">
        <v>1</v>
      </c>
      <c r="AT50" s="46">
        <v>1</v>
      </c>
      <c r="AW50" s="46">
        <v>1</v>
      </c>
      <c r="BB50" s="46">
        <v>1</v>
      </c>
      <c r="BG50" s="113"/>
      <c r="BH50" s="113"/>
      <c r="BO50" s="46" t="s">
        <v>930</v>
      </c>
      <c r="CB50" s="46">
        <v>1</v>
      </c>
      <c r="CE50" s="46">
        <v>1</v>
      </c>
      <c r="CK50" s="46">
        <v>1</v>
      </c>
      <c r="CR50" s="46">
        <v>1</v>
      </c>
      <c r="CT50" s="46" t="s">
        <v>6346</v>
      </c>
    </row>
    <row r="51" spans="1:98">
      <c r="A51" s="46" t="s">
        <v>6805</v>
      </c>
      <c r="B51" s="46" t="s">
        <v>6806</v>
      </c>
      <c r="C51" s="46">
        <v>43</v>
      </c>
      <c r="D51" s="46" t="s">
        <v>3212</v>
      </c>
      <c r="E51" s="46" t="s">
        <v>6807</v>
      </c>
      <c r="F51" s="46" t="s">
        <v>1960</v>
      </c>
      <c r="G51" s="46">
        <v>1</v>
      </c>
      <c r="P51" s="46">
        <v>1</v>
      </c>
      <c r="Q51" s="46">
        <v>1</v>
      </c>
      <c r="S51" s="46">
        <v>1</v>
      </c>
      <c r="W51" s="46">
        <v>18</v>
      </c>
      <c r="X51" s="46">
        <v>20</v>
      </c>
      <c r="Y51" s="46">
        <v>23</v>
      </c>
      <c r="Z51" s="46">
        <v>6</v>
      </c>
      <c r="AA51" s="46">
        <v>6</v>
      </c>
      <c r="AB51" s="46">
        <v>6</v>
      </c>
      <c r="AH51" s="46">
        <v>1</v>
      </c>
      <c r="AI51" s="113"/>
      <c r="AJ51" s="113"/>
      <c r="AL51" s="46">
        <v>1</v>
      </c>
      <c r="AO51" s="46">
        <v>1</v>
      </c>
      <c r="AS51" s="46">
        <v>1</v>
      </c>
      <c r="AT51" s="46">
        <v>1</v>
      </c>
      <c r="AW51" s="46">
        <v>1</v>
      </c>
      <c r="BB51" s="46">
        <v>1</v>
      </c>
      <c r="BG51" s="113"/>
      <c r="BH51" s="113"/>
      <c r="BO51" s="46" t="s">
        <v>930</v>
      </c>
      <c r="CB51" s="46">
        <v>1</v>
      </c>
      <c r="CE51" s="46">
        <v>1</v>
      </c>
      <c r="CK51" s="46">
        <v>1</v>
      </c>
      <c r="CR51" s="46">
        <v>1</v>
      </c>
      <c r="CT51" s="46" t="s">
        <v>6346</v>
      </c>
    </row>
    <row r="52" spans="1:98">
      <c r="A52" s="46" t="s">
        <v>6808</v>
      </c>
      <c r="B52" s="46" t="s">
        <v>2889</v>
      </c>
      <c r="C52" s="46">
        <v>45</v>
      </c>
      <c r="D52" s="46" t="s">
        <v>3212</v>
      </c>
      <c r="E52" s="46" t="s">
        <v>6809</v>
      </c>
      <c r="F52" s="46" t="s">
        <v>112</v>
      </c>
      <c r="J52" s="46">
        <v>1</v>
      </c>
      <c r="O52" s="46">
        <v>1</v>
      </c>
      <c r="R52" s="46">
        <v>1</v>
      </c>
      <c r="V52" s="46">
        <v>1</v>
      </c>
      <c r="W52" s="46">
        <v>15</v>
      </c>
      <c r="X52" s="46">
        <v>19</v>
      </c>
      <c r="Y52" s="46">
        <v>22</v>
      </c>
      <c r="Z52" s="46">
        <v>4</v>
      </c>
      <c r="AA52" s="46">
        <v>4</v>
      </c>
      <c r="AB52" s="46">
        <v>4</v>
      </c>
      <c r="AC52" s="46">
        <v>1</v>
      </c>
      <c r="AJ52" s="46">
        <v>1</v>
      </c>
      <c r="AK52" s="46">
        <v>1</v>
      </c>
      <c r="AT52" s="46">
        <v>1</v>
      </c>
      <c r="AX52" s="46">
        <v>1</v>
      </c>
      <c r="BB52" s="46">
        <v>1</v>
      </c>
      <c r="BG52" s="46">
        <v>1</v>
      </c>
      <c r="BO52" s="46" t="s">
        <v>930</v>
      </c>
      <c r="CB52" s="46">
        <v>1</v>
      </c>
      <c r="CE52" s="46">
        <v>1</v>
      </c>
      <c r="CK52" s="46">
        <v>1</v>
      </c>
      <c r="CR52" s="46">
        <v>1</v>
      </c>
      <c r="CT52" s="46" t="s">
        <v>6346</v>
      </c>
    </row>
    <row r="53" spans="1:98">
      <c r="A53" s="46" t="s">
        <v>6810</v>
      </c>
      <c r="B53" s="46" t="s">
        <v>6811</v>
      </c>
      <c r="C53" s="46">
        <v>44</v>
      </c>
      <c r="D53" s="46" t="s">
        <v>6766</v>
      </c>
      <c r="E53" s="46" t="s">
        <v>6812</v>
      </c>
      <c r="F53" s="46" t="s">
        <v>162</v>
      </c>
      <c r="J53" s="46">
        <v>1</v>
      </c>
      <c r="O53" s="46">
        <v>1</v>
      </c>
      <c r="R53" s="46">
        <v>1</v>
      </c>
      <c r="S53" s="46">
        <v>1</v>
      </c>
      <c r="W53" s="46">
        <v>12</v>
      </c>
      <c r="X53" s="46">
        <v>13</v>
      </c>
      <c r="Y53" s="46">
        <v>14</v>
      </c>
      <c r="Z53" s="46">
        <v>10</v>
      </c>
      <c r="AA53" s="46">
        <v>9</v>
      </c>
      <c r="AB53" s="46">
        <v>9</v>
      </c>
      <c r="AD53" s="46">
        <v>1</v>
      </c>
      <c r="AE53" s="46">
        <v>1</v>
      </c>
      <c r="AG53" s="46">
        <v>1</v>
      </c>
      <c r="AH53" s="46">
        <v>1</v>
      </c>
      <c r="AI53" s="46">
        <v>1</v>
      </c>
      <c r="AL53" s="46">
        <v>1</v>
      </c>
      <c r="AO53" s="113"/>
      <c r="AP53" s="113"/>
      <c r="AQ53" s="46" t="s">
        <v>251</v>
      </c>
      <c r="AR53" s="46" t="s">
        <v>1217</v>
      </c>
      <c r="AT53" s="46">
        <v>1</v>
      </c>
      <c r="AW53" s="46">
        <v>1</v>
      </c>
      <c r="BB53" s="46">
        <v>1</v>
      </c>
      <c r="BG53" s="46">
        <v>1</v>
      </c>
      <c r="BL53" s="46">
        <v>1</v>
      </c>
      <c r="CB53" s="46">
        <v>1</v>
      </c>
      <c r="CE53" s="46">
        <v>1</v>
      </c>
      <c r="CK53" s="46">
        <v>1</v>
      </c>
      <c r="CR53" s="46">
        <v>1</v>
      </c>
      <c r="CT53" s="46" t="s">
        <v>6346</v>
      </c>
    </row>
    <row r="54" spans="1:98">
      <c r="A54" s="46" t="s">
        <v>6813</v>
      </c>
      <c r="B54" s="46" t="s">
        <v>6814</v>
      </c>
      <c r="C54" s="46">
        <v>52</v>
      </c>
      <c r="D54" s="46" t="s">
        <v>6766</v>
      </c>
      <c r="E54" s="46" t="s">
        <v>6815</v>
      </c>
      <c r="F54" s="46" t="s">
        <v>162</v>
      </c>
      <c r="J54" s="46">
        <v>1</v>
      </c>
      <c r="M54" s="46">
        <v>1</v>
      </c>
      <c r="Q54" s="46">
        <v>1</v>
      </c>
      <c r="V54" s="46">
        <v>1</v>
      </c>
      <c r="W54" s="46">
        <v>17</v>
      </c>
      <c r="X54" s="46">
        <v>24</v>
      </c>
      <c r="Y54" s="46">
        <v>26</v>
      </c>
      <c r="Z54" s="46">
        <v>9</v>
      </c>
      <c r="AA54" s="46">
        <v>9</v>
      </c>
      <c r="AB54" s="46">
        <v>8</v>
      </c>
      <c r="AE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L54" s="46">
        <v>1</v>
      </c>
      <c r="CB54" s="46">
        <v>1</v>
      </c>
      <c r="CE54" s="46">
        <v>1</v>
      </c>
      <c r="CK54" s="46">
        <v>1</v>
      </c>
      <c r="CR54" s="46">
        <v>1</v>
      </c>
      <c r="CT54" s="46" t="s">
        <v>6346</v>
      </c>
    </row>
    <row r="55" spans="1:98">
      <c r="A55" s="46" t="s">
        <v>6816</v>
      </c>
      <c r="B55" s="46" t="s">
        <v>6817</v>
      </c>
      <c r="C55" s="46">
        <v>63</v>
      </c>
      <c r="D55" s="46" t="s">
        <v>6766</v>
      </c>
      <c r="E55" s="46" t="s">
        <v>6818</v>
      </c>
      <c r="F55" s="46" t="s">
        <v>162</v>
      </c>
      <c r="H55" s="46">
        <v>1</v>
      </c>
      <c r="M55" s="46">
        <v>1</v>
      </c>
      <c r="Q55" s="46">
        <v>1</v>
      </c>
      <c r="T55" s="46">
        <v>1</v>
      </c>
      <c r="W55" s="46">
        <v>12</v>
      </c>
      <c r="X55" s="46">
        <v>24</v>
      </c>
      <c r="Y55" s="46">
        <v>26</v>
      </c>
      <c r="Z55" s="46">
        <v>7</v>
      </c>
      <c r="AA55" s="46">
        <v>7</v>
      </c>
      <c r="AB55" s="46">
        <v>7</v>
      </c>
      <c r="AE55" s="46">
        <v>1</v>
      </c>
      <c r="AH55" s="46">
        <v>1</v>
      </c>
      <c r="AI55" s="46">
        <v>1</v>
      </c>
      <c r="AK55" s="46">
        <v>1</v>
      </c>
      <c r="AT55" s="46">
        <v>1</v>
      </c>
      <c r="AW55" s="46">
        <v>1</v>
      </c>
      <c r="BB55" s="46">
        <v>1</v>
      </c>
      <c r="BG55" s="46">
        <v>1</v>
      </c>
      <c r="BL55" s="46">
        <v>1</v>
      </c>
      <c r="CB55" s="46">
        <v>1</v>
      </c>
      <c r="CE55" s="46">
        <v>1</v>
      </c>
      <c r="CK55" s="46">
        <v>1</v>
      </c>
      <c r="CR55" s="46">
        <v>1</v>
      </c>
      <c r="CT55" s="46" t="s">
        <v>6346</v>
      </c>
    </row>
    <row r="56" spans="1:98">
      <c r="A56" s="46" t="s">
        <v>6819</v>
      </c>
      <c r="B56" s="46" t="s">
        <v>6820</v>
      </c>
      <c r="C56" s="46">
        <v>50</v>
      </c>
      <c r="D56" s="46" t="s">
        <v>3212</v>
      </c>
      <c r="E56" s="46" t="s">
        <v>6821</v>
      </c>
      <c r="F56" s="46" t="s">
        <v>127</v>
      </c>
      <c r="I56" s="46">
        <v>1</v>
      </c>
      <c r="M56" s="46">
        <v>1</v>
      </c>
      <c r="R56" s="46">
        <v>1</v>
      </c>
      <c r="T56" s="46">
        <v>1</v>
      </c>
      <c r="W56" s="46">
        <v>14</v>
      </c>
      <c r="X56" s="46">
        <v>18</v>
      </c>
      <c r="Y56" s="46">
        <v>20</v>
      </c>
      <c r="Z56" s="46">
        <v>4</v>
      </c>
      <c r="AA56" s="46">
        <v>4</v>
      </c>
      <c r="AB56" s="46">
        <v>4</v>
      </c>
      <c r="AG56" s="46">
        <v>1</v>
      </c>
      <c r="AH56" s="46">
        <v>1</v>
      </c>
      <c r="AJ56" s="46">
        <v>1</v>
      </c>
      <c r="AK56" s="46">
        <v>1</v>
      </c>
      <c r="AT56" s="46">
        <v>1</v>
      </c>
      <c r="AW56" s="46">
        <v>1</v>
      </c>
      <c r="BA56" s="46">
        <v>1</v>
      </c>
      <c r="BL56" s="46">
        <v>1</v>
      </c>
      <c r="CB56" s="46">
        <v>1</v>
      </c>
      <c r="CE56" s="46">
        <v>1</v>
      </c>
      <c r="CK56" s="46">
        <v>1</v>
      </c>
      <c r="CR56" s="46">
        <v>1</v>
      </c>
      <c r="CT56" s="46" t="s">
        <v>6346</v>
      </c>
    </row>
    <row r="57" spans="1:98">
      <c r="A57" s="46" t="s">
        <v>6822</v>
      </c>
      <c r="B57" s="46" t="s">
        <v>6823</v>
      </c>
      <c r="C57" s="46">
        <v>37</v>
      </c>
      <c r="D57" s="46" t="s">
        <v>2565</v>
      </c>
      <c r="E57" s="46" t="s">
        <v>6824</v>
      </c>
      <c r="F57" s="46" t="s">
        <v>107</v>
      </c>
      <c r="I57" s="46">
        <v>1</v>
      </c>
      <c r="M57" s="46">
        <v>1</v>
      </c>
      <c r="R57" s="46">
        <v>1</v>
      </c>
      <c r="T57" s="46">
        <v>1</v>
      </c>
      <c r="W57" s="46">
        <v>13</v>
      </c>
      <c r="X57" s="46">
        <v>15</v>
      </c>
      <c r="Y57" s="46">
        <v>16</v>
      </c>
      <c r="Z57" s="46">
        <v>6</v>
      </c>
      <c r="AA57" s="46">
        <v>6</v>
      </c>
      <c r="AB57" s="46">
        <v>4</v>
      </c>
      <c r="AE57" s="46">
        <v>1</v>
      </c>
      <c r="AH57" s="46">
        <v>1</v>
      </c>
      <c r="AJ57" s="46">
        <v>1</v>
      </c>
      <c r="AK57" s="46">
        <v>1</v>
      </c>
      <c r="AT57" s="46">
        <v>1</v>
      </c>
      <c r="AW57" s="46">
        <v>1</v>
      </c>
      <c r="BA57" s="46">
        <v>1</v>
      </c>
      <c r="BJ57" s="46">
        <v>1</v>
      </c>
      <c r="BR57" s="46">
        <v>1</v>
      </c>
      <c r="BX57" s="52"/>
      <c r="CB57" s="46">
        <v>1</v>
      </c>
      <c r="CE57" s="46">
        <v>1</v>
      </c>
      <c r="CK57" s="46">
        <v>1</v>
      </c>
      <c r="CR57" s="46">
        <v>1</v>
      </c>
      <c r="CT57" s="46" t="s">
        <v>6346</v>
      </c>
    </row>
    <row r="58" spans="1:98">
      <c r="A58" s="46" t="s">
        <v>6825</v>
      </c>
      <c r="B58" s="46" t="s">
        <v>6826</v>
      </c>
      <c r="C58" s="46">
        <v>18</v>
      </c>
      <c r="D58" s="46" t="s">
        <v>2565</v>
      </c>
      <c r="E58" s="46" t="s">
        <v>6827</v>
      </c>
      <c r="F58" s="46" t="s">
        <v>112</v>
      </c>
      <c r="H58" s="46">
        <v>1</v>
      </c>
      <c r="O58" s="46">
        <v>1</v>
      </c>
      <c r="R58" s="46">
        <v>1</v>
      </c>
      <c r="T58" s="46">
        <v>1</v>
      </c>
      <c r="W58" s="46">
        <v>13</v>
      </c>
      <c r="X58" s="46">
        <v>15</v>
      </c>
      <c r="Y58" s="46" t="s">
        <v>191</v>
      </c>
      <c r="Z58" s="46">
        <v>0</v>
      </c>
      <c r="AA58" s="46">
        <v>0</v>
      </c>
      <c r="AB58" s="46">
        <v>0</v>
      </c>
      <c r="AH58" s="46">
        <v>1</v>
      </c>
      <c r="AI58" s="46">
        <v>1</v>
      </c>
      <c r="AK58" s="46">
        <v>1</v>
      </c>
      <c r="AT58" s="46">
        <v>1</v>
      </c>
      <c r="AW58" s="46">
        <v>1</v>
      </c>
      <c r="BA58" s="46">
        <v>1</v>
      </c>
      <c r="BJ58" s="46">
        <v>1</v>
      </c>
      <c r="BR58" s="46">
        <v>1</v>
      </c>
      <c r="BX58" s="46">
        <v>1</v>
      </c>
      <c r="BY58" s="46">
        <v>1</v>
      </c>
      <c r="CB58" s="46">
        <v>1</v>
      </c>
      <c r="CE58" s="46">
        <v>1</v>
      </c>
      <c r="CK58" s="46">
        <v>1</v>
      </c>
      <c r="CR58" s="46">
        <v>1</v>
      </c>
      <c r="CT58" s="46" t="s">
        <v>6346</v>
      </c>
    </row>
  </sheetData>
  <autoFilter ref="A3:CT58"/>
  <mergeCells count="22">
    <mergeCell ref="G1:K1"/>
    <mergeCell ref="L1:P1"/>
    <mergeCell ref="S1:V1"/>
    <mergeCell ref="W1:AB1"/>
    <mergeCell ref="AC1:AH1"/>
    <mergeCell ref="AI1:AJ1"/>
    <mergeCell ref="AK1:AM1"/>
    <mergeCell ref="BP1:BR1"/>
    <mergeCell ref="BS1:BT1"/>
    <mergeCell ref="BW1:BY1"/>
    <mergeCell ref="AN1:AP1"/>
    <mergeCell ref="AQ1:AS1"/>
    <mergeCell ref="AT1:AU1"/>
    <mergeCell ref="AV1:AZ1"/>
    <mergeCell ref="BA1:BC1"/>
    <mergeCell ref="BD1:BF1"/>
    <mergeCell ref="CH1:CI1"/>
    <mergeCell ref="CK1:CN1"/>
    <mergeCell ref="CO1:CP1"/>
    <mergeCell ref="BJ2:BK2"/>
    <mergeCell ref="BL2:BO2"/>
    <mergeCell ref="BI1:BO1"/>
  </mergeCells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6828</v>
      </c>
      <c r="B3" s="69">
        <v>17</v>
      </c>
      <c r="C3" s="69">
        <v>3</v>
      </c>
      <c r="D3" s="69">
        <v>1</v>
      </c>
      <c r="E3" s="69">
        <f>SUM(B3:D3)</f>
        <v>21</v>
      </c>
      <c r="F3" s="70">
        <v>1</v>
      </c>
      <c r="G3" s="70">
        <v>18</v>
      </c>
      <c r="H3" s="70">
        <v>2</v>
      </c>
      <c r="I3" s="70"/>
      <c r="J3" s="71">
        <f t="shared" ref="J3:J8" si="0">SUM(F3:I3)</f>
        <v>21</v>
      </c>
      <c r="K3" s="70"/>
      <c r="L3" s="70"/>
      <c r="M3" s="70"/>
      <c r="N3" s="70"/>
      <c r="O3" s="70"/>
      <c r="P3" s="71">
        <f t="shared" ref="P3:P8" si="1">SUM(K3:O3)</f>
        <v>0</v>
      </c>
      <c r="Q3" s="70">
        <v>1</v>
      </c>
      <c r="R3" s="70"/>
      <c r="S3" s="70">
        <v>5</v>
      </c>
      <c r="T3" s="71">
        <f t="shared" ref="T3:T8" si="2">SUM(Q3:S3)</f>
        <v>6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20</v>
      </c>
      <c r="AB3" s="73"/>
      <c r="AC3" s="73"/>
      <c r="AD3" s="73">
        <v>1</v>
      </c>
      <c r="AE3" s="186">
        <f>SUM(AA3,AB3,AC3,AD3)</f>
        <v>21</v>
      </c>
      <c r="AF3" s="73">
        <v>0</v>
      </c>
      <c r="AG3" s="73">
        <v>0</v>
      </c>
    </row>
    <row r="4" spans="1:33">
      <c r="A4" s="77" t="s">
        <v>553</v>
      </c>
      <c r="B4" s="69">
        <v>10</v>
      </c>
      <c r="C4" s="69">
        <v>2</v>
      </c>
      <c r="D4" s="69">
        <v>0</v>
      </c>
      <c r="E4" s="69">
        <f>SUM(B4:D4)</f>
        <v>12</v>
      </c>
      <c r="F4" s="70">
        <v>1</v>
      </c>
      <c r="G4" s="70">
        <v>10</v>
      </c>
      <c r="H4" s="70">
        <v>1</v>
      </c>
      <c r="I4" s="70"/>
      <c r="J4" s="71">
        <f t="shared" si="0"/>
        <v>12</v>
      </c>
      <c r="K4" s="70"/>
      <c r="L4" s="70"/>
      <c r="M4" s="70"/>
      <c r="N4" s="70"/>
      <c r="O4" s="70"/>
      <c r="P4" s="71">
        <f t="shared" si="1"/>
        <v>0</v>
      </c>
      <c r="Q4" s="70"/>
      <c r="R4" s="70">
        <v>1</v>
      </c>
      <c r="S4" s="70">
        <v>3</v>
      </c>
      <c r="T4" s="71">
        <f t="shared" si="2"/>
        <v>4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11</v>
      </c>
      <c r="AB4" s="73"/>
      <c r="AC4" s="73"/>
      <c r="AD4" s="73">
        <v>1</v>
      </c>
      <c r="AE4" s="186">
        <f>SUM(AA4,AB4,AC4,AD4)</f>
        <v>12</v>
      </c>
      <c r="AF4" s="73">
        <v>0</v>
      </c>
      <c r="AG4" s="73">
        <v>0</v>
      </c>
    </row>
    <row r="5" spans="1:33">
      <c r="A5" s="77" t="s">
        <v>2601</v>
      </c>
      <c r="B5" s="69">
        <v>12</v>
      </c>
      <c r="C5" s="69">
        <v>5</v>
      </c>
      <c r="D5" s="69">
        <v>0</v>
      </c>
      <c r="E5" s="69">
        <f>SUM(B5:D5)</f>
        <v>17</v>
      </c>
      <c r="F5" s="70">
        <v>0</v>
      </c>
      <c r="G5" s="70">
        <v>11</v>
      </c>
      <c r="H5" s="70"/>
      <c r="I5" s="70"/>
      <c r="J5" s="71">
        <f t="shared" si="0"/>
        <v>11</v>
      </c>
      <c r="K5" s="70">
        <v>2</v>
      </c>
      <c r="L5" s="70">
        <v>1</v>
      </c>
      <c r="M5" s="70"/>
      <c r="N5" s="70"/>
      <c r="O5" s="70">
        <v>3</v>
      </c>
      <c r="P5" s="71">
        <f t="shared" si="1"/>
        <v>6</v>
      </c>
      <c r="Q5" s="70"/>
      <c r="R5" s="70"/>
      <c r="S5" s="70"/>
      <c r="T5" s="71">
        <f t="shared" si="2"/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16</v>
      </c>
      <c r="AB5" s="73"/>
      <c r="AC5" s="73"/>
      <c r="AD5" s="73">
        <v>1</v>
      </c>
      <c r="AE5" s="186">
        <f>SUM(AA5,AB5,AC5,AD5)</f>
        <v>17</v>
      </c>
      <c r="AF5" s="73">
        <v>0</v>
      </c>
      <c r="AG5" s="73">
        <v>0</v>
      </c>
    </row>
    <row r="6" spans="1:33">
      <c r="A6" s="77" t="s">
        <v>1272</v>
      </c>
      <c r="B6" s="69">
        <v>3</v>
      </c>
      <c r="C6" s="69">
        <v>0</v>
      </c>
      <c r="D6" s="69">
        <v>0</v>
      </c>
      <c r="E6" s="69">
        <f>SUM(B6:D6)</f>
        <v>3</v>
      </c>
      <c r="F6" s="70">
        <v>0</v>
      </c>
      <c r="G6" s="70">
        <v>0</v>
      </c>
      <c r="H6" s="70"/>
      <c r="I6" s="70"/>
      <c r="J6" s="71">
        <f t="shared" si="0"/>
        <v>0</v>
      </c>
      <c r="K6" s="70">
        <v>2</v>
      </c>
      <c r="L6" s="70">
        <v>1</v>
      </c>
      <c r="M6" s="70"/>
      <c r="N6" s="70"/>
      <c r="O6" s="70"/>
      <c r="P6" s="71">
        <f t="shared" si="1"/>
        <v>3</v>
      </c>
      <c r="Q6" s="70"/>
      <c r="R6" s="70"/>
      <c r="S6" s="70">
        <v>1</v>
      </c>
      <c r="T6" s="71">
        <f t="shared" si="2"/>
        <v>1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</v>
      </c>
      <c r="AB6" s="73"/>
      <c r="AC6" s="73"/>
      <c r="AD6" s="73">
        <v>2</v>
      </c>
      <c r="AE6" s="186">
        <f>SUM(AA6,AB6,AC6,AD6)</f>
        <v>3</v>
      </c>
      <c r="AF6" s="73">
        <v>0</v>
      </c>
      <c r="AG6" s="73">
        <v>0</v>
      </c>
    </row>
    <row r="7" spans="1:33">
      <c r="A7" s="243" t="s">
        <v>1364</v>
      </c>
      <c r="B7" s="69">
        <v>2</v>
      </c>
      <c r="C7" s="69">
        <v>0</v>
      </c>
      <c r="D7" s="69">
        <v>0</v>
      </c>
      <c r="E7" s="69">
        <f>SUM(B7:D7)</f>
        <v>2</v>
      </c>
      <c r="F7" s="70">
        <v>0</v>
      </c>
      <c r="G7" s="70">
        <v>0</v>
      </c>
      <c r="H7" s="70"/>
      <c r="I7" s="70"/>
      <c r="J7" s="71">
        <f t="shared" si="0"/>
        <v>0</v>
      </c>
      <c r="K7" s="70">
        <v>1</v>
      </c>
      <c r="L7" s="70">
        <v>0</v>
      </c>
      <c r="M7" s="70">
        <v>0</v>
      </c>
      <c r="N7" s="70">
        <v>0</v>
      </c>
      <c r="O7" s="70">
        <v>1</v>
      </c>
      <c r="P7" s="71">
        <f t="shared" si="1"/>
        <v>2</v>
      </c>
      <c r="Q7" s="70">
        <v>0</v>
      </c>
      <c r="R7" s="70">
        <v>0</v>
      </c>
      <c r="S7" s="70">
        <v>0</v>
      </c>
      <c r="T7" s="71">
        <f t="shared" si="2"/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/>
      <c r="AA7" s="73">
        <v>0</v>
      </c>
      <c r="AB7" s="73">
        <v>0</v>
      </c>
      <c r="AC7" s="73">
        <v>0</v>
      </c>
      <c r="AD7" s="73">
        <v>0</v>
      </c>
      <c r="AE7" s="186">
        <f>SUM(AA7,AB7,AC7,AD7)</f>
        <v>0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3">SUM(B3:B7)</f>
        <v>44</v>
      </c>
      <c r="C8" s="69">
        <f t="shared" si="3"/>
        <v>10</v>
      </c>
      <c r="D8" s="69">
        <f t="shared" si="3"/>
        <v>1</v>
      </c>
      <c r="E8" s="69">
        <f t="shared" si="3"/>
        <v>55</v>
      </c>
      <c r="F8" s="69">
        <f t="shared" si="3"/>
        <v>2</v>
      </c>
      <c r="G8" s="69">
        <f t="shared" si="3"/>
        <v>39</v>
      </c>
      <c r="H8" s="69">
        <f t="shared" si="3"/>
        <v>3</v>
      </c>
      <c r="I8" s="69">
        <f t="shared" si="3"/>
        <v>0</v>
      </c>
      <c r="J8" s="71">
        <f t="shared" si="0"/>
        <v>44</v>
      </c>
      <c r="K8" s="114">
        <f>SUM(K3:K7)</f>
        <v>5</v>
      </c>
      <c r="L8" s="114">
        <f>SUM(L3:L7)</f>
        <v>2</v>
      </c>
      <c r="M8" s="114">
        <f>SUM(M3:M7)</f>
        <v>0</v>
      </c>
      <c r="N8" s="114">
        <f>SUM(N3:N7)</f>
        <v>0</v>
      </c>
      <c r="O8" s="114">
        <f>SUM(O3:O7)</f>
        <v>4</v>
      </c>
      <c r="P8" s="71">
        <f t="shared" si="1"/>
        <v>11</v>
      </c>
      <c r="Q8" s="114">
        <f>SUM(Q3:Q7)</f>
        <v>1</v>
      </c>
      <c r="R8" s="114">
        <f>SUM(R3:R7)</f>
        <v>1</v>
      </c>
      <c r="S8" s="114">
        <f>SUM(S3:S7)</f>
        <v>9</v>
      </c>
      <c r="T8" s="241">
        <f t="shared" si="2"/>
        <v>11</v>
      </c>
      <c r="U8" s="114">
        <f>SUM(U3:U7)</f>
        <v>0</v>
      </c>
      <c r="V8" s="114">
        <f>SUM(V3:V7)</f>
        <v>0</v>
      </c>
      <c r="W8" s="114">
        <f>SUM(W3:W7)</f>
        <v>0</v>
      </c>
      <c r="X8" s="114">
        <f>SUM(X3:X7)</f>
        <v>0</v>
      </c>
      <c r="Y8" s="114">
        <f>SUM(Y3:Y7)</f>
        <v>0</v>
      </c>
      <c r="Z8" s="114">
        <f>SUM(Z3:Z6)</f>
        <v>0</v>
      </c>
      <c r="AA8" s="114">
        <f>SUM(AA3:AA7)</f>
        <v>48</v>
      </c>
      <c r="AB8" s="114">
        <f>SUM(AB3:AB7)</f>
        <v>0</v>
      </c>
      <c r="AC8" s="114">
        <f>SUM(AC3:AC7)</f>
        <v>0</v>
      </c>
      <c r="AD8" s="114">
        <f>SUM(AD3:AD7)</f>
        <v>5</v>
      </c>
      <c r="AE8" s="73">
        <f>SUM(AE3:AE6)</f>
        <v>53</v>
      </c>
      <c r="AF8" s="73">
        <f>SUM(AF3:AF7)</f>
        <v>0</v>
      </c>
      <c r="AG8" s="73">
        <f>SUM(AG3:AG7)</f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9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0.42578125" customWidth="1"/>
    <col min="2" max="2" width="23" customWidth="1"/>
    <col min="3" max="3" width="6.28515625" customWidth="1"/>
    <col min="4" max="4" width="9.140625" customWidth="1"/>
    <col min="5" max="5" width="14.42578125" customWidth="1"/>
    <col min="6" max="6" width="9.28515625" customWidth="1"/>
    <col min="7" max="7" width="6" customWidth="1"/>
    <col min="8" max="8" width="6.42578125" customWidth="1"/>
    <col min="9" max="9" width="6.85546875" customWidth="1"/>
    <col min="10" max="10" width="6.5703125" customWidth="1"/>
    <col min="11" max="11" width="7" customWidth="1"/>
    <col min="12" max="12" width="5.7109375" customWidth="1"/>
    <col min="13" max="13" width="5.5703125" customWidth="1"/>
    <col min="14" max="14" width="6.5703125" customWidth="1"/>
    <col min="15" max="15" width="5.5703125" customWidth="1"/>
    <col min="16" max="16" width="5.42578125" customWidth="1"/>
    <col min="17" max="17" width="6.7109375" customWidth="1"/>
    <col min="18" max="19" width="6.5703125" customWidth="1"/>
    <col min="20" max="20" width="6.140625" customWidth="1"/>
    <col min="21" max="21" width="5.140625" customWidth="1"/>
    <col min="22" max="22" width="5.7109375" customWidth="1"/>
    <col min="23" max="23" width="6.7109375" customWidth="1"/>
    <col min="24" max="24" width="8" customWidth="1"/>
    <col min="25" max="25" width="7.140625" customWidth="1"/>
    <col min="26" max="26" width="6.7109375" customWidth="1"/>
    <col min="27" max="27" width="11.140625" customWidth="1"/>
    <col min="28" max="28" width="12.5703125" customWidth="1"/>
    <col min="29" max="29" width="4.85546875" customWidth="1"/>
    <col min="30" max="30" width="6.85546875" customWidth="1"/>
    <col min="31" max="31" width="6.7109375" customWidth="1"/>
    <col min="32" max="33" width="8" customWidth="1"/>
    <col min="34" max="34" width="5.42578125" customWidth="1"/>
    <col min="35" max="35" width="5.85546875" customWidth="1"/>
    <col min="36" max="36" width="8" customWidth="1"/>
    <col min="37" max="37" width="5.7109375" customWidth="1"/>
    <col min="38" max="38" width="6.140625" customWidth="1"/>
    <col min="40" max="40" width="11.5703125" customWidth="1"/>
    <col min="41" max="41" width="8.140625" customWidth="1"/>
    <col min="42" max="42" width="8.85546875" customWidth="1"/>
    <col min="46" max="46" width="5.7109375" customWidth="1"/>
    <col min="47" max="47" width="10" customWidth="1"/>
    <col min="48" max="48" width="6.140625" customWidth="1"/>
    <col min="49" max="50" width="8.7109375" customWidth="1"/>
    <col min="51" max="51" width="8.5703125" customWidth="1"/>
    <col min="52" max="52" width="5.42578125" customWidth="1"/>
    <col min="53" max="53" width="5.28515625" customWidth="1"/>
    <col min="54" max="54" width="6.42578125" customWidth="1"/>
    <col min="55" max="55" width="6.5703125" customWidth="1"/>
    <col min="56" max="56" width="6" customWidth="1"/>
    <col min="57" max="57" width="9.5703125" customWidth="1"/>
    <col min="58" max="58" width="7.5703125" customWidth="1"/>
    <col min="59" max="59" width="8.5703125" customWidth="1"/>
    <col min="60" max="60" width="9.28515625" customWidth="1"/>
    <col min="61" max="61" width="6.28515625" customWidth="1"/>
    <col min="62" max="62" width="6.140625" customWidth="1"/>
    <col min="63" max="63" width="8.42578125" customWidth="1"/>
    <col min="64" max="64" width="8.7109375" customWidth="1"/>
    <col min="65" max="65" width="10.85546875" customWidth="1"/>
    <col min="66" max="66" width="13.5703125" customWidth="1"/>
    <col min="67" max="67" width="7.7109375" customWidth="1"/>
    <col min="68" max="68" width="5.5703125" customWidth="1"/>
    <col min="69" max="69" width="8.7109375" customWidth="1"/>
    <col min="70" max="70" width="6.140625" customWidth="1"/>
    <col min="71" max="71" width="6.7109375" customWidth="1"/>
    <col min="72" max="72" width="6.28515625" customWidth="1"/>
    <col min="75" max="75" width="6" customWidth="1"/>
    <col min="76" max="76" width="9.5703125" customWidth="1"/>
    <col min="77" max="77" width="11.85546875" customWidth="1"/>
    <col min="78" max="78" width="12.7109375" customWidth="1"/>
    <col min="79" max="79" width="11.85546875" customWidth="1"/>
    <col min="80" max="80" width="5.7109375" customWidth="1"/>
    <col min="81" max="81" width="7.140625" customWidth="1"/>
    <col min="82" max="82" width="10.28515625" customWidth="1"/>
    <col min="83" max="83" width="7.7109375" customWidth="1"/>
    <col min="84" max="84" width="11.28515625" customWidth="1"/>
    <col min="85" max="85" width="13" customWidth="1"/>
    <col min="86" max="86" width="7.5703125" customWidth="1"/>
    <col min="87" max="87" width="8" customWidth="1"/>
    <col min="88" max="88" width="10" customWidth="1"/>
    <col min="89" max="89" width="9.140625" customWidth="1"/>
    <col min="92" max="92" width="10.42578125" customWidth="1"/>
    <col min="93" max="93" width="8.42578125" customWidth="1"/>
    <col min="94" max="94" width="10.7109375" customWidth="1"/>
    <col min="95" max="95" width="9.85546875" customWidth="1"/>
    <col min="96" max="96" width="9.5703125" customWidth="1"/>
    <col min="97" max="97" width="10.28515625" customWidth="1"/>
  </cols>
  <sheetData>
    <row r="1" spans="1:98">
      <c r="A1" s="197" t="s">
        <v>6829</v>
      </c>
      <c r="B1" s="143"/>
      <c r="C1" s="231" t="s">
        <v>6830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6833</v>
      </c>
      <c r="B4" s="46" t="s">
        <v>6834</v>
      </c>
      <c r="C4" s="46">
        <v>35</v>
      </c>
      <c r="D4" s="46" t="s">
        <v>6835</v>
      </c>
      <c r="E4" s="46" t="s">
        <v>6836</v>
      </c>
      <c r="F4" s="46" t="s">
        <v>2574</v>
      </c>
      <c r="I4" s="46">
        <v>1</v>
      </c>
      <c r="M4" s="46">
        <v>1</v>
      </c>
      <c r="Q4" s="46">
        <v>1</v>
      </c>
      <c r="T4" s="46">
        <v>1</v>
      </c>
      <c r="W4" s="46">
        <v>12</v>
      </c>
      <c r="X4" s="46">
        <v>13</v>
      </c>
      <c r="Y4" s="46">
        <v>14</v>
      </c>
      <c r="Z4" s="46">
        <v>5</v>
      </c>
      <c r="AA4" s="46">
        <v>5</v>
      </c>
      <c r="AB4" s="46">
        <v>4</v>
      </c>
      <c r="AF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T4" s="46" t="s">
        <v>6346</v>
      </c>
    </row>
    <row r="5" spans="1:98">
      <c r="A5" s="46" t="s">
        <v>6837</v>
      </c>
      <c r="B5" s="46" t="s">
        <v>6838</v>
      </c>
      <c r="C5" s="46">
        <v>40</v>
      </c>
      <c r="D5" s="46" t="s">
        <v>6835</v>
      </c>
      <c r="E5" s="46" t="s">
        <v>6839</v>
      </c>
      <c r="F5" s="46" t="s">
        <v>2472</v>
      </c>
      <c r="H5" s="46">
        <v>1</v>
      </c>
      <c r="M5" s="46">
        <v>1</v>
      </c>
      <c r="Q5" s="46">
        <v>1</v>
      </c>
      <c r="T5" s="46">
        <v>1</v>
      </c>
      <c r="W5" s="46">
        <v>18</v>
      </c>
      <c r="X5" s="46">
        <v>25</v>
      </c>
      <c r="Y5" s="46">
        <v>28</v>
      </c>
      <c r="Z5" s="46">
        <v>7</v>
      </c>
      <c r="AA5" s="46">
        <v>4</v>
      </c>
      <c r="AB5" s="46">
        <v>4</v>
      </c>
      <c r="AF5" s="46">
        <v>1</v>
      </c>
      <c r="AG5" s="46">
        <v>1</v>
      </c>
      <c r="AJ5" s="46">
        <v>1</v>
      </c>
      <c r="AK5" s="46">
        <v>1</v>
      </c>
      <c r="AT5" s="46">
        <v>1</v>
      </c>
      <c r="AX5" s="46">
        <v>1</v>
      </c>
      <c r="BA5" s="46">
        <v>1</v>
      </c>
      <c r="BK5" s="46">
        <v>1</v>
      </c>
      <c r="CB5" s="46">
        <v>1</v>
      </c>
      <c r="CE5" s="46">
        <v>1</v>
      </c>
      <c r="CT5" s="46" t="s">
        <v>6346</v>
      </c>
    </row>
    <row r="6" spans="1:98">
      <c r="A6" s="46" t="s">
        <v>6840</v>
      </c>
      <c r="B6" s="46" t="s">
        <v>6841</v>
      </c>
      <c r="C6" s="46">
        <v>20</v>
      </c>
      <c r="D6" s="46" t="s">
        <v>6835</v>
      </c>
      <c r="E6" s="46" t="s">
        <v>6842</v>
      </c>
      <c r="F6" s="46" t="s">
        <v>2472</v>
      </c>
      <c r="H6" s="46">
        <v>1</v>
      </c>
      <c r="O6" s="46">
        <v>1</v>
      </c>
      <c r="Q6" s="46">
        <v>1</v>
      </c>
      <c r="U6" s="46">
        <v>1</v>
      </c>
      <c r="W6" s="46">
        <v>14</v>
      </c>
      <c r="X6" s="46">
        <v>18</v>
      </c>
      <c r="Y6" s="46">
        <v>19</v>
      </c>
      <c r="Z6" s="46">
        <v>1</v>
      </c>
      <c r="AA6" s="46">
        <v>1</v>
      </c>
      <c r="AB6" s="46">
        <v>1</v>
      </c>
      <c r="AD6" s="46">
        <v>1</v>
      </c>
      <c r="AF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T6" s="46" t="s">
        <v>6346</v>
      </c>
    </row>
    <row r="7" spans="1:98">
      <c r="A7" s="46" t="s">
        <v>6843</v>
      </c>
      <c r="B7" s="46" t="s">
        <v>6844</v>
      </c>
      <c r="C7" s="46">
        <v>77</v>
      </c>
      <c r="D7" s="46" t="s">
        <v>6835</v>
      </c>
      <c r="E7" s="46" t="s">
        <v>6845</v>
      </c>
      <c r="F7" s="46" t="s">
        <v>145</v>
      </c>
      <c r="G7" s="46">
        <v>1</v>
      </c>
      <c r="O7" s="46">
        <v>1</v>
      </c>
      <c r="Q7" s="46">
        <v>1</v>
      </c>
      <c r="S7" s="46">
        <v>1</v>
      </c>
      <c r="W7" s="46">
        <v>13</v>
      </c>
      <c r="X7" s="46">
        <v>17</v>
      </c>
      <c r="Y7" s="46">
        <v>18</v>
      </c>
      <c r="Z7" s="46">
        <v>2</v>
      </c>
      <c r="AA7" s="46">
        <v>2</v>
      </c>
      <c r="AB7" s="46">
        <v>2</v>
      </c>
      <c r="AC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L7" s="46">
        <v>1</v>
      </c>
      <c r="BY7" s="46">
        <v>1</v>
      </c>
      <c r="CB7" s="46">
        <v>1</v>
      </c>
      <c r="CE7" s="46">
        <v>1</v>
      </c>
      <c r="CT7" s="46" t="s">
        <v>6346</v>
      </c>
    </row>
    <row r="8" spans="1:98">
      <c r="A8" s="46" t="s">
        <v>6846</v>
      </c>
      <c r="B8" s="46" t="s">
        <v>6847</v>
      </c>
      <c r="C8" s="46">
        <v>56</v>
      </c>
      <c r="D8" s="46" t="s">
        <v>6835</v>
      </c>
      <c r="E8" s="46" t="s">
        <v>6848</v>
      </c>
      <c r="F8" s="46" t="s">
        <v>1045</v>
      </c>
      <c r="J8" s="46">
        <v>1</v>
      </c>
      <c r="O8" s="46">
        <v>1</v>
      </c>
      <c r="Q8" s="46">
        <v>1</v>
      </c>
      <c r="S8" s="46">
        <v>1</v>
      </c>
      <c r="W8" s="46">
        <v>15</v>
      </c>
      <c r="X8" s="46">
        <v>26</v>
      </c>
      <c r="Y8" s="46">
        <v>27</v>
      </c>
      <c r="Z8" s="46">
        <v>3</v>
      </c>
      <c r="AA8" s="46">
        <v>3</v>
      </c>
      <c r="AB8" s="46">
        <v>1</v>
      </c>
      <c r="AC8" s="46">
        <v>1</v>
      </c>
      <c r="AT8" s="46">
        <v>1</v>
      </c>
      <c r="AW8" s="46">
        <v>1</v>
      </c>
      <c r="BA8" s="46">
        <v>1</v>
      </c>
      <c r="BL8" s="46">
        <v>1</v>
      </c>
      <c r="CB8" s="46">
        <v>1</v>
      </c>
      <c r="CE8" s="46">
        <v>1</v>
      </c>
      <c r="CT8" s="46" t="s">
        <v>6346</v>
      </c>
    </row>
    <row r="9" spans="1:98">
      <c r="A9" s="46" t="s">
        <v>6849</v>
      </c>
      <c r="B9" s="46" t="s">
        <v>6850</v>
      </c>
      <c r="C9" s="46">
        <v>55</v>
      </c>
      <c r="D9" s="46" t="s">
        <v>6835</v>
      </c>
      <c r="E9" s="46" t="s">
        <v>6851</v>
      </c>
      <c r="F9" s="46" t="s">
        <v>2472</v>
      </c>
      <c r="I9" s="46">
        <v>1</v>
      </c>
      <c r="O9" s="46">
        <v>1</v>
      </c>
      <c r="R9" s="46">
        <v>1</v>
      </c>
      <c r="T9" s="46">
        <v>1</v>
      </c>
      <c r="W9" s="46">
        <v>15</v>
      </c>
      <c r="X9" s="46">
        <v>15</v>
      </c>
      <c r="Y9" s="46">
        <v>16</v>
      </c>
      <c r="Z9" s="46">
        <v>10</v>
      </c>
      <c r="AA9" s="46">
        <v>10</v>
      </c>
      <c r="AB9" s="46">
        <v>10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L9" s="46">
        <v>1</v>
      </c>
      <c r="CB9" s="46">
        <v>1</v>
      </c>
      <c r="CE9" s="46">
        <v>1</v>
      </c>
      <c r="CT9" s="46" t="s">
        <v>6346</v>
      </c>
    </row>
    <row r="10" spans="1:98">
      <c r="A10" s="46" t="s">
        <v>6852</v>
      </c>
      <c r="B10" s="46" t="s">
        <v>6853</v>
      </c>
      <c r="C10" s="46">
        <v>54</v>
      </c>
      <c r="D10" s="46" t="s">
        <v>6835</v>
      </c>
      <c r="E10" s="46" t="s">
        <v>6854</v>
      </c>
      <c r="F10" s="46" t="s">
        <v>2472</v>
      </c>
      <c r="H10" s="46">
        <v>1</v>
      </c>
      <c r="P10" s="46">
        <v>1</v>
      </c>
      <c r="Q10" s="46">
        <v>1</v>
      </c>
      <c r="S10" s="46">
        <v>1</v>
      </c>
      <c r="W10" s="46">
        <v>13</v>
      </c>
      <c r="X10" s="46">
        <v>15</v>
      </c>
      <c r="Y10" s="46">
        <v>15</v>
      </c>
      <c r="Z10" s="46">
        <v>2</v>
      </c>
      <c r="AA10" s="46">
        <v>2</v>
      </c>
      <c r="AB10" s="46">
        <v>2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B10" s="46">
        <v>1</v>
      </c>
      <c r="BL10" s="46">
        <v>1</v>
      </c>
      <c r="CB10" s="46">
        <v>1</v>
      </c>
      <c r="CE10" s="46">
        <v>1</v>
      </c>
      <c r="CT10" s="46" t="s">
        <v>6346</v>
      </c>
    </row>
    <row r="11" spans="1:98">
      <c r="A11" s="46" t="s">
        <v>6855</v>
      </c>
      <c r="B11" s="46" t="s">
        <v>6856</v>
      </c>
      <c r="C11" s="46">
        <v>76</v>
      </c>
      <c r="D11" s="46" t="s">
        <v>6835</v>
      </c>
      <c r="E11" s="46" t="s">
        <v>191</v>
      </c>
      <c r="F11" s="46" t="s">
        <v>2574</v>
      </c>
      <c r="J11" s="46">
        <v>1</v>
      </c>
      <c r="L11" s="46">
        <v>1</v>
      </c>
      <c r="Q11" s="46">
        <v>1</v>
      </c>
      <c r="S11" s="46">
        <v>1</v>
      </c>
      <c r="W11" s="46">
        <v>14</v>
      </c>
      <c r="X11" s="46">
        <v>17</v>
      </c>
      <c r="Y11" s="46">
        <v>17</v>
      </c>
      <c r="Z11" s="46">
        <v>9</v>
      </c>
      <c r="AA11" s="46">
        <v>8</v>
      </c>
      <c r="AB11" s="46">
        <v>7</v>
      </c>
      <c r="AE11" s="46">
        <v>1</v>
      </c>
      <c r="AF11" s="46">
        <v>1</v>
      </c>
      <c r="AG11" s="46">
        <v>1</v>
      </c>
      <c r="AH11" s="46">
        <v>1</v>
      </c>
      <c r="AI11" s="46">
        <v>1</v>
      </c>
      <c r="AM11" s="46">
        <v>1</v>
      </c>
      <c r="AT11" s="46">
        <v>1</v>
      </c>
      <c r="AX11" s="46">
        <v>1</v>
      </c>
      <c r="BA11" s="46">
        <v>1</v>
      </c>
      <c r="BL11" s="46">
        <v>1</v>
      </c>
      <c r="BY11" s="46">
        <v>1</v>
      </c>
      <c r="CB11" s="46">
        <v>1</v>
      </c>
      <c r="CE11" s="46">
        <v>1</v>
      </c>
      <c r="CT11" s="46" t="s">
        <v>6346</v>
      </c>
    </row>
    <row r="12" spans="1:98">
      <c r="A12" s="46" t="s">
        <v>6857</v>
      </c>
      <c r="B12" s="46" t="s">
        <v>6858</v>
      </c>
      <c r="C12" s="46">
        <v>24</v>
      </c>
      <c r="D12" s="46" t="s">
        <v>6835</v>
      </c>
      <c r="E12" s="46" t="s">
        <v>6859</v>
      </c>
      <c r="F12" s="46" t="s">
        <v>2506</v>
      </c>
      <c r="G12" s="46">
        <v>1</v>
      </c>
      <c r="M12" s="46">
        <v>1</v>
      </c>
      <c r="Q12" s="46">
        <v>1</v>
      </c>
      <c r="U12" s="46">
        <v>1</v>
      </c>
      <c r="W12" s="46">
        <v>15</v>
      </c>
      <c r="X12" s="46">
        <v>19</v>
      </c>
      <c r="Y12" s="46">
        <v>22</v>
      </c>
      <c r="Z12" s="46">
        <v>1</v>
      </c>
      <c r="AA12" s="46">
        <v>1</v>
      </c>
      <c r="AB12" s="46">
        <v>1</v>
      </c>
      <c r="AH12" s="46">
        <v>1</v>
      </c>
      <c r="AI12" s="46">
        <v>1</v>
      </c>
      <c r="AK12" s="46">
        <v>1</v>
      </c>
      <c r="AT12" s="46">
        <v>1</v>
      </c>
      <c r="AX12" s="46">
        <v>1</v>
      </c>
      <c r="BA12" s="46">
        <v>1</v>
      </c>
      <c r="BJ12" s="46">
        <v>1</v>
      </c>
      <c r="BX12" s="46">
        <v>1</v>
      </c>
      <c r="BY12" s="46">
        <v>1</v>
      </c>
      <c r="CB12" s="46">
        <v>1</v>
      </c>
      <c r="CE12" s="46">
        <v>1</v>
      </c>
      <c r="CT12" s="46" t="s">
        <v>6860</v>
      </c>
    </row>
    <row r="13" spans="1:98">
      <c r="A13" s="46" t="s">
        <v>6861</v>
      </c>
      <c r="B13" s="46" t="s">
        <v>6862</v>
      </c>
      <c r="C13" s="46">
        <v>25</v>
      </c>
      <c r="D13" s="46" t="s">
        <v>6835</v>
      </c>
      <c r="E13" s="46" t="s">
        <v>6863</v>
      </c>
      <c r="F13" s="46" t="s">
        <v>145</v>
      </c>
      <c r="H13" s="46">
        <v>1</v>
      </c>
      <c r="L13" s="46">
        <v>1</v>
      </c>
      <c r="Q13" s="46">
        <v>1</v>
      </c>
      <c r="V13" s="46">
        <v>1</v>
      </c>
      <c r="W13" s="46">
        <v>14</v>
      </c>
      <c r="X13" s="46">
        <v>16</v>
      </c>
      <c r="Y13" s="46">
        <v>0</v>
      </c>
      <c r="Z13" s="46">
        <v>0</v>
      </c>
      <c r="AA13" s="46">
        <v>0</v>
      </c>
      <c r="AB13" s="46">
        <v>0</v>
      </c>
      <c r="AE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J13" s="46">
        <v>1</v>
      </c>
      <c r="BX13" s="46">
        <v>1</v>
      </c>
      <c r="BY13" s="46">
        <v>1</v>
      </c>
      <c r="CB13" s="46">
        <v>1</v>
      </c>
      <c r="CE13" s="46">
        <v>1</v>
      </c>
      <c r="CT13" s="46" t="s">
        <v>6860</v>
      </c>
    </row>
    <row r="14" spans="1:98">
      <c r="A14" s="46" t="s">
        <v>6864</v>
      </c>
      <c r="B14" s="46" t="s">
        <v>6865</v>
      </c>
      <c r="C14" s="46">
        <v>26</v>
      </c>
      <c r="D14" s="46" t="s">
        <v>6835</v>
      </c>
      <c r="E14" s="46" t="s">
        <v>6866</v>
      </c>
      <c r="F14" s="46" t="s">
        <v>2574</v>
      </c>
      <c r="J14" s="46">
        <v>1</v>
      </c>
      <c r="M14" s="46">
        <v>1</v>
      </c>
      <c r="Q14" s="46">
        <v>1</v>
      </c>
      <c r="T14" s="46">
        <v>1</v>
      </c>
      <c r="W14" s="46">
        <v>13</v>
      </c>
      <c r="X14" s="46">
        <v>14</v>
      </c>
      <c r="Y14" s="46">
        <v>15</v>
      </c>
      <c r="Z14" s="46">
        <v>3</v>
      </c>
      <c r="AA14" s="46">
        <v>3</v>
      </c>
      <c r="AB14" s="46">
        <v>3</v>
      </c>
      <c r="AE14" s="46">
        <v>1</v>
      </c>
      <c r="AF14" s="46">
        <v>1</v>
      </c>
      <c r="AG14" s="46">
        <v>1</v>
      </c>
      <c r="AH14" s="46">
        <v>1</v>
      </c>
      <c r="AJ14" s="46">
        <v>1</v>
      </c>
      <c r="AK14" s="46">
        <v>1</v>
      </c>
      <c r="AT14" s="46">
        <v>1</v>
      </c>
      <c r="AX14" s="46">
        <v>1</v>
      </c>
      <c r="BA14" s="46">
        <v>1</v>
      </c>
      <c r="BK14" s="46">
        <v>1</v>
      </c>
      <c r="BY14" s="46">
        <v>1</v>
      </c>
      <c r="CB14" s="46">
        <v>1</v>
      </c>
      <c r="CE14" s="46">
        <v>1</v>
      </c>
      <c r="CK14" s="46">
        <v>1</v>
      </c>
      <c r="CT14" s="46" t="s">
        <v>6346</v>
      </c>
    </row>
    <row r="15" spans="1:98">
      <c r="A15" s="46" t="s">
        <v>6867</v>
      </c>
      <c r="B15" s="46" t="s">
        <v>6868</v>
      </c>
      <c r="C15" s="46">
        <v>28</v>
      </c>
      <c r="D15" s="46" t="s">
        <v>6835</v>
      </c>
      <c r="E15" s="46" t="s">
        <v>6869</v>
      </c>
      <c r="F15" s="46" t="s">
        <v>2574</v>
      </c>
      <c r="G15" s="46">
        <v>1</v>
      </c>
      <c r="M15" s="46">
        <v>1</v>
      </c>
      <c r="Q15" s="46">
        <v>1</v>
      </c>
      <c r="T15" s="46">
        <v>1</v>
      </c>
      <c r="W15" s="46">
        <v>14</v>
      </c>
      <c r="X15" s="46">
        <v>16</v>
      </c>
      <c r="Y15" s="46">
        <v>16</v>
      </c>
      <c r="Z15" s="46">
        <v>4</v>
      </c>
      <c r="AA15" s="46">
        <v>4</v>
      </c>
      <c r="AB15" s="46">
        <v>4</v>
      </c>
      <c r="AE15" s="46">
        <v>1</v>
      </c>
      <c r="AH15" s="46">
        <v>1</v>
      </c>
      <c r="AJ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T15" s="46" t="s">
        <v>6346</v>
      </c>
    </row>
    <row r="16" spans="1:98">
      <c r="A16" s="46" t="s">
        <v>6870</v>
      </c>
      <c r="B16" s="46" t="s">
        <v>6871</v>
      </c>
      <c r="C16" s="46">
        <v>20</v>
      </c>
      <c r="D16" s="46" t="s">
        <v>6835</v>
      </c>
      <c r="E16" s="46" t="s">
        <v>6872</v>
      </c>
      <c r="F16" s="46" t="s">
        <v>2472</v>
      </c>
      <c r="K16" s="46">
        <v>1</v>
      </c>
      <c r="N16" s="46">
        <v>1</v>
      </c>
      <c r="Q16" s="46">
        <v>1</v>
      </c>
      <c r="T16" s="46">
        <v>1</v>
      </c>
      <c r="W16" s="46">
        <v>14</v>
      </c>
      <c r="X16" s="46">
        <v>14</v>
      </c>
      <c r="Y16" s="46">
        <v>17</v>
      </c>
      <c r="Z16" s="46">
        <v>1</v>
      </c>
      <c r="AA16" s="46">
        <v>1</v>
      </c>
      <c r="AB16" s="46">
        <v>1</v>
      </c>
      <c r="AE16" s="46">
        <v>1</v>
      </c>
      <c r="AH16" s="46">
        <v>1</v>
      </c>
      <c r="AJ16" s="46">
        <v>1</v>
      </c>
      <c r="AM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T16" s="46" t="s">
        <v>6346</v>
      </c>
    </row>
    <row r="17" spans="1:98">
      <c r="A17" s="46" t="s">
        <v>6873</v>
      </c>
      <c r="B17" s="46" t="s">
        <v>6874</v>
      </c>
      <c r="C17" s="46">
        <v>19</v>
      </c>
      <c r="D17" s="46" t="s">
        <v>6835</v>
      </c>
      <c r="E17" s="46" t="s">
        <v>6875</v>
      </c>
      <c r="F17" s="46" t="s">
        <v>2472</v>
      </c>
      <c r="K17" s="46">
        <v>1</v>
      </c>
      <c r="M17" s="46">
        <v>1</v>
      </c>
      <c r="Q17" s="46">
        <v>1</v>
      </c>
      <c r="T17" s="46">
        <v>1</v>
      </c>
      <c r="W17" s="46">
        <v>15</v>
      </c>
      <c r="X17" s="46">
        <v>16</v>
      </c>
      <c r="Y17" s="46">
        <v>17</v>
      </c>
      <c r="Z17" s="46">
        <v>1</v>
      </c>
      <c r="AA17" s="46">
        <v>1</v>
      </c>
      <c r="AB17" s="46">
        <v>1</v>
      </c>
      <c r="AE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T17" s="46" t="s">
        <v>6346</v>
      </c>
    </row>
    <row r="18" spans="1:98">
      <c r="A18" s="46" t="s">
        <v>6876</v>
      </c>
      <c r="B18" s="46" t="s">
        <v>6877</v>
      </c>
      <c r="C18" s="46">
        <v>45</v>
      </c>
      <c r="D18" s="46" t="s">
        <v>6835</v>
      </c>
      <c r="E18" s="46" t="s">
        <v>6878</v>
      </c>
      <c r="F18" s="46" t="s">
        <v>145</v>
      </c>
      <c r="G18" s="46">
        <v>1</v>
      </c>
      <c r="M18" s="46">
        <v>1</v>
      </c>
      <c r="Q18" s="46">
        <v>1</v>
      </c>
      <c r="S18" s="46">
        <v>1</v>
      </c>
      <c r="W18" s="46">
        <v>17</v>
      </c>
      <c r="X18" s="46">
        <v>18</v>
      </c>
      <c r="Y18" s="46">
        <v>20</v>
      </c>
      <c r="Z18" s="46">
        <v>9</v>
      </c>
      <c r="AA18" s="46">
        <v>9</v>
      </c>
      <c r="AB18" s="46">
        <v>6</v>
      </c>
      <c r="AC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T18" s="46" t="s">
        <v>6346</v>
      </c>
    </row>
    <row r="19" spans="1:98">
      <c r="A19" s="46" t="s">
        <v>6879</v>
      </c>
      <c r="B19" s="46" t="s">
        <v>4961</v>
      </c>
      <c r="C19" s="46">
        <v>23</v>
      </c>
      <c r="D19" s="46" t="s">
        <v>6835</v>
      </c>
      <c r="E19" s="46" t="s">
        <v>6880</v>
      </c>
      <c r="F19" s="46" t="s">
        <v>145</v>
      </c>
      <c r="J19" s="46">
        <v>1</v>
      </c>
      <c r="M19" s="46">
        <v>1</v>
      </c>
      <c r="Q19" s="46">
        <v>1</v>
      </c>
      <c r="T19" s="46">
        <v>1</v>
      </c>
      <c r="W19" s="46">
        <v>13</v>
      </c>
      <c r="X19" s="46">
        <v>14</v>
      </c>
      <c r="Y19" s="46">
        <v>14</v>
      </c>
      <c r="Z19" s="46">
        <v>4</v>
      </c>
      <c r="AA19" s="46">
        <v>4</v>
      </c>
      <c r="AB19" s="46">
        <v>4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K19" s="46">
        <v>1</v>
      </c>
      <c r="CT19" s="46" t="s">
        <v>6346</v>
      </c>
    </row>
    <row r="20" spans="1:98">
      <c r="A20" s="46" t="s">
        <v>6881</v>
      </c>
      <c r="B20" s="46" t="s">
        <v>6882</v>
      </c>
      <c r="C20" s="46">
        <v>36</v>
      </c>
      <c r="D20" s="46" t="s">
        <v>6835</v>
      </c>
      <c r="E20" s="46" t="s">
        <v>6883</v>
      </c>
      <c r="F20" s="46" t="s">
        <v>6884</v>
      </c>
      <c r="G20" s="46">
        <v>1</v>
      </c>
      <c r="L20" s="46">
        <v>1</v>
      </c>
      <c r="Q20" s="46">
        <v>1</v>
      </c>
      <c r="T20" s="46">
        <v>1</v>
      </c>
      <c r="W20" s="46">
        <v>17</v>
      </c>
      <c r="X20" s="46">
        <v>18</v>
      </c>
      <c r="Y20" s="46">
        <v>19</v>
      </c>
      <c r="Z20" s="46">
        <v>6</v>
      </c>
      <c r="AA20" s="46">
        <v>4</v>
      </c>
      <c r="AB20" s="46">
        <v>3</v>
      </c>
      <c r="AE20" s="46">
        <v>1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X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T20" s="46" t="s">
        <v>6346</v>
      </c>
    </row>
    <row r="21" spans="1:98">
      <c r="A21" s="46" t="s">
        <v>6885</v>
      </c>
      <c r="B21" s="46" t="s">
        <v>6886</v>
      </c>
      <c r="C21" s="46">
        <v>24</v>
      </c>
      <c r="D21" s="46" t="s">
        <v>6835</v>
      </c>
      <c r="E21" s="46" t="s">
        <v>6887</v>
      </c>
      <c r="F21" s="46" t="s">
        <v>2506</v>
      </c>
      <c r="I21" s="46">
        <v>1</v>
      </c>
      <c r="M21" s="46">
        <v>1</v>
      </c>
      <c r="Q21" s="46">
        <v>1</v>
      </c>
      <c r="T21" s="46">
        <v>1</v>
      </c>
      <c r="W21" s="46">
        <v>15</v>
      </c>
      <c r="X21" s="46">
        <v>18</v>
      </c>
      <c r="Y21" s="46">
        <v>20</v>
      </c>
      <c r="Z21" s="46">
        <v>1</v>
      </c>
      <c r="AA21" s="46">
        <v>1</v>
      </c>
      <c r="AB21" s="46">
        <v>1</v>
      </c>
      <c r="AE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T21" s="46" t="s">
        <v>6346</v>
      </c>
    </row>
    <row r="22" spans="1:98">
      <c r="A22" s="46" t="s">
        <v>6888</v>
      </c>
      <c r="B22" s="46" t="s">
        <v>6889</v>
      </c>
      <c r="C22" s="46">
        <v>21</v>
      </c>
      <c r="D22" s="46" t="s">
        <v>6835</v>
      </c>
      <c r="E22" s="46" t="s">
        <v>6890</v>
      </c>
      <c r="F22" s="46" t="s">
        <v>2472</v>
      </c>
      <c r="I22" s="46">
        <v>1</v>
      </c>
      <c r="M22" s="46">
        <v>1</v>
      </c>
      <c r="Q22" s="46">
        <v>1</v>
      </c>
      <c r="T22" s="46">
        <v>1</v>
      </c>
      <c r="W22" s="46">
        <v>12</v>
      </c>
      <c r="X22" s="46">
        <v>14</v>
      </c>
      <c r="Y22" s="46">
        <v>14</v>
      </c>
      <c r="Z22" s="46">
        <v>3</v>
      </c>
      <c r="AA22" s="46">
        <v>3</v>
      </c>
      <c r="AB22" s="46">
        <v>3</v>
      </c>
      <c r="AH22" s="46">
        <v>1</v>
      </c>
      <c r="AJ22" s="46">
        <v>1</v>
      </c>
      <c r="AK22" s="46">
        <v>1</v>
      </c>
      <c r="AT22" s="46">
        <v>1</v>
      </c>
      <c r="AX22" s="46">
        <v>1</v>
      </c>
      <c r="BA22" s="46">
        <v>1</v>
      </c>
      <c r="BK22" s="46">
        <v>1</v>
      </c>
      <c r="CB22" s="46">
        <v>1</v>
      </c>
      <c r="CE22" s="46">
        <v>1</v>
      </c>
      <c r="CK22" s="46">
        <v>1</v>
      </c>
      <c r="CT22" s="46" t="s">
        <v>6346</v>
      </c>
    </row>
    <row r="23" spans="1:98">
      <c r="A23" s="46" t="s">
        <v>6891</v>
      </c>
      <c r="B23" s="46" t="s">
        <v>6892</v>
      </c>
      <c r="C23" s="46">
        <v>23</v>
      </c>
      <c r="D23" s="46" t="s">
        <v>6835</v>
      </c>
      <c r="E23" s="46" t="s">
        <v>6893</v>
      </c>
      <c r="F23" s="46" t="s">
        <v>5736</v>
      </c>
      <c r="G23" s="46">
        <v>1</v>
      </c>
      <c r="M23" s="46">
        <v>1</v>
      </c>
      <c r="R23" s="46">
        <v>1</v>
      </c>
      <c r="T23" s="46">
        <v>1</v>
      </c>
      <c r="W23" s="46">
        <v>15</v>
      </c>
      <c r="X23" s="46">
        <v>17</v>
      </c>
      <c r="Y23" s="46">
        <v>18</v>
      </c>
      <c r="Z23" s="46">
        <v>2</v>
      </c>
      <c r="AA23" s="46">
        <v>2</v>
      </c>
      <c r="AB23" s="46">
        <v>2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T23" s="46" t="s">
        <v>6346</v>
      </c>
    </row>
    <row r="24" spans="1:98">
      <c r="A24" s="46" t="s">
        <v>6894</v>
      </c>
      <c r="B24" s="46" t="s">
        <v>6895</v>
      </c>
      <c r="C24" s="46">
        <v>37</v>
      </c>
      <c r="D24" s="46" t="s">
        <v>6835</v>
      </c>
      <c r="E24" s="46" t="s">
        <v>191</v>
      </c>
      <c r="F24" s="46" t="s">
        <v>330</v>
      </c>
      <c r="I24" s="46">
        <v>1</v>
      </c>
      <c r="M24" s="46">
        <v>1</v>
      </c>
      <c r="Q24" s="46">
        <v>1</v>
      </c>
      <c r="S24" s="46">
        <v>1</v>
      </c>
      <c r="W24" s="46">
        <v>14</v>
      </c>
      <c r="X24" s="46">
        <v>14</v>
      </c>
      <c r="Y24" s="46">
        <v>15</v>
      </c>
      <c r="Z24" s="46">
        <v>5</v>
      </c>
      <c r="AA24" s="46">
        <v>5</v>
      </c>
      <c r="AB24" s="46">
        <v>4</v>
      </c>
      <c r="AG24" s="46">
        <v>1</v>
      </c>
      <c r="AH24" s="46">
        <v>1</v>
      </c>
      <c r="AI24" s="46">
        <v>1</v>
      </c>
      <c r="AL24" s="46">
        <v>1</v>
      </c>
      <c r="AP24" s="46">
        <v>1</v>
      </c>
      <c r="AQ24" s="46" t="s">
        <v>251</v>
      </c>
      <c r="AR24" s="134">
        <v>45444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T24" s="46" t="s">
        <v>6346</v>
      </c>
    </row>
    <row r="25" spans="1:98">
      <c r="A25" s="46" t="s">
        <v>6896</v>
      </c>
      <c r="B25" s="46" t="s">
        <v>6897</v>
      </c>
      <c r="C25" s="46">
        <v>50</v>
      </c>
      <c r="D25" s="46" t="s">
        <v>6898</v>
      </c>
      <c r="E25" s="46" t="s">
        <v>6899</v>
      </c>
      <c r="F25" s="46" t="s">
        <v>145</v>
      </c>
      <c r="I25" s="46">
        <v>1</v>
      </c>
      <c r="M25" s="46">
        <v>1</v>
      </c>
      <c r="R25" s="46">
        <v>1</v>
      </c>
      <c r="T25" s="46">
        <v>1</v>
      </c>
      <c r="W25" s="46">
        <v>14</v>
      </c>
      <c r="X25" s="46">
        <v>13</v>
      </c>
      <c r="Y25" s="46">
        <v>15</v>
      </c>
      <c r="Z25" s="46">
        <v>17</v>
      </c>
      <c r="AA25" s="46">
        <v>14</v>
      </c>
      <c r="AB25" s="46">
        <v>14</v>
      </c>
      <c r="AH25" s="46">
        <v>1</v>
      </c>
      <c r="AJ25" s="46">
        <v>1</v>
      </c>
      <c r="AK25" s="46">
        <v>1</v>
      </c>
      <c r="AT25" s="46">
        <v>1</v>
      </c>
      <c r="AW25" s="48"/>
      <c r="AX25" s="48"/>
      <c r="AY25" s="48"/>
      <c r="AZ25" s="48"/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T25" s="46" t="s">
        <v>6346</v>
      </c>
    </row>
    <row r="26" spans="1:98">
      <c r="A26" s="46" t="s">
        <v>6900</v>
      </c>
      <c r="B26" s="46" t="s">
        <v>6901</v>
      </c>
      <c r="C26" s="46">
        <v>24</v>
      </c>
      <c r="D26" s="46" t="s">
        <v>6835</v>
      </c>
      <c r="E26" s="46" t="s">
        <v>6902</v>
      </c>
      <c r="F26" s="46" t="s">
        <v>1045</v>
      </c>
      <c r="G26" s="46">
        <v>1</v>
      </c>
      <c r="M26" s="46">
        <v>1</v>
      </c>
      <c r="Q26" s="46">
        <v>1</v>
      </c>
      <c r="T26" s="46">
        <v>1</v>
      </c>
      <c r="W26" s="46">
        <v>14</v>
      </c>
      <c r="X26" s="46">
        <v>15</v>
      </c>
      <c r="Y26" s="46">
        <v>15</v>
      </c>
      <c r="Z26" s="46">
        <v>4</v>
      </c>
      <c r="AA26" s="46">
        <v>4</v>
      </c>
      <c r="AB26" s="46">
        <v>4</v>
      </c>
      <c r="AE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CB26" s="46">
        <v>1</v>
      </c>
      <c r="CE26" s="46">
        <v>1</v>
      </c>
      <c r="CK26" s="46">
        <v>1</v>
      </c>
      <c r="CT26" s="46" t="s">
        <v>6346</v>
      </c>
    </row>
    <row r="27" spans="1:98">
      <c r="A27" s="46" t="s">
        <v>6903</v>
      </c>
      <c r="B27" s="46" t="s">
        <v>6904</v>
      </c>
      <c r="C27" s="46">
        <v>20</v>
      </c>
      <c r="D27" s="46" t="s">
        <v>6835</v>
      </c>
      <c r="E27" s="46" t="s">
        <v>6905</v>
      </c>
      <c r="F27" s="46" t="s">
        <v>122</v>
      </c>
      <c r="G27" s="46">
        <v>1</v>
      </c>
      <c r="M27" s="46">
        <v>1</v>
      </c>
      <c r="Q27" s="46">
        <v>1</v>
      </c>
      <c r="W27" s="46">
        <v>15</v>
      </c>
      <c r="X27" s="46">
        <v>17</v>
      </c>
      <c r="Y27" s="46" t="s">
        <v>191</v>
      </c>
      <c r="Z27" s="46">
        <v>0</v>
      </c>
      <c r="AA27" s="46">
        <v>0</v>
      </c>
      <c r="AB27" s="46">
        <v>0</v>
      </c>
      <c r="AE27" s="46">
        <v>1</v>
      </c>
      <c r="AH27" s="46">
        <v>1</v>
      </c>
      <c r="AI27" s="46">
        <v>1</v>
      </c>
      <c r="AK27" s="46">
        <v>1</v>
      </c>
      <c r="AT27" s="46">
        <v>1</v>
      </c>
      <c r="AX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T27" s="46" t="s">
        <v>6346</v>
      </c>
    </row>
    <row r="28" spans="1:98">
      <c r="A28" s="46" t="s">
        <v>6906</v>
      </c>
      <c r="B28" s="46" t="s">
        <v>6907</v>
      </c>
      <c r="C28" s="46">
        <v>36</v>
      </c>
      <c r="D28" s="46" t="s">
        <v>6835</v>
      </c>
      <c r="E28" s="46" t="s">
        <v>191</v>
      </c>
      <c r="F28" s="46" t="s">
        <v>112</v>
      </c>
      <c r="I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16</v>
      </c>
      <c r="Y28" s="46">
        <v>17</v>
      </c>
      <c r="Z28" s="46">
        <v>5</v>
      </c>
      <c r="AA28" s="46">
        <v>5</v>
      </c>
      <c r="AB28" s="46">
        <v>4</v>
      </c>
      <c r="AE28" s="46">
        <v>1</v>
      </c>
      <c r="AH28" s="46">
        <v>1</v>
      </c>
      <c r="AI28" s="46">
        <v>1</v>
      </c>
      <c r="AK28" s="46">
        <v>1</v>
      </c>
      <c r="AT28" s="46">
        <v>1</v>
      </c>
      <c r="AX28" s="46">
        <v>1</v>
      </c>
      <c r="BA28" s="46">
        <v>1</v>
      </c>
      <c r="BK28" s="46">
        <v>1</v>
      </c>
      <c r="CB28" s="46">
        <v>1</v>
      </c>
      <c r="CE28" s="46">
        <v>1</v>
      </c>
      <c r="CK28" s="46">
        <v>1</v>
      </c>
      <c r="CT28" s="46" t="s">
        <v>6346</v>
      </c>
    </row>
    <row r="29" spans="1:98">
      <c r="A29" s="46" t="s">
        <v>6908</v>
      </c>
      <c r="B29" s="46" t="s">
        <v>6909</v>
      </c>
      <c r="C29" s="46">
        <v>16</v>
      </c>
      <c r="D29" s="46" t="s">
        <v>6835</v>
      </c>
      <c r="E29" s="46" t="s">
        <v>6910</v>
      </c>
      <c r="F29" s="46" t="s">
        <v>1045</v>
      </c>
      <c r="I29" s="46">
        <v>1</v>
      </c>
      <c r="M29" s="46">
        <v>1</v>
      </c>
      <c r="R29" s="46">
        <v>1</v>
      </c>
      <c r="T29" s="46">
        <v>1</v>
      </c>
      <c r="W29" s="46">
        <v>12</v>
      </c>
      <c r="X29" s="46">
        <v>15</v>
      </c>
      <c r="Y29" s="46" t="s">
        <v>191</v>
      </c>
      <c r="Z29" s="46">
        <v>0</v>
      </c>
      <c r="AA29" s="46">
        <v>0</v>
      </c>
      <c r="AB29" s="46">
        <v>0</v>
      </c>
      <c r="AD29" s="46">
        <v>1</v>
      </c>
      <c r="AE29" s="46">
        <v>1</v>
      </c>
      <c r="AF29" s="46">
        <v>1</v>
      </c>
      <c r="AH29" s="46">
        <v>1</v>
      </c>
      <c r="AJ29" s="46">
        <v>1</v>
      </c>
      <c r="AM29" s="46">
        <v>1</v>
      </c>
      <c r="AT29" s="46">
        <v>1</v>
      </c>
      <c r="AW29" s="46">
        <v>1</v>
      </c>
      <c r="BA29" s="46">
        <v>1</v>
      </c>
      <c r="BK29" s="46">
        <v>1</v>
      </c>
      <c r="BY29" s="46">
        <v>1</v>
      </c>
      <c r="CB29" s="46">
        <v>1</v>
      </c>
      <c r="CE29" s="46">
        <v>1</v>
      </c>
      <c r="CK29" s="46">
        <v>1</v>
      </c>
      <c r="CT29" s="46" t="s">
        <v>6346</v>
      </c>
    </row>
    <row r="30" spans="1:98">
      <c r="A30" s="46" t="s">
        <v>6911</v>
      </c>
      <c r="B30" s="46" t="s">
        <v>6912</v>
      </c>
      <c r="C30" s="46">
        <v>41</v>
      </c>
      <c r="D30" s="46" t="s">
        <v>6835</v>
      </c>
      <c r="E30" s="46" t="s">
        <v>6913</v>
      </c>
      <c r="F30" s="46" t="s">
        <v>107</v>
      </c>
      <c r="G30" s="46">
        <v>1</v>
      </c>
      <c r="M30" s="46">
        <v>1</v>
      </c>
      <c r="Q30" s="46">
        <v>1</v>
      </c>
      <c r="T30" s="46">
        <v>1</v>
      </c>
      <c r="W30" s="46">
        <v>13</v>
      </c>
      <c r="X30" s="46">
        <v>16</v>
      </c>
      <c r="Y30" s="46">
        <v>17</v>
      </c>
      <c r="Z30" s="46">
        <v>5</v>
      </c>
      <c r="AA30" s="46">
        <v>8</v>
      </c>
      <c r="AB30" s="46">
        <v>8</v>
      </c>
      <c r="AE30" s="46">
        <v>1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X30" s="46">
        <v>1</v>
      </c>
      <c r="BA30" s="46">
        <v>1</v>
      </c>
      <c r="BK30" s="46">
        <v>1</v>
      </c>
      <c r="BY30" s="46">
        <v>1</v>
      </c>
      <c r="CB30" s="46">
        <v>1</v>
      </c>
      <c r="CE30" s="46">
        <v>1</v>
      </c>
      <c r="CK30" s="46">
        <v>1</v>
      </c>
      <c r="CT30" s="46" t="s">
        <v>6346</v>
      </c>
    </row>
    <row r="31" spans="1:98">
      <c r="A31" s="46" t="s">
        <v>6914</v>
      </c>
      <c r="B31" s="46" t="s">
        <v>6915</v>
      </c>
      <c r="C31" s="46">
        <v>28</v>
      </c>
      <c r="D31" s="46" t="s">
        <v>6835</v>
      </c>
      <c r="E31" s="46" t="s">
        <v>6916</v>
      </c>
      <c r="F31" s="46" t="s">
        <v>1045</v>
      </c>
      <c r="H31" s="46">
        <v>1</v>
      </c>
      <c r="M31" s="46">
        <v>1</v>
      </c>
      <c r="R31" s="46">
        <v>1</v>
      </c>
      <c r="W31" s="46">
        <v>15</v>
      </c>
      <c r="X31" s="46">
        <v>17</v>
      </c>
      <c r="Y31" s="244"/>
      <c r="Z31" s="46">
        <v>5</v>
      </c>
      <c r="AA31" s="46">
        <v>4</v>
      </c>
      <c r="AB31" s="46">
        <v>4</v>
      </c>
      <c r="AE31" s="46">
        <v>1</v>
      </c>
      <c r="AF31" s="46">
        <v>1</v>
      </c>
      <c r="AH31" s="46">
        <v>1</v>
      </c>
      <c r="AI31" s="46">
        <v>1</v>
      </c>
      <c r="AK31" s="46">
        <v>1</v>
      </c>
      <c r="AT31" s="46">
        <v>1</v>
      </c>
      <c r="AW31" s="46">
        <v>1</v>
      </c>
      <c r="BA31" s="46">
        <v>1</v>
      </c>
      <c r="BK31" s="46">
        <v>1</v>
      </c>
      <c r="BY31" s="46">
        <v>1</v>
      </c>
      <c r="CB31" s="46">
        <v>1</v>
      </c>
      <c r="CE31" s="46">
        <v>1</v>
      </c>
      <c r="CK31" s="46">
        <v>1</v>
      </c>
      <c r="CT31" s="46" t="s">
        <v>6346</v>
      </c>
    </row>
    <row r="32" spans="1:98">
      <c r="A32" s="46" t="s">
        <v>6917</v>
      </c>
      <c r="B32" s="46" t="s">
        <v>6918</v>
      </c>
      <c r="C32" s="46">
        <v>24</v>
      </c>
      <c r="D32" s="46" t="s">
        <v>6835</v>
      </c>
      <c r="E32" s="46" t="s">
        <v>6919</v>
      </c>
      <c r="F32" s="46" t="s">
        <v>173</v>
      </c>
      <c r="I32" s="46">
        <v>1</v>
      </c>
      <c r="O32" s="46">
        <v>1</v>
      </c>
      <c r="R32" s="46">
        <v>1</v>
      </c>
      <c r="T32" s="46">
        <v>1</v>
      </c>
      <c r="W32" s="46">
        <v>16</v>
      </c>
      <c r="X32" s="46">
        <v>18</v>
      </c>
      <c r="Y32" s="46">
        <v>20</v>
      </c>
      <c r="Z32" s="46">
        <v>2</v>
      </c>
      <c r="AA32" s="46">
        <v>2</v>
      </c>
      <c r="AB32" s="46">
        <v>2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K32" s="46">
        <v>1</v>
      </c>
      <c r="CB32" s="46">
        <v>1</v>
      </c>
      <c r="CE32" s="46">
        <v>1</v>
      </c>
      <c r="CK32" s="46">
        <v>1</v>
      </c>
      <c r="CT32" s="46" t="s">
        <v>6346</v>
      </c>
    </row>
    <row r="33" spans="1:98">
      <c r="A33" s="46" t="s">
        <v>6920</v>
      </c>
      <c r="B33" s="46" t="s">
        <v>6921</v>
      </c>
      <c r="C33" s="46">
        <v>17</v>
      </c>
      <c r="D33" s="46" t="s">
        <v>6835</v>
      </c>
      <c r="E33" s="46" t="s">
        <v>6922</v>
      </c>
      <c r="F33" s="46" t="s">
        <v>145</v>
      </c>
      <c r="G33" s="46">
        <v>1</v>
      </c>
      <c r="O33" s="46">
        <v>1</v>
      </c>
      <c r="R33" s="46">
        <v>1</v>
      </c>
      <c r="U33" s="46">
        <v>1</v>
      </c>
      <c r="W33" s="46">
        <v>13</v>
      </c>
      <c r="X33" s="46">
        <v>14</v>
      </c>
      <c r="Y33" s="46">
        <v>16</v>
      </c>
      <c r="Z33" s="46">
        <v>1</v>
      </c>
      <c r="AA33" s="46">
        <v>1</v>
      </c>
      <c r="AB33" s="46">
        <v>1</v>
      </c>
      <c r="AG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K33" s="46">
        <v>1</v>
      </c>
      <c r="BY33" s="46">
        <v>1</v>
      </c>
      <c r="CB33" s="46">
        <v>1</v>
      </c>
      <c r="CE33" s="46">
        <v>1</v>
      </c>
      <c r="CK33" s="46">
        <v>1</v>
      </c>
      <c r="CT33" s="46" t="s">
        <v>6346</v>
      </c>
    </row>
    <row r="34" spans="1:98">
      <c r="A34" s="46" t="s">
        <v>6923</v>
      </c>
      <c r="B34" s="46" t="s">
        <v>6924</v>
      </c>
      <c r="C34" s="46">
        <v>18</v>
      </c>
      <c r="D34" s="46" t="s">
        <v>6835</v>
      </c>
      <c r="E34" s="46" t="s">
        <v>6925</v>
      </c>
      <c r="F34" s="46" t="s">
        <v>1045</v>
      </c>
      <c r="G34" s="46">
        <v>1</v>
      </c>
      <c r="L34" s="46">
        <v>1</v>
      </c>
      <c r="Q34" s="46" t="s">
        <v>191</v>
      </c>
      <c r="T34" s="46">
        <v>1</v>
      </c>
      <c r="W34" s="46">
        <v>15</v>
      </c>
      <c r="X34" s="46">
        <v>18</v>
      </c>
      <c r="Y34" s="46" t="s">
        <v>191</v>
      </c>
      <c r="Z34" s="46">
        <v>0</v>
      </c>
      <c r="AA34" s="46">
        <v>0</v>
      </c>
      <c r="AB34" s="46">
        <v>0</v>
      </c>
      <c r="AE34" s="46">
        <v>1</v>
      </c>
      <c r="AG34" s="46">
        <v>1</v>
      </c>
      <c r="AH34" s="46">
        <v>1</v>
      </c>
      <c r="AI34" s="244"/>
      <c r="AJ34" s="244"/>
      <c r="AK34" s="46">
        <v>1</v>
      </c>
      <c r="AT34" s="46">
        <v>1</v>
      </c>
      <c r="AW34" s="46">
        <v>1</v>
      </c>
      <c r="BA34" s="46">
        <v>1</v>
      </c>
      <c r="BK34" s="46">
        <v>1</v>
      </c>
      <c r="CB34" s="46">
        <v>1</v>
      </c>
      <c r="CE34" s="46">
        <v>1</v>
      </c>
      <c r="CK34" s="46">
        <v>1</v>
      </c>
      <c r="CT34" s="46" t="s">
        <v>6346</v>
      </c>
    </row>
    <row r="35" spans="1:98">
      <c r="A35" s="46" t="s">
        <v>6926</v>
      </c>
      <c r="B35" s="46" t="s">
        <v>5609</v>
      </c>
      <c r="C35" s="46">
        <v>29</v>
      </c>
      <c r="D35" s="46" t="s">
        <v>6835</v>
      </c>
      <c r="E35" s="46" t="s">
        <v>6927</v>
      </c>
      <c r="F35" s="46" t="s">
        <v>112</v>
      </c>
      <c r="H35" s="46">
        <v>1</v>
      </c>
      <c r="O35" s="46">
        <v>1</v>
      </c>
      <c r="R35" s="46">
        <v>1</v>
      </c>
      <c r="T35" s="46">
        <v>1</v>
      </c>
      <c r="W35" s="46">
        <v>16</v>
      </c>
      <c r="X35" s="46">
        <v>17</v>
      </c>
      <c r="Y35" s="46">
        <v>19</v>
      </c>
      <c r="Z35" s="46">
        <v>4</v>
      </c>
      <c r="AA35" s="46">
        <v>4</v>
      </c>
      <c r="AB35" s="46">
        <v>4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K35" s="46">
        <v>1</v>
      </c>
      <c r="CB35" s="46">
        <v>1</v>
      </c>
      <c r="CE35" s="46">
        <v>1</v>
      </c>
      <c r="CK35" s="46">
        <v>1</v>
      </c>
      <c r="CT35" s="46" t="s">
        <v>6346</v>
      </c>
    </row>
    <row r="36" spans="1:98">
      <c r="A36" s="46" t="s">
        <v>6928</v>
      </c>
      <c r="B36" s="46" t="s">
        <v>6929</v>
      </c>
      <c r="C36" s="46">
        <v>25</v>
      </c>
      <c r="D36" s="46" t="s">
        <v>6835</v>
      </c>
      <c r="E36" s="46" t="s">
        <v>191</v>
      </c>
      <c r="F36" s="46" t="s">
        <v>112</v>
      </c>
      <c r="I36" s="46">
        <v>1</v>
      </c>
      <c r="M36" s="46">
        <v>1</v>
      </c>
      <c r="Q36" s="46">
        <v>1</v>
      </c>
      <c r="T36" s="46">
        <v>1</v>
      </c>
      <c r="W36" s="46">
        <v>15</v>
      </c>
      <c r="X36" s="46">
        <v>20</v>
      </c>
      <c r="Y36" s="46">
        <v>20</v>
      </c>
      <c r="Z36" s="46">
        <v>2</v>
      </c>
      <c r="AA36" s="46">
        <v>2</v>
      </c>
      <c r="AB36" s="46">
        <v>2</v>
      </c>
      <c r="AD36" s="46">
        <v>1</v>
      </c>
      <c r="AE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K36" s="46">
        <v>1</v>
      </c>
      <c r="CB36" s="46">
        <v>1</v>
      </c>
      <c r="CE36" s="46">
        <v>1</v>
      </c>
      <c r="CK36" s="46">
        <v>1</v>
      </c>
      <c r="CT36" s="46" t="s">
        <v>6346</v>
      </c>
    </row>
    <row r="37" spans="1:98">
      <c r="A37" s="46" t="s">
        <v>6930</v>
      </c>
      <c r="B37" s="46" t="s">
        <v>6931</v>
      </c>
      <c r="C37" s="46">
        <v>23</v>
      </c>
      <c r="D37" s="46" t="s">
        <v>6835</v>
      </c>
      <c r="E37" s="46" t="s">
        <v>6932</v>
      </c>
      <c r="F37" s="46" t="s">
        <v>112</v>
      </c>
      <c r="G37" s="46">
        <v>1</v>
      </c>
      <c r="O37" s="46">
        <v>1</v>
      </c>
      <c r="Q37" s="46">
        <v>1</v>
      </c>
      <c r="T37" s="46">
        <v>1</v>
      </c>
      <c r="W37" s="46">
        <v>13</v>
      </c>
      <c r="X37" s="46">
        <v>15</v>
      </c>
      <c r="Y37" s="46">
        <v>15</v>
      </c>
      <c r="Z37" s="46">
        <v>2</v>
      </c>
      <c r="AA37" s="46">
        <v>2</v>
      </c>
      <c r="AB37" s="46">
        <v>2</v>
      </c>
      <c r="AE37" s="46">
        <v>1</v>
      </c>
      <c r="AH37" s="46">
        <v>1</v>
      </c>
      <c r="AJ37" s="46">
        <v>1</v>
      </c>
      <c r="AK37" s="46">
        <v>1</v>
      </c>
      <c r="AT37" s="46">
        <v>1</v>
      </c>
      <c r="AX37" s="46">
        <v>1</v>
      </c>
      <c r="BA37" s="46">
        <v>1</v>
      </c>
      <c r="BK37" s="46">
        <v>1</v>
      </c>
      <c r="CB37" s="46">
        <v>1</v>
      </c>
      <c r="CE37" s="46">
        <v>1</v>
      </c>
      <c r="CK37" s="46">
        <v>1</v>
      </c>
      <c r="CT37" s="46" t="s">
        <v>6346</v>
      </c>
    </row>
    <row r="38" spans="1:98">
      <c r="A38" s="46" t="s">
        <v>6933</v>
      </c>
      <c r="B38" s="46" t="s">
        <v>6934</v>
      </c>
      <c r="C38" s="46">
        <v>18</v>
      </c>
      <c r="D38" s="46" t="s">
        <v>6835</v>
      </c>
      <c r="E38" s="46" t="s">
        <v>6935</v>
      </c>
      <c r="F38" s="46" t="s">
        <v>112</v>
      </c>
      <c r="J38" s="46">
        <v>1</v>
      </c>
      <c r="M38" s="46">
        <v>1</v>
      </c>
      <c r="Q38" s="46">
        <v>1</v>
      </c>
      <c r="U38" s="46">
        <v>1</v>
      </c>
      <c r="W38" s="46">
        <v>14</v>
      </c>
      <c r="X38" s="46">
        <v>15</v>
      </c>
      <c r="Y38" s="46">
        <v>16</v>
      </c>
      <c r="Z38" s="46">
        <v>2</v>
      </c>
      <c r="AA38" s="46">
        <v>2</v>
      </c>
      <c r="AB38" s="46">
        <v>2</v>
      </c>
      <c r="AE38" s="46">
        <v>1</v>
      </c>
      <c r="AH38" s="46">
        <v>1</v>
      </c>
      <c r="AI38" s="46">
        <v>1</v>
      </c>
      <c r="AK38" s="46">
        <v>1</v>
      </c>
      <c r="AT38" s="46">
        <v>1</v>
      </c>
      <c r="AW38" s="46">
        <v>1</v>
      </c>
      <c r="BA38" s="46">
        <v>1</v>
      </c>
      <c r="BK38" s="46">
        <v>1</v>
      </c>
      <c r="BY38" s="46">
        <v>1</v>
      </c>
      <c r="CB38" s="46">
        <v>1</v>
      </c>
      <c r="CE38" s="244"/>
      <c r="CF38" s="244"/>
      <c r="CK38" s="46">
        <v>1</v>
      </c>
      <c r="CT38" s="46" t="s">
        <v>6346</v>
      </c>
    </row>
    <row r="39" spans="1:98">
      <c r="A39" s="46" t="s">
        <v>6936</v>
      </c>
      <c r="B39" s="46" t="s">
        <v>6937</v>
      </c>
      <c r="C39" s="46">
        <v>24</v>
      </c>
      <c r="D39" s="46" t="s">
        <v>6835</v>
      </c>
      <c r="E39" s="46" t="s">
        <v>6938</v>
      </c>
      <c r="F39" s="46" t="s">
        <v>112</v>
      </c>
      <c r="H39" s="46">
        <v>1</v>
      </c>
      <c r="M39" s="46">
        <v>1</v>
      </c>
      <c r="Q39" s="46">
        <v>1</v>
      </c>
      <c r="T39" s="46">
        <v>1</v>
      </c>
      <c r="W39" s="46">
        <v>14</v>
      </c>
      <c r="X39" s="46">
        <v>14</v>
      </c>
      <c r="Y39" s="46">
        <v>19</v>
      </c>
      <c r="Z39" s="46">
        <v>4</v>
      </c>
      <c r="AA39" s="46">
        <v>4</v>
      </c>
      <c r="AB39" s="46">
        <v>4</v>
      </c>
      <c r="AE39" s="46">
        <v>1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A39" s="46">
        <v>1</v>
      </c>
      <c r="BK39" s="46">
        <v>1</v>
      </c>
      <c r="CB39" s="46">
        <v>1</v>
      </c>
      <c r="CE39" s="46">
        <v>1</v>
      </c>
      <c r="CK39" s="46">
        <v>1</v>
      </c>
      <c r="CT39" s="46" t="s">
        <v>6346</v>
      </c>
    </row>
    <row r="40" spans="1:98">
      <c r="A40" s="46" t="s">
        <v>6939</v>
      </c>
      <c r="B40" s="46" t="s">
        <v>6940</v>
      </c>
      <c r="C40" s="46">
        <v>39</v>
      </c>
      <c r="D40" s="46" t="s">
        <v>6835</v>
      </c>
      <c r="E40" s="46" t="s">
        <v>6941</v>
      </c>
      <c r="F40" s="46" t="s">
        <v>112</v>
      </c>
      <c r="H40" s="46">
        <v>1</v>
      </c>
      <c r="M40" s="46">
        <v>1</v>
      </c>
      <c r="R40" s="46">
        <v>1</v>
      </c>
      <c r="T40" s="46">
        <v>1</v>
      </c>
      <c r="W40" s="46">
        <v>15</v>
      </c>
      <c r="X40" s="46">
        <v>18</v>
      </c>
      <c r="Y40" s="46">
        <v>18</v>
      </c>
      <c r="Z40" s="46">
        <v>5</v>
      </c>
      <c r="AA40" s="46">
        <v>6</v>
      </c>
      <c r="AB40" s="46">
        <v>6</v>
      </c>
      <c r="AE40" s="46">
        <v>1</v>
      </c>
      <c r="AG40" s="46">
        <v>1</v>
      </c>
      <c r="AJ40" s="46">
        <v>1</v>
      </c>
      <c r="AK40" s="46">
        <v>1</v>
      </c>
      <c r="AT40" s="46">
        <v>1</v>
      </c>
      <c r="AW40" s="244"/>
      <c r="AX40" s="244"/>
      <c r="AY40" s="244"/>
      <c r="AZ40" s="244"/>
      <c r="BA40" s="46">
        <v>1</v>
      </c>
      <c r="BK40" s="46">
        <v>1</v>
      </c>
      <c r="CB40" s="46">
        <v>1</v>
      </c>
      <c r="CE40" s="46">
        <v>1</v>
      </c>
      <c r="CK40" s="46">
        <v>1</v>
      </c>
      <c r="CT40" s="46" t="s">
        <v>6346</v>
      </c>
    </row>
    <row r="41" spans="1:98">
      <c r="A41" s="46" t="s">
        <v>6942</v>
      </c>
      <c r="B41" s="46" t="s">
        <v>6943</v>
      </c>
      <c r="C41" s="46">
        <v>45</v>
      </c>
      <c r="D41" s="46" t="s">
        <v>6835</v>
      </c>
      <c r="E41" s="46" t="s">
        <v>6944</v>
      </c>
      <c r="F41" s="46" t="s">
        <v>127</v>
      </c>
      <c r="I41" s="46">
        <v>1</v>
      </c>
      <c r="P41" s="46">
        <v>1</v>
      </c>
      <c r="Q41" s="46" t="s">
        <v>191</v>
      </c>
      <c r="U41" s="46">
        <v>1</v>
      </c>
      <c r="W41" s="46">
        <v>15</v>
      </c>
      <c r="X41" s="46">
        <v>16</v>
      </c>
      <c r="Y41" s="46">
        <v>17</v>
      </c>
      <c r="Z41" s="46">
        <v>9</v>
      </c>
      <c r="AA41" s="46">
        <v>9</v>
      </c>
      <c r="AB41" s="46">
        <v>8</v>
      </c>
      <c r="AE41" s="46">
        <v>1</v>
      </c>
      <c r="AF41" s="46">
        <v>1</v>
      </c>
      <c r="AG41" s="46">
        <v>1</v>
      </c>
      <c r="AH41" s="46">
        <v>1</v>
      </c>
      <c r="AJ41" s="46">
        <v>1</v>
      </c>
      <c r="AK41" s="46">
        <v>1</v>
      </c>
      <c r="AT41" s="46">
        <v>1</v>
      </c>
      <c r="AX41" s="46">
        <v>1</v>
      </c>
      <c r="BA41" s="46">
        <v>1</v>
      </c>
      <c r="BK41" s="46">
        <v>1</v>
      </c>
      <c r="CB41" s="46">
        <v>1</v>
      </c>
      <c r="CE41" s="46">
        <v>1</v>
      </c>
      <c r="CK41" s="46">
        <v>1</v>
      </c>
      <c r="CT41" s="46" t="s">
        <v>6346</v>
      </c>
    </row>
    <row r="42" spans="1:98">
      <c r="A42" s="46" t="s">
        <v>6945</v>
      </c>
      <c r="B42" s="46" t="s">
        <v>6946</v>
      </c>
      <c r="C42" s="46">
        <v>19</v>
      </c>
      <c r="D42" s="46" t="s">
        <v>6835</v>
      </c>
      <c r="E42" s="46" t="s">
        <v>6947</v>
      </c>
      <c r="F42" s="46" t="s">
        <v>3067</v>
      </c>
      <c r="G42" s="46">
        <v>1</v>
      </c>
      <c r="M42" s="46">
        <v>1</v>
      </c>
      <c r="Q42" s="46">
        <v>1</v>
      </c>
      <c r="U42" s="46">
        <v>1</v>
      </c>
      <c r="W42" s="46">
        <v>14</v>
      </c>
      <c r="X42" s="46">
        <v>17</v>
      </c>
      <c r="Y42" s="46" t="s">
        <v>191</v>
      </c>
      <c r="Z42" s="46">
        <v>0</v>
      </c>
      <c r="AA42" s="46">
        <v>0</v>
      </c>
      <c r="AB42" s="46">
        <v>0</v>
      </c>
      <c r="AE42" s="46">
        <v>1</v>
      </c>
      <c r="AH42" s="46">
        <v>1</v>
      </c>
      <c r="AI42" s="46">
        <v>1</v>
      </c>
      <c r="AK42" s="46">
        <v>1</v>
      </c>
      <c r="AT42" s="46">
        <v>1</v>
      </c>
      <c r="AW42" s="46">
        <v>1</v>
      </c>
      <c r="BA42" s="46">
        <v>1</v>
      </c>
      <c r="BK42" s="46">
        <v>1</v>
      </c>
      <c r="CB42" s="46">
        <v>1</v>
      </c>
      <c r="CE42" s="244"/>
      <c r="CF42" s="244"/>
      <c r="CK42" s="46">
        <v>1</v>
      </c>
      <c r="CT42" s="46" t="s">
        <v>6346</v>
      </c>
    </row>
    <row r="43" spans="1:98">
      <c r="A43" s="46" t="s">
        <v>6948</v>
      </c>
      <c r="B43" s="46" t="s">
        <v>6949</v>
      </c>
      <c r="C43" s="46">
        <v>32</v>
      </c>
      <c r="D43" s="46" t="s">
        <v>6835</v>
      </c>
      <c r="E43" s="46" t="s">
        <v>6950</v>
      </c>
      <c r="F43" s="46" t="s">
        <v>173</v>
      </c>
      <c r="H43" s="46">
        <v>1</v>
      </c>
      <c r="M43" s="46">
        <v>1</v>
      </c>
      <c r="Q43" s="46">
        <v>1</v>
      </c>
      <c r="T43" s="46">
        <v>1</v>
      </c>
      <c r="W43" s="46">
        <v>14</v>
      </c>
      <c r="X43" s="46">
        <v>18</v>
      </c>
      <c r="Y43" s="46">
        <v>19</v>
      </c>
      <c r="Z43" s="46">
        <v>6</v>
      </c>
      <c r="AA43" s="46">
        <v>6</v>
      </c>
      <c r="AB43" s="46">
        <v>6</v>
      </c>
      <c r="AD43" s="46">
        <v>1</v>
      </c>
      <c r="AE43" s="46">
        <v>1</v>
      </c>
      <c r="AH43" s="46">
        <v>1</v>
      </c>
      <c r="AJ43" s="46">
        <v>1</v>
      </c>
      <c r="AK43" s="46">
        <v>1</v>
      </c>
      <c r="AT43" s="46">
        <v>1</v>
      </c>
      <c r="AW43" s="46">
        <v>1</v>
      </c>
      <c r="BA43" s="46">
        <v>1</v>
      </c>
      <c r="BK43" s="46">
        <v>1</v>
      </c>
      <c r="CB43" s="46">
        <v>1</v>
      </c>
      <c r="CE43" s="46">
        <v>1</v>
      </c>
      <c r="CK43" s="46">
        <v>1</v>
      </c>
      <c r="CT43" s="46" t="s">
        <v>6346</v>
      </c>
    </row>
    <row r="44" spans="1:98">
      <c r="A44" s="46" t="s">
        <v>6951</v>
      </c>
      <c r="B44" s="46" t="s">
        <v>6952</v>
      </c>
      <c r="C44" s="46">
        <v>18</v>
      </c>
      <c r="D44" s="46" t="s">
        <v>6835</v>
      </c>
      <c r="E44" s="46" t="s">
        <v>191</v>
      </c>
      <c r="F44" s="46" t="s">
        <v>145</v>
      </c>
      <c r="J44" s="46">
        <v>1</v>
      </c>
      <c r="L44" s="46">
        <v>1</v>
      </c>
      <c r="Q44" s="46" t="s">
        <v>191</v>
      </c>
      <c r="T44" s="46">
        <v>1</v>
      </c>
      <c r="W44" s="46">
        <v>14</v>
      </c>
      <c r="X44" s="46">
        <v>16</v>
      </c>
      <c r="Y44" s="46">
        <v>17</v>
      </c>
      <c r="Z44" s="46">
        <v>1</v>
      </c>
      <c r="AA44" s="46">
        <v>1</v>
      </c>
      <c r="AB44" s="46">
        <v>1</v>
      </c>
      <c r="AF44" s="46">
        <v>1</v>
      </c>
      <c r="AG44" s="46">
        <v>1</v>
      </c>
      <c r="AH44" s="46">
        <v>1</v>
      </c>
      <c r="AJ44" s="46">
        <v>1</v>
      </c>
      <c r="AM44" s="46">
        <v>1</v>
      </c>
      <c r="AT44" s="46">
        <v>1</v>
      </c>
      <c r="AW44" s="46">
        <v>1</v>
      </c>
      <c r="BA44" s="46">
        <v>1</v>
      </c>
      <c r="BK44" s="46">
        <v>1</v>
      </c>
      <c r="CC44" s="46">
        <v>1</v>
      </c>
      <c r="CD44" s="46" t="s">
        <v>360</v>
      </c>
      <c r="CE44" s="46">
        <v>1</v>
      </c>
      <c r="CK44" s="46">
        <v>1</v>
      </c>
      <c r="CT44" s="46" t="s">
        <v>6346</v>
      </c>
    </row>
    <row r="45" spans="1:98">
      <c r="A45" s="46" t="s">
        <v>6953</v>
      </c>
      <c r="B45" s="46" t="s">
        <v>6954</v>
      </c>
      <c r="C45" s="46">
        <v>30</v>
      </c>
      <c r="D45" s="46" t="s">
        <v>6835</v>
      </c>
      <c r="E45" s="46" t="s">
        <v>6955</v>
      </c>
      <c r="F45" s="46" t="s">
        <v>330</v>
      </c>
      <c r="H45" s="46">
        <v>1</v>
      </c>
      <c r="M45" s="46">
        <v>1</v>
      </c>
      <c r="R45" s="46">
        <v>1</v>
      </c>
      <c r="T45" s="46">
        <v>1</v>
      </c>
      <c r="W45" s="46">
        <v>14</v>
      </c>
      <c r="X45" s="46">
        <v>15</v>
      </c>
      <c r="Y45" s="46">
        <v>16</v>
      </c>
      <c r="Z45" s="46">
        <v>7</v>
      </c>
      <c r="AA45" s="46">
        <v>4</v>
      </c>
      <c r="AB45" s="46">
        <v>4</v>
      </c>
      <c r="AE45" s="46">
        <v>1</v>
      </c>
      <c r="AG45" s="46">
        <v>1</v>
      </c>
      <c r="AH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K45" s="46">
        <v>1</v>
      </c>
      <c r="CB45" s="46">
        <v>1</v>
      </c>
      <c r="CE45" s="46">
        <v>1</v>
      </c>
      <c r="CK45" s="46">
        <v>1</v>
      </c>
      <c r="CT45" s="46" t="s">
        <v>6346</v>
      </c>
    </row>
    <row r="46" spans="1:98">
      <c r="A46" s="46" t="s">
        <v>6956</v>
      </c>
      <c r="B46" s="46" t="s">
        <v>6957</v>
      </c>
      <c r="C46" s="46">
        <v>30</v>
      </c>
      <c r="D46" s="46" t="s">
        <v>6835</v>
      </c>
      <c r="E46" s="46" t="s">
        <v>6958</v>
      </c>
      <c r="F46" s="46" t="s">
        <v>145</v>
      </c>
      <c r="G46" s="46">
        <v>1</v>
      </c>
      <c r="M46" s="46">
        <v>1</v>
      </c>
      <c r="Q46" s="46">
        <v>1</v>
      </c>
      <c r="T46" s="46">
        <v>1</v>
      </c>
      <c r="W46" s="46">
        <v>14</v>
      </c>
      <c r="X46" s="46">
        <v>15</v>
      </c>
      <c r="Y46" s="46" t="s">
        <v>191</v>
      </c>
      <c r="Z46" s="46">
        <v>0</v>
      </c>
      <c r="AA46" s="46">
        <v>0</v>
      </c>
      <c r="AB46" s="46">
        <v>0</v>
      </c>
      <c r="AG46" s="46">
        <v>1</v>
      </c>
      <c r="AH46" s="46">
        <v>1</v>
      </c>
      <c r="AI46" s="244"/>
      <c r="AJ46" s="244"/>
      <c r="AK46" s="46">
        <v>1</v>
      </c>
      <c r="AT46" s="46">
        <v>1</v>
      </c>
      <c r="AX46" s="46">
        <v>1</v>
      </c>
      <c r="BA46" s="46">
        <v>1</v>
      </c>
      <c r="BK46" s="46">
        <v>1</v>
      </c>
      <c r="CB46" s="46">
        <v>1</v>
      </c>
      <c r="CE46" s="46">
        <v>1</v>
      </c>
      <c r="CK46" s="46">
        <v>1</v>
      </c>
      <c r="CT46" s="46" t="s">
        <v>6346</v>
      </c>
    </row>
    <row r="47" spans="1:98">
      <c r="A47" s="46" t="s">
        <v>6959</v>
      </c>
      <c r="B47" s="46" t="s">
        <v>6960</v>
      </c>
      <c r="C47" s="46">
        <v>24</v>
      </c>
      <c r="D47" s="46" t="s">
        <v>6835</v>
      </c>
      <c r="E47" s="46" t="s">
        <v>6961</v>
      </c>
      <c r="F47" s="46" t="s">
        <v>112</v>
      </c>
      <c r="I47" s="46">
        <v>1</v>
      </c>
      <c r="M47" s="46">
        <v>1</v>
      </c>
      <c r="Q47" s="46">
        <v>1</v>
      </c>
      <c r="U47" s="46">
        <v>1</v>
      </c>
      <c r="W47" s="46">
        <v>16</v>
      </c>
      <c r="X47" s="46">
        <v>20</v>
      </c>
      <c r="Y47" s="46">
        <v>21</v>
      </c>
      <c r="Z47" s="46">
        <v>1</v>
      </c>
      <c r="AA47" s="46">
        <v>1</v>
      </c>
      <c r="AB47" s="46">
        <v>1</v>
      </c>
      <c r="AG47" s="46">
        <v>1</v>
      </c>
      <c r="AH47" s="46">
        <v>1</v>
      </c>
      <c r="AJ47" s="46">
        <v>1</v>
      </c>
      <c r="AK47" s="46">
        <v>1</v>
      </c>
      <c r="AT47" s="46">
        <v>1</v>
      </c>
      <c r="AW47" s="46">
        <v>1</v>
      </c>
      <c r="BA47" s="46">
        <v>1</v>
      </c>
      <c r="BK47" s="46">
        <v>1</v>
      </c>
      <c r="CB47" s="46">
        <v>1</v>
      </c>
      <c r="CE47" s="46">
        <v>1</v>
      </c>
      <c r="CK47" s="46">
        <v>1</v>
      </c>
      <c r="CT47" s="46" t="s">
        <v>6346</v>
      </c>
    </row>
    <row r="48" spans="1:98">
      <c r="A48" s="46" t="s">
        <v>6962</v>
      </c>
      <c r="B48" s="46" t="s">
        <v>6963</v>
      </c>
      <c r="C48" s="46">
        <v>19</v>
      </c>
      <c r="D48" s="46" t="s">
        <v>6835</v>
      </c>
      <c r="E48" s="46" t="s">
        <v>6964</v>
      </c>
      <c r="F48" s="244"/>
      <c r="J48" s="46">
        <v>1</v>
      </c>
      <c r="L48" s="46">
        <v>1</v>
      </c>
      <c r="Q48" s="46" t="s">
        <v>191</v>
      </c>
      <c r="T48" s="46">
        <v>1</v>
      </c>
      <c r="W48" s="46">
        <v>15</v>
      </c>
      <c r="X48" s="46">
        <v>18</v>
      </c>
      <c r="Y48" s="46" t="s">
        <v>191</v>
      </c>
      <c r="Z48" s="46">
        <v>0</v>
      </c>
      <c r="AA48" s="46">
        <v>0</v>
      </c>
      <c r="AB48" s="46">
        <v>0</v>
      </c>
      <c r="AE48" s="46">
        <v>1</v>
      </c>
      <c r="AI48" s="244"/>
      <c r="AJ48" s="244"/>
      <c r="AK48" s="46">
        <v>1</v>
      </c>
      <c r="AT48" s="46">
        <v>1</v>
      </c>
      <c r="AW48" s="46">
        <v>1</v>
      </c>
      <c r="BA48" s="46">
        <v>1</v>
      </c>
      <c r="BK48" s="46">
        <v>1</v>
      </c>
      <c r="CB48" s="46">
        <v>1</v>
      </c>
      <c r="CE48" s="244"/>
      <c r="CF48" s="244"/>
      <c r="CK48" s="46">
        <v>1</v>
      </c>
      <c r="CT48" s="46" t="s">
        <v>6346</v>
      </c>
    </row>
    <row r="49" spans="1:98">
      <c r="A49" s="46" t="s">
        <v>6965</v>
      </c>
      <c r="B49" s="46" t="s">
        <v>6966</v>
      </c>
      <c r="C49" s="46">
        <v>18</v>
      </c>
      <c r="D49" s="46" t="s">
        <v>6835</v>
      </c>
      <c r="E49" s="46" t="s">
        <v>6967</v>
      </c>
      <c r="F49" s="46" t="s">
        <v>330</v>
      </c>
      <c r="G49" s="46">
        <v>1</v>
      </c>
      <c r="N49" s="46">
        <v>1</v>
      </c>
      <c r="R49" s="46">
        <v>1</v>
      </c>
      <c r="S49" s="46">
        <v>1</v>
      </c>
      <c r="W49" s="46">
        <v>14</v>
      </c>
      <c r="X49" s="46">
        <v>15</v>
      </c>
      <c r="Y49" s="46" t="s">
        <v>191</v>
      </c>
      <c r="Z49" s="46">
        <v>0</v>
      </c>
      <c r="AA49" s="46">
        <v>0</v>
      </c>
      <c r="AB49" s="46">
        <v>0</v>
      </c>
      <c r="AG49" s="46">
        <v>1</v>
      </c>
      <c r="AI49" s="46">
        <v>1</v>
      </c>
      <c r="AM49" s="46">
        <v>1</v>
      </c>
      <c r="AT49" s="46">
        <v>1</v>
      </c>
      <c r="AX49" s="46">
        <v>1</v>
      </c>
      <c r="BA49" s="46">
        <v>1</v>
      </c>
      <c r="BK49" s="46">
        <v>1</v>
      </c>
      <c r="BY49" s="46">
        <v>1</v>
      </c>
      <c r="CB49" s="46">
        <v>1</v>
      </c>
      <c r="CE49" s="46">
        <v>1</v>
      </c>
      <c r="CK49" s="46">
        <v>1</v>
      </c>
      <c r="CT49" s="46" t="s">
        <v>6346</v>
      </c>
    </row>
    <row r="50" spans="1:98">
      <c r="A50" s="46" t="s">
        <v>6968</v>
      </c>
      <c r="B50" s="46" t="s">
        <v>6969</v>
      </c>
      <c r="C50" s="46">
        <v>27</v>
      </c>
      <c r="D50" s="46" t="s">
        <v>6835</v>
      </c>
      <c r="E50" s="46" t="s">
        <v>6970</v>
      </c>
      <c r="F50" s="46" t="s">
        <v>107</v>
      </c>
      <c r="J50" s="46">
        <v>1</v>
      </c>
      <c r="M50" s="46">
        <v>1</v>
      </c>
      <c r="Q50" s="46">
        <v>1</v>
      </c>
      <c r="S50" s="46">
        <v>1</v>
      </c>
      <c r="W50" s="46">
        <v>13</v>
      </c>
      <c r="X50" s="46">
        <v>19</v>
      </c>
      <c r="Y50" s="46">
        <v>20</v>
      </c>
      <c r="Z50" s="46">
        <v>6</v>
      </c>
      <c r="AA50" s="46">
        <v>6</v>
      </c>
      <c r="AB50" s="46">
        <v>3</v>
      </c>
      <c r="AD50" s="46">
        <v>1</v>
      </c>
      <c r="AF50" s="46">
        <v>1</v>
      </c>
      <c r="AJ50" s="46">
        <v>1</v>
      </c>
      <c r="AK50" s="46">
        <v>1</v>
      </c>
      <c r="AT50" s="46">
        <v>1</v>
      </c>
      <c r="AW50" s="46">
        <v>1</v>
      </c>
      <c r="BA50" s="46">
        <v>1</v>
      </c>
      <c r="BK50" s="46">
        <v>1</v>
      </c>
      <c r="CB50" s="46">
        <v>1</v>
      </c>
      <c r="CE50" s="46">
        <v>1</v>
      </c>
      <c r="CK50" s="46">
        <v>1</v>
      </c>
      <c r="CT50" s="46" t="s">
        <v>6346</v>
      </c>
    </row>
    <row r="51" spans="1:98">
      <c r="A51" s="46" t="s">
        <v>6971</v>
      </c>
      <c r="B51" s="46" t="s">
        <v>6972</v>
      </c>
      <c r="C51" s="46">
        <v>34</v>
      </c>
      <c r="D51" s="46" t="s">
        <v>6835</v>
      </c>
      <c r="E51" s="46" t="s">
        <v>6973</v>
      </c>
      <c r="F51" s="46" t="s">
        <v>112</v>
      </c>
      <c r="G51" s="244"/>
      <c r="H51" s="244"/>
      <c r="I51" s="244"/>
      <c r="J51" s="244"/>
      <c r="K51" s="244"/>
      <c r="M51" s="46">
        <v>1</v>
      </c>
      <c r="R51" s="46">
        <v>1</v>
      </c>
      <c r="U51" s="46">
        <v>1</v>
      </c>
      <c r="W51" s="46">
        <v>14</v>
      </c>
      <c r="X51" s="46">
        <v>17</v>
      </c>
      <c r="Y51" s="46">
        <v>17</v>
      </c>
      <c r="Z51" s="46">
        <v>3</v>
      </c>
      <c r="AA51" s="46">
        <v>3</v>
      </c>
      <c r="AB51" s="46">
        <v>3</v>
      </c>
      <c r="AG51" s="46">
        <v>1</v>
      </c>
      <c r="AI51" s="46">
        <v>1</v>
      </c>
      <c r="AK51" s="46">
        <v>1</v>
      </c>
      <c r="AT51" s="46">
        <v>1</v>
      </c>
      <c r="AW51" s="46">
        <v>1</v>
      </c>
      <c r="BA51" s="46">
        <v>1</v>
      </c>
      <c r="BK51" s="46">
        <v>1</v>
      </c>
      <c r="CB51" s="46">
        <v>1</v>
      </c>
      <c r="CE51" s="46">
        <v>1</v>
      </c>
      <c r="CK51" s="46">
        <v>1</v>
      </c>
      <c r="CT51" s="46" t="s">
        <v>6346</v>
      </c>
    </row>
    <row r="52" spans="1:98">
      <c r="A52" s="46" t="s">
        <v>6974</v>
      </c>
      <c r="B52" s="46" t="s">
        <v>6975</v>
      </c>
      <c r="C52" s="46">
        <v>33</v>
      </c>
      <c r="D52" s="46" t="s">
        <v>6835</v>
      </c>
      <c r="E52" s="46" t="s">
        <v>6976</v>
      </c>
      <c r="F52" s="46" t="s">
        <v>112</v>
      </c>
      <c r="J52" s="46">
        <v>1</v>
      </c>
      <c r="M52" s="46">
        <v>1</v>
      </c>
      <c r="Q52" s="46">
        <v>1</v>
      </c>
      <c r="T52" s="46">
        <v>1</v>
      </c>
      <c r="W52" s="46">
        <v>14</v>
      </c>
      <c r="X52" s="46">
        <v>16</v>
      </c>
      <c r="Y52" s="46">
        <v>16</v>
      </c>
      <c r="Z52" s="46">
        <v>6</v>
      </c>
      <c r="AA52" s="46">
        <v>6</v>
      </c>
      <c r="AB52" s="46">
        <v>6</v>
      </c>
      <c r="AE52" s="46">
        <v>1</v>
      </c>
      <c r="AG52" s="46">
        <v>1</v>
      </c>
      <c r="AH52" s="46">
        <v>1</v>
      </c>
      <c r="AI52" s="46">
        <v>1</v>
      </c>
      <c r="AK52" s="46">
        <v>1</v>
      </c>
      <c r="AT52" s="46">
        <v>1</v>
      </c>
      <c r="AZ52" s="46">
        <v>1</v>
      </c>
      <c r="BA52" s="46">
        <v>1</v>
      </c>
      <c r="BK52" s="46">
        <v>1</v>
      </c>
      <c r="CB52" s="46">
        <v>1</v>
      </c>
      <c r="CE52" s="46">
        <v>1</v>
      </c>
      <c r="CK52" s="46">
        <v>1</v>
      </c>
      <c r="CT52" s="46" t="s">
        <v>6346</v>
      </c>
    </row>
    <row r="53" spans="1:98">
      <c r="A53" s="46" t="s">
        <v>6977</v>
      </c>
      <c r="B53" s="46" t="s">
        <v>6978</v>
      </c>
      <c r="C53" s="46">
        <v>30</v>
      </c>
      <c r="D53" s="46" t="s">
        <v>6835</v>
      </c>
      <c r="E53" s="46" t="s">
        <v>191</v>
      </c>
      <c r="F53" s="46" t="s">
        <v>112</v>
      </c>
      <c r="I53" s="46">
        <v>1</v>
      </c>
      <c r="M53" s="46">
        <v>1</v>
      </c>
      <c r="R53" s="46">
        <v>1</v>
      </c>
      <c r="W53" s="244"/>
      <c r="X53" s="46">
        <v>15</v>
      </c>
      <c r="Y53" s="46">
        <v>17</v>
      </c>
      <c r="Z53" s="46">
        <v>4</v>
      </c>
      <c r="AA53" s="46">
        <v>4</v>
      </c>
      <c r="AB53" s="46">
        <v>4</v>
      </c>
      <c r="AE53" s="46">
        <v>1</v>
      </c>
      <c r="AH53" s="46">
        <v>1</v>
      </c>
      <c r="AI53" s="46">
        <v>1</v>
      </c>
      <c r="AK53" s="46">
        <v>1</v>
      </c>
      <c r="AT53" s="46">
        <v>1</v>
      </c>
      <c r="AW53" s="46">
        <v>1</v>
      </c>
      <c r="BA53" s="46">
        <v>1</v>
      </c>
      <c r="BK53" s="46">
        <v>1</v>
      </c>
      <c r="CB53" s="46">
        <v>1</v>
      </c>
      <c r="CE53" s="46">
        <v>1</v>
      </c>
      <c r="CK53" s="46">
        <v>1</v>
      </c>
      <c r="CT53" s="46" t="s">
        <v>6346</v>
      </c>
    </row>
    <row r="54" spans="1:98">
      <c r="A54" s="46" t="s">
        <v>6979</v>
      </c>
      <c r="B54" s="46" t="s">
        <v>6980</v>
      </c>
      <c r="C54" s="46">
        <v>47</v>
      </c>
      <c r="D54" s="46" t="s">
        <v>6835</v>
      </c>
      <c r="E54" s="46" t="s">
        <v>6981</v>
      </c>
      <c r="F54" s="46" t="s">
        <v>112</v>
      </c>
      <c r="I54" s="46">
        <v>1</v>
      </c>
      <c r="M54" s="46">
        <v>1</v>
      </c>
      <c r="R54" s="46">
        <v>1</v>
      </c>
      <c r="T54" s="46">
        <v>1</v>
      </c>
      <c r="W54" s="46">
        <v>14</v>
      </c>
      <c r="X54" s="46">
        <v>17</v>
      </c>
      <c r="Y54" s="46">
        <v>22</v>
      </c>
      <c r="Z54" s="46">
        <v>4</v>
      </c>
      <c r="AA54" s="46">
        <v>4</v>
      </c>
      <c r="AB54" s="46">
        <v>4</v>
      </c>
      <c r="AH54" s="46">
        <v>1</v>
      </c>
      <c r="AI54" s="46">
        <v>1</v>
      </c>
      <c r="AK54" s="46">
        <v>1</v>
      </c>
      <c r="AT54" s="46">
        <v>1</v>
      </c>
      <c r="AW54" s="46">
        <v>1</v>
      </c>
      <c r="BA54" s="46">
        <v>1</v>
      </c>
      <c r="BK54" s="46">
        <v>1</v>
      </c>
      <c r="CB54" s="46">
        <v>1</v>
      </c>
      <c r="CE54" s="46">
        <v>1</v>
      </c>
      <c r="CK54" s="46">
        <v>1</v>
      </c>
      <c r="CT54" s="46" t="s">
        <v>6346</v>
      </c>
    </row>
    <row r="55" spans="1:98">
      <c r="A55" s="46" t="s">
        <v>6982</v>
      </c>
      <c r="B55" s="46" t="s">
        <v>6983</v>
      </c>
      <c r="C55" s="46">
        <v>24</v>
      </c>
      <c r="D55" s="244"/>
      <c r="E55" s="46" t="s">
        <v>6984</v>
      </c>
      <c r="F55" s="244"/>
      <c r="I55" s="46">
        <v>1</v>
      </c>
      <c r="M55" s="46">
        <v>1</v>
      </c>
      <c r="R55" s="46">
        <v>1</v>
      </c>
      <c r="T55" s="46">
        <v>1</v>
      </c>
      <c r="W55" s="46">
        <v>14</v>
      </c>
      <c r="X55" s="46">
        <v>17</v>
      </c>
      <c r="Y55" s="46">
        <v>20</v>
      </c>
      <c r="Z55" s="46">
        <v>1</v>
      </c>
      <c r="AA55" s="46">
        <v>1</v>
      </c>
      <c r="AB55" s="46">
        <v>1</v>
      </c>
      <c r="AF55" s="46">
        <v>1</v>
      </c>
      <c r="AG55" s="46">
        <v>1</v>
      </c>
      <c r="AI55" s="46">
        <v>1</v>
      </c>
      <c r="AK55" s="46">
        <v>1</v>
      </c>
      <c r="AT55" s="46">
        <v>1</v>
      </c>
      <c r="AX55" s="46">
        <v>1</v>
      </c>
      <c r="BA55" s="46">
        <v>1</v>
      </c>
      <c r="BK55" s="46">
        <v>1</v>
      </c>
      <c r="BY55" s="46">
        <v>1</v>
      </c>
      <c r="CB55" s="46">
        <v>1</v>
      </c>
      <c r="CE55" s="46">
        <v>1</v>
      </c>
      <c r="CK55" s="46">
        <v>1</v>
      </c>
      <c r="CT55" s="46" t="s">
        <v>6346</v>
      </c>
    </row>
    <row r="56" spans="1:98">
      <c r="A56" s="46" t="s">
        <v>6985</v>
      </c>
      <c r="B56" s="46" t="s">
        <v>6986</v>
      </c>
      <c r="C56" s="46">
        <v>24</v>
      </c>
      <c r="D56" s="46" t="s">
        <v>6835</v>
      </c>
      <c r="E56" s="46" t="s">
        <v>6987</v>
      </c>
      <c r="F56" s="46" t="s">
        <v>145</v>
      </c>
      <c r="G56" s="46">
        <v>1</v>
      </c>
      <c r="O56" s="46">
        <v>1</v>
      </c>
      <c r="Q56" s="46">
        <v>1</v>
      </c>
      <c r="T56" s="46">
        <v>1</v>
      </c>
      <c r="W56" s="46">
        <v>15</v>
      </c>
      <c r="X56" s="46">
        <v>19</v>
      </c>
      <c r="Y56" s="46">
        <v>19</v>
      </c>
      <c r="Z56" s="46">
        <v>1</v>
      </c>
      <c r="AA56" s="46">
        <v>1</v>
      </c>
      <c r="AB56" s="46">
        <v>1</v>
      </c>
      <c r="AC56" s="46">
        <v>1</v>
      </c>
      <c r="AI56" s="46">
        <v>1</v>
      </c>
      <c r="AM56" s="46">
        <v>1</v>
      </c>
      <c r="AT56" s="46">
        <v>1</v>
      </c>
      <c r="AX56" s="46">
        <v>1</v>
      </c>
      <c r="BA56" s="46">
        <v>1</v>
      </c>
      <c r="BK56" s="46">
        <v>1</v>
      </c>
      <c r="CB56" s="46">
        <v>1</v>
      </c>
      <c r="CE56" s="46">
        <v>1</v>
      </c>
      <c r="CK56" s="46">
        <v>1</v>
      </c>
      <c r="CT56" s="46" t="s">
        <v>6346</v>
      </c>
    </row>
    <row r="57" spans="1:98">
      <c r="A57" s="46" t="s">
        <v>6988</v>
      </c>
      <c r="B57" s="46" t="s">
        <v>6989</v>
      </c>
      <c r="C57" s="46">
        <v>29</v>
      </c>
      <c r="D57" s="46" t="s">
        <v>6990</v>
      </c>
      <c r="E57" s="46" t="s">
        <v>6991</v>
      </c>
      <c r="F57" s="46" t="s">
        <v>477</v>
      </c>
      <c r="H57" s="46">
        <v>1</v>
      </c>
      <c r="M57" s="46">
        <v>1</v>
      </c>
      <c r="Q57" s="46">
        <v>1</v>
      </c>
      <c r="T57" s="46">
        <v>1</v>
      </c>
      <c r="W57" s="46">
        <v>15</v>
      </c>
      <c r="X57" s="46">
        <v>17</v>
      </c>
      <c r="Y57" s="46">
        <v>17</v>
      </c>
      <c r="Z57" s="46">
        <v>6</v>
      </c>
      <c r="AA57" s="46">
        <v>6</v>
      </c>
      <c r="AB57" s="46">
        <v>6</v>
      </c>
      <c r="AE57" s="46">
        <v>1</v>
      </c>
      <c r="AH57" s="46">
        <v>1</v>
      </c>
      <c r="AJ57" s="46">
        <v>1</v>
      </c>
      <c r="AK57" s="46">
        <v>1</v>
      </c>
      <c r="AT57" s="46">
        <v>1</v>
      </c>
      <c r="AW57" s="244"/>
      <c r="AX57" s="244"/>
      <c r="AY57" s="244"/>
      <c r="AZ57" s="244"/>
      <c r="BA57" s="46">
        <v>1</v>
      </c>
      <c r="BK57" s="46">
        <v>1</v>
      </c>
      <c r="CB57" s="46">
        <v>1</v>
      </c>
      <c r="CE57" s="46">
        <v>1</v>
      </c>
      <c r="CK57" s="46">
        <v>1</v>
      </c>
      <c r="CT57" s="46" t="s">
        <v>6346</v>
      </c>
    </row>
    <row r="58" spans="1:98">
      <c r="A58" s="46" t="s">
        <v>6992</v>
      </c>
      <c r="B58" s="46" t="s">
        <v>6993</v>
      </c>
      <c r="C58" s="46">
        <v>52</v>
      </c>
      <c r="D58" s="46" t="s">
        <v>6835</v>
      </c>
      <c r="E58" s="46" t="s">
        <v>6994</v>
      </c>
      <c r="F58" s="46" t="s">
        <v>112</v>
      </c>
      <c r="I58" s="46">
        <v>1</v>
      </c>
      <c r="O58" s="46">
        <v>1</v>
      </c>
      <c r="R58" s="46">
        <v>1</v>
      </c>
      <c r="T58" s="46">
        <v>1</v>
      </c>
      <c r="W58" s="46">
        <v>14</v>
      </c>
      <c r="X58" s="46">
        <v>15</v>
      </c>
      <c r="Y58" s="46">
        <v>16</v>
      </c>
      <c r="Z58" s="46">
        <v>12</v>
      </c>
      <c r="AA58" s="46">
        <v>12</v>
      </c>
      <c r="AB58" s="46">
        <v>5</v>
      </c>
      <c r="AG58" s="46">
        <v>1</v>
      </c>
      <c r="AH58" s="46">
        <v>1</v>
      </c>
      <c r="AI58" s="46">
        <v>1</v>
      </c>
      <c r="AK58" s="46">
        <v>1</v>
      </c>
      <c r="AT58" s="46">
        <v>1</v>
      </c>
      <c r="AX58" s="46">
        <v>1</v>
      </c>
      <c r="BA58" s="46">
        <v>1</v>
      </c>
      <c r="BL58" s="46">
        <v>1</v>
      </c>
      <c r="BY58" s="46">
        <v>1</v>
      </c>
      <c r="CB58" s="46">
        <v>1</v>
      </c>
      <c r="CE58" s="46">
        <v>1</v>
      </c>
      <c r="CK58" s="46">
        <v>1</v>
      </c>
      <c r="CT58" s="46" t="s">
        <v>6346</v>
      </c>
    </row>
    <row r="59" spans="1:98">
      <c r="A59" s="46" t="s">
        <v>6995</v>
      </c>
      <c r="B59" s="46" t="s">
        <v>6996</v>
      </c>
      <c r="C59" s="46">
        <v>60</v>
      </c>
      <c r="D59" s="46" t="s">
        <v>6835</v>
      </c>
      <c r="E59" s="46" t="s">
        <v>191</v>
      </c>
      <c r="F59" s="46" t="s">
        <v>330</v>
      </c>
      <c r="G59" s="46">
        <v>1</v>
      </c>
      <c r="M59" s="46">
        <v>1</v>
      </c>
      <c r="Q59" s="46">
        <v>1</v>
      </c>
      <c r="S59" s="46">
        <v>1</v>
      </c>
      <c r="W59" s="46">
        <v>15</v>
      </c>
      <c r="X59" s="46">
        <v>16</v>
      </c>
      <c r="Y59" s="46">
        <v>16</v>
      </c>
      <c r="Z59" s="46">
        <v>15</v>
      </c>
      <c r="AA59" s="46">
        <v>15</v>
      </c>
      <c r="AB59" s="46">
        <v>7</v>
      </c>
      <c r="AG59" s="46">
        <v>1</v>
      </c>
      <c r="AH59" s="46">
        <v>1</v>
      </c>
      <c r="AI59" s="46">
        <v>1</v>
      </c>
      <c r="AK59" s="46">
        <v>1</v>
      </c>
      <c r="AT59" s="46">
        <v>1</v>
      </c>
      <c r="AW59" s="46">
        <v>1</v>
      </c>
      <c r="BA59" s="46">
        <v>1</v>
      </c>
      <c r="BL59" s="46">
        <v>1</v>
      </c>
      <c r="CB59" s="46">
        <v>1</v>
      </c>
      <c r="CE59" s="46">
        <v>1</v>
      </c>
      <c r="CK59" s="46">
        <v>1</v>
      </c>
      <c r="CT59" s="46" t="s">
        <v>6346</v>
      </c>
    </row>
    <row r="60" spans="1:98">
      <c r="A60" s="46" t="s">
        <v>6997</v>
      </c>
      <c r="B60" s="46" t="s">
        <v>6998</v>
      </c>
      <c r="C60" s="46">
        <v>58</v>
      </c>
      <c r="D60" s="46" t="s">
        <v>6835</v>
      </c>
      <c r="E60" s="46" t="s">
        <v>6999</v>
      </c>
      <c r="F60" s="46" t="s">
        <v>1045</v>
      </c>
      <c r="H60" s="46">
        <v>1</v>
      </c>
      <c r="P60" s="46">
        <v>1</v>
      </c>
      <c r="Q60" s="46">
        <v>1</v>
      </c>
      <c r="T60" s="46">
        <v>1</v>
      </c>
      <c r="W60" s="46">
        <v>18</v>
      </c>
      <c r="X60" s="46">
        <v>24</v>
      </c>
      <c r="Y60" s="46">
        <v>25</v>
      </c>
      <c r="Z60" s="46">
        <v>10</v>
      </c>
      <c r="AA60" s="46">
        <v>10</v>
      </c>
      <c r="AB60" s="46">
        <v>8</v>
      </c>
      <c r="AC60" s="46">
        <v>1</v>
      </c>
      <c r="AI60" s="46">
        <v>1</v>
      </c>
      <c r="AK60" s="46">
        <v>1</v>
      </c>
      <c r="AT60" s="46">
        <v>1</v>
      </c>
      <c r="AZ60" s="46">
        <v>1</v>
      </c>
      <c r="BA60" s="46">
        <v>1</v>
      </c>
      <c r="BL60" s="46">
        <v>1</v>
      </c>
      <c r="CB60" s="46">
        <v>1</v>
      </c>
      <c r="CE60" s="46">
        <v>1</v>
      </c>
      <c r="CK60" s="46">
        <v>1</v>
      </c>
      <c r="CT60" s="46" t="s">
        <v>6346</v>
      </c>
    </row>
    <row r="61" spans="1:98">
      <c r="A61" s="46" t="s">
        <v>7000</v>
      </c>
      <c r="B61" s="46" t="s">
        <v>7001</v>
      </c>
      <c r="C61" s="46">
        <v>62</v>
      </c>
      <c r="D61" s="46" t="s">
        <v>6835</v>
      </c>
      <c r="E61" s="46" t="s">
        <v>6947</v>
      </c>
      <c r="F61" s="46" t="s">
        <v>145</v>
      </c>
      <c r="J61" s="46">
        <v>1</v>
      </c>
      <c r="M61" s="46">
        <v>1</v>
      </c>
      <c r="Q61" s="46">
        <v>1</v>
      </c>
      <c r="S61" s="46">
        <v>1</v>
      </c>
      <c r="W61" s="46">
        <v>13</v>
      </c>
      <c r="X61" s="46">
        <v>15</v>
      </c>
      <c r="Y61" s="46">
        <v>16</v>
      </c>
      <c r="Z61" s="46">
        <v>12</v>
      </c>
      <c r="AA61" s="46">
        <v>10</v>
      </c>
      <c r="AB61" s="46">
        <v>8</v>
      </c>
      <c r="AE61" s="46">
        <v>1</v>
      </c>
      <c r="AI61" s="46">
        <v>1</v>
      </c>
      <c r="AK61" s="46">
        <v>1</v>
      </c>
      <c r="AT61" s="46">
        <v>1</v>
      </c>
      <c r="AW61" s="46">
        <v>1</v>
      </c>
      <c r="BA61" s="46">
        <v>1</v>
      </c>
      <c r="BL61" s="46">
        <v>1</v>
      </c>
      <c r="BY61" s="46">
        <v>1</v>
      </c>
      <c r="CB61" s="46">
        <v>1</v>
      </c>
      <c r="CE61" s="244"/>
      <c r="CF61" s="244"/>
      <c r="CK61" s="46">
        <v>1</v>
      </c>
      <c r="CT61" s="46" t="s">
        <v>6346</v>
      </c>
    </row>
    <row r="62" spans="1:98">
      <c r="A62" s="46" t="s">
        <v>7002</v>
      </c>
      <c r="B62" s="46" t="s">
        <v>7003</v>
      </c>
      <c r="C62" s="46">
        <v>50</v>
      </c>
      <c r="D62" s="46" t="s">
        <v>6835</v>
      </c>
      <c r="E62" s="46" t="s">
        <v>6947</v>
      </c>
      <c r="F62" s="46" t="s">
        <v>1045</v>
      </c>
      <c r="G62" s="46">
        <v>1</v>
      </c>
      <c r="O62" s="46">
        <v>1</v>
      </c>
      <c r="Q62" s="244"/>
      <c r="R62" s="244"/>
      <c r="S62" s="46">
        <v>1</v>
      </c>
      <c r="W62" s="46">
        <v>14</v>
      </c>
      <c r="X62" s="46">
        <v>18</v>
      </c>
      <c r="Y62" s="46">
        <v>18</v>
      </c>
      <c r="Z62" s="46">
        <v>9</v>
      </c>
      <c r="AA62" s="46">
        <v>9</v>
      </c>
      <c r="AB62" s="46">
        <v>6</v>
      </c>
      <c r="AE62" s="46">
        <v>1</v>
      </c>
      <c r="AI62" s="46">
        <v>1</v>
      </c>
      <c r="AM62" s="46">
        <v>1</v>
      </c>
      <c r="AT62" s="46">
        <v>1</v>
      </c>
      <c r="AW62" s="46">
        <v>1</v>
      </c>
      <c r="BA62" s="46">
        <v>1</v>
      </c>
      <c r="BL62" s="46">
        <v>1</v>
      </c>
      <c r="BY62" s="46">
        <v>1</v>
      </c>
      <c r="CB62" s="46">
        <v>1</v>
      </c>
      <c r="CE62" s="244"/>
      <c r="CF62" s="244"/>
      <c r="CK62" s="46">
        <v>1</v>
      </c>
      <c r="CT62" s="46" t="s">
        <v>6346</v>
      </c>
    </row>
    <row r="63" spans="1:98">
      <c r="A63" s="46" t="s">
        <v>7004</v>
      </c>
      <c r="B63" s="46" t="s">
        <v>7005</v>
      </c>
      <c r="C63" s="46">
        <v>45</v>
      </c>
      <c r="D63" s="46" t="s">
        <v>6835</v>
      </c>
      <c r="E63" s="46" t="s">
        <v>7006</v>
      </c>
      <c r="F63" s="46" t="s">
        <v>112</v>
      </c>
      <c r="I63" s="46">
        <v>1</v>
      </c>
      <c r="M63" s="46">
        <v>1</v>
      </c>
      <c r="R63" s="46">
        <v>1</v>
      </c>
      <c r="T63" s="46">
        <v>1</v>
      </c>
      <c r="W63" s="46">
        <v>17</v>
      </c>
      <c r="X63" s="46">
        <v>18</v>
      </c>
      <c r="Y63" s="46">
        <v>22</v>
      </c>
      <c r="Z63" s="46">
        <v>9</v>
      </c>
      <c r="AA63" s="46">
        <v>9</v>
      </c>
      <c r="AB63" s="46">
        <v>8</v>
      </c>
      <c r="AC63" s="46">
        <v>1</v>
      </c>
      <c r="AI63" s="46">
        <v>1</v>
      </c>
      <c r="AK63" s="46">
        <v>1</v>
      </c>
      <c r="AT63" s="46">
        <v>1</v>
      </c>
      <c r="AW63" s="46">
        <v>1</v>
      </c>
      <c r="BA63" s="46">
        <v>1</v>
      </c>
      <c r="BL63" s="46">
        <v>1</v>
      </c>
      <c r="CB63" s="46">
        <v>1</v>
      </c>
      <c r="CE63" s="46">
        <v>1</v>
      </c>
      <c r="CK63" s="46">
        <v>1</v>
      </c>
      <c r="CT63" s="46" t="s">
        <v>6346</v>
      </c>
    </row>
    <row r="64" spans="1:98">
      <c r="A64" s="46" t="s">
        <v>7007</v>
      </c>
      <c r="B64" s="46" t="s">
        <v>7008</v>
      </c>
      <c r="C64" s="46">
        <v>70</v>
      </c>
      <c r="D64" s="46" t="s">
        <v>6835</v>
      </c>
      <c r="E64" s="46" t="s">
        <v>191</v>
      </c>
      <c r="F64" s="46" t="s">
        <v>112</v>
      </c>
      <c r="G64" s="46">
        <v>1</v>
      </c>
      <c r="O64" s="46">
        <v>1</v>
      </c>
      <c r="Q64" s="46">
        <v>1</v>
      </c>
      <c r="S64" s="46">
        <v>1</v>
      </c>
      <c r="W64" s="46">
        <v>14</v>
      </c>
      <c r="X64" s="46">
        <v>14</v>
      </c>
      <c r="Y64" s="46">
        <v>14</v>
      </c>
      <c r="Z64" s="46">
        <v>12</v>
      </c>
      <c r="AA64" s="46">
        <v>12</v>
      </c>
      <c r="AB64" s="46">
        <v>12</v>
      </c>
      <c r="AC64" s="46">
        <v>1</v>
      </c>
      <c r="AI64" s="46">
        <v>1</v>
      </c>
      <c r="AK64" s="46">
        <v>1</v>
      </c>
      <c r="AT64" s="46">
        <v>1</v>
      </c>
      <c r="AW64" s="46">
        <v>1</v>
      </c>
      <c r="BA64" s="46">
        <v>1</v>
      </c>
      <c r="BL64" s="46">
        <v>1</v>
      </c>
      <c r="CB64" s="46">
        <v>1</v>
      </c>
      <c r="CE64" s="46">
        <v>1</v>
      </c>
      <c r="CK64" s="46">
        <v>1</v>
      </c>
      <c r="CT64" s="46" t="s">
        <v>6346</v>
      </c>
    </row>
    <row r="65" spans="1:98">
      <c r="A65" s="46" t="s">
        <v>7009</v>
      </c>
      <c r="B65" s="46" t="s">
        <v>7010</v>
      </c>
      <c r="C65" s="46">
        <v>57</v>
      </c>
      <c r="D65" s="46" t="s">
        <v>6835</v>
      </c>
      <c r="E65" s="46" t="s">
        <v>191</v>
      </c>
      <c r="F65" s="46" t="s">
        <v>145</v>
      </c>
      <c r="I65" s="46">
        <v>1</v>
      </c>
      <c r="M65" s="46">
        <v>1</v>
      </c>
      <c r="R65" s="46">
        <v>1</v>
      </c>
      <c r="S65" s="46">
        <v>1</v>
      </c>
      <c r="W65" s="46">
        <v>14</v>
      </c>
      <c r="X65" s="46">
        <v>14</v>
      </c>
      <c r="Y65" s="46">
        <v>15</v>
      </c>
      <c r="Z65" s="46">
        <v>8</v>
      </c>
      <c r="AA65" s="46">
        <v>8</v>
      </c>
      <c r="AB65" s="46">
        <v>7</v>
      </c>
      <c r="AG65" s="46">
        <v>1</v>
      </c>
      <c r="AH65" s="46">
        <v>1</v>
      </c>
      <c r="AI65" s="46">
        <v>1</v>
      </c>
      <c r="AK65" s="46">
        <v>1</v>
      </c>
      <c r="AT65" s="46">
        <v>1</v>
      </c>
      <c r="AW65" s="46">
        <v>1</v>
      </c>
      <c r="BA65" s="46">
        <v>1</v>
      </c>
      <c r="BL65" s="46">
        <v>1</v>
      </c>
      <c r="CB65" s="46">
        <v>1</v>
      </c>
      <c r="CE65" s="46">
        <v>1</v>
      </c>
      <c r="CK65" s="46">
        <v>1</v>
      </c>
      <c r="CT65" s="46" t="s">
        <v>6346</v>
      </c>
    </row>
    <row r="66" spans="1:98">
      <c r="A66" s="46" t="s">
        <v>7011</v>
      </c>
      <c r="B66" s="46" t="s">
        <v>7012</v>
      </c>
      <c r="C66" s="46">
        <v>70</v>
      </c>
      <c r="D66" s="46" t="s">
        <v>6835</v>
      </c>
      <c r="E66" s="46" t="s">
        <v>191</v>
      </c>
      <c r="F66" s="46" t="s">
        <v>5946</v>
      </c>
      <c r="H66" s="46">
        <v>1</v>
      </c>
      <c r="P66" s="46">
        <v>1</v>
      </c>
      <c r="Q66" s="46">
        <v>1</v>
      </c>
      <c r="W66" s="46">
        <v>15</v>
      </c>
      <c r="X66" s="46">
        <v>20</v>
      </c>
      <c r="Y66" s="46">
        <v>21</v>
      </c>
      <c r="Z66" s="46">
        <v>7</v>
      </c>
      <c r="AA66" s="46">
        <v>7</v>
      </c>
      <c r="AB66" s="46">
        <v>5</v>
      </c>
      <c r="AG66" s="46">
        <v>1</v>
      </c>
      <c r="AH66" s="46">
        <v>1</v>
      </c>
      <c r="AI66" s="46">
        <v>1</v>
      </c>
      <c r="AK66" s="46">
        <v>1</v>
      </c>
      <c r="AT66" s="46">
        <v>1</v>
      </c>
      <c r="AW66" s="46">
        <v>1</v>
      </c>
      <c r="BA66" s="46">
        <v>1</v>
      </c>
      <c r="BL66" s="46">
        <v>1</v>
      </c>
      <c r="CB66" s="46">
        <v>1</v>
      </c>
      <c r="CE66" s="46">
        <v>1</v>
      </c>
      <c r="CK66" s="46">
        <v>1</v>
      </c>
      <c r="CT66" s="46" t="s">
        <v>6346</v>
      </c>
    </row>
    <row r="67" spans="1:98">
      <c r="A67" s="46" t="s">
        <v>7013</v>
      </c>
      <c r="B67" s="46" t="s">
        <v>7014</v>
      </c>
      <c r="C67" s="46">
        <v>56</v>
      </c>
      <c r="D67" s="46" t="s">
        <v>6835</v>
      </c>
      <c r="E67" s="46" t="s">
        <v>191</v>
      </c>
      <c r="F67" s="46" t="s">
        <v>1045</v>
      </c>
      <c r="G67" s="46">
        <v>1</v>
      </c>
      <c r="M67" s="46">
        <v>1</v>
      </c>
      <c r="Q67" s="46">
        <v>1</v>
      </c>
      <c r="S67" s="46">
        <v>1</v>
      </c>
      <c r="W67" s="46">
        <v>14</v>
      </c>
      <c r="X67" s="46">
        <v>15</v>
      </c>
      <c r="Y67" s="46">
        <v>16</v>
      </c>
      <c r="Z67" s="46">
        <v>12</v>
      </c>
      <c r="AA67" s="46">
        <v>12</v>
      </c>
      <c r="AB67" s="46">
        <v>12</v>
      </c>
      <c r="AE67" s="46">
        <v>1</v>
      </c>
      <c r="AG67" s="46">
        <v>1</v>
      </c>
      <c r="AH67" s="46">
        <v>1</v>
      </c>
      <c r="AI67" s="46">
        <v>1</v>
      </c>
      <c r="AK67" s="46">
        <v>1</v>
      </c>
      <c r="AT67" s="46">
        <v>1</v>
      </c>
      <c r="AW67" s="46">
        <v>1</v>
      </c>
      <c r="BA67" s="46">
        <v>1</v>
      </c>
      <c r="BL67" s="46">
        <v>1</v>
      </c>
      <c r="CB67" s="46">
        <v>1</v>
      </c>
      <c r="CE67" s="46">
        <v>1</v>
      </c>
      <c r="CK67" s="46">
        <v>1</v>
      </c>
      <c r="CT67" s="46" t="s">
        <v>6346</v>
      </c>
    </row>
    <row r="68" spans="1:98">
      <c r="A68" s="46" t="s">
        <v>7015</v>
      </c>
      <c r="B68" s="46" t="s">
        <v>7016</v>
      </c>
      <c r="C68" s="46">
        <v>50</v>
      </c>
      <c r="D68" s="46" t="s">
        <v>6835</v>
      </c>
      <c r="E68" s="46" t="s">
        <v>7017</v>
      </c>
      <c r="F68" s="46" t="s">
        <v>107</v>
      </c>
      <c r="I68" s="46">
        <v>1</v>
      </c>
      <c r="M68" s="46">
        <v>1</v>
      </c>
      <c r="R68" s="46">
        <v>1</v>
      </c>
      <c r="T68" s="46">
        <v>1</v>
      </c>
      <c r="W68" s="46">
        <v>14</v>
      </c>
      <c r="X68" s="244"/>
      <c r="Y68" s="46">
        <v>15</v>
      </c>
      <c r="Z68" s="46">
        <v>15</v>
      </c>
      <c r="AA68" s="46">
        <v>12</v>
      </c>
      <c r="AB68" s="46">
        <v>8</v>
      </c>
      <c r="AD68" s="46">
        <v>1</v>
      </c>
      <c r="AH68" s="46">
        <v>1</v>
      </c>
      <c r="AI68" s="46">
        <v>1</v>
      </c>
      <c r="AK68" s="46">
        <v>1</v>
      </c>
      <c r="AT68" s="46">
        <v>1</v>
      </c>
      <c r="AW68" s="46">
        <v>1</v>
      </c>
      <c r="BA68" s="46">
        <v>1</v>
      </c>
      <c r="BL68" s="46">
        <v>1</v>
      </c>
      <c r="CB68" s="46">
        <v>1</v>
      </c>
      <c r="CE68" s="46">
        <v>1</v>
      </c>
      <c r="CK68" s="46">
        <v>1</v>
      </c>
      <c r="CT68" s="46" t="s">
        <v>6346</v>
      </c>
    </row>
    <row r="69" spans="1:98">
      <c r="A69" s="46" t="s">
        <v>7018</v>
      </c>
      <c r="B69" s="46" t="s">
        <v>7019</v>
      </c>
      <c r="C69" s="46">
        <v>45</v>
      </c>
      <c r="D69" s="46" t="s">
        <v>6835</v>
      </c>
      <c r="E69" s="46" t="s">
        <v>191</v>
      </c>
      <c r="F69" s="46" t="s">
        <v>1045</v>
      </c>
      <c r="G69" s="46">
        <v>1</v>
      </c>
      <c r="P69" s="46">
        <v>1</v>
      </c>
      <c r="Q69" s="46">
        <v>1</v>
      </c>
      <c r="S69" s="46">
        <v>1</v>
      </c>
      <c r="W69" s="244"/>
      <c r="X69" s="244"/>
      <c r="Y69" s="244"/>
      <c r="Z69" s="46">
        <v>2</v>
      </c>
      <c r="AA69" s="46">
        <v>2</v>
      </c>
      <c r="AB69" s="46">
        <v>2</v>
      </c>
      <c r="AC69" s="46">
        <v>1</v>
      </c>
      <c r="AI69" s="46">
        <v>1</v>
      </c>
      <c r="AK69" s="46">
        <v>1</v>
      </c>
      <c r="AT69" s="46">
        <v>1</v>
      </c>
      <c r="AW69" s="46">
        <v>1</v>
      </c>
      <c r="BA69" s="46">
        <v>1</v>
      </c>
      <c r="BL69" s="46">
        <v>1</v>
      </c>
      <c r="CB69" s="46">
        <v>1</v>
      </c>
      <c r="CE69" s="46">
        <v>1</v>
      </c>
      <c r="CK69" s="46">
        <v>1</v>
      </c>
      <c r="CT69" s="46" t="s">
        <v>6346</v>
      </c>
    </row>
    <row r="70" spans="1:98">
      <c r="A70" s="46" t="s">
        <v>7020</v>
      </c>
      <c r="B70" s="46" t="s">
        <v>7021</v>
      </c>
      <c r="C70" s="46">
        <v>77</v>
      </c>
      <c r="D70" s="46" t="s">
        <v>6835</v>
      </c>
      <c r="E70" s="46" t="s">
        <v>7022</v>
      </c>
      <c r="F70" s="46" t="s">
        <v>112</v>
      </c>
      <c r="I70" s="46">
        <v>1</v>
      </c>
      <c r="M70" s="46">
        <v>1</v>
      </c>
      <c r="Q70" s="46">
        <v>1</v>
      </c>
      <c r="T70" s="46">
        <v>1</v>
      </c>
      <c r="W70" s="46">
        <v>16</v>
      </c>
      <c r="X70" s="46">
        <v>18</v>
      </c>
      <c r="Y70" s="46">
        <v>19</v>
      </c>
      <c r="Z70" s="46">
        <v>11</v>
      </c>
      <c r="AA70" s="46">
        <v>11</v>
      </c>
      <c r="AB70" s="46">
        <v>6</v>
      </c>
      <c r="AG70" s="46">
        <v>1</v>
      </c>
      <c r="AH70" s="46">
        <v>1</v>
      </c>
      <c r="AI70" s="46">
        <v>1</v>
      </c>
      <c r="AK70" s="46">
        <v>1</v>
      </c>
      <c r="AT70" s="46">
        <v>1</v>
      </c>
      <c r="AW70" s="46">
        <v>1</v>
      </c>
      <c r="BA70" s="46">
        <v>1</v>
      </c>
      <c r="BL70" s="46">
        <v>1</v>
      </c>
      <c r="BY70" s="46">
        <v>1</v>
      </c>
      <c r="CB70" s="46">
        <v>1</v>
      </c>
      <c r="CE70" s="46">
        <v>1</v>
      </c>
      <c r="CK70" s="46">
        <v>1</v>
      </c>
      <c r="CT70" s="46" t="s">
        <v>6346</v>
      </c>
    </row>
    <row r="71" spans="1:98">
      <c r="A71" s="46" t="s">
        <v>7023</v>
      </c>
      <c r="B71" s="46" t="s">
        <v>7024</v>
      </c>
      <c r="C71" s="46">
        <v>58</v>
      </c>
      <c r="D71" s="46" t="s">
        <v>6835</v>
      </c>
      <c r="E71" s="46" t="s">
        <v>7025</v>
      </c>
      <c r="F71" s="46" t="s">
        <v>173</v>
      </c>
      <c r="G71" s="46">
        <v>1</v>
      </c>
      <c r="M71" s="46">
        <v>1</v>
      </c>
      <c r="Q71" s="46">
        <v>1</v>
      </c>
      <c r="T71" s="46">
        <v>1</v>
      </c>
      <c r="W71" s="46">
        <v>14</v>
      </c>
      <c r="X71" s="46">
        <v>20</v>
      </c>
      <c r="Y71" s="46">
        <v>35</v>
      </c>
      <c r="Z71" s="46">
        <v>1</v>
      </c>
      <c r="AA71" s="46">
        <v>1</v>
      </c>
      <c r="AB71" s="46">
        <v>1</v>
      </c>
      <c r="AF71" s="46">
        <v>1</v>
      </c>
      <c r="AI71" s="46">
        <v>1</v>
      </c>
      <c r="AK71" s="46">
        <v>1</v>
      </c>
      <c r="AT71" s="46">
        <v>1</v>
      </c>
      <c r="AW71" s="46">
        <v>1</v>
      </c>
      <c r="BA71" s="46">
        <v>1</v>
      </c>
      <c r="BL71" s="46">
        <v>1</v>
      </c>
      <c r="CB71" s="46">
        <v>1</v>
      </c>
      <c r="CE71" s="244"/>
      <c r="CF71" s="244"/>
      <c r="CK71" s="46">
        <v>1</v>
      </c>
      <c r="CT71" s="46" t="s">
        <v>6346</v>
      </c>
    </row>
    <row r="72" spans="1:98">
      <c r="A72" s="46" t="s">
        <v>7026</v>
      </c>
      <c r="B72" s="46" t="s">
        <v>7027</v>
      </c>
      <c r="C72" s="46">
        <v>63</v>
      </c>
      <c r="D72" s="46" t="s">
        <v>6835</v>
      </c>
      <c r="E72" s="46" t="s">
        <v>191</v>
      </c>
      <c r="F72" s="46" t="s">
        <v>112</v>
      </c>
      <c r="J72" s="46">
        <v>1</v>
      </c>
      <c r="P72" s="46">
        <v>1</v>
      </c>
      <c r="R72" s="46">
        <v>1</v>
      </c>
      <c r="S72" s="46">
        <v>1</v>
      </c>
      <c r="W72" s="244"/>
      <c r="X72" s="46">
        <v>16</v>
      </c>
      <c r="Y72" s="46">
        <v>18</v>
      </c>
      <c r="Z72" s="46">
        <v>10</v>
      </c>
      <c r="AA72" s="46">
        <v>10</v>
      </c>
      <c r="AB72" s="46">
        <v>7</v>
      </c>
      <c r="AE72" s="46">
        <v>1</v>
      </c>
      <c r="AG72" s="46">
        <v>1</v>
      </c>
      <c r="AH72" s="46">
        <v>1</v>
      </c>
      <c r="AI72" s="46">
        <v>1</v>
      </c>
      <c r="AK72" s="46">
        <v>1</v>
      </c>
      <c r="AT72" s="46">
        <v>1</v>
      </c>
      <c r="AX72" s="46">
        <v>1</v>
      </c>
      <c r="BA72" s="46">
        <v>1</v>
      </c>
      <c r="BL72" s="46">
        <v>1</v>
      </c>
      <c r="CB72" s="46">
        <v>1</v>
      </c>
      <c r="CE72" s="46">
        <v>1</v>
      </c>
      <c r="CK72" s="46">
        <v>1</v>
      </c>
      <c r="CT72" s="46" t="s">
        <v>6346</v>
      </c>
    </row>
    <row r="73" spans="1:98">
      <c r="A73" s="46" t="s">
        <v>7028</v>
      </c>
      <c r="B73" s="46" t="s">
        <v>7029</v>
      </c>
      <c r="C73" s="46">
        <v>52</v>
      </c>
      <c r="D73" s="46" t="s">
        <v>6835</v>
      </c>
      <c r="E73" s="46" t="s">
        <v>7030</v>
      </c>
      <c r="F73" s="46" t="s">
        <v>112</v>
      </c>
      <c r="J73" s="46">
        <v>1</v>
      </c>
      <c r="M73" s="46">
        <v>1</v>
      </c>
      <c r="R73" s="46">
        <v>1</v>
      </c>
      <c r="S73" s="46">
        <v>1</v>
      </c>
      <c r="W73" s="46">
        <v>14</v>
      </c>
      <c r="X73" s="46">
        <v>16</v>
      </c>
      <c r="Y73" s="46">
        <v>17</v>
      </c>
      <c r="Z73" s="46">
        <v>8</v>
      </c>
      <c r="AA73" s="46">
        <v>8</v>
      </c>
      <c r="AB73" s="46">
        <v>8</v>
      </c>
      <c r="AG73" s="46">
        <v>1</v>
      </c>
      <c r="AH73" s="46">
        <v>1</v>
      </c>
      <c r="AI73" s="46">
        <v>1</v>
      </c>
      <c r="AK73" s="46">
        <v>1</v>
      </c>
      <c r="AT73" s="46">
        <v>1</v>
      </c>
      <c r="AX73" s="46">
        <v>1</v>
      </c>
      <c r="BA73" s="46">
        <v>1</v>
      </c>
      <c r="BL73" s="46">
        <v>1</v>
      </c>
      <c r="BY73" s="46">
        <v>1</v>
      </c>
      <c r="CB73" s="46">
        <v>1</v>
      </c>
      <c r="CE73" s="46">
        <v>1</v>
      </c>
      <c r="CK73" s="46">
        <v>1</v>
      </c>
      <c r="CT73" s="46" t="s">
        <v>6346</v>
      </c>
    </row>
    <row r="74" spans="1:98">
      <c r="A74" s="46" t="s">
        <v>7031</v>
      </c>
      <c r="B74" s="46" t="s">
        <v>7032</v>
      </c>
      <c r="C74" s="46">
        <v>63</v>
      </c>
      <c r="D74" s="46" t="s">
        <v>6835</v>
      </c>
      <c r="E74" s="46" t="s">
        <v>7033</v>
      </c>
      <c r="F74" s="46" t="s">
        <v>112</v>
      </c>
      <c r="G74" s="46">
        <v>1</v>
      </c>
      <c r="O74" s="46">
        <v>1</v>
      </c>
      <c r="Q74" s="46">
        <v>1</v>
      </c>
      <c r="S74" s="46">
        <v>1</v>
      </c>
      <c r="W74" s="46">
        <v>13</v>
      </c>
      <c r="X74" s="46">
        <v>15</v>
      </c>
      <c r="Y74" s="46">
        <v>18</v>
      </c>
      <c r="Z74" s="46">
        <v>7</v>
      </c>
      <c r="AA74" s="46">
        <v>7</v>
      </c>
      <c r="AB74" s="46">
        <v>4</v>
      </c>
      <c r="AG74" s="46">
        <v>1</v>
      </c>
      <c r="AH74" s="46">
        <v>1</v>
      </c>
      <c r="AI74" s="46">
        <v>1</v>
      </c>
      <c r="AK74" s="46">
        <v>1</v>
      </c>
      <c r="AT74" s="46">
        <v>1</v>
      </c>
      <c r="AX74" s="46">
        <v>1</v>
      </c>
      <c r="BA74" s="46">
        <v>1</v>
      </c>
      <c r="BL74" s="46">
        <v>1</v>
      </c>
      <c r="BY74" s="46">
        <v>1</v>
      </c>
      <c r="CB74" s="46">
        <v>1</v>
      </c>
      <c r="CE74" s="46">
        <v>1</v>
      </c>
      <c r="CK74" s="46">
        <v>1</v>
      </c>
      <c r="CT74" s="46" t="s">
        <v>6346</v>
      </c>
    </row>
    <row r="75" spans="1:98">
      <c r="A75" s="46" t="s">
        <v>7034</v>
      </c>
      <c r="B75" s="46" t="s">
        <v>7035</v>
      </c>
      <c r="C75" s="46">
        <v>60</v>
      </c>
      <c r="D75" s="46" t="s">
        <v>6835</v>
      </c>
      <c r="E75" s="46" t="s">
        <v>7036</v>
      </c>
      <c r="F75" s="46" t="s">
        <v>1045</v>
      </c>
      <c r="J75" s="46">
        <v>1</v>
      </c>
      <c r="P75" s="46">
        <v>1</v>
      </c>
      <c r="Q75" s="46">
        <v>1</v>
      </c>
      <c r="S75" s="46">
        <v>1</v>
      </c>
      <c r="W75" s="244"/>
      <c r="X75" s="244"/>
      <c r="Y75" s="46">
        <v>18</v>
      </c>
      <c r="Z75" s="46">
        <v>12</v>
      </c>
      <c r="AA75" s="46">
        <v>12</v>
      </c>
      <c r="AB75" s="46">
        <v>8</v>
      </c>
      <c r="AH75" s="46">
        <v>1</v>
      </c>
      <c r="AI75" s="46">
        <v>1</v>
      </c>
      <c r="AL75" s="46">
        <v>1</v>
      </c>
      <c r="AO75" s="244"/>
      <c r="AP75" s="244"/>
      <c r="AS75" s="46">
        <v>1</v>
      </c>
      <c r="AT75" s="46">
        <v>1</v>
      </c>
      <c r="AW75" s="46">
        <v>1</v>
      </c>
      <c r="BA75" s="46">
        <v>1</v>
      </c>
      <c r="BL75" s="46">
        <v>1</v>
      </c>
      <c r="BY75" s="46">
        <v>1</v>
      </c>
      <c r="CB75" s="46">
        <v>1</v>
      </c>
      <c r="CE75" s="46">
        <v>1</v>
      </c>
      <c r="CK75" s="46">
        <v>1</v>
      </c>
      <c r="CT75" s="46" t="s">
        <v>6346</v>
      </c>
    </row>
    <row r="76" spans="1:98">
      <c r="A76" s="46" t="s">
        <v>7037</v>
      </c>
      <c r="B76" s="46" t="s">
        <v>7038</v>
      </c>
      <c r="C76" s="46">
        <v>78</v>
      </c>
      <c r="D76" s="46" t="s">
        <v>6835</v>
      </c>
      <c r="E76" s="46" t="s">
        <v>191</v>
      </c>
      <c r="F76" s="46" t="s">
        <v>145</v>
      </c>
      <c r="G76" s="46">
        <v>1</v>
      </c>
      <c r="P76" s="46">
        <v>1</v>
      </c>
      <c r="R76" s="46">
        <v>1</v>
      </c>
      <c r="S76" s="46">
        <v>1</v>
      </c>
      <c r="W76" s="46">
        <v>14</v>
      </c>
      <c r="X76" s="46">
        <v>15</v>
      </c>
      <c r="Y76" s="244"/>
      <c r="Z76" s="46">
        <v>6</v>
      </c>
      <c r="AA76" s="46">
        <v>6</v>
      </c>
      <c r="AB76" s="46">
        <v>3</v>
      </c>
      <c r="AC76" s="46">
        <v>1</v>
      </c>
      <c r="AI76" s="46">
        <v>1</v>
      </c>
      <c r="AK76" s="46">
        <v>1</v>
      </c>
      <c r="AT76" s="46">
        <v>1</v>
      </c>
      <c r="AW76" s="46">
        <v>1</v>
      </c>
      <c r="BA76" s="46">
        <v>1</v>
      </c>
      <c r="BL76" s="46">
        <v>1</v>
      </c>
      <c r="BY76" s="46">
        <v>1</v>
      </c>
      <c r="CB76" s="46">
        <v>1</v>
      </c>
      <c r="CE76" s="46">
        <v>1</v>
      </c>
      <c r="CK76" s="46">
        <v>1</v>
      </c>
      <c r="CT76" s="46" t="s">
        <v>6346</v>
      </c>
    </row>
    <row r="77" spans="1:98">
      <c r="A77" s="46" t="s">
        <v>7039</v>
      </c>
      <c r="B77" s="46" t="s">
        <v>7040</v>
      </c>
      <c r="C77" s="46">
        <v>60</v>
      </c>
      <c r="D77" s="46" t="s">
        <v>6835</v>
      </c>
      <c r="E77" s="46" t="s">
        <v>191</v>
      </c>
      <c r="F77" s="46" t="s">
        <v>1045</v>
      </c>
      <c r="G77" s="46">
        <v>1</v>
      </c>
      <c r="O77" s="46">
        <v>1</v>
      </c>
      <c r="R77" s="46">
        <v>1</v>
      </c>
      <c r="T77" s="46">
        <v>1</v>
      </c>
      <c r="W77" s="46">
        <v>20</v>
      </c>
      <c r="X77" s="46">
        <v>22</v>
      </c>
      <c r="Y77" s="46">
        <v>23</v>
      </c>
      <c r="Z77" s="46">
        <v>3</v>
      </c>
      <c r="AA77" s="46">
        <v>3</v>
      </c>
      <c r="AB77" s="46">
        <v>2</v>
      </c>
      <c r="AE77" s="46">
        <v>1</v>
      </c>
      <c r="AI77" s="46">
        <v>1</v>
      </c>
      <c r="AK77" s="46">
        <v>1</v>
      </c>
      <c r="AT77" s="46">
        <v>1</v>
      </c>
      <c r="AW77" s="46">
        <v>1</v>
      </c>
      <c r="BA77" s="46">
        <v>1</v>
      </c>
      <c r="BL77" s="46">
        <v>1</v>
      </c>
      <c r="CB77" s="46">
        <v>1</v>
      </c>
      <c r="CE77" s="46">
        <v>1</v>
      </c>
      <c r="CK77" s="46">
        <v>1</v>
      </c>
      <c r="CT77" s="46" t="s">
        <v>6346</v>
      </c>
    </row>
    <row r="78" spans="1:98">
      <c r="A78" s="46" t="s">
        <v>7041</v>
      </c>
      <c r="B78" s="46" t="s">
        <v>7042</v>
      </c>
      <c r="C78" s="46">
        <v>45</v>
      </c>
      <c r="D78" s="46" t="s">
        <v>6835</v>
      </c>
      <c r="E78" s="46" t="s">
        <v>7043</v>
      </c>
      <c r="F78" s="46" t="s">
        <v>112</v>
      </c>
      <c r="I78" s="46">
        <v>1</v>
      </c>
      <c r="M78" s="46">
        <v>1</v>
      </c>
      <c r="Q78" s="46">
        <v>1</v>
      </c>
      <c r="T78" s="46">
        <v>1</v>
      </c>
      <c r="W78" s="46">
        <v>14</v>
      </c>
      <c r="X78" s="46">
        <v>16</v>
      </c>
      <c r="Y78" s="46">
        <v>18</v>
      </c>
      <c r="Z78" s="46">
        <v>12</v>
      </c>
      <c r="AA78" s="46">
        <v>12</v>
      </c>
      <c r="AB78" s="46">
        <v>8</v>
      </c>
      <c r="AC78" s="46">
        <v>1</v>
      </c>
      <c r="AI78" s="46">
        <v>1</v>
      </c>
      <c r="AK78" s="46">
        <v>1</v>
      </c>
      <c r="AT78" s="46">
        <v>1</v>
      </c>
      <c r="AW78" s="244"/>
      <c r="AX78" s="244"/>
      <c r="AY78" s="244"/>
      <c r="AZ78" s="244"/>
      <c r="BA78" s="46">
        <v>1</v>
      </c>
      <c r="BL78" s="46">
        <v>1</v>
      </c>
      <c r="CB78" s="46">
        <v>1</v>
      </c>
      <c r="CE78" s="46">
        <v>1</v>
      </c>
      <c r="CK78" s="46">
        <v>1</v>
      </c>
      <c r="CT78" s="46" t="s">
        <v>6346</v>
      </c>
    </row>
    <row r="79" spans="1:98">
      <c r="A79" s="46" t="s">
        <v>7044</v>
      </c>
      <c r="B79" s="46" t="s">
        <v>7045</v>
      </c>
      <c r="C79" s="46">
        <v>50</v>
      </c>
      <c r="D79" s="46" t="s">
        <v>6835</v>
      </c>
      <c r="E79" s="46" t="s">
        <v>7046</v>
      </c>
      <c r="F79" s="46" t="s">
        <v>112</v>
      </c>
      <c r="I79" s="46">
        <v>1</v>
      </c>
      <c r="O79" s="46">
        <v>1</v>
      </c>
      <c r="Q79" s="244"/>
      <c r="R79" s="244"/>
      <c r="S79" s="46">
        <v>1</v>
      </c>
      <c r="W79" s="46">
        <v>14</v>
      </c>
      <c r="X79" s="46">
        <v>18</v>
      </c>
      <c r="Y79" s="244"/>
      <c r="Z79" s="46">
        <v>6</v>
      </c>
      <c r="AA79" s="46">
        <v>6</v>
      </c>
      <c r="AB79" s="46">
        <v>5</v>
      </c>
      <c r="AH79" s="46">
        <v>1</v>
      </c>
      <c r="AI79" s="46">
        <v>1</v>
      </c>
      <c r="AM79" s="46">
        <v>1</v>
      </c>
      <c r="AT79" s="46">
        <v>1</v>
      </c>
      <c r="AW79" s="46">
        <v>1</v>
      </c>
      <c r="BA79" s="46">
        <v>1</v>
      </c>
      <c r="BL79" s="46">
        <v>1</v>
      </c>
      <c r="CB79" s="46">
        <v>1</v>
      </c>
      <c r="CE79" s="46">
        <v>1</v>
      </c>
      <c r="CK79" s="46">
        <v>1</v>
      </c>
      <c r="CT79" s="46" t="s">
        <v>6346</v>
      </c>
    </row>
    <row r="80" spans="1:98">
      <c r="A80" s="46" t="s">
        <v>7047</v>
      </c>
      <c r="B80" s="46" t="s">
        <v>7048</v>
      </c>
      <c r="C80" s="46">
        <v>62</v>
      </c>
      <c r="D80" s="46" t="s">
        <v>6835</v>
      </c>
      <c r="E80" s="46" t="s">
        <v>7049</v>
      </c>
      <c r="F80" s="46" t="s">
        <v>145</v>
      </c>
      <c r="G80" s="46">
        <v>1</v>
      </c>
      <c r="P80" s="46">
        <v>1</v>
      </c>
      <c r="Q80" s="46">
        <v>1</v>
      </c>
      <c r="S80" s="46">
        <v>1</v>
      </c>
      <c r="W80" s="46">
        <v>17</v>
      </c>
      <c r="X80" s="46">
        <v>17</v>
      </c>
      <c r="Y80" s="46">
        <v>18</v>
      </c>
      <c r="Z80" s="46">
        <v>1</v>
      </c>
      <c r="AA80" s="46">
        <v>1</v>
      </c>
      <c r="AB80" s="46">
        <v>0</v>
      </c>
      <c r="AH80" s="46">
        <v>1</v>
      </c>
      <c r="AI80" s="46">
        <v>1</v>
      </c>
      <c r="AK80" s="46">
        <v>1</v>
      </c>
      <c r="AT80" s="46">
        <v>1</v>
      </c>
      <c r="AW80" s="46">
        <v>1</v>
      </c>
      <c r="BB80" s="46">
        <v>1</v>
      </c>
      <c r="BG80" s="46">
        <v>1</v>
      </c>
      <c r="BL80" s="46">
        <v>1</v>
      </c>
      <c r="BY80" s="46">
        <v>1</v>
      </c>
      <c r="CB80" s="46">
        <v>1</v>
      </c>
      <c r="CE80" s="46">
        <v>1</v>
      </c>
      <c r="CK80" s="46">
        <v>1</v>
      </c>
      <c r="CT80" s="46" t="s">
        <v>6346</v>
      </c>
    </row>
    <row r="81" spans="1:98">
      <c r="A81" s="46" t="s">
        <v>7050</v>
      </c>
      <c r="B81" s="46" t="s">
        <v>7051</v>
      </c>
      <c r="C81" s="46">
        <v>80</v>
      </c>
      <c r="D81" s="46" t="s">
        <v>6835</v>
      </c>
      <c r="E81" s="46" t="s">
        <v>191</v>
      </c>
      <c r="F81" s="46" t="s">
        <v>112</v>
      </c>
      <c r="I81" s="46">
        <v>1</v>
      </c>
      <c r="P81" s="46">
        <v>1</v>
      </c>
      <c r="R81" s="46">
        <v>1</v>
      </c>
      <c r="S81" s="46">
        <v>1</v>
      </c>
      <c r="W81" s="244"/>
      <c r="X81" s="244"/>
      <c r="Y81" s="46">
        <v>14</v>
      </c>
      <c r="Z81" s="46">
        <v>8</v>
      </c>
      <c r="AA81" s="46">
        <v>8</v>
      </c>
      <c r="AB81" s="46">
        <v>4</v>
      </c>
      <c r="AG81" s="46">
        <v>1</v>
      </c>
      <c r="AH81" s="46">
        <v>1</v>
      </c>
      <c r="AI81" s="46">
        <v>1</v>
      </c>
      <c r="AM81" s="46">
        <v>1</v>
      </c>
      <c r="AT81" s="46">
        <v>1</v>
      </c>
      <c r="AW81" s="46">
        <v>1</v>
      </c>
      <c r="BB81" s="46">
        <v>1</v>
      </c>
      <c r="BG81" s="46">
        <v>1</v>
      </c>
      <c r="BL81" s="46">
        <v>1</v>
      </c>
      <c r="BY81" s="46">
        <v>1</v>
      </c>
      <c r="CB81" s="46">
        <v>1</v>
      </c>
      <c r="CE81" s="46">
        <v>1</v>
      </c>
      <c r="CK81" s="46">
        <v>1</v>
      </c>
      <c r="CT81" s="46" t="s">
        <v>6346</v>
      </c>
    </row>
    <row r="82" spans="1:98">
      <c r="A82" s="46" t="s">
        <v>7052</v>
      </c>
      <c r="B82" s="46" t="s">
        <v>4486</v>
      </c>
      <c r="C82" s="46">
        <v>61</v>
      </c>
      <c r="D82" s="46" t="s">
        <v>6835</v>
      </c>
      <c r="E82" s="46" t="s">
        <v>6899</v>
      </c>
      <c r="F82" s="46" t="s">
        <v>112</v>
      </c>
      <c r="I82" s="46">
        <v>1</v>
      </c>
      <c r="M82" s="46">
        <v>1</v>
      </c>
      <c r="Q82" s="46">
        <v>1</v>
      </c>
      <c r="T82" s="46">
        <v>1</v>
      </c>
      <c r="W82" s="46">
        <v>14</v>
      </c>
      <c r="X82" s="46">
        <v>14</v>
      </c>
      <c r="Y82" s="46">
        <v>22</v>
      </c>
      <c r="Z82" s="46">
        <v>1</v>
      </c>
      <c r="AA82" s="46">
        <v>1</v>
      </c>
      <c r="AB82" s="46">
        <v>1</v>
      </c>
      <c r="AC82" s="46">
        <v>1</v>
      </c>
      <c r="AI82" s="46">
        <v>1</v>
      </c>
      <c r="AK82" s="46">
        <v>1</v>
      </c>
      <c r="AU82" s="46">
        <v>1</v>
      </c>
      <c r="AX82" s="46">
        <v>1</v>
      </c>
      <c r="BA82" s="46">
        <v>1</v>
      </c>
      <c r="BL82" s="46">
        <v>1</v>
      </c>
      <c r="CB82" s="46">
        <v>1</v>
      </c>
      <c r="CE82" s="46">
        <v>1</v>
      </c>
      <c r="CK82" s="46">
        <v>1</v>
      </c>
      <c r="CT82" s="46" t="s">
        <v>6346</v>
      </c>
    </row>
    <row r="83" spans="1:98">
      <c r="A83" s="46" t="s">
        <v>7053</v>
      </c>
      <c r="B83" s="46" t="s">
        <v>7054</v>
      </c>
      <c r="C83" s="46">
        <v>60</v>
      </c>
      <c r="D83" s="46" t="s">
        <v>6835</v>
      </c>
      <c r="E83" s="46" t="s">
        <v>7055</v>
      </c>
      <c r="F83" s="46" t="s">
        <v>662</v>
      </c>
      <c r="J83" s="46">
        <v>1</v>
      </c>
      <c r="P83" s="46">
        <v>1</v>
      </c>
      <c r="R83" s="46">
        <v>1</v>
      </c>
      <c r="S83" s="46">
        <v>1</v>
      </c>
      <c r="W83" s="46">
        <v>14</v>
      </c>
      <c r="X83" s="46">
        <v>15</v>
      </c>
      <c r="Y83" s="46">
        <v>20</v>
      </c>
      <c r="Z83" s="46">
        <v>5</v>
      </c>
      <c r="AA83" s="46">
        <v>5</v>
      </c>
      <c r="AB83" s="46">
        <v>2</v>
      </c>
      <c r="AE83" s="46">
        <v>1</v>
      </c>
      <c r="AH83" s="46">
        <v>1</v>
      </c>
      <c r="AI83" s="46">
        <v>1</v>
      </c>
      <c r="AK83" s="46">
        <v>1</v>
      </c>
      <c r="AT83" s="46">
        <v>1</v>
      </c>
      <c r="AX83" s="46">
        <v>1</v>
      </c>
      <c r="BA83" s="46">
        <v>1</v>
      </c>
      <c r="BM83" s="46">
        <v>1</v>
      </c>
      <c r="BY83" s="46">
        <v>1</v>
      </c>
      <c r="CC83" s="46">
        <v>1</v>
      </c>
      <c r="CD83" s="46">
        <v>2018</v>
      </c>
      <c r="CE83" s="46">
        <v>1</v>
      </c>
      <c r="CK83" s="46">
        <v>1</v>
      </c>
      <c r="CT83" s="46" t="s">
        <v>2368</v>
      </c>
    </row>
    <row r="84" spans="1:98">
      <c r="A84" s="46" t="s">
        <v>7056</v>
      </c>
      <c r="B84" s="46" t="s">
        <v>7057</v>
      </c>
      <c r="C84" s="46">
        <v>29</v>
      </c>
      <c r="D84" s="46" t="s">
        <v>6835</v>
      </c>
      <c r="E84" s="46" t="s">
        <v>7058</v>
      </c>
      <c r="F84" s="46" t="s">
        <v>173</v>
      </c>
      <c r="H84" s="46">
        <v>1</v>
      </c>
      <c r="M84" s="46">
        <v>1</v>
      </c>
      <c r="Q84" s="46">
        <v>1</v>
      </c>
      <c r="T84" s="46">
        <v>1</v>
      </c>
      <c r="W84" s="46">
        <v>18</v>
      </c>
      <c r="X84" s="46">
        <v>21</v>
      </c>
      <c r="Y84" s="46">
        <v>24</v>
      </c>
      <c r="Z84" s="46">
        <v>5</v>
      </c>
      <c r="AA84" s="46">
        <v>5</v>
      </c>
      <c r="AB84" s="46">
        <v>4</v>
      </c>
      <c r="AF84" s="46">
        <v>1</v>
      </c>
      <c r="AG84" s="46">
        <v>1</v>
      </c>
      <c r="AJ84" s="46">
        <v>1</v>
      </c>
      <c r="AK84" s="46">
        <v>1</v>
      </c>
      <c r="AT84" s="46">
        <v>1</v>
      </c>
      <c r="AW84" s="46">
        <v>1</v>
      </c>
      <c r="BA84" s="46">
        <v>1</v>
      </c>
      <c r="BJ84" s="46">
        <v>1</v>
      </c>
      <c r="BX84" s="46">
        <v>1</v>
      </c>
      <c r="BY84" s="46">
        <v>1</v>
      </c>
      <c r="CC84" s="46">
        <v>1</v>
      </c>
      <c r="CD84" s="134">
        <v>45413</v>
      </c>
      <c r="CE84" s="46">
        <v>1</v>
      </c>
      <c r="CK84" s="46">
        <v>1</v>
      </c>
      <c r="CT84" s="46" t="s">
        <v>6536</v>
      </c>
    </row>
    <row r="85" spans="1:98">
      <c r="A85" s="46" t="s">
        <v>7059</v>
      </c>
      <c r="B85" s="46" t="s">
        <v>7060</v>
      </c>
      <c r="C85" s="46">
        <v>22</v>
      </c>
      <c r="D85" s="46" t="s">
        <v>6835</v>
      </c>
      <c r="E85" s="46" t="s">
        <v>7061</v>
      </c>
      <c r="F85" s="46" t="s">
        <v>5946</v>
      </c>
      <c r="J85" s="46">
        <v>1</v>
      </c>
      <c r="M85" s="46">
        <v>1</v>
      </c>
      <c r="Q85" s="46">
        <v>1</v>
      </c>
      <c r="T85" s="46">
        <v>1</v>
      </c>
      <c r="W85" s="46">
        <v>15</v>
      </c>
      <c r="X85" s="46">
        <v>19</v>
      </c>
      <c r="Y85" s="46">
        <v>20</v>
      </c>
      <c r="Z85" s="46">
        <v>2</v>
      </c>
      <c r="AA85" s="46">
        <v>2</v>
      </c>
      <c r="AB85" s="46">
        <v>2</v>
      </c>
      <c r="AE85" s="46">
        <v>1</v>
      </c>
      <c r="AG85" s="46">
        <v>1</v>
      </c>
      <c r="AJ85" s="46">
        <v>1</v>
      </c>
      <c r="AK85" s="46">
        <v>1</v>
      </c>
      <c r="AT85" s="46">
        <v>1</v>
      </c>
      <c r="AW85" s="46">
        <v>1</v>
      </c>
      <c r="BA85" s="46">
        <v>1</v>
      </c>
      <c r="BJ85" s="46">
        <v>1</v>
      </c>
      <c r="BX85" s="46">
        <v>1</v>
      </c>
      <c r="BY85" s="46">
        <v>1</v>
      </c>
      <c r="CB85" s="46">
        <v>1</v>
      </c>
      <c r="CE85" s="46">
        <v>1</v>
      </c>
      <c r="CK85" s="46">
        <v>1</v>
      </c>
      <c r="CT85" s="46" t="s">
        <v>6536</v>
      </c>
    </row>
    <row r="86" spans="1:98">
      <c r="A86" s="46" t="s">
        <v>7062</v>
      </c>
      <c r="B86" s="46" t="s">
        <v>7063</v>
      </c>
      <c r="C86" s="46">
        <v>20</v>
      </c>
      <c r="D86" s="46" t="s">
        <v>6835</v>
      </c>
      <c r="E86" s="46" t="s">
        <v>7064</v>
      </c>
      <c r="F86" s="46" t="s">
        <v>112</v>
      </c>
      <c r="I86" s="46">
        <v>1</v>
      </c>
      <c r="M86" s="46">
        <v>1</v>
      </c>
      <c r="R86" s="46">
        <v>1</v>
      </c>
      <c r="T86" s="46">
        <v>1</v>
      </c>
      <c r="W86" s="46">
        <v>12</v>
      </c>
      <c r="X86" s="46">
        <v>12</v>
      </c>
      <c r="Y86" s="46">
        <v>12</v>
      </c>
      <c r="Z86" s="46">
        <v>3</v>
      </c>
      <c r="AA86" s="46">
        <v>3</v>
      </c>
      <c r="AB86" s="46">
        <v>3</v>
      </c>
      <c r="AH86" s="46">
        <v>1</v>
      </c>
      <c r="AJ86" s="46">
        <v>1</v>
      </c>
      <c r="AK86" s="46">
        <v>1</v>
      </c>
      <c r="AT86" s="46">
        <v>1</v>
      </c>
      <c r="AW86" s="46">
        <v>1</v>
      </c>
      <c r="BA86" s="46">
        <v>1</v>
      </c>
      <c r="BJ86" s="46">
        <v>1</v>
      </c>
      <c r="BX86" s="46">
        <v>1</v>
      </c>
      <c r="BY86" s="46">
        <v>1</v>
      </c>
      <c r="CB86" s="46">
        <v>1</v>
      </c>
      <c r="CE86" s="244"/>
      <c r="CF86" s="244"/>
      <c r="CK86" s="46">
        <v>1</v>
      </c>
      <c r="CT86" s="46" t="s">
        <v>6536</v>
      </c>
    </row>
    <row r="87" spans="1:98">
      <c r="A87" s="46" t="s">
        <v>7065</v>
      </c>
      <c r="B87" s="46" t="s">
        <v>7066</v>
      </c>
      <c r="C87" s="46">
        <v>32</v>
      </c>
      <c r="D87" s="46" t="s">
        <v>6835</v>
      </c>
      <c r="E87" s="46" t="s">
        <v>7067</v>
      </c>
      <c r="F87" s="46" t="s">
        <v>7068</v>
      </c>
      <c r="G87" s="46">
        <v>1</v>
      </c>
      <c r="M87" s="46">
        <v>1</v>
      </c>
      <c r="Q87" s="46">
        <v>1</v>
      </c>
      <c r="S87" s="244"/>
      <c r="T87" s="244"/>
      <c r="U87" s="244"/>
      <c r="V87" s="244"/>
      <c r="W87" s="46">
        <v>15</v>
      </c>
      <c r="X87" s="46">
        <v>15</v>
      </c>
      <c r="Y87" s="46">
        <v>17</v>
      </c>
      <c r="Z87" s="46">
        <v>5</v>
      </c>
      <c r="AA87" s="46">
        <v>5</v>
      </c>
      <c r="AB87" s="46">
        <v>5</v>
      </c>
      <c r="AH87" s="46">
        <v>1</v>
      </c>
      <c r="AI87" s="46">
        <v>1</v>
      </c>
      <c r="AK87" s="46">
        <v>1</v>
      </c>
      <c r="AT87" s="46">
        <v>1</v>
      </c>
      <c r="AW87" s="46">
        <v>1</v>
      </c>
      <c r="BA87" s="46">
        <v>1</v>
      </c>
      <c r="BJ87" s="46">
        <v>1</v>
      </c>
      <c r="BX87" s="46">
        <v>1</v>
      </c>
      <c r="BY87" s="46">
        <v>1</v>
      </c>
      <c r="CB87" s="46">
        <v>1</v>
      </c>
      <c r="CE87" s="46">
        <v>1</v>
      </c>
      <c r="CK87" s="46">
        <v>1</v>
      </c>
      <c r="CT87" s="46" t="s">
        <v>6536</v>
      </c>
    </row>
    <row r="88" spans="1:98">
      <c r="A88" s="46" t="s">
        <v>7069</v>
      </c>
      <c r="B88" s="46" t="s">
        <v>7070</v>
      </c>
      <c r="C88" s="46">
        <v>24</v>
      </c>
      <c r="D88" s="46" t="s">
        <v>6835</v>
      </c>
      <c r="E88" s="46" t="s">
        <v>7071</v>
      </c>
      <c r="F88" s="46" t="s">
        <v>112</v>
      </c>
      <c r="J88" s="46">
        <v>1</v>
      </c>
      <c r="M88" s="46">
        <v>1</v>
      </c>
      <c r="Q88" s="46">
        <v>1</v>
      </c>
      <c r="U88" s="46">
        <v>1</v>
      </c>
      <c r="W88" s="46">
        <v>12</v>
      </c>
      <c r="X88" s="46">
        <v>23</v>
      </c>
      <c r="Y88" s="46">
        <v>23</v>
      </c>
      <c r="Z88" s="46">
        <v>1</v>
      </c>
      <c r="AA88" s="46">
        <v>1</v>
      </c>
      <c r="AB88" s="46">
        <v>1</v>
      </c>
      <c r="AE88" s="46">
        <v>1</v>
      </c>
      <c r="AI88" s="46">
        <v>1</v>
      </c>
      <c r="AK88" s="46">
        <v>1</v>
      </c>
      <c r="AT88" s="46">
        <v>1</v>
      </c>
      <c r="AW88" s="46">
        <v>1</v>
      </c>
      <c r="BA88" s="46">
        <v>1</v>
      </c>
      <c r="BJ88" s="46">
        <v>1</v>
      </c>
      <c r="CB88" s="46">
        <v>1</v>
      </c>
      <c r="CE88" s="46">
        <v>1</v>
      </c>
      <c r="CK88" s="46">
        <v>1</v>
      </c>
      <c r="CT88" s="46" t="s">
        <v>2368</v>
      </c>
    </row>
    <row r="89" spans="1:98">
      <c r="A89" s="46" t="s">
        <v>7072</v>
      </c>
      <c r="B89" s="46" t="s">
        <v>7073</v>
      </c>
      <c r="C89" s="46">
        <v>20</v>
      </c>
      <c r="D89" s="46" t="s">
        <v>6835</v>
      </c>
      <c r="E89" s="46" t="s">
        <v>7074</v>
      </c>
      <c r="F89" s="46" t="s">
        <v>1045</v>
      </c>
      <c r="G89" s="46">
        <v>1</v>
      </c>
      <c r="M89" s="46">
        <v>1</v>
      </c>
      <c r="R89" s="46">
        <v>1</v>
      </c>
      <c r="T89" s="46">
        <v>1</v>
      </c>
      <c r="W89" s="46">
        <v>18</v>
      </c>
      <c r="X89" s="46">
        <v>18</v>
      </c>
      <c r="Y89" s="46" t="s">
        <v>191</v>
      </c>
      <c r="Z89" s="46">
        <v>0</v>
      </c>
      <c r="AA89" s="46">
        <v>0</v>
      </c>
      <c r="AB89" s="46">
        <v>0</v>
      </c>
      <c r="AE89" s="46">
        <v>1</v>
      </c>
      <c r="AH89" s="46">
        <v>1</v>
      </c>
      <c r="AI89" s="46">
        <v>1</v>
      </c>
      <c r="AM89" s="46">
        <v>1</v>
      </c>
      <c r="AT89" s="46">
        <v>1</v>
      </c>
      <c r="AW89" s="46">
        <v>1</v>
      </c>
      <c r="BA89" s="46">
        <v>1</v>
      </c>
      <c r="BK89" s="52"/>
      <c r="CB89" s="46">
        <v>1</v>
      </c>
      <c r="CE89" s="46">
        <v>1</v>
      </c>
      <c r="CK89" s="46">
        <v>1</v>
      </c>
      <c r="CT89" s="46" t="s">
        <v>6346</v>
      </c>
    </row>
    <row r="90" spans="1:98">
      <c r="A90" s="46" t="s">
        <v>7075</v>
      </c>
      <c r="B90" s="46" t="s">
        <v>6858</v>
      </c>
      <c r="C90" s="46">
        <v>16</v>
      </c>
      <c r="D90" s="46" t="s">
        <v>6835</v>
      </c>
      <c r="E90" s="46" t="s">
        <v>7076</v>
      </c>
      <c r="F90" s="46" t="s">
        <v>173</v>
      </c>
      <c r="G90" s="46">
        <v>1</v>
      </c>
      <c r="L90" s="46">
        <v>1</v>
      </c>
      <c r="Q90" s="46" t="s">
        <v>191</v>
      </c>
      <c r="S90" s="244"/>
      <c r="T90" s="244"/>
      <c r="U90" s="244"/>
      <c r="V90" s="244"/>
      <c r="W90" s="46">
        <v>14</v>
      </c>
      <c r="X90" s="46" t="s">
        <v>4549</v>
      </c>
      <c r="Y90" s="46" t="s">
        <v>191</v>
      </c>
      <c r="Z90" s="46">
        <v>0</v>
      </c>
      <c r="AA90" s="46">
        <v>0</v>
      </c>
      <c r="AB90" s="46">
        <v>0</v>
      </c>
      <c r="AH90" s="46">
        <v>1</v>
      </c>
      <c r="AI90" s="46">
        <v>1</v>
      </c>
      <c r="AM90" s="46">
        <v>1</v>
      </c>
      <c r="AT90" s="46">
        <v>1</v>
      </c>
      <c r="AV90" s="46">
        <v>1</v>
      </c>
      <c r="BA90" s="46">
        <v>1</v>
      </c>
      <c r="BK90" s="52"/>
      <c r="CB90" s="46">
        <v>1</v>
      </c>
      <c r="CE90" s="46">
        <v>1</v>
      </c>
      <c r="CK90" s="46">
        <v>1</v>
      </c>
      <c r="CT90" s="46" t="s">
        <v>6346</v>
      </c>
    </row>
    <row r="91" spans="1:98">
      <c r="A91" s="46" t="s">
        <v>7077</v>
      </c>
      <c r="B91" s="46" t="s">
        <v>7078</v>
      </c>
      <c r="C91" s="46">
        <v>60</v>
      </c>
      <c r="D91" s="46" t="s">
        <v>6835</v>
      </c>
      <c r="E91" s="46" t="s">
        <v>6970</v>
      </c>
      <c r="F91" s="46" t="s">
        <v>112</v>
      </c>
      <c r="G91" s="46">
        <v>1</v>
      </c>
      <c r="P91" s="46">
        <v>1</v>
      </c>
      <c r="R91" s="46">
        <v>1</v>
      </c>
      <c r="T91" s="46">
        <v>1</v>
      </c>
      <c r="W91" s="46">
        <v>12</v>
      </c>
      <c r="X91" s="46">
        <v>12</v>
      </c>
      <c r="Y91" s="46">
        <v>16</v>
      </c>
      <c r="Z91" s="46">
        <v>11</v>
      </c>
      <c r="AA91" s="46">
        <v>9</v>
      </c>
      <c r="AB91" s="46">
        <v>9</v>
      </c>
      <c r="AH91" s="46">
        <v>1</v>
      </c>
      <c r="AI91" s="46">
        <v>1</v>
      </c>
      <c r="AK91" s="46">
        <v>1</v>
      </c>
      <c r="AT91" s="46">
        <v>1</v>
      </c>
      <c r="AW91" s="46">
        <v>1</v>
      </c>
      <c r="BA91" s="46">
        <v>1</v>
      </c>
      <c r="BK91" s="52"/>
      <c r="CB91" s="46">
        <v>1</v>
      </c>
      <c r="CE91" s="46">
        <v>1</v>
      </c>
      <c r="CK91" s="46">
        <v>1</v>
      </c>
      <c r="CT91" s="46" t="s">
        <v>6346</v>
      </c>
    </row>
    <row r="92" spans="1:98">
      <c r="A92" s="46" t="s">
        <v>7079</v>
      </c>
      <c r="B92" s="46" t="s">
        <v>7080</v>
      </c>
      <c r="C92" s="46">
        <v>23</v>
      </c>
      <c r="D92" s="46" t="s">
        <v>6835</v>
      </c>
      <c r="E92" s="46" t="s">
        <v>7081</v>
      </c>
      <c r="F92" s="46" t="s">
        <v>112</v>
      </c>
      <c r="J92" s="46">
        <v>1</v>
      </c>
      <c r="M92" s="46">
        <v>1</v>
      </c>
      <c r="Q92" s="46">
        <v>1</v>
      </c>
      <c r="T92" s="46">
        <v>1</v>
      </c>
      <c r="W92" s="46">
        <v>15</v>
      </c>
      <c r="X92" s="46">
        <v>18</v>
      </c>
      <c r="Y92" s="46">
        <v>19</v>
      </c>
      <c r="Z92" s="46">
        <v>6</v>
      </c>
      <c r="AA92" s="46">
        <v>3</v>
      </c>
      <c r="AB92" s="46">
        <v>3</v>
      </c>
      <c r="AH92" s="46">
        <v>1</v>
      </c>
      <c r="AI92" s="244"/>
      <c r="AJ92" s="244"/>
      <c r="AK92" s="46">
        <v>1</v>
      </c>
      <c r="AT92" s="46">
        <v>1</v>
      </c>
      <c r="AW92" s="244"/>
      <c r="AX92" s="244"/>
      <c r="AY92" s="244"/>
      <c r="AZ92" s="244"/>
      <c r="BA92" s="46">
        <v>1</v>
      </c>
      <c r="BK92" s="52"/>
      <c r="CB92" s="46">
        <v>1</v>
      </c>
      <c r="CE92" s="244"/>
      <c r="CF92" s="244"/>
      <c r="CK92" s="46">
        <v>1</v>
      </c>
      <c r="CT92" s="46" t="s">
        <v>6346</v>
      </c>
    </row>
    <row r="93" spans="1:98">
      <c r="A93" s="46" t="s">
        <v>7082</v>
      </c>
      <c r="B93" s="46" t="s">
        <v>7083</v>
      </c>
      <c r="C93" s="46">
        <v>22</v>
      </c>
      <c r="D93" s="46" t="s">
        <v>6835</v>
      </c>
      <c r="E93" s="46" t="s">
        <v>7084</v>
      </c>
      <c r="F93" s="244"/>
      <c r="H93" s="46">
        <v>1</v>
      </c>
      <c r="M93" s="46">
        <v>1</v>
      </c>
      <c r="Q93" s="46">
        <v>1</v>
      </c>
      <c r="U93" s="46">
        <v>1</v>
      </c>
      <c r="W93" s="46">
        <v>11</v>
      </c>
      <c r="X93" s="46">
        <v>19</v>
      </c>
      <c r="Y93" s="46">
        <v>19</v>
      </c>
      <c r="Z93" s="46">
        <v>1</v>
      </c>
      <c r="AA93" s="46">
        <v>1</v>
      </c>
      <c r="AB93" s="46">
        <v>1</v>
      </c>
      <c r="AG93" s="46">
        <v>1</v>
      </c>
      <c r="AH93" s="46">
        <v>1</v>
      </c>
      <c r="AI93" s="46">
        <v>1</v>
      </c>
      <c r="AK93" s="46">
        <v>1</v>
      </c>
      <c r="AT93" s="46">
        <v>1</v>
      </c>
      <c r="AW93" s="46">
        <v>1</v>
      </c>
      <c r="BA93" s="46">
        <v>1</v>
      </c>
      <c r="BK93" s="52"/>
      <c r="BY93" s="46">
        <v>1</v>
      </c>
      <c r="CB93" s="46">
        <v>1</v>
      </c>
      <c r="CE93" s="46">
        <v>1</v>
      </c>
      <c r="CK93" s="46">
        <v>1</v>
      </c>
      <c r="CT93" s="46" t="s">
        <v>6346</v>
      </c>
    </row>
    <row r="94" spans="1:98">
      <c r="A94" s="46" t="s">
        <v>7085</v>
      </c>
      <c r="B94" s="46" t="s">
        <v>7086</v>
      </c>
      <c r="C94" s="46">
        <v>42</v>
      </c>
      <c r="D94" s="46" t="s">
        <v>6835</v>
      </c>
      <c r="E94" s="46" t="s">
        <v>7087</v>
      </c>
      <c r="F94" s="46" t="s">
        <v>112</v>
      </c>
      <c r="I94" s="46">
        <v>1</v>
      </c>
      <c r="O94" s="46">
        <v>1</v>
      </c>
      <c r="Q94" s="244"/>
      <c r="R94" s="244"/>
      <c r="U94" s="46">
        <v>1</v>
      </c>
      <c r="W94" s="46">
        <v>18</v>
      </c>
      <c r="X94" s="46">
        <v>19</v>
      </c>
      <c r="Y94" s="46">
        <v>25</v>
      </c>
      <c r="Z94" s="46">
        <v>2</v>
      </c>
      <c r="AA94" s="46">
        <v>2</v>
      </c>
      <c r="AB94" s="46">
        <v>2</v>
      </c>
      <c r="AD94" s="46">
        <v>1</v>
      </c>
      <c r="AH94" s="46">
        <v>1</v>
      </c>
      <c r="AI94" s="46">
        <v>1</v>
      </c>
      <c r="AK94" s="46">
        <v>1</v>
      </c>
      <c r="AT94" s="46">
        <v>1</v>
      </c>
      <c r="AW94" s="46">
        <v>1</v>
      </c>
      <c r="BA94" s="46">
        <v>1</v>
      </c>
      <c r="BL94" s="46">
        <v>1</v>
      </c>
      <c r="CB94" s="46">
        <v>1</v>
      </c>
      <c r="CE94" s="46">
        <v>1</v>
      </c>
      <c r="CK94" s="46">
        <v>1</v>
      </c>
      <c r="CT94" s="46" t="s">
        <v>6346</v>
      </c>
    </row>
  </sheetData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7088</v>
      </c>
      <c r="B3" s="69">
        <v>36</v>
      </c>
      <c r="C3" s="69"/>
      <c r="D3" s="69">
        <v>7</v>
      </c>
      <c r="E3" s="69">
        <f>SUM(B3:D3)</f>
        <v>43</v>
      </c>
      <c r="F3" s="70">
        <v>6</v>
      </c>
      <c r="G3" s="70">
        <v>33</v>
      </c>
      <c r="H3" s="70">
        <v>4</v>
      </c>
      <c r="I3" s="70"/>
      <c r="J3" s="71">
        <f t="shared" ref="J3:J8" si="0">SUM(F3:I3)</f>
        <v>43</v>
      </c>
      <c r="K3" s="70"/>
      <c r="L3" s="70"/>
      <c r="M3" s="70"/>
      <c r="N3" s="70"/>
      <c r="O3" s="70"/>
      <c r="P3" s="71">
        <f t="shared" ref="P3:P8" si="1">SUM(K3:O3)</f>
        <v>0</v>
      </c>
      <c r="Q3" s="70">
        <v>5</v>
      </c>
      <c r="R3" s="70"/>
      <c r="S3" s="70">
        <v>13</v>
      </c>
      <c r="T3" s="71">
        <f t="shared" ref="T3:T8" si="2">SUM(Q3:S3)</f>
        <v>18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40</v>
      </c>
      <c r="AB3" s="73"/>
      <c r="AC3" s="73"/>
      <c r="AD3" s="73">
        <v>3</v>
      </c>
      <c r="AE3" s="186">
        <f>SUM(AA3,AB3,AC3,AD3)</f>
        <v>43</v>
      </c>
      <c r="AF3" s="73">
        <v>0</v>
      </c>
      <c r="AG3" s="73">
        <v>0</v>
      </c>
    </row>
    <row r="4" spans="1:33">
      <c r="A4" s="77" t="s">
        <v>7089</v>
      </c>
      <c r="B4" s="69">
        <v>9</v>
      </c>
      <c r="C4" s="69">
        <v>1</v>
      </c>
      <c r="D4" s="69"/>
      <c r="E4" s="69">
        <f>SUM(B4:D4)</f>
        <v>10</v>
      </c>
      <c r="F4" s="70">
        <v>1</v>
      </c>
      <c r="G4" s="70">
        <v>9</v>
      </c>
      <c r="H4" s="70"/>
      <c r="I4" s="70"/>
      <c r="J4" s="71">
        <f t="shared" si="0"/>
        <v>10</v>
      </c>
      <c r="K4" s="70"/>
      <c r="L4" s="70"/>
      <c r="M4" s="70"/>
      <c r="N4" s="70"/>
      <c r="O4" s="70"/>
      <c r="P4" s="71">
        <f t="shared" si="1"/>
        <v>0</v>
      </c>
      <c r="Q4" s="70">
        <v>1</v>
      </c>
      <c r="R4" s="70"/>
      <c r="S4" s="70">
        <v>1</v>
      </c>
      <c r="T4" s="71">
        <f t="shared" si="2"/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8</v>
      </c>
      <c r="AB4" s="73"/>
      <c r="AC4" s="73"/>
      <c r="AD4" s="73">
        <v>2</v>
      </c>
      <c r="AE4" s="186">
        <f>SUM(AA4,AB4,AC4,AD4)</f>
        <v>10</v>
      </c>
      <c r="AF4" s="73">
        <v>0</v>
      </c>
      <c r="AG4" s="73">
        <v>0</v>
      </c>
    </row>
    <row r="5" spans="1:33">
      <c r="A5" s="77" t="s">
        <v>4527</v>
      </c>
      <c r="B5" s="69">
        <v>10</v>
      </c>
      <c r="C5" s="69"/>
      <c r="D5" s="69">
        <v>2</v>
      </c>
      <c r="E5" s="69">
        <f>SUM(B5:D5)</f>
        <v>12</v>
      </c>
      <c r="F5" s="70"/>
      <c r="G5" s="70">
        <v>5</v>
      </c>
      <c r="H5" s="70"/>
      <c r="I5" s="70"/>
      <c r="J5" s="71">
        <f t="shared" si="0"/>
        <v>5</v>
      </c>
      <c r="K5" s="70">
        <v>7</v>
      </c>
      <c r="L5" s="70"/>
      <c r="M5" s="70"/>
      <c r="N5" s="70"/>
      <c r="O5" s="70"/>
      <c r="P5" s="71">
        <f t="shared" si="1"/>
        <v>7</v>
      </c>
      <c r="Q5" s="70"/>
      <c r="R5" s="70"/>
      <c r="S5" s="70">
        <v>2</v>
      </c>
      <c r="T5" s="71">
        <f t="shared" si="2"/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12</v>
      </c>
      <c r="AB5" s="73"/>
      <c r="AC5" s="73"/>
      <c r="AD5" s="73"/>
      <c r="AE5" s="186">
        <f>SUM(AA5,AB5,AC5,AD5)</f>
        <v>12</v>
      </c>
      <c r="AF5" s="73">
        <v>0</v>
      </c>
      <c r="AG5" s="73">
        <v>0</v>
      </c>
    </row>
    <row r="6" spans="1:33">
      <c r="A6" s="77" t="s">
        <v>7090</v>
      </c>
      <c r="B6" s="69">
        <v>13</v>
      </c>
      <c r="C6" s="69">
        <v>1</v>
      </c>
      <c r="D6" s="69"/>
      <c r="E6" s="69">
        <f>SUM(B6:D6)</f>
        <v>14</v>
      </c>
      <c r="F6" s="70"/>
      <c r="G6" s="70"/>
      <c r="H6" s="70"/>
      <c r="I6" s="70"/>
      <c r="J6" s="71">
        <f t="shared" si="0"/>
        <v>0</v>
      </c>
      <c r="K6" s="70">
        <v>12</v>
      </c>
      <c r="L6" s="70">
        <v>1</v>
      </c>
      <c r="M6" s="70"/>
      <c r="N6" s="70"/>
      <c r="O6" s="70">
        <v>1</v>
      </c>
      <c r="P6" s="71">
        <f t="shared" si="1"/>
        <v>14</v>
      </c>
      <c r="Q6" s="70"/>
      <c r="R6" s="70"/>
      <c r="S6" s="70">
        <v>3</v>
      </c>
      <c r="T6" s="71">
        <f t="shared" si="2"/>
        <v>3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14</v>
      </c>
      <c r="AB6" s="73"/>
      <c r="AC6" s="73"/>
      <c r="AD6" s="73"/>
      <c r="AE6" s="186">
        <f>SUM(AA6,AB6,AC6,AD6)</f>
        <v>14</v>
      </c>
      <c r="AF6" s="73">
        <v>0</v>
      </c>
      <c r="AG6" s="73">
        <v>0</v>
      </c>
    </row>
    <row r="7" spans="1:33">
      <c r="A7" s="191" t="s">
        <v>7091</v>
      </c>
      <c r="B7" s="69">
        <v>11</v>
      </c>
      <c r="C7" s="69"/>
      <c r="D7" s="69">
        <v>1</v>
      </c>
      <c r="E7" s="69">
        <f>SUM(B7:D7)</f>
        <v>12</v>
      </c>
      <c r="F7" s="69"/>
      <c r="G7" s="69"/>
      <c r="H7" s="69"/>
      <c r="I7" s="69"/>
      <c r="J7" s="71">
        <f t="shared" si="0"/>
        <v>0</v>
      </c>
      <c r="K7" s="114">
        <v>12</v>
      </c>
      <c r="L7" s="114"/>
      <c r="M7" s="114"/>
      <c r="N7" s="114"/>
      <c r="O7" s="114"/>
      <c r="P7" s="71">
        <f t="shared" si="1"/>
        <v>12</v>
      </c>
      <c r="Q7" s="114"/>
      <c r="R7" s="114"/>
      <c r="S7" s="114">
        <v>6</v>
      </c>
      <c r="T7" s="71">
        <f t="shared" si="2"/>
        <v>6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114">
        <v>12</v>
      </c>
      <c r="AB7" s="114"/>
      <c r="AC7" s="114"/>
      <c r="AD7" s="114"/>
      <c r="AE7" s="186">
        <f>SUM(AA7,AB7,AC7,AD7)</f>
        <v>12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3">SUM(B3:B7)</f>
        <v>79</v>
      </c>
      <c r="C8" s="69">
        <f t="shared" si="3"/>
        <v>2</v>
      </c>
      <c r="D8" s="69">
        <f t="shared" si="3"/>
        <v>10</v>
      </c>
      <c r="E8" s="69">
        <f t="shared" si="3"/>
        <v>91</v>
      </c>
      <c r="F8" s="69">
        <f t="shared" si="3"/>
        <v>7</v>
      </c>
      <c r="G8" s="69">
        <f t="shared" si="3"/>
        <v>47</v>
      </c>
      <c r="H8" s="69">
        <f t="shared" si="3"/>
        <v>4</v>
      </c>
      <c r="I8" s="69">
        <f t="shared" si="3"/>
        <v>0</v>
      </c>
      <c r="J8" s="71">
        <f t="shared" si="0"/>
        <v>58</v>
      </c>
      <c r="K8" s="114">
        <f>SUM(K3:K7)</f>
        <v>31</v>
      </c>
      <c r="L8" s="114">
        <f>SUM(L3:L7)</f>
        <v>1</v>
      </c>
      <c r="M8" s="114">
        <f>SUM(M3:M7)</f>
        <v>0</v>
      </c>
      <c r="N8" s="114">
        <f>SUM(N3:N7)</f>
        <v>0</v>
      </c>
      <c r="O8" s="114">
        <f>SUM(O3:O7)</f>
        <v>1</v>
      </c>
      <c r="P8" s="71">
        <f t="shared" si="1"/>
        <v>33</v>
      </c>
      <c r="Q8" s="114">
        <f>SUM(Q3:Q7)</f>
        <v>6</v>
      </c>
      <c r="R8" s="114">
        <f>SUM(R3:R7)</f>
        <v>0</v>
      </c>
      <c r="S8" s="114">
        <f>SUM(S3:S7)</f>
        <v>25</v>
      </c>
      <c r="T8" s="241">
        <f t="shared" si="2"/>
        <v>31</v>
      </c>
      <c r="U8" s="114">
        <f>SUM(U3:U7)</f>
        <v>0</v>
      </c>
      <c r="V8" s="114">
        <f>SUM(V3:V7)</f>
        <v>0</v>
      </c>
      <c r="W8" s="114">
        <f>SUM(W3:W7)</f>
        <v>0</v>
      </c>
      <c r="X8" s="114">
        <f>SUM(X3:X7)</f>
        <v>0</v>
      </c>
      <c r="Y8" s="114">
        <f>SUM(Y3:Y7)</f>
        <v>0</v>
      </c>
      <c r="Z8" s="114">
        <f>SUM(Z3:Z6)</f>
        <v>0</v>
      </c>
      <c r="AA8" s="114">
        <f t="shared" ref="AA8:AG8" si="4">SUM(AA3:AA7)</f>
        <v>86</v>
      </c>
      <c r="AB8" s="114">
        <f t="shared" si="4"/>
        <v>0</v>
      </c>
      <c r="AC8" s="114">
        <f t="shared" si="4"/>
        <v>0</v>
      </c>
      <c r="AD8" s="114">
        <f t="shared" si="4"/>
        <v>5</v>
      </c>
      <c r="AE8" s="73">
        <f t="shared" si="4"/>
        <v>91</v>
      </c>
      <c r="AF8" s="73">
        <f t="shared" si="4"/>
        <v>0</v>
      </c>
      <c r="AG8" s="73">
        <f t="shared" si="4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2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11.7109375" customWidth="1"/>
    <col min="2" max="2" width="23.140625" customWidth="1"/>
    <col min="3" max="3" width="6.140625" customWidth="1"/>
    <col min="4" max="4" width="12.140625" customWidth="1"/>
    <col min="5" max="5" width="13" customWidth="1"/>
    <col min="6" max="6" width="11.28515625" customWidth="1"/>
    <col min="7" max="7" width="5.7109375" customWidth="1"/>
    <col min="8" max="8" width="5.85546875" customWidth="1"/>
    <col min="9" max="9" width="6.42578125" customWidth="1"/>
    <col min="10" max="10" width="7.28515625" customWidth="1"/>
    <col min="11" max="11" width="7.140625" customWidth="1"/>
    <col min="12" max="13" width="5.28515625" customWidth="1"/>
    <col min="14" max="14" width="5.5703125" customWidth="1"/>
    <col min="15" max="15" width="5.42578125" customWidth="1"/>
    <col min="16" max="16" width="5.85546875" customWidth="1"/>
    <col min="17" max="17" width="6.7109375" customWidth="1"/>
    <col min="18" max="18" width="5.42578125" customWidth="1"/>
    <col min="19" max="19" width="6.28515625" customWidth="1"/>
    <col min="20" max="20" width="6.5703125" customWidth="1"/>
    <col min="21" max="22" width="5.7109375" customWidth="1"/>
    <col min="23" max="23" width="10.140625" customWidth="1"/>
    <col min="24" max="24" width="10.7109375" customWidth="1"/>
    <col min="25" max="25" width="11.5703125" customWidth="1"/>
    <col min="26" max="26" width="6.85546875" customWidth="1"/>
    <col min="27" max="27" width="10.42578125" customWidth="1"/>
    <col min="28" max="28" width="11" customWidth="1"/>
    <col min="29" max="29" width="4.85546875" customWidth="1"/>
    <col min="30" max="30" width="7.140625" customWidth="1"/>
    <col min="31" max="31" width="5.85546875" customWidth="1"/>
    <col min="32" max="32" width="7.85546875" customWidth="1"/>
    <col min="33" max="33" width="8.28515625" customWidth="1"/>
    <col min="34" max="34" width="6" customWidth="1"/>
    <col min="35" max="35" width="4.85546875" customWidth="1"/>
    <col min="36" max="36" width="8" customWidth="1"/>
    <col min="37" max="37" width="5.85546875" customWidth="1"/>
    <col min="38" max="38" width="6.28515625" customWidth="1"/>
    <col min="39" max="39" width="11.5703125" customWidth="1"/>
    <col min="40" max="40" width="11.7109375" customWidth="1"/>
    <col min="41" max="41" width="8.140625" customWidth="1"/>
    <col min="42" max="42" width="9.28515625" customWidth="1"/>
    <col min="45" max="45" width="13.42578125" customWidth="1"/>
    <col min="46" max="46" width="7.140625" customWidth="1"/>
    <col min="47" max="47" width="7.85546875" customWidth="1"/>
    <col min="48" max="48" width="6.5703125" customWidth="1"/>
    <col min="49" max="49" width="8.85546875" customWidth="1"/>
    <col min="50" max="51" width="9.28515625" customWidth="1"/>
    <col min="52" max="52" width="6.140625" customWidth="1"/>
    <col min="53" max="53" width="6.7109375" customWidth="1"/>
    <col min="54" max="54" width="7.140625" customWidth="1"/>
    <col min="55" max="55" width="6.7109375" customWidth="1"/>
    <col min="56" max="56" width="6.42578125" customWidth="1"/>
    <col min="57" max="57" width="10.5703125" customWidth="1"/>
    <col min="58" max="58" width="9" customWidth="1"/>
    <col min="59" max="59" width="8.85546875" customWidth="1"/>
    <col min="60" max="60" width="10.140625" customWidth="1"/>
    <col min="61" max="61" width="7.7109375" customWidth="1"/>
    <col min="62" max="62" width="7.28515625" customWidth="1"/>
    <col min="63" max="63" width="9.42578125" customWidth="1"/>
    <col min="64" max="64" width="8.42578125" customWidth="1"/>
    <col min="65" max="65" width="11.7109375" customWidth="1"/>
    <col min="66" max="66" width="13.85546875" customWidth="1"/>
    <col min="67" max="67" width="8.28515625" customWidth="1"/>
    <col min="68" max="68" width="6" customWidth="1"/>
    <col min="69" max="69" width="9.28515625" customWidth="1"/>
    <col min="70" max="70" width="6.85546875" customWidth="1"/>
    <col min="71" max="71" width="6.42578125" customWidth="1"/>
    <col min="72" max="72" width="7.85546875" customWidth="1"/>
    <col min="73" max="73" width="13.140625" customWidth="1"/>
    <col min="75" max="75" width="8.28515625" customWidth="1"/>
    <col min="76" max="76" width="10.28515625" customWidth="1"/>
    <col min="77" max="77" width="12.5703125" customWidth="1"/>
    <col min="80" max="80" width="6.85546875" customWidth="1"/>
    <col min="81" max="81" width="7.7109375" customWidth="1"/>
    <col min="82" max="82" width="9.28515625" customWidth="1"/>
    <col min="83" max="83" width="7.140625" customWidth="1"/>
    <col min="84" max="84" width="7.28515625" customWidth="1"/>
    <col min="86" max="86" width="7.5703125" customWidth="1"/>
    <col min="87" max="87" width="9" customWidth="1"/>
    <col min="89" max="89" width="8" customWidth="1"/>
    <col min="91" max="91" width="14" customWidth="1"/>
    <col min="92" max="92" width="9.5703125" customWidth="1"/>
    <col min="93" max="93" width="6.85546875" customWidth="1"/>
    <col min="94" max="95" width="7.5703125" customWidth="1"/>
    <col min="96" max="96" width="8" customWidth="1"/>
    <col min="97" max="97" width="11.28515625" customWidth="1"/>
  </cols>
  <sheetData>
    <row r="1" spans="1:98">
      <c r="A1" s="197" t="s">
        <v>7092</v>
      </c>
      <c r="B1" s="143"/>
      <c r="C1" s="231" t="s">
        <v>7093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238" t="s">
        <v>360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7094</v>
      </c>
      <c r="B4" s="46" t="s">
        <v>7095</v>
      </c>
      <c r="C4" s="46">
        <v>21</v>
      </c>
      <c r="D4" s="46" t="s">
        <v>2561</v>
      </c>
      <c r="E4" s="46" t="s">
        <v>7096</v>
      </c>
      <c r="F4" s="46" t="s">
        <v>107</v>
      </c>
      <c r="H4" s="46">
        <v>1</v>
      </c>
      <c r="L4" s="46">
        <v>1</v>
      </c>
      <c r="Q4" s="46" t="s">
        <v>191</v>
      </c>
      <c r="V4" s="46">
        <v>1</v>
      </c>
      <c r="W4" s="46">
        <v>14</v>
      </c>
      <c r="X4" s="46">
        <v>20</v>
      </c>
      <c r="Y4" s="46" t="s">
        <v>191</v>
      </c>
      <c r="Z4" s="46">
        <v>0</v>
      </c>
      <c r="AA4" s="46">
        <v>0</v>
      </c>
      <c r="AB4" s="46">
        <v>0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BU4" s="46">
        <v>1</v>
      </c>
      <c r="CB4" s="46">
        <v>1</v>
      </c>
      <c r="CE4" s="46">
        <v>1</v>
      </c>
      <c r="CK4" s="46">
        <v>1</v>
      </c>
      <c r="CT4" s="46" t="s">
        <v>7097</v>
      </c>
    </row>
    <row r="5" spans="1:98">
      <c r="A5" s="46" t="s">
        <v>7098</v>
      </c>
      <c r="B5" s="46" t="s">
        <v>7099</v>
      </c>
      <c r="C5" s="46">
        <v>23</v>
      </c>
      <c r="D5" s="46" t="s">
        <v>1107</v>
      </c>
      <c r="E5" s="46" t="s">
        <v>7100</v>
      </c>
      <c r="F5" s="46" t="s">
        <v>112</v>
      </c>
      <c r="J5" s="46">
        <v>1</v>
      </c>
      <c r="N5" s="46">
        <v>1</v>
      </c>
      <c r="Q5" s="46">
        <v>1</v>
      </c>
      <c r="V5" s="46">
        <v>1</v>
      </c>
      <c r="W5" s="46">
        <v>15</v>
      </c>
      <c r="X5" s="46">
        <v>19</v>
      </c>
      <c r="Y5" s="46" t="s">
        <v>191</v>
      </c>
      <c r="Z5" s="46">
        <v>0</v>
      </c>
      <c r="AA5" s="46">
        <v>0</v>
      </c>
      <c r="AB5" s="46">
        <v>0</v>
      </c>
      <c r="AC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T5" s="46" t="s">
        <v>6346</v>
      </c>
    </row>
    <row r="6" spans="1:98">
      <c r="A6" s="46" t="s">
        <v>7101</v>
      </c>
      <c r="B6" s="46" t="s">
        <v>7102</v>
      </c>
      <c r="C6" s="46">
        <v>21</v>
      </c>
      <c r="D6" s="46" t="s">
        <v>2375</v>
      </c>
      <c r="E6" s="46" t="s">
        <v>7103</v>
      </c>
      <c r="F6" s="46" t="s">
        <v>389</v>
      </c>
      <c r="I6" s="46">
        <v>1</v>
      </c>
      <c r="N6" s="46">
        <v>1</v>
      </c>
      <c r="Q6" s="46">
        <v>1</v>
      </c>
      <c r="V6" s="46">
        <v>1</v>
      </c>
      <c r="W6" s="46">
        <v>14</v>
      </c>
      <c r="X6" s="46">
        <v>18</v>
      </c>
      <c r="Y6" s="46" t="s">
        <v>191</v>
      </c>
      <c r="Z6" s="46">
        <v>0</v>
      </c>
      <c r="AA6" s="46">
        <v>0</v>
      </c>
      <c r="AB6" s="46">
        <v>0</v>
      </c>
      <c r="AC6" s="46">
        <v>1</v>
      </c>
      <c r="AI6" s="46">
        <v>1</v>
      </c>
      <c r="AM6" s="46">
        <v>1</v>
      </c>
      <c r="AT6" s="46">
        <v>1</v>
      </c>
      <c r="AW6" s="46">
        <v>1</v>
      </c>
      <c r="BA6" s="46">
        <v>1</v>
      </c>
      <c r="BK6" s="46">
        <v>1</v>
      </c>
      <c r="BY6" s="46">
        <v>1</v>
      </c>
      <c r="CB6" s="46">
        <v>1</v>
      </c>
      <c r="CE6" s="46">
        <v>1</v>
      </c>
      <c r="CK6" s="46">
        <v>1</v>
      </c>
      <c r="CT6" s="46" t="s">
        <v>6346</v>
      </c>
    </row>
    <row r="7" spans="1:98">
      <c r="A7" s="46" t="s">
        <v>7104</v>
      </c>
      <c r="B7" s="46" t="s">
        <v>7105</v>
      </c>
      <c r="C7" s="46">
        <v>20</v>
      </c>
      <c r="D7" s="46" t="s">
        <v>7106</v>
      </c>
      <c r="E7" s="46" t="s">
        <v>7107</v>
      </c>
      <c r="F7" s="46" t="s">
        <v>107</v>
      </c>
      <c r="G7" s="46">
        <v>1</v>
      </c>
      <c r="N7" s="46">
        <v>1</v>
      </c>
      <c r="Q7" s="46">
        <v>1</v>
      </c>
      <c r="V7" s="46">
        <v>1</v>
      </c>
      <c r="W7" s="46">
        <v>13</v>
      </c>
      <c r="X7" s="244"/>
      <c r="Y7" s="46" t="s">
        <v>191</v>
      </c>
      <c r="Z7" s="46">
        <v>0</v>
      </c>
      <c r="AA7" s="46">
        <v>0</v>
      </c>
      <c r="AB7" s="46">
        <v>0</v>
      </c>
      <c r="AC7" s="46">
        <v>1</v>
      </c>
      <c r="AI7" s="46">
        <v>1</v>
      </c>
      <c r="AK7" s="46">
        <v>1</v>
      </c>
      <c r="AT7" s="46">
        <v>1</v>
      </c>
      <c r="AX7" s="46">
        <v>1</v>
      </c>
      <c r="BA7" s="46">
        <v>1</v>
      </c>
      <c r="BK7" s="46">
        <v>1</v>
      </c>
      <c r="BY7" s="46">
        <v>1</v>
      </c>
      <c r="CB7" s="46">
        <v>1</v>
      </c>
      <c r="CE7" s="46">
        <v>1</v>
      </c>
      <c r="CK7" s="46">
        <v>1</v>
      </c>
      <c r="CT7" s="46" t="s">
        <v>6346</v>
      </c>
    </row>
    <row r="8" spans="1:98">
      <c r="A8" s="46" t="s">
        <v>7108</v>
      </c>
      <c r="B8" s="46" t="s">
        <v>7109</v>
      </c>
      <c r="C8" s="46">
        <v>22</v>
      </c>
      <c r="D8" s="46" t="s">
        <v>2350</v>
      </c>
      <c r="E8" s="46" t="s">
        <v>7110</v>
      </c>
      <c r="F8" s="46" t="s">
        <v>112</v>
      </c>
      <c r="I8" s="46">
        <v>1</v>
      </c>
      <c r="N8" s="46">
        <v>1</v>
      </c>
      <c r="Q8" s="46">
        <v>1</v>
      </c>
      <c r="V8" s="46">
        <v>1</v>
      </c>
      <c r="W8" s="244"/>
      <c r="X8" s="46">
        <v>19</v>
      </c>
      <c r="Y8" s="46" t="s">
        <v>191</v>
      </c>
      <c r="Z8" s="46">
        <v>0</v>
      </c>
      <c r="AA8" s="46">
        <v>0</v>
      </c>
      <c r="AB8" s="46">
        <v>0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C8" s="46">
        <v>1</v>
      </c>
      <c r="CD8" s="46">
        <v>2023</v>
      </c>
      <c r="CE8" s="46">
        <v>1</v>
      </c>
      <c r="CK8" s="46">
        <v>1</v>
      </c>
      <c r="CT8" s="46" t="s">
        <v>6346</v>
      </c>
    </row>
    <row r="9" spans="1:98">
      <c r="A9" s="46" t="s">
        <v>7111</v>
      </c>
      <c r="B9" s="46" t="s">
        <v>7112</v>
      </c>
      <c r="C9" s="46">
        <v>19</v>
      </c>
      <c r="D9" s="46" t="s">
        <v>5259</v>
      </c>
      <c r="E9" s="46" t="s">
        <v>7113</v>
      </c>
      <c r="F9" s="46" t="s">
        <v>107</v>
      </c>
      <c r="G9" s="46">
        <v>1</v>
      </c>
      <c r="N9" s="46">
        <v>1</v>
      </c>
      <c r="Q9" s="46">
        <v>1</v>
      </c>
      <c r="V9" s="46">
        <v>1</v>
      </c>
      <c r="W9" s="46">
        <v>16</v>
      </c>
      <c r="X9" s="46">
        <v>18</v>
      </c>
      <c r="Y9" s="46" t="s">
        <v>191</v>
      </c>
      <c r="Z9" s="46">
        <v>0</v>
      </c>
      <c r="AA9" s="46">
        <v>0</v>
      </c>
      <c r="AB9" s="46">
        <v>0</v>
      </c>
      <c r="AC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BY9" s="46">
        <v>1</v>
      </c>
      <c r="CB9" s="46">
        <v>1</v>
      </c>
      <c r="CE9" s="46">
        <v>1</v>
      </c>
      <c r="CK9" s="46">
        <v>1</v>
      </c>
      <c r="CT9" s="46" t="s">
        <v>6346</v>
      </c>
    </row>
    <row r="10" spans="1:98">
      <c r="A10" s="46" t="s">
        <v>7114</v>
      </c>
      <c r="B10" s="46" t="s">
        <v>7115</v>
      </c>
      <c r="C10" s="46">
        <v>22</v>
      </c>
      <c r="D10" s="46" t="s">
        <v>7116</v>
      </c>
      <c r="E10" s="46" t="s">
        <v>7117</v>
      </c>
      <c r="F10" s="46" t="s">
        <v>389</v>
      </c>
      <c r="G10" s="46">
        <v>1</v>
      </c>
      <c r="N10" s="46">
        <v>1</v>
      </c>
      <c r="Q10" s="46">
        <v>1</v>
      </c>
      <c r="V10" s="46">
        <v>1</v>
      </c>
      <c r="W10" s="46">
        <v>16</v>
      </c>
      <c r="X10" s="46">
        <v>19</v>
      </c>
      <c r="Y10" s="46" t="s">
        <v>191</v>
      </c>
      <c r="Z10" s="46">
        <v>0</v>
      </c>
      <c r="AA10" s="46">
        <v>0</v>
      </c>
      <c r="AB10" s="46">
        <v>0</v>
      </c>
      <c r="AC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K10" s="46">
        <v>1</v>
      </c>
      <c r="BY10" s="46">
        <v>1</v>
      </c>
      <c r="CB10" s="46">
        <v>1</v>
      </c>
      <c r="CE10" s="46">
        <v>1</v>
      </c>
      <c r="CK10" s="46">
        <v>1</v>
      </c>
      <c r="CT10" s="46" t="s">
        <v>6346</v>
      </c>
    </row>
    <row r="11" spans="1:98">
      <c r="A11" s="46" t="s">
        <v>7118</v>
      </c>
      <c r="B11" s="46" t="s">
        <v>7119</v>
      </c>
      <c r="C11" s="46">
        <v>21</v>
      </c>
      <c r="D11" s="46" t="s">
        <v>1459</v>
      </c>
      <c r="E11" s="46" t="s">
        <v>7120</v>
      </c>
      <c r="F11" s="46" t="s">
        <v>145</v>
      </c>
      <c r="G11" s="46">
        <v>1</v>
      </c>
      <c r="N11" s="46">
        <v>1</v>
      </c>
      <c r="Q11" s="46">
        <v>1</v>
      </c>
      <c r="V11" s="46">
        <v>1</v>
      </c>
      <c r="W11" s="46">
        <v>12</v>
      </c>
      <c r="X11" s="46">
        <v>16</v>
      </c>
      <c r="Y11" s="46" t="s">
        <v>191</v>
      </c>
      <c r="Z11" s="46">
        <v>0</v>
      </c>
      <c r="AA11" s="46">
        <v>0</v>
      </c>
      <c r="AB11" s="46">
        <v>0</v>
      </c>
      <c r="AH11" s="46">
        <v>1</v>
      </c>
      <c r="AI11" s="46">
        <v>1</v>
      </c>
      <c r="AM11" s="46">
        <v>1</v>
      </c>
      <c r="AT11" s="46">
        <v>1</v>
      </c>
      <c r="AW11" s="46">
        <v>1</v>
      </c>
      <c r="BA11" s="46">
        <v>1</v>
      </c>
      <c r="BK11" s="46">
        <v>1</v>
      </c>
      <c r="BY11" s="46">
        <v>1</v>
      </c>
      <c r="CB11" s="46">
        <v>1</v>
      </c>
      <c r="CE11" s="46">
        <v>1</v>
      </c>
      <c r="CK11" s="46">
        <v>1</v>
      </c>
      <c r="CT11" s="46" t="s">
        <v>6346</v>
      </c>
    </row>
    <row r="12" spans="1:98">
      <c r="A12" s="46" t="s">
        <v>7121</v>
      </c>
      <c r="B12" s="46" t="s">
        <v>7122</v>
      </c>
      <c r="C12" s="46">
        <v>18</v>
      </c>
      <c r="D12" s="46" t="s">
        <v>135</v>
      </c>
      <c r="E12" s="46" t="s">
        <v>7123</v>
      </c>
      <c r="F12" s="46" t="s">
        <v>107</v>
      </c>
      <c r="I12" s="46">
        <v>1</v>
      </c>
      <c r="N12" s="46">
        <v>1</v>
      </c>
      <c r="R12" s="46">
        <v>1</v>
      </c>
      <c r="V12" s="46">
        <v>1</v>
      </c>
      <c r="W12" s="46">
        <v>12</v>
      </c>
      <c r="X12" s="46">
        <v>14</v>
      </c>
      <c r="Y12" s="46" t="s">
        <v>191</v>
      </c>
      <c r="Z12" s="46">
        <v>0</v>
      </c>
      <c r="AA12" s="46">
        <v>0</v>
      </c>
      <c r="AB12" s="46">
        <v>0</v>
      </c>
      <c r="AC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T12" s="46" t="s">
        <v>6346</v>
      </c>
    </row>
    <row r="13" spans="1:98">
      <c r="A13" s="46" t="s">
        <v>7124</v>
      </c>
      <c r="B13" s="46" t="s">
        <v>7125</v>
      </c>
      <c r="C13" s="46">
        <v>22</v>
      </c>
      <c r="D13" s="46" t="s">
        <v>2561</v>
      </c>
      <c r="E13" s="46" t="s">
        <v>7126</v>
      </c>
      <c r="F13" s="46" t="s">
        <v>389</v>
      </c>
      <c r="H13" s="46">
        <v>1</v>
      </c>
      <c r="N13" s="46">
        <v>1</v>
      </c>
      <c r="Q13" s="46">
        <v>1</v>
      </c>
      <c r="V13" s="46">
        <v>1</v>
      </c>
      <c r="W13" s="46">
        <v>16</v>
      </c>
      <c r="X13" s="46">
        <v>21</v>
      </c>
      <c r="Y13" s="46" t="s">
        <v>191</v>
      </c>
      <c r="Z13" s="46">
        <v>0</v>
      </c>
      <c r="AA13" s="46">
        <v>0</v>
      </c>
      <c r="AB13" s="46">
        <v>0</v>
      </c>
      <c r="AC13" s="46">
        <v>1</v>
      </c>
      <c r="AI13" s="46">
        <v>1</v>
      </c>
      <c r="AM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T13" s="46" t="s">
        <v>6346</v>
      </c>
    </row>
    <row r="14" spans="1:98">
      <c r="A14" s="46" t="s">
        <v>7127</v>
      </c>
      <c r="B14" s="46" t="s">
        <v>7128</v>
      </c>
      <c r="C14" s="46">
        <v>23</v>
      </c>
      <c r="D14" s="46" t="s">
        <v>135</v>
      </c>
      <c r="E14" s="46" t="s">
        <v>7129</v>
      </c>
      <c r="F14" s="46" t="s">
        <v>107</v>
      </c>
      <c r="G14" s="46">
        <v>1</v>
      </c>
      <c r="N14" s="46">
        <v>1</v>
      </c>
      <c r="Q14" s="46">
        <v>1</v>
      </c>
      <c r="V14" s="46">
        <v>1</v>
      </c>
      <c r="W14" s="46">
        <v>16</v>
      </c>
      <c r="X14" s="46">
        <v>20</v>
      </c>
      <c r="Y14" s="46" t="s">
        <v>191</v>
      </c>
      <c r="Z14" s="46">
        <v>0</v>
      </c>
      <c r="AA14" s="46">
        <v>0</v>
      </c>
      <c r="AB14" s="46">
        <v>0</v>
      </c>
      <c r="AC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T14" s="46" t="s">
        <v>6346</v>
      </c>
    </row>
    <row r="15" spans="1:98">
      <c r="A15" s="46" t="s">
        <v>7130</v>
      </c>
      <c r="B15" s="46" t="s">
        <v>7131</v>
      </c>
      <c r="C15" s="46">
        <v>19</v>
      </c>
      <c r="D15" s="46" t="s">
        <v>7132</v>
      </c>
      <c r="E15" s="46" t="s">
        <v>7133</v>
      </c>
      <c r="F15" s="46" t="s">
        <v>2023</v>
      </c>
      <c r="H15" s="46">
        <v>1</v>
      </c>
      <c r="N15" s="46">
        <v>1</v>
      </c>
      <c r="Q15" s="46">
        <v>1</v>
      </c>
      <c r="V15" s="46">
        <v>1</v>
      </c>
      <c r="W15" s="46">
        <v>13</v>
      </c>
      <c r="X15" s="46">
        <v>15</v>
      </c>
      <c r="Y15" s="46" t="s">
        <v>191</v>
      </c>
      <c r="Z15" s="46">
        <v>0</v>
      </c>
      <c r="AA15" s="46">
        <v>0</v>
      </c>
      <c r="AB15" s="46">
        <v>0</v>
      </c>
      <c r="AC15" s="46">
        <v>1</v>
      </c>
      <c r="AI15" s="46">
        <v>1</v>
      </c>
      <c r="AK15" s="46">
        <v>1</v>
      </c>
      <c r="AT15" s="46">
        <v>1</v>
      </c>
      <c r="AX15" s="46">
        <v>1</v>
      </c>
      <c r="BA15" s="46">
        <v>1</v>
      </c>
      <c r="BK15" s="46">
        <v>1</v>
      </c>
      <c r="BY15" s="46">
        <v>1</v>
      </c>
      <c r="CB15" s="46">
        <v>1</v>
      </c>
      <c r="CE15" s="46">
        <v>1</v>
      </c>
      <c r="CK15" s="46">
        <v>1</v>
      </c>
      <c r="CT15" s="46" t="s">
        <v>6346</v>
      </c>
    </row>
    <row r="16" spans="1:98">
      <c r="A16" s="46" t="s">
        <v>7134</v>
      </c>
      <c r="B16" s="46" t="s">
        <v>7135</v>
      </c>
      <c r="C16" s="46">
        <v>21</v>
      </c>
      <c r="D16" s="46" t="s">
        <v>7136</v>
      </c>
      <c r="E16" s="46" t="s">
        <v>7137</v>
      </c>
      <c r="F16" s="46" t="s">
        <v>942</v>
      </c>
      <c r="J16" s="46">
        <v>1</v>
      </c>
      <c r="N16" s="46">
        <v>1</v>
      </c>
      <c r="Q16" s="46">
        <v>1</v>
      </c>
      <c r="V16" s="46">
        <v>1</v>
      </c>
      <c r="W16" s="46">
        <v>16</v>
      </c>
      <c r="X16" s="46">
        <v>19</v>
      </c>
      <c r="Y16" s="46" t="s">
        <v>191</v>
      </c>
      <c r="Z16" s="46">
        <v>0</v>
      </c>
      <c r="AA16" s="46">
        <v>0</v>
      </c>
      <c r="AB16" s="46">
        <v>0</v>
      </c>
      <c r="AC16" s="46">
        <v>1</v>
      </c>
      <c r="AI16" s="46">
        <v>1</v>
      </c>
      <c r="AK16" s="46">
        <v>1</v>
      </c>
      <c r="AT16" s="46">
        <v>1</v>
      </c>
      <c r="AX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T16" s="46" t="s">
        <v>6346</v>
      </c>
    </row>
    <row r="17" spans="1:98">
      <c r="A17" s="46" t="s">
        <v>7138</v>
      </c>
      <c r="B17" s="46" t="s">
        <v>7139</v>
      </c>
      <c r="C17" s="46">
        <v>21</v>
      </c>
      <c r="D17" s="46" t="s">
        <v>7140</v>
      </c>
      <c r="E17" s="46" t="s">
        <v>7141</v>
      </c>
      <c r="F17" s="46" t="s">
        <v>330</v>
      </c>
      <c r="H17" s="46">
        <v>1</v>
      </c>
      <c r="N17" s="46">
        <v>1</v>
      </c>
      <c r="Q17" s="46">
        <v>1</v>
      </c>
      <c r="V17" s="46">
        <v>1</v>
      </c>
      <c r="W17" s="46">
        <v>17</v>
      </c>
      <c r="X17" s="46">
        <v>18</v>
      </c>
      <c r="Y17" s="46" t="s">
        <v>191</v>
      </c>
      <c r="Z17" s="46">
        <v>0</v>
      </c>
      <c r="AA17" s="46">
        <v>0</v>
      </c>
      <c r="AB17" s="46">
        <v>0</v>
      </c>
      <c r="AC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T17" s="46" t="s">
        <v>6346</v>
      </c>
    </row>
    <row r="18" spans="1:98">
      <c r="A18" s="46" t="s">
        <v>7142</v>
      </c>
      <c r="B18" s="46" t="s">
        <v>7143</v>
      </c>
      <c r="C18" s="46">
        <v>23</v>
      </c>
      <c r="D18" s="46" t="s">
        <v>5860</v>
      </c>
      <c r="E18" s="46" t="s">
        <v>7144</v>
      </c>
      <c r="F18" s="46" t="s">
        <v>1109</v>
      </c>
      <c r="H18" s="46">
        <v>1</v>
      </c>
      <c r="N18" s="46">
        <v>1</v>
      </c>
      <c r="Q18" s="46">
        <v>1</v>
      </c>
      <c r="V18" s="46">
        <v>1</v>
      </c>
      <c r="W18" s="46">
        <v>15</v>
      </c>
      <c r="X18" s="46">
        <v>17</v>
      </c>
      <c r="Y18" s="46" t="s">
        <v>191</v>
      </c>
      <c r="Z18" s="46">
        <v>0</v>
      </c>
      <c r="AA18" s="46">
        <v>0</v>
      </c>
      <c r="AB18" s="46">
        <v>0</v>
      </c>
      <c r="AC18" s="46">
        <v>1</v>
      </c>
      <c r="AI18" s="46">
        <v>1</v>
      </c>
      <c r="AM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T18" s="46" t="s">
        <v>6346</v>
      </c>
    </row>
    <row r="19" spans="1:98">
      <c r="A19" s="46" t="s">
        <v>7145</v>
      </c>
      <c r="B19" s="46" t="s">
        <v>7146</v>
      </c>
      <c r="C19" s="46">
        <v>20</v>
      </c>
      <c r="D19" s="46" t="s">
        <v>7147</v>
      </c>
      <c r="E19" s="46" t="s">
        <v>7148</v>
      </c>
      <c r="F19" s="46" t="s">
        <v>477</v>
      </c>
      <c r="H19" s="46">
        <v>1</v>
      </c>
      <c r="N19" s="46">
        <v>1</v>
      </c>
      <c r="Q19" s="46">
        <v>1</v>
      </c>
      <c r="V19" s="46">
        <v>1</v>
      </c>
      <c r="W19" s="46">
        <v>12</v>
      </c>
      <c r="X19" s="46">
        <v>18</v>
      </c>
      <c r="Y19" s="46" t="s">
        <v>191</v>
      </c>
      <c r="Z19" s="46">
        <v>0</v>
      </c>
      <c r="AA19" s="46">
        <v>0</v>
      </c>
      <c r="AB19" s="46">
        <v>0</v>
      </c>
      <c r="AC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CB19" s="46">
        <v>1</v>
      </c>
      <c r="CE19" s="46">
        <v>1</v>
      </c>
      <c r="CK19" s="46">
        <v>1</v>
      </c>
      <c r="CT19" s="46" t="s">
        <v>6346</v>
      </c>
    </row>
    <row r="20" spans="1:98">
      <c r="A20" s="46" t="s">
        <v>7149</v>
      </c>
      <c r="B20" s="46" t="s">
        <v>7150</v>
      </c>
      <c r="C20" s="46">
        <v>19</v>
      </c>
      <c r="D20" s="46" t="s">
        <v>5860</v>
      </c>
      <c r="E20" s="46" t="s">
        <v>7151</v>
      </c>
      <c r="F20" s="46" t="s">
        <v>1109</v>
      </c>
      <c r="H20" s="46">
        <v>1</v>
      </c>
      <c r="N20" s="46">
        <v>1</v>
      </c>
      <c r="Q20" s="46">
        <v>1</v>
      </c>
      <c r="V20" s="46">
        <v>1</v>
      </c>
      <c r="W20" s="46">
        <v>15</v>
      </c>
      <c r="X20" s="46">
        <v>16</v>
      </c>
      <c r="Y20" s="46" t="s">
        <v>191</v>
      </c>
      <c r="Z20" s="46">
        <v>0</v>
      </c>
      <c r="AA20" s="46">
        <v>0</v>
      </c>
      <c r="AB20" s="46">
        <v>0</v>
      </c>
      <c r="AE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T20" s="46" t="s">
        <v>6346</v>
      </c>
    </row>
    <row r="21" spans="1:98">
      <c r="A21" s="46" t="s">
        <v>7152</v>
      </c>
      <c r="B21" s="46" t="s">
        <v>7153</v>
      </c>
      <c r="C21" s="46">
        <v>23</v>
      </c>
      <c r="D21" s="46" t="s">
        <v>5860</v>
      </c>
      <c r="E21" s="46" t="s">
        <v>7154</v>
      </c>
      <c r="F21" s="46" t="s">
        <v>1109</v>
      </c>
      <c r="G21" s="46">
        <v>1</v>
      </c>
      <c r="N21" s="46">
        <v>1</v>
      </c>
      <c r="Q21" s="46">
        <v>1</v>
      </c>
      <c r="V21" s="46">
        <v>1</v>
      </c>
      <c r="W21" s="46">
        <v>16</v>
      </c>
      <c r="X21" s="46">
        <v>17</v>
      </c>
      <c r="Y21" s="46" t="s">
        <v>191</v>
      </c>
      <c r="Z21" s="46">
        <v>0</v>
      </c>
      <c r="AA21" s="46">
        <v>0</v>
      </c>
      <c r="AB21" s="46">
        <v>0</v>
      </c>
      <c r="AC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BY21" s="46">
        <v>1</v>
      </c>
      <c r="CB21" s="46">
        <v>1</v>
      </c>
      <c r="CE21" s="46">
        <v>1</v>
      </c>
      <c r="CK21" s="46">
        <v>1</v>
      </c>
      <c r="CT21" s="46" t="s">
        <v>6346</v>
      </c>
    </row>
    <row r="22" spans="1:98">
      <c r="A22" s="46" t="s">
        <v>7155</v>
      </c>
      <c r="B22" s="46" t="s">
        <v>7156</v>
      </c>
      <c r="C22" s="46">
        <v>47</v>
      </c>
      <c r="D22" s="46" t="s">
        <v>1139</v>
      </c>
      <c r="E22" s="46" t="s">
        <v>7157</v>
      </c>
      <c r="F22" s="46" t="s">
        <v>1109</v>
      </c>
      <c r="J22" s="46">
        <v>1</v>
      </c>
      <c r="O22" s="46">
        <v>1</v>
      </c>
      <c r="Q22" s="46">
        <v>1</v>
      </c>
      <c r="U22" s="46">
        <v>1</v>
      </c>
      <c r="W22" s="46">
        <v>14</v>
      </c>
      <c r="X22" s="46">
        <v>20</v>
      </c>
      <c r="Y22" s="46">
        <v>21</v>
      </c>
      <c r="Z22" s="46">
        <v>1</v>
      </c>
      <c r="AA22" s="46">
        <v>1</v>
      </c>
      <c r="AB22" s="46">
        <v>1</v>
      </c>
      <c r="AC22" s="46">
        <v>1</v>
      </c>
      <c r="AI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CB22" s="46">
        <v>1</v>
      </c>
      <c r="CE22" s="46">
        <v>1</v>
      </c>
      <c r="CK22" s="46">
        <v>1</v>
      </c>
      <c r="CT22" s="46" t="s">
        <v>6346</v>
      </c>
    </row>
    <row r="23" spans="1:98">
      <c r="A23" s="46" t="s">
        <v>7158</v>
      </c>
      <c r="B23" s="46" t="s">
        <v>7159</v>
      </c>
      <c r="C23" s="46">
        <v>23</v>
      </c>
      <c r="D23" s="46" t="s">
        <v>7160</v>
      </c>
      <c r="E23" s="46" t="s">
        <v>7161</v>
      </c>
      <c r="F23" s="46" t="s">
        <v>7162</v>
      </c>
      <c r="I23" s="46">
        <v>1</v>
      </c>
      <c r="L23" s="46">
        <v>1</v>
      </c>
      <c r="Q23" s="46" t="s">
        <v>191</v>
      </c>
      <c r="V23" s="46">
        <v>1</v>
      </c>
      <c r="W23" s="46">
        <v>18</v>
      </c>
      <c r="X23" s="46">
        <v>19</v>
      </c>
      <c r="Y23" s="46">
        <v>19</v>
      </c>
      <c r="Z23" s="46">
        <v>1</v>
      </c>
      <c r="AA23" s="46">
        <v>1</v>
      </c>
      <c r="AB23" s="46">
        <v>1</v>
      </c>
      <c r="AC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K23" s="46">
        <v>1</v>
      </c>
      <c r="CB23" s="46">
        <v>1</v>
      </c>
      <c r="CE23" s="46">
        <v>1</v>
      </c>
      <c r="CK23" s="46">
        <v>1</v>
      </c>
      <c r="CT23" s="46" t="s">
        <v>6346</v>
      </c>
    </row>
    <row r="24" spans="1:98">
      <c r="A24" s="46" t="s">
        <v>7163</v>
      </c>
      <c r="B24" s="46" t="s">
        <v>7164</v>
      </c>
      <c r="C24" s="46">
        <v>23</v>
      </c>
      <c r="D24" s="46" t="s">
        <v>1139</v>
      </c>
      <c r="E24" s="46" t="s">
        <v>7165</v>
      </c>
      <c r="F24" s="46" t="s">
        <v>389</v>
      </c>
      <c r="H24" s="46">
        <v>1</v>
      </c>
      <c r="L24" s="46">
        <v>1</v>
      </c>
      <c r="Q24" s="46" t="s">
        <v>191</v>
      </c>
      <c r="V24" s="46">
        <v>1</v>
      </c>
      <c r="W24" s="46">
        <v>12</v>
      </c>
      <c r="X24" s="46" t="s">
        <v>4549</v>
      </c>
      <c r="Y24" s="46" t="s">
        <v>191</v>
      </c>
      <c r="Z24" s="46">
        <v>0</v>
      </c>
      <c r="AA24" s="46">
        <v>0</v>
      </c>
      <c r="AB24" s="46">
        <v>0</v>
      </c>
      <c r="AC24" s="46">
        <v>1</v>
      </c>
      <c r="AI24" s="46">
        <v>1</v>
      </c>
      <c r="AM24" s="46">
        <v>1</v>
      </c>
      <c r="AT24" s="46">
        <v>1</v>
      </c>
      <c r="AV24" s="46">
        <v>1</v>
      </c>
      <c r="BA24" s="46">
        <v>1</v>
      </c>
      <c r="BK24" s="52"/>
      <c r="CB24" s="46">
        <v>1</v>
      </c>
      <c r="CE24" s="46">
        <v>1</v>
      </c>
      <c r="CK24" s="46">
        <v>1</v>
      </c>
      <c r="CT24" s="46" t="s">
        <v>6346</v>
      </c>
    </row>
    <row r="25" spans="1:98">
      <c r="A25" s="46" t="s">
        <v>7166</v>
      </c>
      <c r="B25" s="46" t="s">
        <v>7167</v>
      </c>
      <c r="C25" s="46">
        <v>20</v>
      </c>
      <c r="D25" s="46" t="s">
        <v>7168</v>
      </c>
      <c r="E25" s="46" t="s">
        <v>7169</v>
      </c>
      <c r="F25" s="46" t="s">
        <v>122</v>
      </c>
      <c r="H25" s="46">
        <v>1</v>
      </c>
      <c r="L25" s="46">
        <v>1</v>
      </c>
      <c r="Q25" s="46" t="s">
        <v>191</v>
      </c>
      <c r="V25" s="46">
        <v>1</v>
      </c>
      <c r="W25" s="46">
        <v>14</v>
      </c>
      <c r="X25" s="46" t="s">
        <v>4549</v>
      </c>
      <c r="Y25" s="46" t="s">
        <v>191</v>
      </c>
      <c r="Z25" s="46">
        <v>0</v>
      </c>
      <c r="AA25" s="46">
        <v>0</v>
      </c>
      <c r="AB25" s="46">
        <v>0</v>
      </c>
      <c r="AC25" s="46">
        <v>1</v>
      </c>
      <c r="AI25" s="46">
        <v>1</v>
      </c>
      <c r="AK25" s="46">
        <v>1</v>
      </c>
      <c r="AT25" s="46">
        <v>1</v>
      </c>
      <c r="AV25" s="46">
        <v>1</v>
      </c>
      <c r="BA25" s="46">
        <v>1</v>
      </c>
      <c r="BK25" s="52"/>
      <c r="CB25" s="46">
        <v>1</v>
      </c>
      <c r="CE25" s="46">
        <v>1</v>
      </c>
      <c r="CK25" s="46">
        <v>1</v>
      </c>
      <c r="CT25" s="46" t="s">
        <v>6346</v>
      </c>
    </row>
    <row r="26" spans="1:98">
      <c r="A26" s="46" t="s">
        <v>7170</v>
      </c>
      <c r="B26" s="46" t="s">
        <v>7171</v>
      </c>
      <c r="C26" s="46">
        <v>22</v>
      </c>
      <c r="D26" s="46" t="s">
        <v>7172</v>
      </c>
      <c r="E26" s="46" t="s">
        <v>7173</v>
      </c>
      <c r="F26" s="46" t="s">
        <v>2023</v>
      </c>
      <c r="J26" s="46">
        <v>1</v>
      </c>
      <c r="N26" s="46">
        <v>1</v>
      </c>
      <c r="Q26" s="46">
        <v>1</v>
      </c>
      <c r="V26" s="46">
        <v>1</v>
      </c>
      <c r="W26" s="46">
        <v>17</v>
      </c>
      <c r="X26" s="46">
        <v>15</v>
      </c>
      <c r="Y26" s="46">
        <v>19</v>
      </c>
      <c r="Z26" s="46">
        <v>1</v>
      </c>
      <c r="AA26" s="46">
        <v>1</v>
      </c>
      <c r="AB26" s="46">
        <v>1</v>
      </c>
      <c r="AD26" s="46">
        <v>1</v>
      </c>
      <c r="AJ26" s="46">
        <v>1</v>
      </c>
      <c r="AK26" s="46">
        <v>1</v>
      </c>
      <c r="AT26" s="46">
        <v>1</v>
      </c>
      <c r="AX26" s="46">
        <v>1</v>
      </c>
      <c r="BA26" s="46">
        <v>1</v>
      </c>
      <c r="BK26" s="52"/>
      <c r="CB26" s="46">
        <v>1</v>
      </c>
      <c r="CE26" s="46">
        <v>1</v>
      </c>
      <c r="CK26" s="46">
        <v>1</v>
      </c>
      <c r="CT26" s="46" t="s">
        <v>6346</v>
      </c>
    </row>
  </sheetData>
  <autoFilter ref="B3:D26"/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5"/>
  <sheetViews>
    <sheetView workbookViewId="0"/>
  </sheetViews>
  <sheetFormatPr defaultColWidth="14.42578125" defaultRowHeight="15" customHeight="1"/>
  <cols>
    <col min="1" max="1" width="8.5703125" customWidth="1"/>
    <col min="2" max="2" width="19" customWidth="1"/>
    <col min="3" max="3" width="4.85546875" customWidth="1"/>
  </cols>
  <sheetData>
    <row r="1" spans="1:99">
      <c r="A1" s="73" t="s">
        <v>7174</v>
      </c>
      <c r="B1" s="83"/>
      <c r="C1" s="73" t="s">
        <v>3392</v>
      </c>
      <c r="D1" s="83"/>
      <c r="E1" s="83"/>
      <c r="F1" s="172"/>
      <c r="G1" s="172" t="s">
        <v>2</v>
      </c>
      <c r="H1" s="83"/>
      <c r="I1" s="83"/>
      <c r="J1" s="83"/>
      <c r="K1" s="83"/>
      <c r="L1" s="172" t="s">
        <v>3</v>
      </c>
      <c r="M1" s="83"/>
      <c r="N1" s="83"/>
      <c r="O1" s="83"/>
      <c r="P1" s="83"/>
      <c r="Q1" s="172" t="s">
        <v>4</v>
      </c>
      <c r="R1" s="83"/>
      <c r="S1" s="172" t="s">
        <v>5</v>
      </c>
      <c r="T1" s="83"/>
      <c r="U1" s="83"/>
      <c r="V1" s="83"/>
      <c r="W1" s="172" t="s">
        <v>6</v>
      </c>
      <c r="X1" s="83"/>
      <c r="Y1" s="83"/>
      <c r="Z1" s="83"/>
      <c r="AA1" s="83"/>
      <c r="AB1" s="83"/>
      <c r="AC1" s="172" t="s">
        <v>7</v>
      </c>
      <c r="AD1" s="83"/>
      <c r="AE1" s="83"/>
      <c r="AF1" s="83"/>
      <c r="AG1" s="83"/>
      <c r="AH1" s="83"/>
      <c r="AI1" s="172" t="s">
        <v>8</v>
      </c>
      <c r="AJ1" s="83"/>
      <c r="AK1" s="172" t="s">
        <v>9</v>
      </c>
      <c r="AL1" s="83"/>
      <c r="AM1" s="83"/>
      <c r="AN1" s="172" t="s">
        <v>10</v>
      </c>
      <c r="AO1" s="83"/>
      <c r="AP1" s="83"/>
      <c r="AQ1" s="172" t="s">
        <v>11</v>
      </c>
      <c r="AR1" s="83"/>
      <c r="AS1" s="83"/>
      <c r="AT1" s="172" t="s">
        <v>12</v>
      </c>
      <c r="AU1" s="83"/>
      <c r="AV1" s="172" t="s">
        <v>13</v>
      </c>
      <c r="AW1" s="83"/>
      <c r="AX1" s="83"/>
      <c r="AY1" s="83"/>
      <c r="AZ1" s="83"/>
      <c r="BA1" s="172" t="s">
        <v>14</v>
      </c>
      <c r="BB1" s="83"/>
      <c r="BC1" s="83"/>
      <c r="BD1" s="83"/>
      <c r="BE1" s="83"/>
      <c r="BF1" s="83"/>
      <c r="BG1" s="83"/>
      <c r="BH1" s="172" t="s">
        <v>16</v>
      </c>
      <c r="BI1" s="83"/>
      <c r="BJ1" s="83"/>
      <c r="BK1" s="83"/>
      <c r="BL1" s="83"/>
      <c r="BM1" s="83"/>
      <c r="BN1" s="172" t="s">
        <v>17</v>
      </c>
      <c r="BO1" s="83"/>
      <c r="BP1" s="83"/>
      <c r="BQ1" s="172" t="s">
        <v>18</v>
      </c>
      <c r="BR1" s="83"/>
      <c r="BS1" s="172"/>
      <c r="BT1" s="172"/>
      <c r="BU1" s="172" t="s">
        <v>19</v>
      </c>
      <c r="BV1" s="83"/>
      <c r="BW1" s="83"/>
      <c r="BX1" s="83"/>
      <c r="BY1" s="83"/>
      <c r="BZ1" s="172" t="s">
        <v>20</v>
      </c>
      <c r="CA1" s="83"/>
      <c r="CB1" s="83"/>
      <c r="CC1" s="172" t="s">
        <v>21</v>
      </c>
      <c r="CD1" s="83"/>
      <c r="CE1" s="172" t="s">
        <v>22</v>
      </c>
      <c r="CF1" s="172" t="s">
        <v>23</v>
      </c>
      <c r="CG1" s="83"/>
      <c r="CH1" s="83"/>
      <c r="CI1" s="172" t="s">
        <v>16</v>
      </c>
      <c r="CJ1" s="83"/>
      <c r="CK1" s="83"/>
      <c r="CL1" s="172"/>
      <c r="CM1" s="172" t="s">
        <v>24</v>
      </c>
      <c r="CN1" s="83"/>
      <c r="CO1" s="172" t="s">
        <v>25</v>
      </c>
      <c r="CP1" s="83"/>
      <c r="CQ1" s="172"/>
      <c r="CR1" s="172" t="s">
        <v>26</v>
      </c>
      <c r="CS1" s="172"/>
      <c r="CT1" s="172"/>
      <c r="CU1" s="172"/>
    </row>
    <row r="2" spans="1:99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73" t="s">
        <v>15</v>
      </c>
      <c r="BG2" s="83"/>
      <c r="BH2" s="172" t="s">
        <v>78</v>
      </c>
      <c r="BI2" s="83"/>
      <c r="BJ2" s="172" t="s">
        <v>354</v>
      </c>
      <c r="BK2" s="83"/>
      <c r="BL2" s="83"/>
      <c r="BM2" s="83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2"/>
      <c r="CL2" s="172"/>
      <c r="CM2" s="172"/>
      <c r="CN2" s="172"/>
      <c r="CO2" s="172"/>
      <c r="CP2" s="172"/>
      <c r="CQ2" s="172" t="s">
        <v>893</v>
      </c>
      <c r="CR2" s="172"/>
      <c r="CS2" s="172"/>
      <c r="CT2" s="172"/>
      <c r="CU2" s="172"/>
    </row>
    <row r="3" spans="1:99">
      <c r="A3" s="172" t="s">
        <v>28</v>
      </c>
      <c r="B3" s="172" t="s">
        <v>29</v>
      </c>
      <c r="C3" s="172" t="s">
        <v>30</v>
      </c>
      <c r="D3" s="172" t="s">
        <v>31</v>
      </c>
      <c r="E3" s="172" t="s">
        <v>32</v>
      </c>
      <c r="F3" s="172" t="s">
        <v>33</v>
      </c>
      <c r="G3" s="172" t="s">
        <v>34</v>
      </c>
      <c r="H3" s="172" t="s">
        <v>35</v>
      </c>
      <c r="I3" s="172" t="s">
        <v>36</v>
      </c>
      <c r="J3" s="172" t="s">
        <v>37</v>
      </c>
      <c r="K3" s="172" t="s">
        <v>38</v>
      </c>
      <c r="L3" s="172" t="s">
        <v>39</v>
      </c>
      <c r="M3" s="172" t="s">
        <v>40</v>
      </c>
      <c r="N3" s="172" t="s">
        <v>41</v>
      </c>
      <c r="O3" s="172" t="s">
        <v>42</v>
      </c>
      <c r="P3" s="172" t="s">
        <v>43</v>
      </c>
      <c r="Q3" s="172" t="s">
        <v>44</v>
      </c>
      <c r="R3" s="172" t="s">
        <v>45</v>
      </c>
      <c r="S3" s="172" t="s">
        <v>46</v>
      </c>
      <c r="T3" s="172" t="s">
        <v>47</v>
      </c>
      <c r="U3" s="172" t="s">
        <v>48</v>
      </c>
      <c r="V3" s="172" t="s">
        <v>49</v>
      </c>
      <c r="W3" s="172" t="s">
        <v>50</v>
      </c>
      <c r="X3" s="172" t="s">
        <v>51</v>
      </c>
      <c r="Y3" s="172" t="s">
        <v>52</v>
      </c>
      <c r="Z3" s="172" t="s">
        <v>53</v>
      </c>
      <c r="AA3" s="172" t="s">
        <v>54</v>
      </c>
      <c r="AB3" s="172" t="s">
        <v>55</v>
      </c>
      <c r="AC3" s="172" t="s">
        <v>56</v>
      </c>
      <c r="AD3" s="172" t="s">
        <v>57</v>
      </c>
      <c r="AE3" s="172" t="s">
        <v>58</v>
      </c>
      <c r="AF3" s="172" t="s">
        <v>59</v>
      </c>
      <c r="AG3" s="172" t="s">
        <v>60</v>
      </c>
      <c r="AH3" s="172" t="s">
        <v>61</v>
      </c>
      <c r="AI3" s="172" t="s">
        <v>62</v>
      </c>
      <c r="AJ3" s="172" t="s">
        <v>63</v>
      </c>
      <c r="AK3" s="172" t="s">
        <v>64</v>
      </c>
      <c r="AL3" s="172" t="s">
        <v>65</v>
      </c>
      <c r="AM3" s="73" t="s">
        <v>66</v>
      </c>
      <c r="AN3" s="172" t="s">
        <v>67</v>
      </c>
      <c r="AO3" s="172" t="s">
        <v>68</v>
      </c>
      <c r="AP3" s="172" t="s">
        <v>69</v>
      </c>
      <c r="AQ3" s="172" t="s">
        <v>70</v>
      </c>
      <c r="AR3" s="172" t="s">
        <v>71</v>
      </c>
      <c r="AS3" s="172" t="s">
        <v>72</v>
      </c>
      <c r="AT3" s="172" t="s">
        <v>56</v>
      </c>
      <c r="AU3" s="172" t="s">
        <v>73</v>
      </c>
      <c r="AV3" s="172" t="s">
        <v>46</v>
      </c>
      <c r="AW3" s="73" t="s">
        <v>895</v>
      </c>
      <c r="AX3" s="173" t="s">
        <v>75</v>
      </c>
      <c r="AY3" s="173" t="s">
        <v>76</v>
      </c>
      <c r="AZ3" s="172" t="s">
        <v>77</v>
      </c>
      <c r="BA3" s="172" t="s">
        <v>56</v>
      </c>
      <c r="BB3" s="172" t="s">
        <v>78</v>
      </c>
      <c r="BC3" s="172" t="s">
        <v>79</v>
      </c>
      <c r="BD3" s="172" t="s">
        <v>80</v>
      </c>
      <c r="BE3" s="172" t="s">
        <v>38</v>
      </c>
      <c r="BF3" s="172" t="s">
        <v>81</v>
      </c>
      <c r="BG3" s="172" t="s">
        <v>82</v>
      </c>
      <c r="BH3" s="172" t="s">
        <v>83</v>
      </c>
      <c r="BI3" s="172" t="s">
        <v>81</v>
      </c>
      <c r="BJ3" s="73" t="s">
        <v>96</v>
      </c>
      <c r="BK3" s="172" t="s">
        <v>84</v>
      </c>
      <c r="BL3" s="172" t="s">
        <v>85</v>
      </c>
      <c r="BM3" s="172" t="s">
        <v>86</v>
      </c>
      <c r="BN3" s="172" t="s">
        <v>73</v>
      </c>
      <c r="BO3" s="73" t="s">
        <v>87</v>
      </c>
      <c r="BP3" s="172" t="s">
        <v>56</v>
      </c>
      <c r="BQ3" s="172" t="s">
        <v>83</v>
      </c>
      <c r="BR3" s="172" t="s">
        <v>88</v>
      </c>
      <c r="BS3" s="172" t="s">
        <v>89</v>
      </c>
      <c r="BT3" s="172"/>
      <c r="BU3" s="172" t="s">
        <v>90</v>
      </c>
      <c r="BV3" s="172" t="s">
        <v>91</v>
      </c>
      <c r="BW3" s="172" t="s">
        <v>92</v>
      </c>
      <c r="BX3" s="172" t="s">
        <v>93</v>
      </c>
      <c r="BY3" s="172" t="s">
        <v>94</v>
      </c>
      <c r="BZ3" s="172" t="s">
        <v>56</v>
      </c>
      <c r="CA3" s="172" t="s">
        <v>73</v>
      </c>
      <c r="CB3" s="172" t="s">
        <v>22</v>
      </c>
      <c r="CC3" s="172" t="s">
        <v>56</v>
      </c>
      <c r="CD3" s="172" t="s">
        <v>73</v>
      </c>
      <c r="CE3" s="73" t="s">
        <v>1275</v>
      </c>
      <c r="CF3" s="172" t="s">
        <v>83</v>
      </c>
      <c r="CG3" s="172" t="s">
        <v>88</v>
      </c>
      <c r="CH3" s="172" t="s">
        <v>896</v>
      </c>
      <c r="CI3" s="172" t="s">
        <v>96</v>
      </c>
      <c r="CJ3" s="73" t="s">
        <v>97</v>
      </c>
      <c r="CK3" s="172" t="s">
        <v>98</v>
      </c>
      <c r="CL3" s="73" t="s">
        <v>1276</v>
      </c>
      <c r="CM3" s="172" t="s">
        <v>73</v>
      </c>
      <c r="CN3" s="172" t="s">
        <v>56</v>
      </c>
      <c r="CO3" s="172" t="s">
        <v>99</v>
      </c>
      <c r="CP3" s="172" t="s">
        <v>56</v>
      </c>
      <c r="CQ3" s="172"/>
      <c r="CR3" s="172" t="s">
        <v>100</v>
      </c>
      <c r="CS3" s="83"/>
      <c r="CT3" s="172" t="s">
        <v>101</v>
      </c>
      <c r="CU3" s="172" t="s">
        <v>102</v>
      </c>
    </row>
    <row r="4" spans="1:99">
      <c r="A4" s="46" t="s">
        <v>7175</v>
      </c>
      <c r="B4" s="46" t="s">
        <v>7176</v>
      </c>
      <c r="C4" s="46">
        <v>40</v>
      </c>
      <c r="D4" s="46" t="s">
        <v>7177</v>
      </c>
      <c r="E4" s="46" t="s">
        <v>7178</v>
      </c>
      <c r="F4" s="46" t="s">
        <v>112</v>
      </c>
      <c r="I4" s="46">
        <v>1</v>
      </c>
      <c r="M4" s="46">
        <v>1</v>
      </c>
      <c r="R4" s="46">
        <v>1</v>
      </c>
      <c r="U4" s="46">
        <v>1</v>
      </c>
      <c r="W4" s="46">
        <v>13</v>
      </c>
      <c r="X4" s="46">
        <v>17</v>
      </c>
      <c r="Y4" s="46">
        <v>19</v>
      </c>
      <c r="Z4" s="46">
        <v>8</v>
      </c>
      <c r="AA4" s="46">
        <v>7</v>
      </c>
      <c r="AB4" s="46">
        <v>7</v>
      </c>
      <c r="AE4" s="46">
        <v>1</v>
      </c>
      <c r="AH4" s="46">
        <v>1</v>
      </c>
      <c r="AJ4" s="46">
        <v>1</v>
      </c>
      <c r="AL4" s="46">
        <v>1</v>
      </c>
      <c r="AO4" s="46">
        <v>1</v>
      </c>
      <c r="AU4" s="46">
        <v>1</v>
      </c>
      <c r="AW4" s="46">
        <v>1</v>
      </c>
      <c r="BB4" s="46">
        <v>1</v>
      </c>
      <c r="BF4" s="46">
        <v>1</v>
      </c>
      <c r="BI4" s="46">
        <v>1</v>
      </c>
      <c r="BW4" s="46">
        <v>1</v>
      </c>
      <c r="BZ4" s="46">
        <v>1</v>
      </c>
      <c r="CC4" s="46">
        <v>1</v>
      </c>
      <c r="CI4" s="46">
        <v>1</v>
      </c>
    </row>
    <row r="5" spans="1:99">
      <c r="A5" s="46" t="s">
        <v>7179</v>
      </c>
      <c r="B5" s="46" t="s">
        <v>7180</v>
      </c>
      <c r="C5" s="46">
        <v>50</v>
      </c>
      <c r="D5" s="46" t="s">
        <v>7181</v>
      </c>
      <c r="F5" s="46" t="s">
        <v>415</v>
      </c>
      <c r="H5" s="46">
        <v>1</v>
      </c>
      <c r="O5" s="46">
        <v>1</v>
      </c>
      <c r="S5" s="46">
        <v>1</v>
      </c>
      <c r="W5" s="46">
        <v>15</v>
      </c>
      <c r="X5" s="46">
        <v>15</v>
      </c>
      <c r="Y5" s="46">
        <v>18</v>
      </c>
      <c r="Z5" s="46">
        <v>9</v>
      </c>
      <c r="AA5" s="46">
        <v>9</v>
      </c>
      <c r="AB5" s="46">
        <v>9</v>
      </c>
      <c r="AD5" s="46">
        <v>1</v>
      </c>
      <c r="AE5" s="46">
        <v>1</v>
      </c>
      <c r="AI5" s="46">
        <v>1</v>
      </c>
      <c r="AK5" s="46">
        <v>1</v>
      </c>
      <c r="AT5" s="46">
        <v>1</v>
      </c>
      <c r="AW5" s="46">
        <v>1</v>
      </c>
      <c r="BA5" s="46">
        <v>1</v>
      </c>
      <c r="BJ5" s="46">
        <v>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7182</v>
      </c>
      <c r="B3" s="69">
        <v>17</v>
      </c>
      <c r="C3" s="69"/>
      <c r="D3" s="69">
        <v>5</v>
      </c>
      <c r="E3" s="69">
        <f>SUM(B3:D3)</f>
        <v>22</v>
      </c>
      <c r="F3" s="70">
        <v>1</v>
      </c>
      <c r="G3" s="70">
        <v>18</v>
      </c>
      <c r="H3" s="70">
        <v>3</v>
      </c>
      <c r="I3" s="70"/>
      <c r="J3" s="71">
        <f>SUM(F3:I3)</f>
        <v>22</v>
      </c>
      <c r="K3" s="70"/>
      <c r="L3" s="70"/>
      <c r="M3" s="70"/>
      <c r="N3" s="70"/>
      <c r="O3" s="70"/>
      <c r="P3" s="71">
        <f>SUM(K3:O3)</f>
        <v>0</v>
      </c>
      <c r="Q3" s="70"/>
      <c r="R3" s="70"/>
      <c r="S3" s="70">
        <v>10</v>
      </c>
      <c r="T3" s="71">
        <f>SUM(Q3:S3)</f>
        <v>10</v>
      </c>
      <c r="U3" s="75"/>
      <c r="V3" s="75"/>
      <c r="W3" s="75"/>
      <c r="X3" s="75">
        <v>1</v>
      </c>
      <c r="Y3" s="75"/>
      <c r="Z3" s="75"/>
      <c r="AA3" s="73">
        <v>22</v>
      </c>
      <c r="AB3" s="73"/>
      <c r="AC3" s="73"/>
      <c r="AD3" s="73"/>
      <c r="AE3" s="186">
        <f>SUM(AA3,AB3,AC3,AD3)</f>
        <v>22</v>
      </c>
      <c r="AF3" s="73">
        <v>0</v>
      </c>
      <c r="AG3" s="73">
        <v>0</v>
      </c>
    </row>
    <row r="4" spans="1:33">
      <c r="A4" s="77" t="s">
        <v>7183</v>
      </c>
      <c r="B4" s="69"/>
      <c r="C4" s="69"/>
      <c r="D4" s="69"/>
      <c r="E4" s="69">
        <f>SUM(B4:D4)</f>
        <v>0</v>
      </c>
      <c r="F4" s="70"/>
      <c r="G4" s="70"/>
      <c r="H4" s="70"/>
      <c r="I4" s="70"/>
      <c r="J4" s="71">
        <f>SUM(F4:I4)</f>
        <v>0</v>
      </c>
      <c r="K4" s="70"/>
      <c r="L4" s="70"/>
      <c r="M4" s="70"/>
      <c r="N4" s="70"/>
      <c r="O4" s="70"/>
      <c r="P4" s="71">
        <f>SUM(K4:O4)</f>
        <v>0</v>
      </c>
      <c r="Q4" s="70"/>
      <c r="R4" s="70"/>
      <c r="S4" s="70"/>
      <c r="T4" s="71">
        <f>SUM(Q4:S4)</f>
        <v>0</v>
      </c>
      <c r="U4" s="75"/>
      <c r="V4" s="75"/>
      <c r="W4" s="75"/>
      <c r="X4" s="75"/>
      <c r="Y4" s="75"/>
      <c r="Z4" s="75"/>
      <c r="AA4" s="73"/>
      <c r="AB4" s="73"/>
      <c r="AC4" s="73"/>
      <c r="AD4" s="73"/>
      <c r="AE4" s="186">
        <f>SUM(AA4,AB4,AC4,AD4)</f>
        <v>0</v>
      </c>
      <c r="AF4" s="73">
        <v>0</v>
      </c>
      <c r="AG4" s="73">
        <v>0</v>
      </c>
    </row>
    <row r="5" spans="1:33">
      <c r="A5" s="77" t="s">
        <v>1171</v>
      </c>
      <c r="B5" s="69">
        <v>1</v>
      </c>
      <c r="C5" s="69"/>
      <c r="D5" s="69"/>
      <c r="E5" s="69">
        <f>SUM(B5:D5)</f>
        <v>1</v>
      </c>
      <c r="F5" s="70"/>
      <c r="G5" s="70">
        <v>1</v>
      </c>
      <c r="H5" s="70"/>
      <c r="I5" s="70"/>
      <c r="J5" s="71">
        <f>SUM(F5:I5)</f>
        <v>1</v>
      </c>
      <c r="K5" s="70"/>
      <c r="L5" s="70"/>
      <c r="M5" s="70"/>
      <c r="N5" s="70"/>
      <c r="O5" s="70"/>
      <c r="P5" s="71">
        <f>SUM(K5:O5)</f>
        <v>0</v>
      </c>
      <c r="Q5" s="70"/>
      <c r="R5" s="70"/>
      <c r="S5" s="70"/>
      <c r="T5" s="71">
        <f>SUM(Q5:S5)</f>
        <v>0</v>
      </c>
      <c r="U5" s="75"/>
      <c r="V5" s="75"/>
      <c r="W5" s="75"/>
      <c r="X5" s="75"/>
      <c r="Y5" s="75"/>
      <c r="Z5" s="75"/>
      <c r="AA5" s="73">
        <v>1</v>
      </c>
      <c r="AB5" s="73"/>
      <c r="AC5" s="73"/>
      <c r="AD5" s="73"/>
      <c r="AE5" s="186">
        <f>SUM(AA5,AB5,AC5,AD5)</f>
        <v>1</v>
      </c>
      <c r="AF5" s="73">
        <v>0</v>
      </c>
      <c r="AG5" s="73">
        <v>0</v>
      </c>
    </row>
    <row r="6" spans="1:33">
      <c r="A6" s="69" t="s">
        <v>376</v>
      </c>
      <c r="B6" s="69">
        <f t="shared" ref="B6:I6" si="0">SUM(B3:B5)</f>
        <v>18</v>
      </c>
      <c r="C6" s="69">
        <f t="shared" si="0"/>
        <v>0</v>
      </c>
      <c r="D6" s="69">
        <f t="shared" si="0"/>
        <v>5</v>
      </c>
      <c r="E6" s="69">
        <f t="shared" si="0"/>
        <v>23</v>
      </c>
      <c r="F6" s="69">
        <f t="shared" si="0"/>
        <v>1</v>
      </c>
      <c r="G6" s="69">
        <f t="shared" si="0"/>
        <v>19</v>
      </c>
      <c r="H6" s="69">
        <f t="shared" si="0"/>
        <v>3</v>
      </c>
      <c r="I6" s="69">
        <f t="shared" si="0"/>
        <v>0</v>
      </c>
      <c r="J6" s="71">
        <f>SUM(F6:I6)</f>
        <v>23</v>
      </c>
      <c r="K6" s="114">
        <f>SUM(K3:K5)</f>
        <v>0</v>
      </c>
      <c r="L6" s="114">
        <f>SUM(L3:L5)</f>
        <v>0</v>
      </c>
      <c r="M6" s="114">
        <f>SUM(M3:M5)</f>
        <v>0</v>
      </c>
      <c r="N6" s="114">
        <f>SUM(N3:N5)</f>
        <v>0</v>
      </c>
      <c r="O6" s="114">
        <f>SUM(O3:O5)</f>
        <v>0</v>
      </c>
      <c r="P6" s="71">
        <f>SUM(K6:O6)</f>
        <v>0</v>
      </c>
      <c r="Q6" s="114">
        <f>SUM(Q3:Q5)</f>
        <v>0</v>
      </c>
      <c r="R6" s="114">
        <f>SUM(R3:R5)</f>
        <v>0</v>
      </c>
      <c r="S6" s="114">
        <f>SUM(S3:S5)</f>
        <v>10</v>
      </c>
      <c r="T6" s="241">
        <f>SUM(Q6:S6)</f>
        <v>10</v>
      </c>
      <c r="U6" s="114">
        <f t="shared" ref="U6:AG6" si="1">SUM(U3:U5)</f>
        <v>0</v>
      </c>
      <c r="V6" s="114">
        <f t="shared" si="1"/>
        <v>0</v>
      </c>
      <c r="W6" s="114">
        <f t="shared" si="1"/>
        <v>0</v>
      </c>
      <c r="X6" s="114">
        <f t="shared" si="1"/>
        <v>1</v>
      </c>
      <c r="Y6" s="114">
        <f t="shared" si="1"/>
        <v>0</v>
      </c>
      <c r="Z6" s="114">
        <f t="shared" si="1"/>
        <v>0</v>
      </c>
      <c r="AA6" s="114">
        <f t="shared" si="1"/>
        <v>23</v>
      </c>
      <c r="AB6" s="114">
        <f t="shared" si="1"/>
        <v>0</v>
      </c>
      <c r="AC6" s="114">
        <f t="shared" si="1"/>
        <v>0</v>
      </c>
      <c r="AD6" s="114">
        <f t="shared" si="1"/>
        <v>0</v>
      </c>
      <c r="AE6" s="73">
        <f t="shared" si="1"/>
        <v>23</v>
      </c>
      <c r="AF6" s="73">
        <f t="shared" si="1"/>
        <v>0</v>
      </c>
      <c r="AG6" s="73">
        <f t="shared" si="1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T3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9.85546875" customWidth="1"/>
    <col min="2" max="2" width="19.85546875" customWidth="1"/>
    <col min="3" max="3" width="6.42578125" customWidth="1"/>
    <col min="4" max="4" width="9.85546875" customWidth="1"/>
    <col min="5" max="5" width="12.42578125" customWidth="1"/>
    <col min="6" max="6" width="9.7109375" customWidth="1"/>
    <col min="7" max="7" width="6" customWidth="1"/>
    <col min="8" max="8" width="5.5703125" customWidth="1"/>
    <col min="9" max="9" width="6.28515625" customWidth="1"/>
    <col min="10" max="10" width="6.5703125" customWidth="1"/>
    <col min="11" max="11" width="7.42578125" customWidth="1"/>
    <col min="12" max="12" width="6" customWidth="1"/>
    <col min="13" max="13" width="5.7109375" customWidth="1"/>
    <col min="14" max="14" width="5.5703125" customWidth="1"/>
    <col min="15" max="15" width="6.140625" customWidth="1"/>
    <col min="16" max="16" width="5.7109375" customWidth="1"/>
    <col min="17" max="17" width="7.140625" customWidth="1"/>
    <col min="18" max="18" width="5.7109375" customWidth="1"/>
    <col min="19" max="19" width="6.7109375" customWidth="1"/>
    <col min="20" max="20" width="6.140625" customWidth="1"/>
    <col min="21" max="21" width="5.5703125" customWidth="1"/>
    <col min="22" max="22" width="5.7109375" customWidth="1"/>
    <col min="23" max="23" width="9.28515625" customWidth="1"/>
    <col min="24" max="24" width="9.85546875" customWidth="1"/>
    <col min="25" max="25" width="9.140625" customWidth="1"/>
    <col min="26" max="26" width="6.85546875" customWidth="1"/>
    <col min="27" max="27" width="10" customWidth="1"/>
    <col min="28" max="28" width="10.7109375" customWidth="1"/>
    <col min="29" max="29" width="4.5703125" customWidth="1"/>
    <col min="30" max="30" width="7" customWidth="1"/>
    <col min="31" max="31" width="6.7109375" customWidth="1"/>
    <col min="32" max="33" width="8.28515625" customWidth="1"/>
    <col min="34" max="34" width="6.42578125" customWidth="1"/>
    <col min="35" max="35" width="5.140625" customWidth="1"/>
    <col min="36" max="36" width="5" customWidth="1"/>
    <col min="37" max="37" width="5.5703125" customWidth="1"/>
    <col min="38" max="38" width="7" customWidth="1"/>
    <col min="39" max="39" width="11.28515625" customWidth="1"/>
    <col min="40" max="40" width="11.42578125" customWidth="1"/>
    <col min="41" max="41" width="7.85546875" customWidth="1"/>
    <col min="42" max="42" width="8.85546875" customWidth="1"/>
    <col min="43" max="43" width="12.7109375" customWidth="1"/>
    <col min="46" max="46" width="5.5703125" customWidth="1"/>
    <col min="47" max="47" width="10" customWidth="1"/>
    <col min="48" max="48" width="6.28515625" customWidth="1"/>
    <col min="49" max="49" width="8.5703125" customWidth="1"/>
    <col min="50" max="50" width="8.28515625" customWidth="1"/>
    <col min="51" max="51" width="8.7109375" customWidth="1"/>
    <col min="52" max="52" width="6.42578125" customWidth="1"/>
    <col min="53" max="53" width="5.5703125" customWidth="1"/>
    <col min="54" max="54" width="8.140625" customWidth="1"/>
    <col min="55" max="55" width="8" customWidth="1"/>
    <col min="56" max="56" width="7" customWidth="1"/>
    <col min="57" max="57" width="10.28515625" customWidth="1"/>
    <col min="58" max="58" width="8.140625" customWidth="1"/>
    <col min="59" max="59" width="7.7109375" customWidth="1"/>
    <col min="60" max="60" width="11.42578125" customWidth="1"/>
    <col min="61" max="61" width="8.42578125" customWidth="1"/>
    <col min="62" max="62" width="7.5703125" customWidth="1"/>
    <col min="63" max="63" width="7.85546875" customWidth="1"/>
    <col min="64" max="64" width="9" customWidth="1"/>
    <col min="65" max="65" width="10.28515625" customWidth="1"/>
    <col min="66" max="66" width="13.42578125" customWidth="1"/>
    <col min="67" max="67" width="7.28515625" customWidth="1"/>
    <col min="68" max="68" width="5.7109375" customWidth="1"/>
    <col min="69" max="69" width="8.28515625" customWidth="1"/>
    <col min="70" max="70" width="6.28515625" customWidth="1"/>
    <col min="71" max="71" width="6.42578125" customWidth="1"/>
    <col min="72" max="72" width="7.5703125" customWidth="1"/>
    <col min="74" max="74" width="9.85546875" customWidth="1"/>
    <col min="75" max="75" width="6.85546875" customWidth="1"/>
    <col min="76" max="76" width="9.7109375" customWidth="1"/>
    <col min="77" max="77" width="12.140625" customWidth="1"/>
    <col min="80" max="80" width="8.140625" customWidth="1"/>
    <col min="82" max="82" width="9.28515625" customWidth="1"/>
    <col min="83" max="83" width="6.140625" customWidth="1"/>
    <col min="84" max="84" width="9.5703125" customWidth="1"/>
    <col min="86" max="86" width="8.28515625" customWidth="1"/>
    <col min="87" max="87" width="10.140625" customWidth="1"/>
    <col min="93" max="93" width="7.140625" customWidth="1"/>
    <col min="94" max="94" width="6.5703125" customWidth="1"/>
    <col min="95" max="95" width="8.85546875" customWidth="1"/>
    <col min="96" max="96" width="8.5703125" customWidth="1"/>
  </cols>
  <sheetData>
    <row r="1" spans="1:98">
      <c r="A1" s="197" t="s">
        <v>7184</v>
      </c>
      <c r="B1" s="143"/>
      <c r="C1" s="231" t="s">
        <v>7185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238" t="s">
        <v>360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7186</v>
      </c>
      <c r="B4" s="46" t="s">
        <v>7187</v>
      </c>
      <c r="C4" s="46">
        <v>28</v>
      </c>
      <c r="D4" s="46" t="s">
        <v>7188</v>
      </c>
      <c r="E4" s="46" t="s">
        <v>7189</v>
      </c>
      <c r="F4" s="46" t="s">
        <v>2285</v>
      </c>
      <c r="I4" s="46">
        <v>1</v>
      </c>
      <c r="M4" s="46">
        <v>1</v>
      </c>
      <c r="R4" s="46">
        <v>1</v>
      </c>
      <c r="T4" s="46">
        <v>1</v>
      </c>
      <c r="W4" s="46">
        <v>15</v>
      </c>
      <c r="X4" s="46">
        <v>17</v>
      </c>
      <c r="Y4" s="46">
        <v>17</v>
      </c>
      <c r="Z4" s="46">
        <v>6</v>
      </c>
      <c r="AA4" s="46">
        <v>7</v>
      </c>
      <c r="AB4" s="46">
        <v>7</v>
      </c>
      <c r="AG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N4" s="46">
        <v>1</v>
      </c>
      <c r="CT4" s="46" t="s">
        <v>6346</v>
      </c>
    </row>
    <row r="5" spans="1:98">
      <c r="A5" s="46" t="s">
        <v>7190</v>
      </c>
      <c r="B5" s="46" t="s">
        <v>7191</v>
      </c>
      <c r="C5" s="46">
        <v>20</v>
      </c>
      <c r="D5" s="46" t="s">
        <v>7192</v>
      </c>
      <c r="E5" s="46" t="s">
        <v>191</v>
      </c>
      <c r="F5" s="46" t="s">
        <v>112</v>
      </c>
      <c r="I5" s="46">
        <v>1</v>
      </c>
      <c r="M5" s="46">
        <v>1</v>
      </c>
      <c r="Q5" s="46">
        <v>1</v>
      </c>
      <c r="T5" s="46">
        <v>1</v>
      </c>
      <c r="W5" s="46">
        <v>12</v>
      </c>
      <c r="X5" s="46">
        <v>13</v>
      </c>
      <c r="Y5" s="46">
        <v>14</v>
      </c>
      <c r="Z5" s="46">
        <v>2</v>
      </c>
      <c r="AA5" s="46">
        <v>2</v>
      </c>
      <c r="AB5" s="46">
        <v>2</v>
      </c>
      <c r="AD5" s="46">
        <v>1</v>
      </c>
      <c r="AE5" s="46">
        <v>1</v>
      </c>
      <c r="AG5" s="46">
        <v>1</v>
      </c>
      <c r="AH5" s="46">
        <v>1</v>
      </c>
      <c r="AI5" s="46">
        <v>1</v>
      </c>
      <c r="AM5" s="46">
        <v>1</v>
      </c>
      <c r="AT5" s="46">
        <v>1</v>
      </c>
      <c r="AW5" s="46">
        <v>1</v>
      </c>
      <c r="BA5" s="46">
        <v>1</v>
      </c>
      <c r="BK5" s="46">
        <v>1</v>
      </c>
      <c r="CB5" s="46">
        <v>1</v>
      </c>
      <c r="CE5" s="46">
        <v>1</v>
      </c>
      <c r="CK5" s="46">
        <v>1</v>
      </c>
      <c r="CT5" s="46" t="s">
        <v>6346</v>
      </c>
    </row>
    <row r="6" spans="1:98">
      <c r="A6" s="46" t="s">
        <v>7193</v>
      </c>
      <c r="B6" s="46" t="s">
        <v>7194</v>
      </c>
      <c r="C6" s="46">
        <v>38</v>
      </c>
      <c r="D6" s="46" t="s">
        <v>7188</v>
      </c>
      <c r="E6" s="46" t="s">
        <v>7195</v>
      </c>
      <c r="F6" s="46" t="s">
        <v>122</v>
      </c>
      <c r="H6" s="46">
        <v>1</v>
      </c>
      <c r="M6" s="46">
        <v>1</v>
      </c>
      <c r="Q6" s="46">
        <v>1</v>
      </c>
      <c r="T6" s="46">
        <v>1</v>
      </c>
      <c r="W6" s="46">
        <v>14</v>
      </c>
      <c r="X6" s="46">
        <v>16</v>
      </c>
      <c r="Y6" s="46">
        <v>16</v>
      </c>
      <c r="Z6" s="46">
        <v>7</v>
      </c>
      <c r="AA6" s="46">
        <v>7</v>
      </c>
      <c r="AB6" s="46">
        <v>6</v>
      </c>
      <c r="AD6" s="46">
        <v>1</v>
      </c>
      <c r="AE6" s="46">
        <v>1</v>
      </c>
      <c r="AG6" s="46">
        <v>1</v>
      </c>
      <c r="AI6" s="46">
        <v>1</v>
      </c>
      <c r="AK6" s="46">
        <v>1</v>
      </c>
      <c r="AT6" s="46">
        <v>1</v>
      </c>
      <c r="AW6" s="46">
        <v>1</v>
      </c>
      <c r="BA6" s="46">
        <v>1</v>
      </c>
      <c r="BK6" s="52"/>
      <c r="BY6" s="46">
        <v>1</v>
      </c>
      <c r="CB6" s="46">
        <v>1</v>
      </c>
      <c r="CE6" s="46">
        <v>1</v>
      </c>
      <c r="CK6" s="46">
        <v>1</v>
      </c>
      <c r="CT6" s="50">
        <v>45597</v>
      </c>
    </row>
    <row r="7" spans="1:98">
      <c r="A7" s="46" t="s">
        <v>7196</v>
      </c>
      <c r="B7" s="46" t="s">
        <v>7197</v>
      </c>
      <c r="C7" s="46">
        <v>40</v>
      </c>
      <c r="D7" s="46" t="s">
        <v>7198</v>
      </c>
      <c r="E7" s="46" t="s">
        <v>7199</v>
      </c>
      <c r="F7" s="46" t="s">
        <v>112</v>
      </c>
      <c r="I7" s="46">
        <v>1</v>
      </c>
      <c r="M7" s="46">
        <v>1</v>
      </c>
      <c r="R7" s="46">
        <v>1</v>
      </c>
      <c r="S7" s="46">
        <v>1</v>
      </c>
      <c r="W7" s="46">
        <v>15</v>
      </c>
      <c r="X7" s="46">
        <v>18</v>
      </c>
      <c r="Y7" s="244"/>
      <c r="Z7" s="46">
        <v>10</v>
      </c>
      <c r="AA7" s="46">
        <v>8</v>
      </c>
      <c r="AB7" s="46">
        <v>7</v>
      </c>
      <c r="AD7" s="46">
        <v>1</v>
      </c>
      <c r="AE7" s="46">
        <v>1</v>
      </c>
      <c r="AH7" s="46">
        <v>1</v>
      </c>
      <c r="AI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T7" s="46" t="s">
        <v>6346</v>
      </c>
    </row>
    <row r="8" spans="1:98">
      <c r="A8" s="46" t="s">
        <v>7200</v>
      </c>
      <c r="B8" s="46" t="s">
        <v>7201</v>
      </c>
      <c r="C8" s="46">
        <v>32</v>
      </c>
      <c r="D8" s="46" t="s">
        <v>7198</v>
      </c>
      <c r="E8" s="46" t="s">
        <v>7202</v>
      </c>
      <c r="F8" s="46" t="s">
        <v>330</v>
      </c>
      <c r="J8" s="46">
        <v>1</v>
      </c>
      <c r="M8" s="46">
        <v>1</v>
      </c>
      <c r="R8" s="46">
        <v>1</v>
      </c>
      <c r="T8" s="46">
        <v>1</v>
      </c>
      <c r="W8" s="46">
        <v>15</v>
      </c>
      <c r="X8" s="46">
        <v>17</v>
      </c>
      <c r="Y8" s="46">
        <v>18</v>
      </c>
      <c r="Z8" s="46">
        <v>5</v>
      </c>
      <c r="AA8" s="46">
        <v>5</v>
      </c>
      <c r="AB8" s="46">
        <v>5</v>
      </c>
      <c r="AE8" s="46">
        <v>1</v>
      </c>
      <c r="AG8" s="46">
        <v>1</v>
      </c>
      <c r="AH8" s="46">
        <v>1</v>
      </c>
      <c r="AI8" s="46">
        <v>1</v>
      </c>
      <c r="AM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B8" s="46">
        <v>1</v>
      </c>
      <c r="CE8" s="46">
        <v>1</v>
      </c>
      <c r="CK8" s="46">
        <v>1</v>
      </c>
      <c r="CT8" s="46" t="s">
        <v>6346</v>
      </c>
    </row>
    <row r="9" spans="1:98">
      <c r="A9" s="46" t="s">
        <v>7203</v>
      </c>
      <c r="B9" s="46" t="s">
        <v>7204</v>
      </c>
      <c r="C9" s="46">
        <v>23</v>
      </c>
      <c r="D9" s="46" t="s">
        <v>7192</v>
      </c>
      <c r="E9" s="46" t="s">
        <v>7205</v>
      </c>
      <c r="F9" s="46" t="s">
        <v>107</v>
      </c>
      <c r="G9" s="46">
        <v>1</v>
      </c>
      <c r="M9" s="46">
        <v>1</v>
      </c>
      <c r="Q9" s="46">
        <v>1</v>
      </c>
      <c r="U9" s="46">
        <v>1</v>
      </c>
      <c r="W9" s="46">
        <v>16</v>
      </c>
      <c r="X9" s="46">
        <v>21</v>
      </c>
      <c r="Y9" s="46">
        <v>22</v>
      </c>
      <c r="Z9" s="46">
        <v>1</v>
      </c>
      <c r="AA9" s="46">
        <v>1</v>
      </c>
      <c r="AB9" s="46">
        <v>1</v>
      </c>
      <c r="AD9" s="46">
        <v>1</v>
      </c>
      <c r="AE9" s="46">
        <v>1</v>
      </c>
      <c r="AG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T9" s="46" t="s">
        <v>6346</v>
      </c>
    </row>
    <row r="10" spans="1:98">
      <c r="A10" s="46" t="s">
        <v>7206</v>
      </c>
      <c r="B10" s="46" t="s">
        <v>7207</v>
      </c>
      <c r="C10" s="46">
        <v>32</v>
      </c>
      <c r="D10" s="46" t="s">
        <v>7198</v>
      </c>
      <c r="E10" s="46" t="s">
        <v>7208</v>
      </c>
      <c r="F10" s="46" t="s">
        <v>112</v>
      </c>
      <c r="H10" s="46">
        <v>1</v>
      </c>
      <c r="N10" s="46">
        <v>1</v>
      </c>
      <c r="R10" s="46">
        <v>1</v>
      </c>
      <c r="T10" s="46">
        <v>1</v>
      </c>
      <c r="W10" s="46">
        <v>16</v>
      </c>
      <c r="X10" s="46">
        <v>17</v>
      </c>
      <c r="Y10" s="46">
        <v>17</v>
      </c>
      <c r="Z10" s="46">
        <v>6</v>
      </c>
      <c r="AA10" s="46">
        <v>5</v>
      </c>
      <c r="AB10" s="46">
        <v>4</v>
      </c>
      <c r="AG10" s="46">
        <v>1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B10" s="46">
        <v>1</v>
      </c>
      <c r="BG10" s="46">
        <v>1</v>
      </c>
      <c r="BK10" s="46">
        <v>1</v>
      </c>
      <c r="BY10" s="46">
        <v>1</v>
      </c>
      <c r="CB10" s="46">
        <v>1</v>
      </c>
      <c r="CF10" s="46">
        <v>1</v>
      </c>
      <c r="CG10" s="244"/>
      <c r="CI10" s="46">
        <v>1</v>
      </c>
      <c r="CK10" s="46">
        <v>1</v>
      </c>
      <c r="CT10" s="46" t="s">
        <v>6346</v>
      </c>
    </row>
    <row r="11" spans="1:98">
      <c r="A11" s="46" t="s">
        <v>7209</v>
      </c>
      <c r="B11" s="46" t="s">
        <v>7210</v>
      </c>
      <c r="C11" s="46">
        <v>40</v>
      </c>
      <c r="D11" s="46" t="s">
        <v>7198</v>
      </c>
      <c r="E11" s="46" t="s">
        <v>7211</v>
      </c>
      <c r="F11" s="46" t="s">
        <v>5946</v>
      </c>
      <c r="G11" s="46">
        <v>1</v>
      </c>
      <c r="M11" s="46">
        <v>1</v>
      </c>
      <c r="Q11" s="46">
        <v>1</v>
      </c>
      <c r="U11" s="46">
        <v>1</v>
      </c>
      <c r="W11" s="46">
        <v>14</v>
      </c>
      <c r="X11" s="46">
        <v>18</v>
      </c>
      <c r="Y11" s="46">
        <v>20</v>
      </c>
      <c r="Z11" s="46">
        <v>5</v>
      </c>
      <c r="AA11" s="46">
        <v>5</v>
      </c>
      <c r="AB11" s="46">
        <v>5</v>
      </c>
      <c r="AE11" s="46">
        <v>1</v>
      </c>
      <c r="AG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B11" s="46">
        <v>1</v>
      </c>
      <c r="BG11" s="46">
        <v>1</v>
      </c>
      <c r="BK11" s="46">
        <v>1</v>
      </c>
      <c r="CB11" s="46">
        <v>1</v>
      </c>
      <c r="CE11" s="46">
        <v>1</v>
      </c>
      <c r="CK11" s="46">
        <v>1</v>
      </c>
      <c r="CT11" s="46" t="s">
        <v>6346</v>
      </c>
    </row>
    <row r="12" spans="1:98">
      <c r="A12" s="46" t="s">
        <v>7212</v>
      </c>
      <c r="B12" s="46" t="s">
        <v>7213</v>
      </c>
      <c r="C12" s="46">
        <v>36</v>
      </c>
      <c r="D12" s="46" t="s">
        <v>7214</v>
      </c>
      <c r="E12" s="46" t="s">
        <v>7215</v>
      </c>
      <c r="F12" s="46" t="s">
        <v>122</v>
      </c>
      <c r="H12" s="46">
        <v>1</v>
      </c>
      <c r="N12" s="46">
        <v>1</v>
      </c>
      <c r="Q12" s="46">
        <v>1</v>
      </c>
      <c r="T12" s="46">
        <v>1</v>
      </c>
      <c r="W12" s="46">
        <v>13</v>
      </c>
      <c r="X12" s="46">
        <v>15</v>
      </c>
      <c r="Y12" s="46" t="s">
        <v>191</v>
      </c>
      <c r="Z12" s="46">
        <v>0</v>
      </c>
      <c r="AA12" s="46">
        <v>0</v>
      </c>
      <c r="AB12" s="46">
        <v>0</v>
      </c>
      <c r="AE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K12" s="46">
        <v>1</v>
      </c>
      <c r="CT12" s="46" t="s">
        <v>6346</v>
      </c>
    </row>
    <row r="13" spans="1:98">
      <c r="A13" s="46" t="s">
        <v>7216</v>
      </c>
      <c r="B13" s="46" t="s">
        <v>7217</v>
      </c>
      <c r="C13" s="46">
        <v>35</v>
      </c>
      <c r="D13" s="46" t="s">
        <v>7218</v>
      </c>
      <c r="E13" s="46" t="s">
        <v>7219</v>
      </c>
      <c r="F13" s="46" t="s">
        <v>1045</v>
      </c>
      <c r="G13" s="46">
        <v>1</v>
      </c>
      <c r="N13" s="46">
        <v>1</v>
      </c>
      <c r="Q13" s="46">
        <v>1</v>
      </c>
      <c r="S13" s="46">
        <v>1</v>
      </c>
      <c r="W13" s="46">
        <v>12</v>
      </c>
      <c r="X13" s="46">
        <v>14</v>
      </c>
      <c r="Y13" s="46">
        <v>15</v>
      </c>
      <c r="Z13" s="46">
        <v>7</v>
      </c>
      <c r="AA13" s="46">
        <v>6</v>
      </c>
      <c r="AB13" s="46">
        <v>6</v>
      </c>
      <c r="AE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C13" s="46">
        <v>1</v>
      </c>
      <c r="CD13" s="134">
        <v>45047</v>
      </c>
      <c r="CF13" s="46">
        <v>1</v>
      </c>
      <c r="CG13" s="134">
        <v>45047</v>
      </c>
      <c r="CH13" s="46">
        <v>1</v>
      </c>
      <c r="CJ13" s="46" t="s">
        <v>7220</v>
      </c>
      <c r="CK13" s="46">
        <v>1</v>
      </c>
      <c r="CT13" s="46" t="s">
        <v>6346</v>
      </c>
    </row>
    <row r="14" spans="1:98">
      <c r="A14" s="46" t="s">
        <v>7221</v>
      </c>
      <c r="B14" s="46" t="s">
        <v>7222</v>
      </c>
      <c r="C14" s="46">
        <v>34</v>
      </c>
      <c r="D14" s="46" t="s">
        <v>7223</v>
      </c>
      <c r="E14" s="46" t="s">
        <v>191</v>
      </c>
      <c r="F14" s="46" t="s">
        <v>112</v>
      </c>
      <c r="J14" s="46">
        <v>1</v>
      </c>
      <c r="M14" s="46">
        <v>1</v>
      </c>
      <c r="Q14" s="46">
        <v>1</v>
      </c>
      <c r="S14" s="46">
        <v>1</v>
      </c>
      <c r="W14" s="46">
        <v>14</v>
      </c>
      <c r="X14" s="46">
        <v>14</v>
      </c>
      <c r="Y14" s="46">
        <v>18</v>
      </c>
      <c r="Z14" s="46">
        <v>8</v>
      </c>
      <c r="AA14" s="46">
        <v>8</v>
      </c>
      <c r="AB14" s="46">
        <v>8</v>
      </c>
      <c r="AE14" s="46">
        <v>1</v>
      </c>
      <c r="AG14" s="46">
        <v>1</v>
      </c>
      <c r="AH14" s="46">
        <v>1</v>
      </c>
      <c r="AI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T14" s="46" t="s">
        <v>6346</v>
      </c>
    </row>
    <row r="15" spans="1:98">
      <c r="A15" s="46" t="s">
        <v>7224</v>
      </c>
      <c r="B15" s="46" t="s">
        <v>7225</v>
      </c>
      <c r="C15" s="46">
        <v>42</v>
      </c>
      <c r="D15" s="46" t="s">
        <v>7198</v>
      </c>
      <c r="E15" s="46" t="s">
        <v>7226</v>
      </c>
      <c r="F15" s="46" t="s">
        <v>122</v>
      </c>
      <c r="H15" s="46">
        <v>1</v>
      </c>
      <c r="M15" s="46">
        <v>1</v>
      </c>
      <c r="R15" s="46">
        <v>1</v>
      </c>
      <c r="T15" s="46">
        <v>1</v>
      </c>
      <c r="W15" s="46">
        <v>14</v>
      </c>
      <c r="X15" s="46">
        <v>16</v>
      </c>
      <c r="Y15" s="46">
        <v>17</v>
      </c>
      <c r="Z15" s="46">
        <v>9</v>
      </c>
      <c r="AA15" s="46">
        <v>9</v>
      </c>
      <c r="AB15" s="46">
        <v>4</v>
      </c>
      <c r="AE15" s="46">
        <v>1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B15" s="46">
        <v>1</v>
      </c>
      <c r="BG15" s="46">
        <v>1</v>
      </c>
      <c r="BK15" s="46">
        <v>1</v>
      </c>
      <c r="CB15" s="46">
        <v>1</v>
      </c>
      <c r="CE15" s="46">
        <v>1</v>
      </c>
      <c r="CK15" s="46">
        <v>1</v>
      </c>
      <c r="CT15" s="46" t="s">
        <v>6346</v>
      </c>
    </row>
    <row r="16" spans="1:98">
      <c r="A16" s="46" t="s">
        <v>7227</v>
      </c>
      <c r="B16" s="46" t="s">
        <v>7228</v>
      </c>
      <c r="C16" s="46">
        <v>40</v>
      </c>
      <c r="D16" s="46" t="s">
        <v>7192</v>
      </c>
      <c r="E16" s="46" t="s">
        <v>7229</v>
      </c>
      <c r="F16" s="46" t="s">
        <v>2023</v>
      </c>
      <c r="H16" s="46">
        <v>1</v>
      </c>
      <c r="M16" s="46">
        <v>1</v>
      </c>
      <c r="R16" s="46">
        <v>1</v>
      </c>
      <c r="T16" s="46">
        <v>1</v>
      </c>
      <c r="W16" s="46">
        <v>15</v>
      </c>
      <c r="X16" s="46">
        <v>17</v>
      </c>
      <c r="Y16" s="46">
        <v>17</v>
      </c>
      <c r="Z16" s="46">
        <v>8</v>
      </c>
      <c r="AA16" s="46">
        <v>7</v>
      </c>
      <c r="AB16" s="46">
        <v>4</v>
      </c>
      <c r="AD16" s="46">
        <v>1</v>
      </c>
      <c r="AE16" s="46">
        <v>1</v>
      </c>
      <c r="AG16" s="46">
        <v>1</v>
      </c>
      <c r="AH16" s="46">
        <v>1</v>
      </c>
      <c r="AI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T16" s="46" t="s">
        <v>6346</v>
      </c>
    </row>
    <row r="17" spans="1:98">
      <c r="A17" s="46" t="s">
        <v>7230</v>
      </c>
      <c r="B17" s="46" t="s">
        <v>7231</v>
      </c>
      <c r="C17" s="46">
        <v>33</v>
      </c>
      <c r="D17" s="46" t="s">
        <v>7188</v>
      </c>
      <c r="E17" s="46" t="s">
        <v>7232</v>
      </c>
      <c r="F17" s="46" t="s">
        <v>112</v>
      </c>
      <c r="I17" s="46">
        <v>1</v>
      </c>
      <c r="M17" s="46">
        <v>1</v>
      </c>
      <c r="R17" s="46">
        <v>1</v>
      </c>
      <c r="T17" s="46">
        <v>1</v>
      </c>
      <c r="W17" s="46">
        <v>15</v>
      </c>
      <c r="X17" s="46">
        <v>16</v>
      </c>
      <c r="Y17" s="46">
        <v>17</v>
      </c>
      <c r="Z17" s="46">
        <v>7</v>
      </c>
      <c r="AA17" s="46">
        <v>6</v>
      </c>
      <c r="AB17" s="46">
        <v>5</v>
      </c>
      <c r="AG17" s="46">
        <v>1</v>
      </c>
      <c r="AH17" s="46">
        <v>1</v>
      </c>
      <c r="AI17" s="46">
        <v>1</v>
      </c>
      <c r="AM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T17" s="46" t="s">
        <v>6346</v>
      </c>
    </row>
    <row r="18" spans="1:98">
      <c r="A18" s="46" t="s">
        <v>7233</v>
      </c>
      <c r="B18" s="46" t="s">
        <v>7234</v>
      </c>
      <c r="C18" s="46">
        <v>23</v>
      </c>
      <c r="D18" s="46" t="s">
        <v>7188</v>
      </c>
      <c r="E18" s="46" t="s">
        <v>7235</v>
      </c>
      <c r="F18" s="46" t="s">
        <v>112</v>
      </c>
      <c r="H18" s="46">
        <v>1</v>
      </c>
      <c r="M18" s="46">
        <v>1</v>
      </c>
      <c r="Q18" s="46">
        <v>1</v>
      </c>
      <c r="T18" s="46">
        <v>1</v>
      </c>
      <c r="W18" s="46">
        <v>15</v>
      </c>
      <c r="X18" s="46">
        <v>16</v>
      </c>
      <c r="Y18" s="46">
        <v>17</v>
      </c>
      <c r="Z18" s="46">
        <v>4</v>
      </c>
      <c r="AA18" s="46">
        <v>4</v>
      </c>
      <c r="AB18" s="46">
        <v>4</v>
      </c>
      <c r="AE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T18" s="46" t="s">
        <v>6346</v>
      </c>
    </row>
    <row r="19" spans="1:98">
      <c r="A19" s="46" t="s">
        <v>7236</v>
      </c>
      <c r="B19" s="46" t="s">
        <v>7237</v>
      </c>
      <c r="C19" s="46">
        <v>44</v>
      </c>
      <c r="D19" s="46" t="s">
        <v>7223</v>
      </c>
      <c r="E19" s="46" t="s">
        <v>7238</v>
      </c>
      <c r="F19" s="46" t="s">
        <v>112</v>
      </c>
      <c r="J19" s="46">
        <v>1</v>
      </c>
      <c r="M19" s="46">
        <v>1</v>
      </c>
      <c r="Q19" s="46">
        <v>1</v>
      </c>
      <c r="T19" s="46">
        <v>1</v>
      </c>
      <c r="W19" s="244"/>
      <c r="X19" s="46">
        <v>22</v>
      </c>
      <c r="Y19" s="46">
        <v>23</v>
      </c>
      <c r="Z19" s="46">
        <v>5</v>
      </c>
      <c r="AA19" s="46">
        <v>5</v>
      </c>
      <c r="AB19" s="46">
        <v>1</v>
      </c>
      <c r="AE19" s="46">
        <v>1</v>
      </c>
      <c r="AG19" s="46">
        <v>1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BY19" s="46">
        <v>1</v>
      </c>
      <c r="CB19" s="46">
        <v>1</v>
      </c>
      <c r="CE19" s="46">
        <v>1</v>
      </c>
      <c r="CK19" s="46">
        <v>1</v>
      </c>
      <c r="CT19" s="46" t="s">
        <v>6346</v>
      </c>
    </row>
    <row r="20" spans="1:98">
      <c r="A20" s="46" t="s">
        <v>7239</v>
      </c>
      <c r="B20" s="46" t="s">
        <v>7240</v>
      </c>
      <c r="C20" s="46">
        <v>25</v>
      </c>
      <c r="D20" s="46" t="s">
        <v>7198</v>
      </c>
      <c r="E20" s="46" t="s">
        <v>191</v>
      </c>
      <c r="F20" s="46" t="s">
        <v>1045</v>
      </c>
      <c r="H20" s="46">
        <v>1</v>
      </c>
      <c r="M20" s="46">
        <v>1</v>
      </c>
      <c r="R20" s="46">
        <v>1</v>
      </c>
      <c r="U20" s="46">
        <v>1</v>
      </c>
      <c r="W20" s="46">
        <v>15</v>
      </c>
      <c r="X20" s="46">
        <v>19</v>
      </c>
      <c r="Y20" s="46">
        <v>19</v>
      </c>
      <c r="Z20" s="46">
        <v>3</v>
      </c>
      <c r="AA20" s="46">
        <v>3</v>
      </c>
      <c r="AB20" s="46">
        <v>3</v>
      </c>
      <c r="AC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BY20" s="46">
        <v>1</v>
      </c>
      <c r="CB20" s="46">
        <v>1</v>
      </c>
      <c r="CE20" s="46">
        <v>1</v>
      </c>
      <c r="CK20" s="46">
        <v>1</v>
      </c>
      <c r="CT20" s="46" t="s">
        <v>6346</v>
      </c>
    </row>
    <row r="21" spans="1:98">
      <c r="A21" s="46" t="s">
        <v>7241</v>
      </c>
      <c r="B21" s="46" t="s">
        <v>7242</v>
      </c>
      <c r="C21" s="46">
        <v>40</v>
      </c>
      <c r="D21" s="46" t="s">
        <v>7188</v>
      </c>
      <c r="E21" s="46" t="s">
        <v>7243</v>
      </c>
      <c r="F21" s="46" t="s">
        <v>145</v>
      </c>
      <c r="G21" s="46">
        <v>1</v>
      </c>
      <c r="M21" s="46">
        <v>1</v>
      </c>
      <c r="R21" s="46">
        <v>1</v>
      </c>
      <c r="T21" s="46">
        <v>1</v>
      </c>
      <c r="W21" s="46">
        <v>15</v>
      </c>
      <c r="X21" s="46">
        <v>18</v>
      </c>
      <c r="Y21" s="46">
        <v>18</v>
      </c>
      <c r="Z21" s="46">
        <v>6</v>
      </c>
      <c r="AA21" s="46">
        <v>6</v>
      </c>
      <c r="AB21" s="46">
        <v>6</v>
      </c>
      <c r="AD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T21" s="46" t="s">
        <v>6346</v>
      </c>
    </row>
    <row r="22" spans="1:98">
      <c r="A22" s="46" t="s">
        <v>7244</v>
      </c>
      <c r="B22" s="46" t="s">
        <v>7245</v>
      </c>
      <c r="C22" s="46">
        <v>23</v>
      </c>
      <c r="D22" s="46" t="s">
        <v>7188</v>
      </c>
      <c r="E22" s="46" t="s">
        <v>7246</v>
      </c>
      <c r="F22" s="46" t="s">
        <v>112</v>
      </c>
      <c r="G22" s="46">
        <v>1</v>
      </c>
      <c r="M22" s="46">
        <v>1</v>
      </c>
      <c r="R22" s="46">
        <v>1</v>
      </c>
      <c r="T22" s="46">
        <v>1</v>
      </c>
      <c r="W22" s="46">
        <v>14</v>
      </c>
      <c r="X22" s="46">
        <v>17</v>
      </c>
      <c r="Y22" s="46">
        <v>20</v>
      </c>
      <c r="Z22" s="46">
        <v>1</v>
      </c>
      <c r="AA22" s="46">
        <v>1</v>
      </c>
      <c r="AB22" s="46">
        <v>1</v>
      </c>
      <c r="AE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BY22" s="46">
        <v>1</v>
      </c>
      <c r="CC22" s="46">
        <v>1</v>
      </c>
      <c r="CD22" s="46">
        <v>2024</v>
      </c>
      <c r="CE22" s="46">
        <v>1</v>
      </c>
      <c r="CK22" s="46">
        <v>1</v>
      </c>
      <c r="CT22" s="46" t="s">
        <v>6346</v>
      </c>
    </row>
    <row r="23" spans="1:98">
      <c r="A23" s="46" t="s">
        <v>7247</v>
      </c>
      <c r="B23" s="46" t="s">
        <v>6661</v>
      </c>
      <c r="C23" s="46">
        <v>36</v>
      </c>
      <c r="D23" s="46" t="s">
        <v>7192</v>
      </c>
      <c r="E23" s="46" t="s">
        <v>7248</v>
      </c>
      <c r="F23" s="46" t="s">
        <v>4990</v>
      </c>
      <c r="I23" s="46">
        <v>1</v>
      </c>
      <c r="O23" s="46">
        <v>1</v>
      </c>
      <c r="Q23" s="46">
        <v>1</v>
      </c>
      <c r="S23" s="46">
        <v>1</v>
      </c>
      <c r="W23" s="46">
        <v>14</v>
      </c>
      <c r="X23" s="46">
        <v>14</v>
      </c>
      <c r="Y23" s="46">
        <v>14</v>
      </c>
      <c r="Z23" s="46">
        <v>9</v>
      </c>
      <c r="AA23" s="46">
        <v>9</v>
      </c>
      <c r="AB23" s="46">
        <v>7</v>
      </c>
      <c r="AD23" s="46">
        <v>1</v>
      </c>
      <c r="AE23" s="46">
        <v>1</v>
      </c>
      <c r="AG23" s="46">
        <v>1</v>
      </c>
      <c r="AH23" s="46">
        <v>1</v>
      </c>
      <c r="AJ23" s="46">
        <v>1</v>
      </c>
      <c r="AM23" s="46">
        <v>1</v>
      </c>
      <c r="AT23" s="46">
        <v>1</v>
      </c>
      <c r="AW23" s="46">
        <v>1</v>
      </c>
      <c r="BA23" s="46">
        <v>1</v>
      </c>
      <c r="BK23" s="46">
        <v>1</v>
      </c>
      <c r="BY23" s="46">
        <v>1</v>
      </c>
      <c r="CB23" s="46">
        <v>1</v>
      </c>
      <c r="CE23" s="46">
        <v>1</v>
      </c>
      <c r="CK23" s="46">
        <v>1</v>
      </c>
      <c r="CT23" s="46" t="s">
        <v>6346</v>
      </c>
    </row>
    <row r="24" spans="1:98">
      <c r="A24" s="46" t="s">
        <v>7249</v>
      </c>
      <c r="B24" s="46" t="s">
        <v>7250</v>
      </c>
      <c r="C24" s="46">
        <v>37</v>
      </c>
      <c r="D24" s="46" t="s">
        <v>7198</v>
      </c>
      <c r="E24" s="46" t="s">
        <v>7251</v>
      </c>
      <c r="F24" s="46" t="s">
        <v>145</v>
      </c>
      <c r="H24" s="46">
        <v>1</v>
      </c>
      <c r="M24" s="46">
        <v>1</v>
      </c>
      <c r="R24" s="46">
        <v>1</v>
      </c>
      <c r="T24" s="46">
        <v>1</v>
      </c>
      <c r="W24" s="46">
        <v>14</v>
      </c>
      <c r="X24" s="46">
        <v>15</v>
      </c>
      <c r="Y24" s="46">
        <v>16</v>
      </c>
      <c r="Z24" s="46">
        <v>10</v>
      </c>
      <c r="AA24" s="46">
        <v>10</v>
      </c>
      <c r="AB24" s="46">
        <v>9</v>
      </c>
      <c r="AE24" s="46">
        <v>1</v>
      </c>
      <c r="AG24" s="46">
        <v>1</v>
      </c>
      <c r="AH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T24" s="46" t="s">
        <v>6346</v>
      </c>
    </row>
    <row r="25" spans="1:98">
      <c r="A25" s="46" t="s">
        <v>7252</v>
      </c>
      <c r="B25" s="46" t="s">
        <v>7253</v>
      </c>
      <c r="C25" s="46">
        <v>38</v>
      </c>
      <c r="D25" s="46" t="s">
        <v>7198</v>
      </c>
      <c r="E25" s="46" t="s">
        <v>191</v>
      </c>
      <c r="F25" s="46" t="s">
        <v>4990</v>
      </c>
      <c r="H25" s="46">
        <v>1</v>
      </c>
      <c r="M25" s="46">
        <v>1</v>
      </c>
      <c r="Q25" s="46">
        <v>1</v>
      </c>
      <c r="S25" s="46">
        <v>1</v>
      </c>
      <c r="W25" s="46">
        <v>13</v>
      </c>
      <c r="X25" s="46">
        <v>15</v>
      </c>
      <c r="Y25" s="46">
        <v>16</v>
      </c>
      <c r="Z25" s="46">
        <v>9</v>
      </c>
      <c r="AA25" s="46">
        <v>9</v>
      </c>
      <c r="AB25" s="46">
        <v>9</v>
      </c>
      <c r="AE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T25" s="46" t="s">
        <v>6346</v>
      </c>
    </row>
    <row r="26" spans="1:98">
      <c r="A26" s="46" t="s">
        <v>7254</v>
      </c>
      <c r="B26" s="46" t="s">
        <v>7255</v>
      </c>
      <c r="C26" s="46">
        <v>80</v>
      </c>
      <c r="D26" s="46" t="s">
        <v>7198</v>
      </c>
      <c r="E26" s="46" t="s">
        <v>191</v>
      </c>
      <c r="F26" s="46" t="s">
        <v>7256</v>
      </c>
      <c r="H26" s="46">
        <v>1</v>
      </c>
      <c r="O26" s="46">
        <v>1</v>
      </c>
      <c r="R26" s="46">
        <v>1</v>
      </c>
      <c r="S26" s="46">
        <v>1</v>
      </c>
      <c r="W26" s="46">
        <v>20</v>
      </c>
      <c r="X26" s="46">
        <v>15</v>
      </c>
      <c r="Y26" s="46">
        <v>28</v>
      </c>
      <c r="Z26" s="46">
        <v>12</v>
      </c>
      <c r="AA26" s="46">
        <v>8</v>
      </c>
      <c r="AB26" s="46">
        <v>6</v>
      </c>
      <c r="AC26" s="46">
        <v>1</v>
      </c>
      <c r="AI26" s="46">
        <v>1</v>
      </c>
      <c r="AK26" s="46">
        <v>1</v>
      </c>
      <c r="AT26" s="46">
        <v>1</v>
      </c>
      <c r="AX26" s="46">
        <v>1</v>
      </c>
      <c r="BA26" s="46">
        <v>1</v>
      </c>
      <c r="BK26" s="52"/>
      <c r="CB26" s="46">
        <v>1</v>
      </c>
      <c r="CE26" s="46">
        <v>1</v>
      </c>
      <c r="CK26" s="46">
        <v>1</v>
      </c>
      <c r="CT26" s="46" t="s">
        <v>6346</v>
      </c>
    </row>
    <row r="27" spans="1:98">
      <c r="A27" s="46" t="s">
        <v>7257</v>
      </c>
      <c r="B27" s="46" t="s">
        <v>7258</v>
      </c>
      <c r="C27" s="46">
        <v>59</v>
      </c>
      <c r="D27" s="46" t="s">
        <v>7198</v>
      </c>
      <c r="E27" s="46" t="s">
        <v>191</v>
      </c>
      <c r="F27" s="46" t="s">
        <v>112</v>
      </c>
      <c r="I27" s="46">
        <v>1</v>
      </c>
      <c r="P27" s="46">
        <v>1</v>
      </c>
      <c r="R27" s="46">
        <v>1</v>
      </c>
      <c r="S27" s="46">
        <v>1</v>
      </c>
      <c r="W27" s="46">
        <v>18</v>
      </c>
      <c r="X27" s="46">
        <v>19</v>
      </c>
      <c r="Y27" s="46">
        <v>20</v>
      </c>
      <c r="Z27" s="46">
        <v>11</v>
      </c>
      <c r="AA27" s="46">
        <v>11</v>
      </c>
      <c r="AB27" s="46">
        <v>6</v>
      </c>
      <c r="AC27" s="46">
        <v>1</v>
      </c>
      <c r="AI27" s="46">
        <v>1</v>
      </c>
      <c r="AK27" s="46">
        <v>1</v>
      </c>
      <c r="AT27" s="46">
        <v>1</v>
      </c>
      <c r="AW27" s="46">
        <v>1</v>
      </c>
      <c r="BB27" s="46">
        <v>1</v>
      </c>
      <c r="BG27" s="46">
        <v>1</v>
      </c>
      <c r="BK27" s="52"/>
      <c r="BY27" s="46">
        <v>1</v>
      </c>
      <c r="CB27" s="46">
        <v>1</v>
      </c>
      <c r="CE27" s="46">
        <v>1</v>
      </c>
      <c r="CK27" s="46">
        <v>1</v>
      </c>
      <c r="CT27" s="46" t="s">
        <v>6346</v>
      </c>
    </row>
    <row r="28" spans="1:98">
      <c r="A28" s="46" t="s">
        <v>7259</v>
      </c>
      <c r="B28" s="46" t="s">
        <v>7260</v>
      </c>
      <c r="C28" s="46">
        <v>45</v>
      </c>
      <c r="D28" s="46" t="s">
        <v>7198</v>
      </c>
      <c r="E28" s="46" t="s">
        <v>191</v>
      </c>
      <c r="F28" s="46" t="s">
        <v>2023</v>
      </c>
      <c r="H28" s="46">
        <v>1</v>
      </c>
      <c r="N28" s="46">
        <v>1</v>
      </c>
      <c r="Q28" s="46">
        <v>1</v>
      </c>
      <c r="T28" s="46">
        <v>1</v>
      </c>
      <c r="W28" s="46">
        <v>15</v>
      </c>
      <c r="X28" s="46">
        <v>15</v>
      </c>
      <c r="Y28" s="46">
        <v>16</v>
      </c>
      <c r="Z28" s="46">
        <v>11</v>
      </c>
      <c r="AA28" s="46">
        <v>10</v>
      </c>
      <c r="AB28" s="46">
        <v>10</v>
      </c>
      <c r="AD28" s="46">
        <v>1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B28" s="46">
        <v>1</v>
      </c>
      <c r="BG28" s="46">
        <v>1</v>
      </c>
      <c r="BK28" s="52"/>
      <c r="CB28" s="46">
        <v>1</v>
      </c>
      <c r="CE28" s="46">
        <v>1</v>
      </c>
      <c r="CK28" s="46">
        <v>1</v>
      </c>
      <c r="CT28" s="46" t="s">
        <v>6346</v>
      </c>
    </row>
    <row r="29" spans="1:98">
      <c r="A29" s="46" t="s">
        <v>7261</v>
      </c>
      <c r="B29" s="46" t="s">
        <v>7262</v>
      </c>
      <c r="C29" s="46">
        <v>26</v>
      </c>
      <c r="D29" s="46" t="s">
        <v>7198</v>
      </c>
      <c r="E29" s="46" t="s">
        <v>7263</v>
      </c>
      <c r="F29" s="46" t="s">
        <v>1509</v>
      </c>
      <c r="I29" s="46">
        <v>1</v>
      </c>
      <c r="M29" s="46">
        <v>1</v>
      </c>
      <c r="R29" s="46">
        <v>1</v>
      </c>
      <c r="T29" s="46">
        <v>1</v>
      </c>
      <c r="W29" s="46">
        <v>13</v>
      </c>
      <c r="X29" s="46">
        <v>17</v>
      </c>
      <c r="Y29" s="46">
        <v>20</v>
      </c>
      <c r="Z29" s="46">
        <v>3</v>
      </c>
      <c r="AA29" s="46">
        <v>3</v>
      </c>
      <c r="AB29" s="46">
        <v>3</v>
      </c>
      <c r="AE29" s="46">
        <v>1</v>
      </c>
      <c r="AG29" s="46">
        <v>1</v>
      </c>
      <c r="AH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K29" s="52"/>
      <c r="CC29" s="46">
        <v>1</v>
      </c>
      <c r="CD29" s="46">
        <v>2023</v>
      </c>
      <c r="CE29" s="46">
        <v>1</v>
      </c>
      <c r="CK29" s="46">
        <v>1</v>
      </c>
      <c r="CT29" s="46" t="s">
        <v>6346</v>
      </c>
    </row>
    <row r="30" spans="1:98">
      <c r="A30" s="46" t="s">
        <v>7264</v>
      </c>
      <c r="B30" s="46" t="s">
        <v>7265</v>
      </c>
      <c r="C30" s="46">
        <v>38</v>
      </c>
      <c r="D30" s="46" t="s">
        <v>7192</v>
      </c>
      <c r="E30" s="46" t="s">
        <v>191</v>
      </c>
      <c r="F30" s="46" t="s">
        <v>330</v>
      </c>
      <c r="H30" s="46">
        <v>1</v>
      </c>
      <c r="M30" s="46">
        <v>1</v>
      </c>
      <c r="Q30" s="46">
        <v>1</v>
      </c>
      <c r="S30" s="46">
        <v>1</v>
      </c>
      <c r="W30" s="46">
        <v>14</v>
      </c>
      <c r="X30" s="46">
        <v>15</v>
      </c>
      <c r="Y30" s="46">
        <v>16</v>
      </c>
      <c r="Z30" s="46">
        <v>11</v>
      </c>
      <c r="AA30" s="46">
        <v>11</v>
      </c>
      <c r="AB30" s="46">
        <v>10</v>
      </c>
      <c r="AG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K30" s="52"/>
      <c r="BU30" s="46">
        <v>1</v>
      </c>
      <c r="CB30" s="46">
        <v>1</v>
      </c>
      <c r="CE30" s="46">
        <v>1</v>
      </c>
      <c r="CK30" s="46">
        <v>1</v>
      </c>
      <c r="CT30" s="50">
        <v>45566</v>
      </c>
    </row>
    <row r="31" spans="1:98">
      <c r="A31" s="46" t="s">
        <v>7266</v>
      </c>
      <c r="B31" s="46" t="s">
        <v>6786</v>
      </c>
      <c r="C31" s="46">
        <v>29</v>
      </c>
      <c r="D31" s="46" t="s">
        <v>7188</v>
      </c>
      <c r="E31" s="46" t="s">
        <v>7267</v>
      </c>
      <c r="F31" s="46" t="s">
        <v>2023</v>
      </c>
      <c r="H31" s="46">
        <v>1</v>
      </c>
      <c r="N31" s="46">
        <v>1</v>
      </c>
      <c r="Q31" s="46">
        <v>1</v>
      </c>
      <c r="T31" s="46">
        <v>1</v>
      </c>
      <c r="W31" s="46">
        <v>15</v>
      </c>
      <c r="X31" s="46">
        <v>16</v>
      </c>
      <c r="Y31" s="46">
        <v>20</v>
      </c>
      <c r="Z31" s="46">
        <v>5</v>
      </c>
      <c r="AA31" s="46">
        <v>4</v>
      </c>
      <c r="AB31" s="46">
        <v>4</v>
      </c>
      <c r="AD31" s="46">
        <v>1</v>
      </c>
      <c r="AE31" s="46">
        <v>1</v>
      </c>
      <c r="AG31" s="46">
        <v>1</v>
      </c>
      <c r="AH31" s="46">
        <v>1</v>
      </c>
      <c r="AI31" s="46">
        <v>1</v>
      </c>
      <c r="AK31" s="46">
        <v>1</v>
      </c>
      <c r="AT31" s="46">
        <v>1</v>
      </c>
      <c r="AW31" s="46">
        <v>1</v>
      </c>
      <c r="BA31" s="46">
        <v>1</v>
      </c>
      <c r="BK31" s="52"/>
      <c r="BP31" s="46">
        <v>1</v>
      </c>
      <c r="BQ31" s="46" t="s">
        <v>952</v>
      </c>
      <c r="CB31" s="46">
        <v>1</v>
      </c>
      <c r="CE31" s="46">
        <v>1</v>
      </c>
      <c r="CK31" s="46">
        <v>1</v>
      </c>
      <c r="CT31" s="50">
        <v>45566</v>
      </c>
    </row>
    <row r="32" spans="1:98">
      <c r="A32" s="46" t="s">
        <v>7268</v>
      </c>
      <c r="B32" s="46" t="s">
        <v>7269</v>
      </c>
      <c r="C32" s="46">
        <v>18</v>
      </c>
      <c r="D32" s="46" t="s">
        <v>7192</v>
      </c>
      <c r="E32" s="46" t="s">
        <v>7270</v>
      </c>
      <c r="F32" s="46" t="s">
        <v>145</v>
      </c>
      <c r="I32" s="46">
        <v>1</v>
      </c>
      <c r="M32" s="46">
        <v>1</v>
      </c>
      <c r="Q32" s="46">
        <v>1</v>
      </c>
      <c r="T32" s="46">
        <v>1</v>
      </c>
      <c r="W32" s="46">
        <v>14</v>
      </c>
      <c r="X32" s="46">
        <v>16</v>
      </c>
      <c r="Y32" s="46" t="s">
        <v>191</v>
      </c>
      <c r="Z32" s="46">
        <v>0</v>
      </c>
      <c r="AA32" s="46">
        <v>0</v>
      </c>
      <c r="AB32" s="46">
        <v>0</v>
      </c>
      <c r="AH32" s="46">
        <v>1</v>
      </c>
      <c r="AI32" s="46">
        <v>1</v>
      </c>
      <c r="AK32" s="46">
        <v>1</v>
      </c>
      <c r="AT32" s="46">
        <v>1</v>
      </c>
      <c r="AW32" s="46">
        <v>1</v>
      </c>
      <c r="BA32" s="46">
        <v>1</v>
      </c>
      <c r="BK32" s="52"/>
      <c r="BM32" s="46">
        <v>1</v>
      </c>
      <c r="BR32" s="46">
        <v>1</v>
      </c>
      <c r="CB32" s="46">
        <v>1</v>
      </c>
      <c r="CE32" s="46">
        <v>1</v>
      </c>
      <c r="CK32" s="46">
        <v>1</v>
      </c>
      <c r="CT32" s="46" t="s">
        <v>3252</v>
      </c>
    </row>
  </sheetData>
  <autoFilter ref="A3:CT32"/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7271</v>
      </c>
      <c r="B3" s="69">
        <v>8</v>
      </c>
      <c r="C3" s="69"/>
      <c r="D3" s="69">
        <v>1</v>
      </c>
      <c r="E3" s="69">
        <f>SUM(B3:D3)</f>
        <v>9</v>
      </c>
      <c r="F3" s="70">
        <v>2</v>
      </c>
      <c r="G3" s="70">
        <v>7</v>
      </c>
      <c r="H3" s="70"/>
      <c r="I3" s="70"/>
      <c r="J3" s="71">
        <f t="shared" ref="J3:J8" si="0">SUM(F3:I3)</f>
        <v>9</v>
      </c>
      <c r="K3" s="70"/>
      <c r="L3" s="70">
        <v>1</v>
      </c>
      <c r="M3" s="70"/>
      <c r="N3" s="70"/>
      <c r="O3" s="70"/>
      <c r="P3" s="71">
        <f t="shared" ref="P3:P8" si="1">SUM(K3:O3)</f>
        <v>1</v>
      </c>
      <c r="Q3" s="70"/>
      <c r="R3" s="70"/>
      <c r="S3" s="70">
        <v>2</v>
      </c>
      <c r="T3" s="71">
        <f t="shared" ref="T3:T8" si="2">SUM(Q3:S3)</f>
        <v>2</v>
      </c>
      <c r="U3" s="75"/>
      <c r="V3" s="75"/>
      <c r="W3" s="75">
        <v>1</v>
      </c>
      <c r="X3" s="75"/>
      <c r="Y3" s="75"/>
      <c r="Z3" s="75"/>
      <c r="AA3" s="73">
        <v>8</v>
      </c>
      <c r="AB3" s="73"/>
      <c r="AC3" s="73"/>
      <c r="AD3" s="73">
        <v>1</v>
      </c>
      <c r="AE3" s="186">
        <f>SUM(AA3,AB3,AC3,AD3)</f>
        <v>9</v>
      </c>
      <c r="AF3" s="73">
        <v>0</v>
      </c>
      <c r="AG3" s="73">
        <v>0</v>
      </c>
    </row>
    <row r="4" spans="1:33">
      <c r="A4" s="77" t="s">
        <v>1636</v>
      </c>
      <c r="B4" s="69">
        <v>12</v>
      </c>
      <c r="C4" s="69"/>
      <c r="D4" s="69">
        <v>3</v>
      </c>
      <c r="E4" s="69">
        <f>SUM(B4:D4)</f>
        <v>15</v>
      </c>
      <c r="F4" s="70">
        <v>1</v>
      </c>
      <c r="G4" s="70">
        <v>13</v>
      </c>
      <c r="H4" s="70">
        <v>1</v>
      </c>
      <c r="I4" s="70"/>
      <c r="J4" s="71">
        <f t="shared" si="0"/>
        <v>15</v>
      </c>
      <c r="K4" s="70"/>
      <c r="L4" s="70"/>
      <c r="M4" s="70"/>
      <c r="N4" s="70"/>
      <c r="O4" s="70"/>
      <c r="P4" s="71">
        <f t="shared" si="1"/>
        <v>0</v>
      </c>
      <c r="Q4" s="70"/>
      <c r="R4" s="70"/>
      <c r="S4" s="70">
        <v>5</v>
      </c>
      <c r="T4" s="71">
        <f t="shared" si="2"/>
        <v>5</v>
      </c>
      <c r="U4" s="75"/>
      <c r="V4" s="75"/>
      <c r="W4" s="75"/>
      <c r="X4" s="75">
        <v>1</v>
      </c>
      <c r="Y4" s="75"/>
      <c r="Z4" s="75"/>
      <c r="AA4" s="73">
        <v>15</v>
      </c>
      <c r="AB4" s="73"/>
      <c r="AC4" s="73"/>
      <c r="AD4" s="73"/>
      <c r="AE4" s="186">
        <f>SUM(AA4,AB4,AC4,AD4)</f>
        <v>15</v>
      </c>
      <c r="AF4" s="73">
        <v>0</v>
      </c>
      <c r="AG4" s="73">
        <v>0</v>
      </c>
    </row>
    <row r="5" spans="1:33">
      <c r="A5" s="77" t="s">
        <v>7272</v>
      </c>
      <c r="B5" s="69">
        <v>3</v>
      </c>
      <c r="C5" s="69"/>
      <c r="D5" s="69"/>
      <c r="E5" s="69">
        <f>SUM(B5:D5)</f>
        <v>3</v>
      </c>
      <c r="F5" s="70"/>
      <c r="G5" s="70">
        <v>2</v>
      </c>
      <c r="H5" s="70">
        <v>1</v>
      </c>
      <c r="I5" s="70"/>
      <c r="J5" s="71">
        <f t="shared" si="0"/>
        <v>3</v>
      </c>
      <c r="K5" s="70"/>
      <c r="L5" s="70"/>
      <c r="M5" s="70"/>
      <c r="N5" s="70"/>
      <c r="O5" s="70"/>
      <c r="P5" s="71">
        <f t="shared" si="1"/>
        <v>0</v>
      </c>
      <c r="Q5" s="70"/>
      <c r="R5" s="70"/>
      <c r="S5" s="70">
        <v>1</v>
      </c>
      <c r="T5" s="71">
        <f t="shared" si="2"/>
        <v>1</v>
      </c>
      <c r="U5" s="75"/>
      <c r="V5" s="75"/>
      <c r="W5" s="75"/>
      <c r="X5" s="75"/>
      <c r="Y5" s="75"/>
      <c r="Z5" s="75"/>
      <c r="AA5" s="73">
        <v>3</v>
      </c>
      <c r="AB5" s="73"/>
      <c r="AC5" s="73"/>
      <c r="AD5" s="73"/>
      <c r="AE5" s="186">
        <f>SUM(AA5,AB5,AC5,AD5)</f>
        <v>3</v>
      </c>
      <c r="AF5" s="73">
        <v>0</v>
      </c>
      <c r="AG5" s="73">
        <v>0</v>
      </c>
    </row>
    <row r="6" spans="1:33">
      <c r="A6" s="77" t="s">
        <v>1097</v>
      </c>
      <c r="B6" s="69">
        <v>1</v>
      </c>
      <c r="C6" s="69"/>
      <c r="D6" s="69"/>
      <c r="E6" s="69">
        <f>SUM(B6:D6)</f>
        <v>1</v>
      </c>
      <c r="F6" s="70"/>
      <c r="G6" s="70"/>
      <c r="H6" s="70">
        <v>1</v>
      </c>
      <c r="I6" s="70"/>
      <c r="J6" s="71">
        <f t="shared" si="0"/>
        <v>1</v>
      </c>
      <c r="K6" s="70"/>
      <c r="L6" s="70"/>
      <c r="M6" s="70"/>
      <c r="N6" s="70"/>
      <c r="O6" s="70"/>
      <c r="P6" s="71">
        <f t="shared" si="1"/>
        <v>0</v>
      </c>
      <c r="Q6" s="70"/>
      <c r="R6" s="70"/>
      <c r="S6" s="70">
        <v>1</v>
      </c>
      <c r="T6" s="71">
        <f t="shared" si="2"/>
        <v>1</v>
      </c>
      <c r="U6" s="75"/>
      <c r="V6" s="75"/>
      <c r="W6" s="75"/>
      <c r="X6" s="75"/>
      <c r="Y6" s="75"/>
      <c r="Z6" s="75"/>
      <c r="AA6" s="73">
        <v>1</v>
      </c>
      <c r="AB6" s="73"/>
      <c r="AC6" s="73"/>
      <c r="AD6" s="73"/>
      <c r="AE6" s="186">
        <f>SUM(AA6,AB6,AC6,AD6)</f>
        <v>1</v>
      </c>
      <c r="AF6" s="73">
        <v>0</v>
      </c>
      <c r="AG6" s="73">
        <v>0</v>
      </c>
    </row>
    <row r="7" spans="1:33">
      <c r="A7" s="191" t="s">
        <v>556</v>
      </c>
      <c r="B7" s="69">
        <v>1</v>
      </c>
      <c r="C7" s="69"/>
      <c r="D7" s="69"/>
      <c r="E7" s="69">
        <f>SUM(B7:D7)</f>
        <v>1</v>
      </c>
      <c r="F7" s="69"/>
      <c r="G7" s="69"/>
      <c r="H7" s="69">
        <v>1</v>
      </c>
      <c r="I7" s="69"/>
      <c r="J7" s="71">
        <f t="shared" si="0"/>
        <v>1</v>
      </c>
      <c r="K7" s="114"/>
      <c r="L7" s="114"/>
      <c r="M7" s="114"/>
      <c r="N7" s="114"/>
      <c r="O7" s="114"/>
      <c r="P7" s="71">
        <f t="shared" si="1"/>
        <v>0</v>
      </c>
      <c r="Q7" s="114"/>
      <c r="R7" s="114"/>
      <c r="S7" s="114"/>
      <c r="T7" s="71">
        <f t="shared" si="2"/>
        <v>0</v>
      </c>
      <c r="U7" s="114"/>
      <c r="V7" s="114"/>
      <c r="W7" s="114"/>
      <c r="X7" s="114"/>
      <c r="Y7" s="114"/>
      <c r="Z7" s="114"/>
      <c r="AA7" s="114">
        <v>1</v>
      </c>
      <c r="AB7" s="114"/>
      <c r="AC7" s="114"/>
      <c r="AD7" s="114"/>
      <c r="AE7" s="186">
        <f>SUM(AA7,AB7,AC7,AD7)</f>
        <v>1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3">SUM(B3:B7)</f>
        <v>25</v>
      </c>
      <c r="C8" s="69">
        <f t="shared" si="3"/>
        <v>0</v>
      </c>
      <c r="D8" s="69">
        <f t="shared" si="3"/>
        <v>4</v>
      </c>
      <c r="E8" s="69">
        <f t="shared" si="3"/>
        <v>29</v>
      </c>
      <c r="F8" s="69">
        <f t="shared" si="3"/>
        <v>3</v>
      </c>
      <c r="G8" s="69">
        <f t="shared" si="3"/>
        <v>22</v>
      </c>
      <c r="H8" s="69">
        <f t="shared" si="3"/>
        <v>4</v>
      </c>
      <c r="I8" s="69">
        <f t="shared" si="3"/>
        <v>0</v>
      </c>
      <c r="J8" s="71">
        <f t="shared" si="0"/>
        <v>29</v>
      </c>
      <c r="K8" s="114">
        <f>SUM(K3:K7)</f>
        <v>0</v>
      </c>
      <c r="L8" s="114">
        <f>SUM(L3:L7)</f>
        <v>1</v>
      </c>
      <c r="M8" s="114">
        <f>SUM(M3:M7)</f>
        <v>0</v>
      </c>
      <c r="N8" s="114">
        <f>SUM(N3:N7)</f>
        <v>0</v>
      </c>
      <c r="O8" s="114">
        <f>SUM(O3:O7)</f>
        <v>0</v>
      </c>
      <c r="P8" s="71">
        <f t="shared" si="1"/>
        <v>1</v>
      </c>
      <c r="Q8" s="114">
        <f>SUM(Q3:Q7)</f>
        <v>0</v>
      </c>
      <c r="R8" s="114">
        <f>SUM(R3:R7)</f>
        <v>0</v>
      </c>
      <c r="S8" s="114">
        <f>SUM(S3:S7)</f>
        <v>9</v>
      </c>
      <c r="T8" s="241">
        <f t="shared" si="2"/>
        <v>9</v>
      </c>
      <c r="U8" s="114">
        <f>SUM(U3:U7)</f>
        <v>0</v>
      </c>
      <c r="V8" s="114">
        <f>SUM(V3:V7)</f>
        <v>0</v>
      </c>
      <c r="W8" s="114">
        <f>SUM(W3:W7)</f>
        <v>1</v>
      </c>
      <c r="X8" s="114">
        <f>SUM(X3:X7)</f>
        <v>1</v>
      </c>
      <c r="Y8" s="114">
        <f>SUM(Y3:Y7)</f>
        <v>0</v>
      </c>
      <c r="Z8" s="114">
        <f>SUM(Z3:Z6)</f>
        <v>0</v>
      </c>
      <c r="AA8" s="114">
        <f t="shared" ref="AA8:AG8" si="4">SUM(AA3:AA7)</f>
        <v>28</v>
      </c>
      <c r="AB8" s="114">
        <f t="shared" si="4"/>
        <v>0</v>
      </c>
      <c r="AC8" s="114">
        <f t="shared" si="4"/>
        <v>0</v>
      </c>
      <c r="AD8" s="114">
        <f t="shared" si="4"/>
        <v>1</v>
      </c>
      <c r="AE8" s="73">
        <f t="shared" si="4"/>
        <v>29</v>
      </c>
      <c r="AF8" s="73">
        <f t="shared" si="4"/>
        <v>0</v>
      </c>
      <c r="AG8" s="73">
        <f t="shared" si="4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2" max="2" width="23.28515625" customWidth="1"/>
    <col min="3" max="3" width="9.7109375" customWidth="1"/>
  </cols>
  <sheetData>
    <row r="1" spans="1:98">
      <c r="A1" s="197" t="s">
        <v>7273</v>
      </c>
      <c r="B1" s="143"/>
      <c r="C1" s="231" t="s">
        <v>1445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7274</v>
      </c>
      <c r="B4" s="46" t="s">
        <v>7275</v>
      </c>
      <c r="C4" s="46">
        <v>50</v>
      </c>
      <c r="D4" s="46" t="s">
        <v>7276</v>
      </c>
      <c r="E4" s="46" t="s">
        <v>7277</v>
      </c>
      <c r="F4" s="46" t="s">
        <v>112</v>
      </c>
      <c r="H4" s="46">
        <v>1</v>
      </c>
      <c r="M4" s="46">
        <v>1</v>
      </c>
      <c r="R4" s="46">
        <v>1</v>
      </c>
      <c r="V4" s="46">
        <v>1</v>
      </c>
      <c r="W4" s="46">
        <v>11</v>
      </c>
      <c r="X4" s="46">
        <v>20</v>
      </c>
      <c r="Y4" s="46">
        <v>40</v>
      </c>
      <c r="Z4" s="46">
        <v>4</v>
      </c>
      <c r="AA4" s="46">
        <v>1</v>
      </c>
      <c r="AB4" s="46">
        <v>1</v>
      </c>
      <c r="AD4" s="46">
        <v>1</v>
      </c>
      <c r="AE4" s="46">
        <v>1</v>
      </c>
      <c r="AH4" s="46">
        <v>1</v>
      </c>
      <c r="AI4" s="46">
        <v>1</v>
      </c>
      <c r="AK4" s="46">
        <v>1</v>
      </c>
      <c r="AT4" s="46">
        <v>1</v>
      </c>
      <c r="AX4" s="46">
        <v>1</v>
      </c>
      <c r="BB4" s="46">
        <v>1</v>
      </c>
      <c r="BG4" s="46">
        <v>1</v>
      </c>
      <c r="BJ4" s="46" t="s">
        <v>2402</v>
      </c>
      <c r="BP4" s="46">
        <v>1</v>
      </c>
      <c r="BQ4" s="46" t="s">
        <v>952</v>
      </c>
      <c r="CA4" s="46">
        <v>1</v>
      </c>
      <c r="CB4" s="46">
        <v>1</v>
      </c>
      <c r="CE4" s="46">
        <v>1</v>
      </c>
      <c r="CT4" s="46" t="s">
        <v>3252</v>
      </c>
    </row>
    <row r="5" spans="1:98">
      <c r="A5" s="46" t="s">
        <v>7278</v>
      </c>
      <c r="B5" s="46" t="s">
        <v>7279</v>
      </c>
      <c r="C5" s="46">
        <v>51</v>
      </c>
      <c r="D5" s="46" t="s">
        <v>7280</v>
      </c>
      <c r="E5" s="46" t="s">
        <v>7281</v>
      </c>
      <c r="F5" s="46" t="s">
        <v>2023</v>
      </c>
      <c r="I5" s="46">
        <v>1</v>
      </c>
      <c r="M5" s="46">
        <v>1</v>
      </c>
      <c r="Q5" s="46">
        <v>1</v>
      </c>
      <c r="U5" s="46">
        <v>1</v>
      </c>
      <c r="W5" s="46">
        <v>16</v>
      </c>
      <c r="X5" s="46">
        <v>19</v>
      </c>
      <c r="Y5" s="46">
        <v>20</v>
      </c>
      <c r="Z5" s="46">
        <v>6</v>
      </c>
      <c r="AA5" s="46">
        <v>6</v>
      </c>
      <c r="AB5" s="46">
        <v>6</v>
      </c>
      <c r="AE5" s="46">
        <v>1</v>
      </c>
      <c r="AI5" s="46">
        <v>1</v>
      </c>
      <c r="AK5" s="46">
        <v>1</v>
      </c>
      <c r="AT5" s="46">
        <v>1</v>
      </c>
      <c r="AW5" s="46">
        <v>1</v>
      </c>
      <c r="BB5" s="46">
        <v>1</v>
      </c>
      <c r="BG5" s="46">
        <v>1</v>
      </c>
      <c r="BK5" s="46">
        <v>1</v>
      </c>
      <c r="CB5" s="46">
        <v>1</v>
      </c>
      <c r="CF5" s="46">
        <v>1</v>
      </c>
      <c r="CG5" s="46">
        <v>2021</v>
      </c>
      <c r="CI5" s="46">
        <v>1</v>
      </c>
      <c r="CT5" s="46" t="s">
        <v>6346</v>
      </c>
    </row>
    <row r="6" spans="1:98">
      <c r="A6" s="46" t="s">
        <v>7282</v>
      </c>
      <c r="B6" s="46" t="s">
        <v>7283</v>
      </c>
      <c r="C6" s="46">
        <v>50</v>
      </c>
      <c r="D6" s="46" t="s">
        <v>7284</v>
      </c>
      <c r="E6" s="46" t="s">
        <v>7285</v>
      </c>
      <c r="F6" s="46" t="s">
        <v>107</v>
      </c>
      <c r="J6" s="46">
        <v>1</v>
      </c>
      <c r="O6" s="46">
        <v>1</v>
      </c>
      <c r="Q6" s="46">
        <v>1</v>
      </c>
      <c r="S6" s="46">
        <v>1</v>
      </c>
      <c r="W6" s="46">
        <v>14</v>
      </c>
      <c r="X6" s="46">
        <v>14</v>
      </c>
      <c r="Y6" s="46">
        <v>15</v>
      </c>
      <c r="Z6" s="46">
        <v>9</v>
      </c>
      <c r="AA6" s="46">
        <v>7</v>
      </c>
      <c r="AB6" s="46">
        <v>2</v>
      </c>
      <c r="AG6" s="46">
        <v>1</v>
      </c>
      <c r="AH6" s="46">
        <v>1</v>
      </c>
      <c r="AI6" s="46">
        <v>1</v>
      </c>
      <c r="AK6" s="46">
        <v>1</v>
      </c>
      <c r="AT6" s="46">
        <v>1</v>
      </c>
      <c r="AX6" s="46">
        <v>1</v>
      </c>
      <c r="BB6" s="46">
        <v>1</v>
      </c>
      <c r="BG6" s="46">
        <v>1</v>
      </c>
      <c r="BK6" s="46">
        <v>1</v>
      </c>
      <c r="CC6" s="46">
        <v>1</v>
      </c>
      <c r="CD6" s="50">
        <v>45505</v>
      </c>
      <c r="CF6" s="46">
        <v>1</v>
      </c>
      <c r="CG6" s="46">
        <v>2023</v>
      </c>
      <c r="CI6" s="46">
        <v>1</v>
      </c>
      <c r="CK6" s="46">
        <v>1</v>
      </c>
      <c r="CT6" s="46" t="s">
        <v>6346</v>
      </c>
    </row>
    <row r="7" spans="1:98">
      <c r="A7" s="46" t="s">
        <v>7286</v>
      </c>
      <c r="B7" s="46" t="s">
        <v>7287</v>
      </c>
      <c r="C7" s="46">
        <v>67</v>
      </c>
      <c r="D7" s="46" t="s">
        <v>7288</v>
      </c>
      <c r="E7" s="46" t="s">
        <v>7289</v>
      </c>
      <c r="F7" s="46" t="s">
        <v>662</v>
      </c>
      <c r="G7" s="46">
        <v>1</v>
      </c>
      <c r="O7" s="46">
        <v>1</v>
      </c>
      <c r="Q7" s="46">
        <v>1</v>
      </c>
      <c r="U7" s="46">
        <v>1</v>
      </c>
      <c r="W7" s="46">
        <v>18</v>
      </c>
      <c r="X7" s="46">
        <v>19</v>
      </c>
      <c r="Y7" s="46">
        <v>25</v>
      </c>
      <c r="Z7" s="46">
        <v>8</v>
      </c>
      <c r="AA7" s="46">
        <v>8</v>
      </c>
      <c r="AB7" s="46">
        <v>3</v>
      </c>
      <c r="AD7" s="46">
        <v>1</v>
      </c>
      <c r="AE7" s="46">
        <v>1</v>
      </c>
      <c r="AI7" s="46">
        <v>1</v>
      </c>
      <c r="AK7" s="46">
        <v>1</v>
      </c>
      <c r="AT7" s="46">
        <v>1</v>
      </c>
      <c r="AW7" s="46">
        <v>1</v>
      </c>
      <c r="BM7" s="46">
        <v>1</v>
      </c>
      <c r="BP7" s="46">
        <v>1</v>
      </c>
      <c r="BQ7" s="46" t="s">
        <v>952</v>
      </c>
      <c r="CB7" s="46">
        <v>1</v>
      </c>
      <c r="CE7" s="46">
        <v>1</v>
      </c>
      <c r="CT7" s="139">
        <v>45635</v>
      </c>
    </row>
    <row r="8" spans="1:98">
      <c r="A8" s="46" t="s">
        <v>7290</v>
      </c>
      <c r="B8" s="46" t="s">
        <v>7291</v>
      </c>
      <c r="C8" s="46">
        <v>24</v>
      </c>
      <c r="D8" s="46" t="s">
        <v>6328</v>
      </c>
      <c r="E8" s="46" t="s">
        <v>7292</v>
      </c>
      <c r="J8" s="46">
        <v>1</v>
      </c>
      <c r="M8" s="46">
        <v>1</v>
      </c>
      <c r="Q8" s="46">
        <v>1</v>
      </c>
      <c r="U8" s="46">
        <v>1</v>
      </c>
      <c r="W8" s="46">
        <v>16</v>
      </c>
      <c r="X8" s="46">
        <v>18</v>
      </c>
      <c r="Y8" s="46">
        <v>18</v>
      </c>
      <c r="Z8" s="46">
        <v>3</v>
      </c>
      <c r="AA8" s="46">
        <v>3</v>
      </c>
      <c r="AB8" s="46">
        <v>3</v>
      </c>
      <c r="AD8" s="46">
        <v>1</v>
      </c>
      <c r="AG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B8" s="46">
        <v>1</v>
      </c>
      <c r="BH8" s="46">
        <v>1</v>
      </c>
      <c r="BJ8" s="46">
        <v>1</v>
      </c>
      <c r="BU8" s="46" t="s">
        <v>364</v>
      </c>
      <c r="BV8" s="46" t="s">
        <v>952</v>
      </c>
      <c r="BY8" s="46">
        <v>1</v>
      </c>
      <c r="CB8" s="46">
        <v>1</v>
      </c>
      <c r="CE8" s="46">
        <v>1</v>
      </c>
      <c r="CT8" s="46" t="s">
        <v>6536</v>
      </c>
    </row>
  </sheetData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/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7293</v>
      </c>
      <c r="B3" s="69">
        <v>1</v>
      </c>
      <c r="C3" s="69"/>
      <c r="D3" s="69"/>
      <c r="E3" s="69">
        <f>SUM(B3:D3)</f>
        <v>1</v>
      </c>
      <c r="F3" s="70"/>
      <c r="G3" s="70">
        <v>1</v>
      </c>
      <c r="H3" s="70"/>
      <c r="I3" s="70"/>
      <c r="J3" s="71">
        <f t="shared" ref="J3:J8" si="0">SUM(F3:I3)</f>
        <v>1</v>
      </c>
      <c r="K3" s="70"/>
      <c r="L3" s="70"/>
      <c r="M3" s="70"/>
      <c r="N3" s="70"/>
      <c r="O3" s="70"/>
      <c r="P3" s="71">
        <f t="shared" ref="P3:P8" si="1">SUM(K3:O3)</f>
        <v>0</v>
      </c>
      <c r="Q3" s="70"/>
      <c r="R3" s="70"/>
      <c r="S3" s="70">
        <v>1</v>
      </c>
      <c r="T3" s="71">
        <f t="shared" ref="T3:T8" si="2">SUM(Q3:S3)</f>
        <v>1</v>
      </c>
      <c r="U3" s="75">
        <v>1</v>
      </c>
      <c r="V3" s="75"/>
      <c r="W3" s="75"/>
      <c r="X3" s="75"/>
      <c r="Y3" s="75"/>
      <c r="Z3" s="75"/>
      <c r="AA3" s="73"/>
      <c r="AB3" s="73"/>
      <c r="AC3" s="73"/>
      <c r="AD3" s="73">
        <v>1</v>
      </c>
      <c r="AE3" s="186">
        <f>SUM(AA3,AB3,AC3,AD3)</f>
        <v>1</v>
      </c>
      <c r="AF3" s="73">
        <v>0</v>
      </c>
      <c r="AG3" s="73">
        <v>0</v>
      </c>
    </row>
    <row r="4" spans="1:33">
      <c r="A4" s="77" t="s">
        <v>7183</v>
      </c>
      <c r="B4" s="69"/>
      <c r="C4" s="69"/>
      <c r="D4" s="69"/>
      <c r="E4" s="69">
        <f>SUM(B4:D4)</f>
        <v>0</v>
      </c>
      <c r="F4" s="70"/>
      <c r="G4" s="70"/>
      <c r="H4" s="70"/>
      <c r="I4" s="70"/>
      <c r="J4" s="71">
        <f t="shared" si="0"/>
        <v>0</v>
      </c>
      <c r="K4" s="70"/>
      <c r="L4" s="70"/>
      <c r="M4" s="70"/>
      <c r="N4" s="70"/>
      <c r="O4" s="70"/>
      <c r="P4" s="71">
        <f t="shared" si="1"/>
        <v>0</v>
      </c>
      <c r="Q4" s="70"/>
      <c r="R4" s="70"/>
      <c r="S4" s="70"/>
      <c r="T4" s="71">
        <f t="shared" si="2"/>
        <v>0</v>
      </c>
      <c r="U4" s="75"/>
      <c r="V4" s="75"/>
      <c r="W4" s="75"/>
      <c r="X4" s="75"/>
      <c r="Y4" s="75"/>
      <c r="Z4" s="75"/>
      <c r="AA4" s="73"/>
      <c r="AB4" s="73"/>
      <c r="AC4" s="73"/>
      <c r="AD4" s="73"/>
      <c r="AE4" s="186">
        <f>SUM(AA4,AB4,AC4,AD4)</f>
        <v>0</v>
      </c>
      <c r="AF4" s="73">
        <v>0</v>
      </c>
      <c r="AG4" s="73">
        <v>0</v>
      </c>
    </row>
    <row r="5" spans="1:33">
      <c r="A5" s="77" t="s">
        <v>1444</v>
      </c>
      <c r="B5" s="69">
        <v>2</v>
      </c>
      <c r="C5" s="69"/>
      <c r="D5" s="69"/>
      <c r="E5" s="69">
        <f>SUM(B5:D5)</f>
        <v>2</v>
      </c>
      <c r="F5" s="70">
        <v>1</v>
      </c>
      <c r="G5" s="70">
        <v>1</v>
      </c>
      <c r="H5" s="70"/>
      <c r="I5" s="70"/>
      <c r="J5" s="71">
        <f t="shared" si="0"/>
        <v>2</v>
      </c>
      <c r="K5" s="70"/>
      <c r="L5" s="70"/>
      <c r="M5" s="70"/>
      <c r="N5" s="70"/>
      <c r="O5" s="70"/>
      <c r="P5" s="71">
        <f t="shared" si="1"/>
        <v>0</v>
      </c>
      <c r="Q5" s="70"/>
      <c r="R5" s="70"/>
      <c r="S5" s="70"/>
      <c r="T5" s="71">
        <f t="shared" si="2"/>
        <v>0</v>
      </c>
      <c r="U5" s="75"/>
      <c r="V5" s="75"/>
      <c r="W5" s="75">
        <v>1</v>
      </c>
      <c r="X5" s="75"/>
      <c r="Y5" s="75"/>
      <c r="Z5" s="75"/>
      <c r="AA5" s="73">
        <v>1</v>
      </c>
      <c r="AB5" s="73"/>
      <c r="AC5" s="73"/>
      <c r="AD5" s="73">
        <v>1</v>
      </c>
      <c r="AE5" s="186">
        <f>SUM(AA5,AB5,AC5,AD5)</f>
        <v>2</v>
      </c>
      <c r="AF5" s="73">
        <v>0</v>
      </c>
      <c r="AG5" s="73">
        <v>0</v>
      </c>
    </row>
    <row r="6" spans="1:33">
      <c r="A6" s="77" t="s">
        <v>1097</v>
      </c>
      <c r="B6" s="69">
        <v>1</v>
      </c>
      <c r="C6" s="69"/>
      <c r="D6" s="69"/>
      <c r="E6" s="69">
        <f>SUM(B6:D6)</f>
        <v>1</v>
      </c>
      <c r="F6" s="70"/>
      <c r="G6" s="70">
        <v>1</v>
      </c>
      <c r="H6" s="70"/>
      <c r="I6" s="70"/>
      <c r="J6" s="71">
        <f t="shared" si="0"/>
        <v>1</v>
      </c>
      <c r="K6" s="70"/>
      <c r="L6" s="70"/>
      <c r="M6" s="70"/>
      <c r="N6" s="70"/>
      <c r="O6" s="70"/>
      <c r="P6" s="71">
        <f t="shared" si="1"/>
        <v>0</v>
      </c>
      <c r="Q6" s="70"/>
      <c r="R6" s="70"/>
      <c r="S6" s="70"/>
      <c r="T6" s="71">
        <f t="shared" si="2"/>
        <v>0</v>
      </c>
      <c r="U6" s="75"/>
      <c r="V6" s="75"/>
      <c r="W6" s="75"/>
      <c r="X6" s="75"/>
      <c r="Y6" s="75"/>
      <c r="Z6" s="75"/>
      <c r="AA6" s="73"/>
      <c r="AB6" s="73"/>
      <c r="AC6" s="73"/>
      <c r="AD6" s="73">
        <v>1</v>
      </c>
      <c r="AE6" s="186">
        <f>SUM(AA6,AB6,AC6,AD6)</f>
        <v>1</v>
      </c>
      <c r="AF6" s="73">
        <v>0</v>
      </c>
      <c r="AG6" s="73">
        <v>0</v>
      </c>
    </row>
    <row r="7" spans="1:33">
      <c r="A7" s="191" t="s">
        <v>556</v>
      </c>
      <c r="B7" s="69">
        <v>1</v>
      </c>
      <c r="C7" s="69"/>
      <c r="D7" s="69"/>
      <c r="E7" s="69">
        <f>SUM(B7:D7)</f>
        <v>1</v>
      </c>
      <c r="F7" s="69"/>
      <c r="G7" s="69"/>
      <c r="H7" s="69"/>
      <c r="I7" s="69"/>
      <c r="J7" s="71">
        <f t="shared" si="0"/>
        <v>0</v>
      </c>
      <c r="K7" s="114"/>
      <c r="L7" s="114">
        <v>1</v>
      </c>
      <c r="M7" s="114"/>
      <c r="N7" s="114"/>
      <c r="O7" s="114"/>
      <c r="P7" s="71">
        <f t="shared" si="1"/>
        <v>1</v>
      </c>
      <c r="Q7" s="114"/>
      <c r="R7" s="114"/>
      <c r="S7" s="114"/>
      <c r="T7" s="71">
        <f t="shared" si="2"/>
        <v>0</v>
      </c>
      <c r="U7" s="114"/>
      <c r="V7" s="114"/>
      <c r="W7" s="114">
        <v>1</v>
      </c>
      <c r="X7" s="114"/>
      <c r="Y7" s="114"/>
      <c r="Z7" s="114"/>
      <c r="AA7" s="114"/>
      <c r="AB7" s="114"/>
      <c r="AC7" s="114"/>
      <c r="AD7" s="114">
        <v>1</v>
      </c>
      <c r="AE7" s="186">
        <f>SUM(AA7,AB7,AC7,AD7)</f>
        <v>1</v>
      </c>
      <c r="AF7" s="73">
        <v>0</v>
      </c>
      <c r="AG7" s="73">
        <v>0</v>
      </c>
    </row>
    <row r="8" spans="1:33">
      <c r="A8" s="69" t="s">
        <v>376</v>
      </c>
      <c r="B8" s="69">
        <f t="shared" ref="B8:I8" si="3">SUM(B3:B7)</f>
        <v>5</v>
      </c>
      <c r="C8" s="69">
        <f t="shared" si="3"/>
        <v>0</v>
      </c>
      <c r="D8" s="69">
        <f t="shared" si="3"/>
        <v>0</v>
      </c>
      <c r="E8" s="69">
        <f t="shared" si="3"/>
        <v>5</v>
      </c>
      <c r="F8" s="69">
        <f t="shared" si="3"/>
        <v>1</v>
      </c>
      <c r="G8" s="69">
        <f t="shared" si="3"/>
        <v>3</v>
      </c>
      <c r="H8" s="69">
        <f t="shared" si="3"/>
        <v>0</v>
      </c>
      <c r="I8" s="69">
        <f t="shared" si="3"/>
        <v>0</v>
      </c>
      <c r="J8" s="71">
        <f t="shared" si="0"/>
        <v>4</v>
      </c>
      <c r="K8" s="114">
        <f>SUM(K3:K7)</f>
        <v>0</v>
      </c>
      <c r="L8" s="114">
        <f>SUM(L3:L7)</f>
        <v>1</v>
      </c>
      <c r="M8" s="114">
        <f>SUM(M3:M7)</f>
        <v>0</v>
      </c>
      <c r="N8" s="114">
        <f>SUM(N3:N7)</f>
        <v>0</v>
      </c>
      <c r="O8" s="114">
        <f>SUM(O3:O7)</f>
        <v>0</v>
      </c>
      <c r="P8" s="71">
        <f t="shared" si="1"/>
        <v>1</v>
      </c>
      <c r="Q8" s="114">
        <f>SUM(Q3:Q7)</f>
        <v>0</v>
      </c>
      <c r="R8" s="114">
        <f>SUM(R3:R7)</f>
        <v>0</v>
      </c>
      <c r="S8" s="114">
        <f>SUM(S3:S7)</f>
        <v>1</v>
      </c>
      <c r="T8" s="241">
        <f t="shared" si="2"/>
        <v>1</v>
      </c>
      <c r="U8" s="114">
        <f>SUM(U3:U7)</f>
        <v>1</v>
      </c>
      <c r="V8" s="114">
        <f>SUM(V3:V7)</f>
        <v>0</v>
      </c>
      <c r="W8" s="114">
        <f>SUM(W3:W7)</f>
        <v>2</v>
      </c>
      <c r="X8" s="114">
        <f>SUM(X3:X7)</f>
        <v>0</v>
      </c>
      <c r="Y8" s="114">
        <f>SUM(Y3:Y7)</f>
        <v>0</v>
      </c>
      <c r="Z8" s="114">
        <f>SUM(Z3:Z6)</f>
        <v>0</v>
      </c>
      <c r="AA8" s="114">
        <f t="shared" ref="AA8:AG8" si="4">SUM(AA3:AA7)</f>
        <v>1</v>
      </c>
      <c r="AB8" s="114">
        <f t="shared" si="4"/>
        <v>0</v>
      </c>
      <c r="AC8" s="114">
        <f t="shared" si="4"/>
        <v>0</v>
      </c>
      <c r="AD8" s="114">
        <f t="shared" si="4"/>
        <v>4</v>
      </c>
      <c r="AE8" s="73">
        <f t="shared" si="4"/>
        <v>5</v>
      </c>
      <c r="AF8" s="73">
        <f t="shared" si="4"/>
        <v>0</v>
      </c>
      <c r="AG8" s="73">
        <f t="shared" si="4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S53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0" customWidth="1"/>
    <col min="2" max="2" width="20.7109375" customWidth="1"/>
    <col min="3" max="3" width="5.5703125" customWidth="1"/>
    <col min="7" max="7" width="5.140625" customWidth="1"/>
    <col min="8" max="8" width="5" customWidth="1"/>
    <col min="9" max="9" width="5.7109375" customWidth="1"/>
    <col min="10" max="10" width="5.85546875" customWidth="1"/>
    <col min="11" max="11" width="5.7109375" customWidth="1"/>
    <col min="12" max="12" width="4.85546875" customWidth="1"/>
    <col min="13" max="13" width="4.28515625" customWidth="1"/>
    <col min="14" max="14" width="4.42578125" customWidth="1"/>
    <col min="15" max="15" width="4.28515625" customWidth="1"/>
    <col min="16" max="16" width="4.42578125" customWidth="1"/>
    <col min="17" max="17" width="6.28515625" customWidth="1"/>
    <col min="18" max="18" width="7.5703125" customWidth="1"/>
    <col min="19" max="19" width="5.7109375" customWidth="1"/>
    <col min="20" max="20" width="4.7109375" customWidth="1"/>
    <col min="21" max="21" width="4" customWidth="1"/>
    <col min="22" max="22" width="4.5703125" customWidth="1"/>
    <col min="23" max="23" width="9.28515625" customWidth="1"/>
    <col min="25" max="25" width="10.5703125" customWidth="1"/>
    <col min="26" max="26" width="6.85546875" customWidth="1"/>
    <col min="27" max="27" width="11" customWidth="1"/>
    <col min="28" max="28" width="12.140625" customWidth="1"/>
    <col min="29" max="29" width="4" customWidth="1"/>
    <col min="30" max="30" width="6.28515625" customWidth="1"/>
    <col min="31" max="31" width="6" customWidth="1"/>
    <col min="32" max="32" width="7.140625" customWidth="1"/>
    <col min="33" max="33" width="7.42578125" customWidth="1"/>
    <col min="34" max="34" width="4.7109375" customWidth="1"/>
    <col min="35" max="35" width="5.7109375" customWidth="1"/>
    <col min="36" max="36" width="5" customWidth="1"/>
    <col min="37" max="37" width="8.28515625" customWidth="1"/>
    <col min="38" max="38" width="7.85546875" customWidth="1"/>
    <col min="39" max="39" width="11.42578125" customWidth="1"/>
    <col min="40" max="40" width="10.5703125" customWidth="1"/>
    <col min="41" max="41" width="6.85546875" customWidth="1"/>
    <col min="42" max="42" width="8" customWidth="1"/>
    <col min="46" max="46" width="5.42578125" customWidth="1"/>
    <col min="47" max="47" width="10.7109375" customWidth="1"/>
    <col min="48" max="48" width="5.28515625" customWidth="1"/>
    <col min="49" max="49" width="7.42578125" customWidth="1"/>
    <col min="50" max="50" width="7.85546875" customWidth="1"/>
    <col min="51" max="51" width="7.42578125" customWidth="1"/>
    <col min="52" max="52" width="4.28515625" customWidth="1"/>
    <col min="53" max="53" width="5" customWidth="1"/>
    <col min="54" max="54" width="4.42578125" customWidth="1"/>
    <col min="55" max="55" width="4.5703125" customWidth="1"/>
    <col min="56" max="56" width="8.7109375" customWidth="1"/>
    <col min="57" max="57" width="6.28515625" customWidth="1"/>
    <col min="58" max="58" width="7.140625" customWidth="1"/>
    <col min="59" max="59" width="13.7109375" customWidth="1"/>
    <col min="60" max="60" width="10.5703125" customWidth="1"/>
    <col min="61" max="61" width="7.42578125" customWidth="1"/>
  </cols>
  <sheetData>
    <row r="1" spans="1:97" ht="11.25" customHeight="1">
      <c r="A1" s="189" t="s">
        <v>7294</v>
      </c>
      <c r="B1" s="143"/>
      <c r="C1" s="143"/>
      <c r="D1" s="143"/>
      <c r="E1" s="143"/>
      <c r="F1" s="143"/>
      <c r="G1" s="143" t="s">
        <v>2</v>
      </c>
      <c r="H1" s="143"/>
      <c r="I1" s="143"/>
      <c r="J1" s="143"/>
      <c r="K1" s="143"/>
      <c r="L1" s="143" t="s">
        <v>3</v>
      </c>
      <c r="M1" s="143"/>
      <c r="N1" s="143"/>
      <c r="O1" s="143"/>
      <c r="P1" s="143"/>
      <c r="Q1" s="143" t="s">
        <v>4</v>
      </c>
      <c r="R1" s="143"/>
      <c r="S1" s="143" t="s">
        <v>5</v>
      </c>
      <c r="T1" s="143"/>
      <c r="U1" s="143"/>
      <c r="V1" s="143"/>
      <c r="W1" s="143" t="s">
        <v>6</v>
      </c>
      <c r="X1" s="143"/>
      <c r="Y1" s="143"/>
      <c r="Z1" s="143"/>
      <c r="AA1" s="143"/>
      <c r="AB1" s="143"/>
      <c r="AC1" s="143" t="s">
        <v>7</v>
      </c>
      <c r="AD1" s="143"/>
      <c r="AE1" s="143"/>
      <c r="AF1" s="143"/>
      <c r="AG1" s="143"/>
      <c r="AH1" s="143"/>
      <c r="AI1" s="143" t="s">
        <v>8</v>
      </c>
      <c r="AJ1" s="143"/>
      <c r="AK1" s="143" t="s">
        <v>9</v>
      </c>
      <c r="AL1" s="143"/>
      <c r="AM1" s="143"/>
      <c r="AN1" s="143" t="s">
        <v>10</v>
      </c>
      <c r="AO1" s="143"/>
      <c r="AP1" s="143"/>
      <c r="AQ1" s="143" t="s">
        <v>11</v>
      </c>
      <c r="AR1" s="143"/>
      <c r="AS1" s="143"/>
      <c r="AT1" s="176" t="s">
        <v>12</v>
      </c>
      <c r="AU1" s="143"/>
      <c r="AV1" s="143" t="s">
        <v>13</v>
      </c>
      <c r="AW1" s="143"/>
      <c r="AX1" s="143"/>
      <c r="AY1" s="143"/>
      <c r="AZ1" s="143"/>
      <c r="BA1" s="176" t="s">
        <v>14</v>
      </c>
      <c r="BB1" s="143"/>
      <c r="BC1" s="143"/>
      <c r="BD1" s="143"/>
      <c r="BE1" s="143"/>
      <c r="BF1" s="143"/>
      <c r="BG1" s="143"/>
      <c r="BH1" s="143" t="s">
        <v>16</v>
      </c>
      <c r="BI1" s="143"/>
      <c r="BJ1" s="143"/>
      <c r="BK1" s="143"/>
      <c r="BL1" s="143"/>
      <c r="BM1" s="143"/>
      <c r="BN1" s="176" t="s">
        <v>17</v>
      </c>
      <c r="BO1" s="143"/>
      <c r="BP1" s="143"/>
      <c r="BQ1" s="143" t="s">
        <v>18</v>
      </c>
      <c r="BR1" s="143"/>
      <c r="BS1" s="143"/>
      <c r="BT1" s="176" t="s">
        <v>19</v>
      </c>
      <c r="BU1" s="143"/>
      <c r="BV1" s="143"/>
      <c r="BW1" s="143"/>
      <c r="BX1" s="143"/>
      <c r="BY1" s="176" t="s">
        <v>20</v>
      </c>
      <c r="BZ1" s="143"/>
      <c r="CA1" s="143"/>
      <c r="CB1" s="176" t="s">
        <v>21</v>
      </c>
      <c r="CC1" s="143"/>
      <c r="CD1" s="143" t="s">
        <v>22</v>
      </c>
      <c r="CE1" s="176" t="s">
        <v>23</v>
      </c>
      <c r="CF1" s="143"/>
      <c r="CG1" s="143"/>
      <c r="CH1" s="143" t="s">
        <v>16</v>
      </c>
      <c r="CI1" s="143"/>
      <c r="CJ1" s="143"/>
      <c r="CK1" s="143"/>
      <c r="CL1" s="143" t="s">
        <v>24</v>
      </c>
      <c r="CM1" s="143"/>
      <c r="CN1" s="176" t="s">
        <v>25</v>
      </c>
      <c r="CO1" s="143"/>
      <c r="CP1" s="143"/>
      <c r="CQ1" s="143" t="s">
        <v>26</v>
      </c>
      <c r="CR1" s="143"/>
      <c r="CS1" s="143"/>
    </row>
    <row r="2" spans="1:97">
      <c r="A2" s="17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78" t="s">
        <v>15</v>
      </c>
      <c r="BG2" s="147"/>
      <c r="BH2" s="147" t="s">
        <v>78</v>
      </c>
      <c r="BI2" s="147"/>
      <c r="BJ2" s="147" t="s">
        <v>354</v>
      </c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 t="s">
        <v>893</v>
      </c>
      <c r="CQ2" s="147"/>
      <c r="CR2" s="147"/>
      <c r="CS2" s="147"/>
    </row>
    <row r="3" spans="1:97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80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79</v>
      </c>
      <c r="BD3" s="180" t="s">
        <v>80</v>
      </c>
      <c r="BE3" s="180" t="s">
        <v>38</v>
      </c>
      <c r="BF3" s="180" t="s">
        <v>81</v>
      </c>
      <c r="BG3" s="180" t="s">
        <v>82</v>
      </c>
      <c r="BH3" s="180" t="s">
        <v>83</v>
      </c>
      <c r="BI3" s="180" t="s">
        <v>81</v>
      </c>
      <c r="BJ3" s="180" t="s">
        <v>96</v>
      </c>
      <c r="BK3" s="180" t="s">
        <v>84</v>
      </c>
      <c r="BL3" s="180" t="s">
        <v>85</v>
      </c>
      <c r="BM3" s="180" t="s">
        <v>86</v>
      </c>
      <c r="BN3" s="180" t="s">
        <v>73</v>
      </c>
      <c r="BO3" s="180" t="s">
        <v>87</v>
      </c>
      <c r="BP3" s="180" t="s">
        <v>56</v>
      </c>
      <c r="BQ3" s="180" t="s">
        <v>83</v>
      </c>
      <c r="BR3" s="180" t="s">
        <v>88</v>
      </c>
      <c r="BS3" s="180" t="s">
        <v>89</v>
      </c>
      <c r="BT3" s="180" t="s">
        <v>90</v>
      </c>
      <c r="BU3" s="180" t="s">
        <v>91</v>
      </c>
      <c r="BV3" s="180" t="s">
        <v>92</v>
      </c>
      <c r="BW3" s="180" t="s">
        <v>93</v>
      </c>
      <c r="BX3" s="180" t="s">
        <v>94</v>
      </c>
      <c r="BY3" s="180" t="s">
        <v>56</v>
      </c>
      <c r="BZ3" s="180" t="s">
        <v>73</v>
      </c>
      <c r="CA3" s="180" t="s">
        <v>22</v>
      </c>
      <c r="CB3" s="180" t="s">
        <v>56</v>
      </c>
      <c r="CC3" s="180" t="s">
        <v>73</v>
      </c>
      <c r="CD3" s="180" t="s">
        <v>1275</v>
      </c>
      <c r="CE3" s="180" t="s">
        <v>83</v>
      </c>
      <c r="CF3" s="180" t="s">
        <v>88</v>
      </c>
      <c r="CG3" s="180" t="s">
        <v>896</v>
      </c>
      <c r="CH3" s="180" t="s">
        <v>96</v>
      </c>
      <c r="CI3" s="180" t="s">
        <v>97</v>
      </c>
      <c r="CJ3" s="180" t="s">
        <v>98</v>
      </c>
      <c r="CK3" s="180" t="s">
        <v>1276</v>
      </c>
      <c r="CL3" s="180" t="s">
        <v>73</v>
      </c>
      <c r="CM3" s="180" t="s">
        <v>56</v>
      </c>
      <c r="CN3" s="180" t="s">
        <v>99</v>
      </c>
      <c r="CO3" s="180" t="s">
        <v>56</v>
      </c>
      <c r="CP3" s="147"/>
      <c r="CQ3" s="180" t="s">
        <v>100</v>
      </c>
      <c r="CR3" s="180" t="s">
        <v>101</v>
      </c>
      <c r="CS3" s="180" t="s">
        <v>102</v>
      </c>
    </row>
    <row r="4" spans="1:97">
      <c r="A4" s="46" t="s">
        <v>3835</v>
      </c>
      <c r="B4" s="46" t="s">
        <v>7295</v>
      </c>
      <c r="C4" s="46">
        <v>60</v>
      </c>
      <c r="D4" s="46" t="s">
        <v>7296</v>
      </c>
      <c r="E4" s="46"/>
      <c r="F4" s="46" t="s">
        <v>112</v>
      </c>
      <c r="H4" s="46">
        <v>1</v>
      </c>
      <c r="M4" s="46"/>
      <c r="O4" s="46">
        <v>1</v>
      </c>
      <c r="Q4" s="46"/>
      <c r="S4" s="46">
        <v>1</v>
      </c>
      <c r="U4" s="46"/>
      <c r="W4" s="46">
        <v>16</v>
      </c>
      <c r="X4" s="46">
        <v>20</v>
      </c>
      <c r="Y4" s="46">
        <v>20</v>
      </c>
      <c r="Z4" s="46">
        <v>8</v>
      </c>
      <c r="AA4" s="46">
        <v>8</v>
      </c>
      <c r="AB4" s="46">
        <v>1</v>
      </c>
      <c r="AE4" s="46">
        <v>1</v>
      </c>
      <c r="AF4" s="46"/>
      <c r="AH4" s="46">
        <v>1</v>
      </c>
      <c r="AI4" s="46">
        <v>1</v>
      </c>
      <c r="AJ4" s="46"/>
      <c r="AK4" s="46">
        <v>1</v>
      </c>
      <c r="AT4" s="46">
        <v>1</v>
      </c>
      <c r="AW4" s="46">
        <v>1</v>
      </c>
      <c r="BA4" s="46">
        <v>1</v>
      </c>
      <c r="BJ4" s="46">
        <v>1</v>
      </c>
      <c r="BV4" s="46">
        <v>1</v>
      </c>
      <c r="BZ4" s="46"/>
      <c r="CA4" s="46"/>
      <c r="CB4" s="46">
        <v>1</v>
      </c>
    </row>
    <row r="5" spans="1:97">
      <c r="A5" s="46" t="s">
        <v>3837</v>
      </c>
      <c r="B5" s="46" t="s">
        <v>7297</v>
      </c>
      <c r="C5" s="46">
        <v>55</v>
      </c>
      <c r="D5" s="46" t="s">
        <v>7296</v>
      </c>
      <c r="E5" s="46" t="s">
        <v>7298</v>
      </c>
      <c r="F5" s="46" t="s">
        <v>173</v>
      </c>
      <c r="H5" s="46">
        <v>1</v>
      </c>
      <c r="M5" s="46">
        <v>1</v>
      </c>
      <c r="Q5" s="46">
        <v>1</v>
      </c>
      <c r="U5" s="46">
        <v>1</v>
      </c>
      <c r="W5" s="46">
        <v>17</v>
      </c>
      <c r="X5" s="46">
        <v>17</v>
      </c>
      <c r="Y5" s="46">
        <v>20</v>
      </c>
      <c r="Z5" s="46">
        <v>5</v>
      </c>
      <c r="AA5" s="46">
        <v>5</v>
      </c>
      <c r="AB5" s="46">
        <v>5</v>
      </c>
      <c r="AF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J5" s="46">
        <v>1</v>
      </c>
      <c r="BV5" s="46">
        <v>1</v>
      </c>
      <c r="BZ5" s="46">
        <v>1</v>
      </c>
      <c r="CA5" s="46">
        <v>2021</v>
      </c>
      <c r="CB5" s="46">
        <v>1</v>
      </c>
    </row>
    <row r="6" spans="1:97">
      <c r="A6" s="46" t="s">
        <v>7299</v>
      </c>
      <c r="B6" s="46" t="s">
        <v>7300</v>
      </c>
      <c r="C6" s="46">
        <v>29</v>
      </c>
      <c r="D6" s="46" t="s">
        <v>7301</v>
      </c>
      <c r="E6" s="46" t="s">
        <v>7302</v>
      </c>
      <c r="F6" s="46" t="s">
        <v>173</v>
      </c>
      <c r="G6" s="46">
        <v>1</v>
      </c>
      <c r="M6" s="46">
        <v>1</v>
      </c>
      <c r="R6" s="46">
        <v>1</v>
      </c>
      <c r="U6" s="46">
        <v>1</v>
      </c>
      <c r="W6" s="46">
        <v>14</v>
      </c>
      <c r="X6" s="46">
        <v>20</v>
      </c>
      <c r="Y6" s="46">
        <v>21</v>
      </c>
      <c r="Z6" s="46">
        <v>3</v>
      </c>
      <c r="AA6" s="46">
        <v>3</v>
      </c>
      <c r="AB6" s="46">
        <v>3</v>
      </c>
      <c r="AH6" s="46">
        <v>1</v>
      </c>
      <c r="AJ6" s="46">
        <v>1</v>
      </c>
      <c r="AK6" s="46">
        <v>1</v>
      </c>
      <c r="AT6" s="46">
        <v>1</v>
      </c>
      <c r="AY6" s="46">
        <v>1</v>
      </c>
      <c r="BA6" s="46">
        <v>1</v>
      </c>
      <c r="BI6" s="46">
        <v>1</v>
      </c>
      <c r="BV6" s="46">
        <v>1</v>
      </c>
      <c r="CB6" s="46">
        <v>1</v>
      </c>
    </row>
    <row r="7" spans="1:97">
      <c r="A7" s="46" t="s">
        <v>7303</v>
      </c>
      <c r="B7" s="46" t="s">
        <v>7304</v>
      </c>
      <c r="C7" s="46">
        <v>43</v>
      </c>
      <c r="D7" s="46" t="s">
        <v>7301</v>
      </c>
      <c r="E7" s="46" t="s">
        <v>7305</v>
      </c>
      <c r="F7" s="46" t="s">
        <v>173</v>
      </c>
      <c r="J7" s="46">
        <v>1</v>
      </c>
      <c r="M7" s="46">
        <v>1</v>
      </c>
      <c r="R7" s="46">
        <v>1</v>
      </c>
      <c r="T7" s="46">
        <v>1</v>
      </c>
      <c r="W7" s="46">
        <v>13</v>
      </c>
      <c r="X7" s="46">
        <v>16</v>
      </c>
      <c r="Y7" s="46">
        <v>17</v>
      </c>
      <c r="Z7" s="46">
        <v>5</v>
      </c>
      <c r="AA7" s="46">
        <v>4</v>
      </c>
      <c r="AB7" s="46">
        <v>4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B7" s="46">
        <v>1</v>
      </c>
      <c r="BF7" s="46">
        <v>1</v>
      </c>
      <c r="BI7" s="46">
        <v>1</v>
      </c>
      <c r="CB7" s="46">
        <v>1</v>
      </c>
    </row>
    <row r="8" spans="1:97">
      <c r="A8" s="46" t="s">
        <v>7306</v>
      </c>
      <c r="B8" s="46" t="s">
        <v>7307</v>
      </c>
      <c r="C8" s="46">
        <v>31</v>
      </c>
      <c r="D8" s="46" t="s">
        <v>7296</v>
      </c>
      <c r="E8" s="46" t="s">
        <v>7308</v>
      </c>
      <c r="F8" s="46" t="s">
        <v>145</v>
      </c>
      <c r="H8" s="46">
        <v>1</v>
      </c>
      <c r="O8" s="46">
        <v>1</v>
      </c>
      <c r="V8" s="46">
        <v>1</v>
      </c>
      <c r="W8" s="46">
        <v>19</v>
      </c>
      <c r="X8" s="46">
        <v>17</v>
      </c>
      <c r="Y8" s="46">
        <v>21</v>
      </c>
      <c r="Z8" s="46">
        <v>5</v>
      </c>
      <c r="AA8" s="46">
        <v>3</v>
      </c>
      <c r="AB8" s="46">
        <v>3</v>
      </c>
      <c r="AE8" s="46">
        <v>1</v>
      </c>
      <c r="AH8" s="46">
        <v>1</v>
      </c>
      <c r="AJ8" s="46">
        <v>1</v>
      </c>
      <c r="AK8" s="46">
        <v>1</v>
      </c>
      <c r="AT8" s="46">
        <v>1</v>
      </c>
      <c r="AY8" s="46">
        <v>1</v>
      </c>
      <c r="BB8" s="46">
        <v>1</v>
      </c>
      <c r="BF8" s="46">
        <v>1</v>
      </c>
      <c r="BI8" s="46">
        <v>1</v>
      </c>
      <c r="BV8" s="46">
        <v>1</v>
      </c>
      <c r="CB8" s="46">
        <v>1</v>
      </c>
    </row>
    <row r="9" spans="1:97">
      <c r="A9" s="46" t="s">
        <v>7309</v>
      </c>
      <c r="B9" s="46" t="s">
        <v>7310</v>
      </c>
      <c r="C9" s="46">
        <v>40</v>
      </c>
      <c r="D9" s="46" t="s">
        <v>7311</v>
      </c>
      <c r="E9" s="46" t="s">
        <v>7312</v>
      </c>
      <c r="F9" s="46" t="s">
        <v>594</v>
      </c>
      <c r="H9" s="46">
        <v>1</v>
      </c>
      <c r="M9" s="46">
        <v>1</v>
      </c>
      <c r="Q9" s="46">
        <v>1</v>
      </c>
      <c r="U9" s="46">
        <v>1</v>
      </c>
      <c r="W9" s="46">
        <v>16</v>
      </c>
      <c r="X9" s="46">
        <v>20</v>
      </c>
      <c r="Y9" s="46">
        <v>22</v>
      </c>
      <c r="Z9" s="46">
        <v>6</v>
      </c>
      <c r="AA9" s="46">
        <v>6</v>
      </c>
      <c r="AB9" s="46">
        <v>6</v>
      </c>
      <c r="AE9" s="46">
        <v>1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I9" s="46">
        <v>1</v>
      </c>
      <c r="CB9" s="46">
        <v>1</v>
      </c>
      <c r="CH9" s="46">
        <v>1</v>
      </c>
    </row>
    <row r="10" spans="1:97">
      <c r="A10" s="46" t="s">
        <v>7313</v>
      </c>
      <c r="B10" s="46" t="s">
        <v>7314</v>
      </c>
      <c r="C10" s="46">
        <v>28</v>
      </c>
      <c r="D10" s="46" t="s">
        <v>7315</v>
      </c>
      <c r="E10" s="46" t="s">
        <v>7316</v>
      </c>
      <c r="F10" s="46" t="s">
        <v>112</v>
      </c>
      <c r="H10" s="46">
        <v>1</v>
      </c>
      <c r="M10" s="46">
        <v>1</v>
      </c>
      <c r="Q10" s="46">
        <v>1</v>
      </c>
      <c r="U10" s="46">
        <v>1</v>
      </c>
      <c r="W10" s="46">
        <v>15</v>
      </c>
      <c r="X10" s="46">
        <v>20</v>
      </c>
      <c r="Y10" s="46">
        <v>26</v>
      </c>
      <c r="Z10" s="46">
        <v>1</v>
      </c>
      <c r="AA10" s="46">
        <v>1</v>
      </c>
      <c r="AB10" s="46">
        <v>1</v>
      </c>
      <c r="AE10" s="46">
        <v>1</v>
      </c>
      <c r="AG10" s="46">
        <v>1</v>
      </c>
      <c r="AH10" s="46">
        <v>1</v>
      </c>
      <c r="AJ10" s="46">
        <v>1</v>
      </c>
      <c r="AK10" s="46">
        <v>1</v>
      </c>
      <c r="AT10" s="46">
        <v>1</v>
      </c>
      <c r="AZ10" s="46">
        <v>1</v>
      </c>
      <c r="BA10" s="46">
        <v>1</v>
      </c>
      <c r="BI10" s="46">
        <v>1</v>
      </c>
      <c r="BV10" s="46">
        <v>1</v>
      </c>
      <c r="CB10" s="46">
        <v>1</v>
      </c>
    </row>
    <row r="11" spans="1:97">
      <c r="A11" s="46" t="s">
        <v>7317</v>
      </c>
      <c r="B11" s="46" t="s">
        <v>7318</v>
      </c>
      <c r="C11" s="46">
        <v>52</v>
      </c>
      <c r="D11" s="46" t="s">
        <v>7301</v>
      </c>
      <c r="E11" s="46" t="s">
        <v>7319</v>
      </c>
      <c r="F11" s="46" t="s">
        <v>477</v>
      </c>
      <c r="H11" s="46">
        <v>1</v>
      </c>
      <c r="M11" s="46">
        <v>1</v>
      </c>
      <c r="R11" s="46">
        <v>1</v>
      </c>
      <c r="S11" s="46">
        <v>1</v>
      </c>
      <c r="W11" s="46">
        <v>16</v>
      </c>
      <c r="X11" s="46">
        <v>18</v>
      </c>
      <c r="Y11" s="46">
        <v>18</v>
      </c>
      <c r="Z11" s="46">
        <v>8</v>
      </c>
      <c r="AA11" s="46">
        <v>6</v>
      </c>
      <c r="AB11" s="46">
        <v>7</v>
      </c>
      <c r="AE11" s="46">
        <v>1</v>
      </c>
      <c r="AG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J11" s="46">
        <v>1</v>
      </c>
      <c r="BV11" s="46">
        <v>1</v>
      </c>
      <c r="CB11" s="46">
        <v>1</v>
      </c>
    </row>
    <row r="12" spans="1:97">
      <c r="A12" s="46" t="s">
        <v>7320</v>
      </c>
      <c r="B12" s="46" t="s">
        <v>7321</v>
      </c>
      <c r="C12" s="46">
        <v>44</v>
      </c>
      <c r="D12" s="46" t="s">
        <v>7296</v>
      </c>
      <c r="E12" s="46" t="s">
        <v>7322</v>
      </c>
      <c r="F12" s="46" t="s">
        <v>594</v>
      </c>
      <c r="I12" s="46">
        <v>1</v>
      </c>
      <c r="O12" s="46">
        <v>1</v>
      </c>
      <c r="T12" s="46">
        <v>1</v>
      </c>
      <c r="W12" s="46">
        <v>15</v>
      </c>
      <c r="X12" s="46">
        <v>15</v>
      </c>
      <c r="Y12" s="46">
        <v>16</v>
      </c>
      <c r="Z12" s="46">
        <v>3</v>
      </c>
      <c r="AA12" s="46">
        <v>3</v>
      </c>
      <c r="AB12" s="46">
        <v>3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I12" s="46">
        <v>1</v>
      </c>
      <c r="BV12" s="46">
        <v>1</v>
      </c>
      <c r="CB12" s="46">
        <v>1</v>
      </c>
    </row>
    <row r="13" spans="1:97">
      <c r="A13" s="46" t="s">
        <v>7323</v>
      </c>
      <c r="B13" s="46" t="s">
        <v>7324</v>
      </c>
      <c r="C13" s="46">
        <v>48</v>
      </c>
      <c r="D13" s="46" t="s">
        <v>7325</v>
      </c>
      <c r="F13" s="46" t="s">
        <v>145</v>
      </c>
      <c r="H13" s="46">
        <v>1</v>
      </c>
      <c r="M13" s="46">
        <v>1</v>
      </c>
      <c r="Q13" s="46">
        <v>1</v>
      </c>
      <c r="S13" s="46">
        <v>1</v>
      </c>
      <c r="W13" s="46">
        <v>15</v>
      </c>
      <c r="X13" s="46">
        <v>16</v>
      </c>
      <c r="Y13" s="46">
        <v>16</v>
      </c>
      <c r="Z13" s="46">
        <v>12</v>
      </c>
      <c r="AA13" s="46">
        <v>8</v>
      </c>
      <c r="AB13" s="46">
        <v>6</v>
      </c>
      <c r="AD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J13" s="46">
        <v>1</v>
      </c>
      <c r="BV13" s="46">
        <v>1</v>
      </c>
      <c r="CB13" s="46">
        <v>1</v>
      </c>
    </row>
    <row r="14" spans="1:97">
      <c r="A14" s="46" t="s">
        <v>7326</v>
      </c>
      <c r="B14" s="46" t="s">
        <v>7327</v>
      </c>
      <c r="C14" s="46">
        <v>25</v>
      </c>
      <c r="D14" s="46" t="s">
        <v>7328</v>
      </c>
      <c r="E14" s="46" t="s">
        <v>7329</v>
      </c>
      <c r="F14" s="46" t="s">
        <v>1109</v>
      </c>
      <c r="I14" s="46">
        <v>1</v>
      </c>
      <c r="M14" s="46">
        <v>1</v>
      </c>
      <c r="Q14" s="46">
        <v>1</v>
      </c>
      <c r="U14" s="46">
        <v>1</v>
      </c>
      <c r="W14" s="46">
        <v>19</v>
      </c>
      <c r="X14" s="46">
        <v>20</v>
      </c>
      <c r="Y14" s="46">
        <v>20</v>
      </c>
      <c r="Z14" s="46">
        <v>4</v>
      </c>
      <c r="AA14" s="46">
        <v>4</v>
      </c>
      <c r="AB14" s="46">
        <v>4</v>
      </c>
      <c r="AE14" s="46">
        <v>1</v>
      </c>
      <c r="AH14" s="46">
        <v>1</v>
      </c>
      <c r="AM14" s="46">
        <v>1</v>
      </c>
      <c r="AT14" s="46">
        <v>1</v>
      </c>
      <c r="AW14" s="46">
        <v>1</v>
      </c>
      <c r="BA14" s="46">
        <v>1</v>
      </c>
      <c r="BI14" s="46">
        <v>1</v>
      </c>
      <c r="BV14" s="46">
        <v>1</v>
      </c>
      <c r="CB14" s="46">
        <v>1</v>
      </c>
    </row>
    <row r="15" spans="1:97">
      <c r="A15" s="46" t="s">
        <v>7330</v>
      </c>
      <c r="B15" s="46" t="s">
        <v>7331</v>
      </c>
      <c r="C15" s="46">
        <v>27</v>
      </c>
      <c r="D15" s="46" t="s">
        <v>7301</v>
      </c>
      <c r="E15" s="46" t="s">
        <v>7332</v>
      </c>
      <c r="F15" s="46" t="s">
        <v>4766</v>
      </c>
      <c r="K15" s="46">
        <v>1</v>
      </c>
      <c r="N15" s="46">
        <v>1</v>
      </c>
      <c r="Q15" s="46">
        <v>1</v>
      </c>
      <c r="U15" s="46">
        <v>1</v>
      </c>
      <c r="W15" s="46">
        <v>11</v>
      </c>
      <c r="X15" s="46">
        <v>13</v>
      </c>
      <c r="Y15" s="46">
        <v>14</v>
      </c>
      <c r="Z15" s="46">
        <v>3</v>
      </c>
      <c r="AA15" s="46">
        <v>3</v>
      </c>
      <c r="AB15" s="46">
        <v>2</v>
      </c>
      <c r="AC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I15" s="46">
        <v>1</v>
      </c>
      <c r="BV15" s="46">
        <v>1</v>
      </c>
      <c r="CB15" s="46">
        <v>1</v>
      </c>
    </row>
    <row r="16" spans="1:97">
      <c r="A16" s="46" t="s">
        <v>7333</v>
      </c>
      <c r="B16" s="46" t="s">
        <v>7334</v>
      </c>
      <c r="C16" s="46">
        <v>41</v>
      </c>
      <c r="D16" s="46" t="s">
        <v>7335</v>
      </c>
      <c r="E16" s="46" t="s">
        <v>7336</v>
      </c>
      <c r="F16" s="46" t="s">
        <v>444</v>
      </c>
      <c r="J16" s="46">
        <v>1</v>
      </c>
      <c r="M16" s="46">
        <v>1</v>
      </c>
      <c r="R16" s="46">
        <v>1</v>
      </c>
      <c r="T16" s="46">
        <v>1</v>
      </c>
      <c r="W16" s="46">
        <v>18</v>
      </c>
      <c r="X16" s="46">
        <v>18</v>
      </c>
      <c r="Y16" s="46">
        <v>18</v>
      </c>
      <c r="Z16" s="46">
        <v>6</v>
      </c>
      <c r="AA16" s="46">
        <v>6</v>
      </c>
      <c r="AB16" s="46">
        <v>6</v>
      </c>
      <c r="AE16" s="46">
        <v>1</v>
      </c>
      <c r="AG16" s="46">
        <v>1</v>
      </c>
      <c r="AH16" s="46">
        <v>1</v>
      </c>
      <c r="AJ16" s="46">
        <v>1</v>
      </c>
      <c r="AL16" s="46">
        <v>1</v>
      </c>
      <c r="AO16" s="46">
        <v>1</v>
      </c>
      <c r="AT16" s="46">
        <v>1</v>
      </c>
      <c r="AW16" s="46">
        <v>1</v>
      </c>
      <c r="BA16" s="46">
        <v>1</v>
      </c>
      <c r="BI16" s="46">
        <v>1</v>
      </c>
      <c r="BV16" s="46">
        <v>1</v>
      </c>
      <c r="CB16" s="46">
        <v>1</v>
      </c>
    </row>
    <row r="17" spans="1:86">
      <c r="A17" s="46" t="s">
        <v>7337</v>
      </c>
      <c r="B17" s="46" t="s">
        <v>7338</v>
      </c>
      <c r="C17" s="46">
        <v>38</v>
      </c>
      <c r="D17" s="46" t="s">
        <v>7315</v>
      </c>
      <c r="E17" s="46" t="s">
        <v>7339</v>
      </c>
      <c r="F17" s="46" t="s">
        <v>7340</v>
      </c>
      <c r="H17" s="46">
        <v>1</v>
      </c>
      <c r="L17" s="46"/>
      <c r="O17" s="46">
        <v>1</v>
      </c>
      <c r="S17" s="46">
        <v>1</v>
      </c>
      <c r="W17" s="46">
        <v>14</v>
      </c>
      <c r="X17" s="46">
        <v>16</v>
      </c>
      <c r="Y17" s="46">
        <v>16</v>
      </c>
      <c r="Z17" s="46">
        <v>6</v>
      </c>
      <c r="AA17" s="46">
        <v>5</v>
      </c>
      <c r="AB17" s="46">
        <v>5</v>
      </c>
      <c r="AE17" s="46">
        <v>1</v>
      </c>
      <c r="AG17" s="46">
        <v>1</v>
      </c>
      <c r="AH17" s="46">
        <v>1</v>
      </c>
      <c r="AI17" s="46">
        <v>1</v>
      </c>
      <c r="AK17" s="46">
        <v>1</v>
      </c>
      <c r="AT17" s="46">
        <v>1</v>
      </c>
      <c r="AW17" s="46">
        <v>1</v>
      </c>
      <c r="BA17" s="46">
        <v>1</v>
      </c>
      <c r="BJ17" s="46">
        <v>1</v>
      </c>
      <c r="BV17" s="46">
        <v>1</v>
      </c>
      <c r="CB17" s="46">
        <v>1</v>
      </c>
    </row>
    <row r="18" spans="1:86">
      <c r="A18" s="46" t="s">
        <v>7341</v>
      </c>
      <c r="B18" s="46" t="s">
        <v>7342</v>
      </c>
      <c r="C18" s="46">
        <v>38</v>
      </c>
      <c r="D18" s="46" t="s">
        <v>7296</v>
      </c>
      <c r="F18" s="46" t="s">
        <v>415</v>
      </c>
      <c r="I18" s="46">
        <v>1</v>
      </c>
      <c r="M18" s="46">
        <v>1</v>
      </c>
      <c r="R18" s="46">
        <v>1</v>
      </c>
      <c r="S18" s="46">
        <v>1</v>
      </c>
      <c r="W18" s="46">
        <v>14</v>
      </c>
      <c r="X18" s="46">
        <v>16</v>
      </c>
      <c r="Y18" s="46">
        <v>19</v>
      </c>
      <c r="Z18" s="46">
        <v>6</v>
      </c>
      <c r="AA18" s="46">
        <v>6</v>
      </c>
      <c r="AB18" s="46">
        <v>5</v>
      </c>
      <c r="AD18" s="46">
        <v>1</v>
      </c>
      <c r="AG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I18" s="46">
        <v>1</v>
      </c>
      <c r="BV18" s="46">
        <v>1</v>
      </c>
      <c r="CB18" s="46">
        <v>1</v>
      </c>
    </row>
    <row r="19" spans="1:86">
      <c r="A19" s="46" t="s">
        <v>7343</v>
      </c>
      <c r="B19" s="46" t="s">
        <v>7344</v>
      </c>
      <c r="C19" s="46">
        <v>30</v>
      </c>
      <c r="D19" s="46" t="s">
        <v>7345</v>
      </c>
      <c r="E19" s="46" t="s">
        <v>7346</v>
      </c>
      <c r="F19" s="46" t="s">
        <v>112</v>
      </c>
      <c r="H19" s="46">
        <v>1</v>
      </c>
      <c r="M19" s="46">
        <v>1</v>
      </c>
      <c r="Q19" s="46">
        <v>1</v>
      </c>
      <c r="U19" s="46">
        <v>1</v>
      </c>
      <c r="W19" s="46" t="s">
        <v>908</v>
      </c>
      <c r="X19" s="46">
        <v>15</v>
      </c>
      <c r="Y19" s="46">
        <v>18</v>
      </c>
      <c r="Z19" s="46">
        <v>4</v>
      </c>
      <c r="AA19" s="46">
        <v>4</v>
      </c>
      <c r="AB19" s="46">
        <v>4</v>
      </c>
      <c r="AD19" s="46">
        <v>1</v>
      </c>
      <c r="AE19" s="46">
        <v>1</v>
      </c>
      <c r="AF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I19" s="46">
        <v>1</v>
      </c>
      <c r="BV19" s="46">
        <v>1</v>
      </c>
      <c r="CB19" s="46">
        <v>1</v>
      </c>
    </row>
    <row r="20" spans="1:86">
      <c r="A20" s="46" t="s">
        <v>7347</v>
      </c>
      <c r="B20" s="46" t="s">
        <v>7348</v>
      </c>
      <c r="C20" s="46">
        <v>39</v>
      </c>
      <c r="D20" s="46" t="s">
        <v>7349</v>
      </c>
      <c r="F20" s="46" t="s">
        <v>7350</v>
      </c>
      <c r="H20" s="46">
        <v>1</v>
      </c>
      <c r="M20" s="46">
        <v>1</v>
      </c>
      <c r="Q20" s="46">
        <v>1</v>
      </c>
      <c r="T20" s="46">
        <v>1</v>
      </c>
      <c r="W20" s="46">
        <v>14</v>
      </c>
      <c r="X20" s="46">
        <v>16</v>
      </c>
      <c r="Y20" s="46">
        <v>16</v>
      </c>
      <c r="Z20" s="46">
        <v>9</v>
      </c>
      <c r="AA20" s="46">
        <v>8</v>
      </c>
      <c r="AB20" s="46">
        <v>8</v>
      </c>
      <c r="AE20" s="46">
        <v>1</v>
      </c>
      <c r="AF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I20" s="46">
        <v>1</v>
      </c>
      <c r="BV20" s="46">
        <v>1</v>
      </c>
      <c r="CB20" s="46">
        <v>1</v>
      </c>
    </row>
    <row r="21" spans="1:86">
      <c r="A21" s="46" t="s">
        <v>7351</v>
      </c>
      <c r="B21" s="46" t="s">
        <v>7352</v>
      </c>
      <c r="C21" s="46">
        <v>50</v>
      </c>
      <c r="D21" s="46" t="s">
        <v>6695</v>
      </c>
      <c r="E21" s="46" t="s">
        <v>7353</v>
      </c>
      <c r="F21" s="46" t="s">
        <v>112</v>
      </c>
      <c r="G21" s="46">
        <v>1</v>
      </c>
      <c r="O21" s="46">
        <v>1</v>
      </c>
      <c r="S21" s="46">
        <v>1</v>
      </c>
      <c r="W21" s="46" t="s">
        <v>908</v>
      </c>
      <c r="X21" s="46" t="s">
        <v>908</v>
      </c>
      <c r="Y21" s="46" t="s">
        <v>908</v>
      </c>
      <c r="Z21" s="46">
        <v>6</v>
      </c>
      <c r="AA21" s="46">
        <v>6</v>
      </c>
      <c r="AB21" s="46">
        <v>6</v>
      </c>
      <c r="AE21" s="46">
        <v>1</v>
      </c>
      <c r="AG21" s="46">
        <v>1</v>
      </c>
      <c r="AH21" s="46">
        <v>1</v>
      </c>
      <c r="AI21" s="46">
        <v>1</v>
      </c>
      <c r="AK21" s="46">
        <v>1</v>
      </c>
      <c r="AT21" s="46">
        <v>1</v>
      </c>
      <c r="AX21" s="46">
        <v>1</v>
      </c>
      <c r="BA21" s="46">
        <v>1</v>
      </c>
      <c r="BJ21" s="46">
        <v>1</v>
      </c>
      <c r="BV21" s="46">
        <v>1</v>
      </c>
      <c r="CB21" s="46">
        <v>1</v>
      </c>
    </row>
    <row r="22" spans="1:86">
      <c r="A22" s="46" t="s">
        <v>7354</v>
      </c>
      <c r="B22" s="46" t="s">
        <v>7355</v>
      </c>
      <c r="C22" s="46">
        <v>40</v>
      </c>
      <c r="D22" s="46" t="s">
        <v>7296</v>
      </c>
      <c r="E22" s="46" t="s">
        <v>7356</v>
      </c>
      <c r="F22" s="46" t="s">
        <v>594</v>
      </c>
      <c r="H22" s="46">
        <v>1</v>
      </c>
      <c r="M22" s="46">
        <v>1</v>
      </c>
      <c r="Q22" s="46">
        <v>1</v>
      </c>
      <c r="T22" s="46">
        <v>1</v>
      </c>
      <c r="W22" s="46">
        <v>17</v>
      </c>
      <c r="X22" s="46">
        <v>20</v>
      </c>
      <c r="Y22" s="46">
        <v>20</v>
      </c>
      <c r="Z22" s="46">
        <v>8</v>
      </c>
      <c r="AA22" s="46">
        <v>5</v>
      </c>
      <c r="AB22" s="46">
        <v>5</v>
      </c>
      <c r="AD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I22" s="46">
        <v>1</v>
      </c>
      <c r="BV22" s="46">
        <v>1</v>
      </c>
      <c r="CB22" s="46">
        <v>1</v>
      </c>
    </row>
    <row r="23" spans="1:86">
      <c r="A23" s="46" t="s">
        <v>7357</v>
      </c>
      <c r="B23" s="46" t="s">
        <v>7358</v>
      </c>
      <c r="C23" s="46">
        <v>38</v>
      </c>
      <c r="D23" s="46" t="s">
        <v>7345</v>
      </c>
      <c r="E23" s="46" t="s">
        <v>7359</v>
      </c>
      <c r="F23" s="46" t="s">
        <v>112</v>
      </c>
      <c r="H23" s="46">
        <v>1</v>
      </c>
      <c r="M23" s="46">
        <v>1</v>
      </c>
      <c r="R23" s="46">
        <v>1</v>
      </c>
      <c r="T23" s="46">
        <v>1</v>
      </c>
      <c r="W23" s="46">
        <v>12</v>
      </c>
      <c r="X23" s="46">
        <v>14</v>
      </c>
      <c r="Y23" s="46">
        <v>14</v>
      </c>
      <c r="Z23" s="46">
        <v>7</v>
      </c>
      <c r="AA23" s="46">
        <v>5</v>
      </c>
      <c r="AB23" s="46">
        <v>5</v>
      </c>
      <c r="AF23" s="46">
        <v>1</v>
      </c>
      <c r="AH23" s="46">
        <v>1</v>
      </c>
      <c r="AJ23" s="46">
        <v>1</v>
      </c>
      <c r="AK23" s="46">
        <v>1</v>
      </c>
      <c r="AT23" s="46">
        <v>1</v>
      </c>
      <c r="AX23" s="46">
        <v>1</v>
      </c>
      <c r="BA23" s="46">
        <v>1</v>
      </c>
      <c r="BI23" s="46">
        <v>1</v>
      </c>
      <c r="BV23" s="46">
        <v>1</v>
      </c>
      <c r="CB23" s="46">
        <v>1</v>
      </c>
    </row>
    <row r="24" spans="1:86">
      <c r="A24" s="46" t="s">
        <v>7360</v>
      </c>
      <c r="B24" s="46" t="s">
        <v>7361</v>
      </c>
      <c r="C24" s="46">
        <v>45</v>
      </c>
      <c r="D24" s="46" t="s">
        <v>7328</v>
      </c>
      <c r="E24" s="46" t="s">
        <v>7362</v>
      </c>
      <c r="F24" s="46" t="s">
        <v>112</v>
      </c>
      <c r="G24" s="46">
        <v>1</v>
      </c>
      <c r="O24" s="46">
        <v>1</v>
      </c>
      <c r="T24" s="46">
        <v>1</v>
      </c>
      <c r="W24" s="46">
        <v>14</v>
      </c>
      <c r="X24" s="46">
        <v>15</v>
      </c>
      <c r="Y24" s="46">
        <v>15</v>
      </c>
      <c r="Z24" s="46">
        <v>10</v>
      </c>
      <c r="AA24" s="46">
        <v>8</v>
      </c>
      <c r="AB24" s="46">
        <v>8</v>
      </c>
      <c r="AD24" s="46">
        <v>1</v>
      </c>
      <c r="AG24" s="46">
        <v>1</v>
      </c>
      <c r="AH24" s="46">
        <v>1</v>
      </c>
      <c r="AJ24" s="46">
        <v>1</v>
      </c>
      <c r="AK24" s="46">
        <v>1</v>
      </c>
      <c r="AT24" s="46">
        <v>1</v>
      </c>
      <c r="AX24" s="46">
        <v>1</v>
      </c>
      <c r="BA24" s="46">
        <v>1</v>
      </c>
      <c r="BI24" s="46">
        <v>1</v>
      </c>
      <c r="BV24" s="46">
        <v>1</v>
      </c>
      <c r="CB24" s="46">
        <v>1</v>
      </c>
    </row>
    <row r="25" spans="1:86">
      <c r="A25" s="46" t="s">
        <v>7363</v>
      </c>
      <c r="B25" s="46" t="s">
        <v>7364</v>
      </c>
      <c r="C25" s="46">
        <v>34</v>
      </c>
      <c r="D25" s="46" t="s">
        <v>7296</v>
      </c>
      <c r="E25" s="46" t="s">
        <v>7365</v>
      </c>
      <c r="F25" s="46" t="s">
        <v>7366</v>
      </c>
      <c r="K25" s="46">
        <v>1</v>
      </c>
      <c r="M25" s="46">
        <v>1</v>
      </c>
      <c r="R25" s="46">
        <v>1</v>
      </c>
      <c r="U25" s="46">
        <v>1</v>
      </c>
      <c r="W25" s="46">
        <v>14</v>
      </c>
      <c r="X25" s="46">
        <v>19</v>
      </c>
      <c r="Y25" s="46">
        <v>20</v>
      </c>
      <c r="Z25" s="46">
        <v>5</v>
      </c>
      <c r="AA25" s="46">
        <v>1</v>
      </c>
      <c r="AB25" s="46">
        <v>1</v>
      </c>
      <c r="AD25" s="46">
        <v>1</v>
      </c>
      <c r="AE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I25" s="46">
        <v>1</v>
      </c>
      <c r="BV25" s="46">
        <v>1</v>
      </c>
      <c r="CB25" s="46">
        <v>1</v>
      </c>
    </row>
    <row r="26" spans="1:86">
      <c r="A26" s="46" t="s">
        <v>7367</v>
      </c>
      <c r="B26" s="46" t="s">
        <v>2575</v>
      </c>
      <c r="C26" s="46">
        <v>42</v>
      </c>
      <c r="D26" s="46" t="s">
        <v>7368</v>
      </c>
      <c r="E26" s="46" t="s">
        <v>7369</v>
      </c>
      <c r="F26" s="46" t="s">
        <v>112</v>
      </c>
      <c r="H26" s="46">
        <v>1</v>
      </c>
      <c r="M26" s="46">
        <v>1</v>
      </c>
      <c r="R26" s="46">
        <v>1</v>
      </c>
      <c r="S26" s="46">
        <v>1</v>
      </c>
      <c r="W26" s="46">
        <v>15</v>
      </c>
      <c r="X26" s="46">
        <v>18</v>
      </c>
      <c r="Y26" s="46">
        <v>30</v>
      </c>
      <c r="Z26" s="46">
        <v>2</v>
      </c>
      <c r="AA26" s="46">
        <v>2</v>
      </c>
      <c r="AB26" s="46">
        <v>2</v>
      </c>
      <c r="AD26" s="46">
        <v>1</v>
      </c>
      <c r="AE26" s="46">
        <v>1</v>
      </c>
      <c r="AG26" s="46">
        <v>1</v>
      </c>
      <c r="AH26" s="46">
        <v>1</v>
      </c>
      <c r="AI26" s="46">
        <v>1</v>
      </c>
      <c r="AK26" s="46">
        <v>1</v>
      </c>
      <c r="AT26" s="46">
        <v>1</v>
      </c>
      <c r="AW26" s="46">
        <v>1</v>
      </c>
      <c r="BA26" s="46">
        <v>1</v>
      </c>
      <c r="BI26" s="46">
        <v>1</v>
      </c>
      <c r="BV26" s="46">
        <v>1</v>
      </c>
      <c r="CB26" s="46">
        <v>1</v>
      </c>
    </row>
    <row r="27" spans="1:86">
      <c r="A27" s="46" t="s">
        <v>7370</v>
      </c>
      <c r="B27" s="46" t="s">
        <v>7371</v>
      </c>
      <c r="C27" s="46">
        <v>30</v>
      </c>
      <c r="D27" s="46" t="s">
        <v>7372</v>
      </c>
      <c r="F27" s="46" t="s">
        <v>594</v>
      </c>
      <c r="H27" s="46">
        <v>1</v>
      </c>
      <c r="M27" s="46">
        <v>1</v>
      </c>
      <c r="Q27" s="46">
        <v>1</v>
      </c>
      <c r="T27" s="46">
        <v>1</v>
      </c>
      <c r="W27" s="46">
        <v>14</v>
      </c>
      <c r="X27" s="46">
        <v>14</v>
      </c>
      <c r="Y27" s="46">
        <v>15</v>
      </c>
      <c r="Z27" s="46">
        <v>7</v>
      </c>
      <c r="AA27" s="46">
        <v>7</v>
      </c>
      <c r="AB27" s="46">
        <v>7</v>
      </c>
      <c r="AE27" s="46">
        <v>1</v>
      </c>
      <c r="AG27" s="46">
        <v>1</v>
      </c>
      <c r="AH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I27" s="46">
        <v>1</v>
      </c>
      <c r="BV27" s="46">
        <v>1</v>
      </c>
      <c r="CB27" s="46">
        <v>1</v>
      </c>
    </row>
    <row r="28" spans="1:86">
      <c r="A28" s="46" t="s">
        <v>7373</v>
      </c>
      <c r="B28" s="46" t="s">
        <v>7374</v>
      </c>
      <c r="C28" s="46">
        <v>40</v>
      </c>
      <c r="D28" s="46" t="s">
        <v>7296</v>
      </c>
      <c r="E28" s="46" t="s">
        <v>7375</v>
      </c>
      <c r="F28" s="46" t="s">
        <v>3698</v>
      </c>
      <c r="H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16</v>
      </c>
      <c r="Y28" s="46">
        <v>17</v>
      </c>
      <c r="Z28" s="46">
        <v>6</v>
      </c>
      <c r="AA28" s="46">
        <v>6</v>
      </c>
      <c r="AB28" s="46">
        <v>6</v>
      </c>
      <c r="AE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I28" s="46">
        <v>1</v>
      </c>
      <c r="BV28" s="46">
        <v>1</v>
      </c>
      <c r="CB28" s="46">
        <v>1</v>
      </c>
    </row>
    <row r="29" spans="1:86">
      <c r="A29" s="46" t="s">
        <v>7376</v>
      </c>
      <c r="B29" s="46" t="s">
        <v>7377</v>
      </c>
      <c r="C29" s="46">
        <v>50</v>
      </c>
      <c r="D29" s="46" t="s">
        <v>7296</v>
      </c>
      <c r="E29" s="46" t="s">
        <v>7378</v>
      </c>
      <c r="F29" s="46" t="s">
        <v>107</v>
      </c>
      <c r="G29" s="46">
        <v>1</v>
      </c>
      <c r="O29" s="46">
        <v>1</v>
      </c>
      <c r="T29" s="46">
        <v>1</v>
      </c>
      <c r="W29" s="46" t="s">
        <v>908</v>
      </c>
      <c r="X29" s="46" t="s">
        <v>908</v>
      </c>
      <c r="Y29" s="46" t="s">
        <v>908</v>
      </c>
      <c r="Z29" s="46" t="s">
        <v>908</v>
      </c>
      <c r="AA29" s="46" t="s">
        <v>908</v>
      </c>
      <c r="AB29" s="46" t="s">
        <v>908</v>
      </c>
      <c r="BV29" s="46">
        <v>1</v>
      </c>
      <c r="BY29" s="46">
        <v>1</v>
      </c>
      <c r="CB29" s="46">
        <v>1</v>
      </c>
      <c r="CH29" s="46">
        <v>1</v>
      </c>
    </row>
    <row r="30" spans="1:86">
      <c r="A30" s="46" t="s">
        <v>7379</v>
      </c>
      <c r="B30" s="46" t="s">
        <v>7380</v>
      </c>
      <c r="C30" s="46">
        <v>43</v>
      </c>
      <c r="D30" s="46" t="s">
        <v>7296</v>
      </c>
      <c r="E30" s="46" t="s">
        <v>7381</v>
      </c>
      <c r="F30" s="46" t="s">
        <v>112</v>
      </c>
      <c r="G30" s="46">
        <v>1</v>
      </c>
      <c r="M30" s="46">
        <v>1</v>
      </c>
      <c r="Q30" s="46">
        <v>1</v>
      </c>
      <c r="T30" s="46">
        <v>1</v>
      </c>
      <c r="W30" s="46">
        <v>17</v>
      </c>
      <c r="X30" s="46">
        <v>19</v>
      </c>
      <c r="Y30" s="46">
        <v>19</v>
      </c>
      <c r="Z30" s="46">
        <v>11</v>
      </c>
      <c r="AA30" s="46">
        <v>8</v>
      </c>
      <c r="AB30" s="46">
        <v>8</v>
      </c>
      <c r="AE30" s="46">
        <v>1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I30" s="46">
        <v>1</v>
      </c>
      <c r="BV30" s="46">
        <v>1</v>
      </c>
      <c r="BY30" s="46">
        <v>1</v>
      </c>
      <c r="CB30" s="46">
        <v>1</v>
      </c>
    </row>
    <row r="31" spans="1:86">
      <c r="A31" s="46" t="s">
        <v>7382</v>
      </c>
      <c r="B31" s="46" t="s">
        <v>7383</v>
      </c>
      <c r="C31" s="46">
        <v>40</v>
      </c>
      <c r="D31" s="46" t="s">
        <v>7384</v>
      </c>
      <c r="E31" s="46" t="s">
        <v>7385</v>
      </c>
      <c r="F31" s="46" t="s">
        <v>420</v>
      </c>
      <c r="H31" s="46">
        <v>1</v>
      </c>
      <c r="M31" s="46">
        <v>1</v>
      </c>
      <c r="R31" s="46">
        <v>1</v>
      </c>
      <c r="T31" s="46">
        <v>1</v>
      </c>
      <c r="W31" s="46">
        <v>16</v>
      </c>
      <c r="X31" s="46">
        <v>19</v>
      </c>
      <c r="Y31" s="46">
        <v>19</v>
      </c>
      <c r="Z31" s="46">
        <v>8</v>
      </c>
      <c r="AA31" s="46">
        <v>6</v>
      </c>
      <c r="AB31" s="46">
        <v>6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A31" s="46">
        <v>1</v>
      </c>
      <c r="BV31" s="46">
        <v>1</v>
      </c>
      <c r="BY31" s="46">
        <v>1</v>
      </c>
      <c r="CB31" s="46">
        <v>1</v>
      </c>
    </row>
    <row r="32" spans="1:86">
      <c r="A32" s="46" t="s">
        <v>7386</v>
      </c>
      <c r="B32" s="46" t="s">
        <v>7387</v>
      </c>
      <c r="C32" s="46">
        <v>38</v>
      </c>
      <c r="D32" s="46" t="s">
        <v>7296</v>
      </c>
      <c r="E32" s="46" t="s">
        <v>7388</v>
      </c>
      <c r="F32" s="46" t="s">
        <v>112</v>
      </c>
      <c r="H32" s="46">
        <v>1</v>
      </c>
      <c r="O32" s="46">
        <v>1</v>
      </c>
      <c r="T32" s="46">
        <v>1</v>
      </c>
      <c r="W32" s="46">
        <v>15</v>
      </c>
      <c r="X32" s="46">
        <v>16</v>
      </c>
      <c r="Y32" s="46">
        <v>20</v>
      </c>
      <c r="Z32" s="46">
        <v>6</v>
      </c>
      <c r="AA32" s="46">
        <v>6</v>
      </c>
      <c r="AB32" s="46">
        <v>5</v>
      </c>
      <c r="AG32" s="46">
        <v>1</v>
      </c>
      <c r="AH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J32" s="46">
        <v>1</v>
      </c>
      <c r="BV32" s="46">
        <v>1</v>
      </c>
      <c r="BY32" s="46">
        <v>1</v>
      </c>
      <c r="CB32" s="46">
        <v>1</v>
      </c>
    </row>
    <row r="33" spans="1:86">
      <c r="A33" s="46" t="s">
        <v>7389</v>
      </c>
      <c r="B33" s="46" t="s">
        <v>7390</v>
      </c>
      <c r="C33" s="46">
        <v>35</v>
      </c>
      <c r="D33" s="46" t="s">
        <v>7391</v>
      </c>
      <c r="E33" s="46" t="s">
        <v>7392</v>
      </c>
      <c r="F33" s="46" t="s">
        <v>173</v>
      </c>
      <c r="J33" s="46">
        <v>1</v>
      </c>
      <c r="M33" s="46">
        <v>1</v>
      </c>
      <c r="Q33" s="46">
        <v>1</v>
      </c>
      <c r="T33" s="46">
        <v>1</v>
      </c>
      <c r="W33" s="46">
        <v>14</v>
      </c>
      <c r="X33" s="46">
        <v>18</v>
      </c>
      <c r="Y33" s="46">
        <v>19</v>
      </c>
      <c r="Z33" s="46">
        <v>9</v>
      </c>
      <c r="AA33" s="46">
        <v>8</v>
      </c>
      <c r="AB33" s="46">
        <v>8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I33" s="46">
        <v>1</v>
      </c>
      <c r="BV33" s="46">
        <v>1</v>
      </c>
      <c r="BY33" s="46">
        <v>1</v>
      </c>
      <c r="CB33" s="46">
        <v>1</v>
      </c>
    </row>
    <row r="34" spans="1:86">
      <c r="A34" s="46" t="s">
        <v>7393</v>
      </c>
      <c r="B34" s="46" t="s">
        <v>5128</v>
      </c>
      <c r="C34" s="46">
        <v>50</v>
      </c>
      <c r="D34" s="46" t="s">
        <v>7296</v>
      </c>
      <c r="F34" s="46" t="s">
        <v>112</v>
      </c>
      <c r="H34" s="46">
        <v>1</v>
      </c>
      <c r="M34" s="46">
        <v>1</v>
      </c>
      <c r="R34" s="46">
        <v>1</v>
      </c>
      <c r="S34" s="46">
        <v>1</v>
      </c>
      <c r="W34" s="46">
        <v>12</v>
      </c>
      <c r="X34" s="46">
        <v>13</v>
      </c>
      <c r="Y34" s="46">
        <v>14</v>
      </c>
      <c r="Z34" s="46">
        <v>11</v>
      </c>
      <c r="AA34" s="46">
        <v>9</v>
      </c>
      <c r="AB34" s="46">
        <v>9</v>
      </c>
      <c r="AE34" s="46">
        <v>1</v>
      </c>
      <c r="AH34" s="46">
        <v>1</v>
      </c>
      <c r="AJ34" s="46">
        <v>1</v>
      </c>
      <c r="AM34" s="46">
        <v>1</v>
      </c>
      <c r="AT34" s="46">
        <v>1</v>
      </c>
      <c r="AZ34" s="46">
        <v>1</v>
      </c>
      <c r="BA34" s="46">
        <v>1</v>
      </c>
      <c r="BJ34" s="46">
        <v>1</v>
      </c>
      <c r="BV34" s="46">
        <v>1</v>
      </c>
      <c r="BY34" s="46">
        <v>1</v>
      </c>
      <c r="CB34" s="46">
        <v>1</v>
      </c>
    </row>
    <row r="35" spans="1:86">
      <c r="A35" s="46" t="s">
        <v>7394</v>
      </c>
      <c r="B35" s="46" t="s">
        <v>7395</v>
      </c>
      <c r="C35" s="46">
        <v>42</v>
      </c>
      <c r="D35" s="46" t="s">
        <v>7396</v>
      </c>
      <c r="F35" s="46" t="s">
        <v>444</v>
      </c>
      <c r="H35" s="46">
        <v>1</v>
      </c>
      <c r="M35" s="46">
        <v>1</v>
      </c>
      <c r="Q35" s="46">
        <v>1</v>
      </c>
      <c r="T35" s="46">
        <v>1</v>
      </c>
      <c r="W35" s="46">
        <v>15</v>
      </c>
      <c r="X35" s="46">
        <v>15</v>
      </c>
      <c r="Y35" s="46">
        <v>19</v>
      </c>
      <c r="Z35" s="46">
        <v>7</v>
      </c>
      <c r="AA35" s="46">
        <v>6</v>
      </c>
      <c r="AB35" s="46">
        <v>4</v>
      </c>
      <c r="AE35" s="46">
        <v>1</v>
      </c>
      <c r="AH35" s="46">
        <v>1</v>
      </c>
      <c r="AJ35" s="46">
        <v>1</v>
      </c>
      <c r="AK35" s="46">
        <v>1</v>
      </c>
      <c r="AT35" s="46">
        <v>1</v>
      </c>
      <c r="AW35" s="46">
        <v>1</v>
      </c>
      <c r="BA35" s="46">
        <v>1</v>
      </c>
      <c r="BI35" s="46">
        <v>1</v>
      </c>
      <c r="BV35" s="46">
        <v>1</v>
      </c>
      <c r="BZ35" s="46">
        <v>1</v>
      </c>
      <c r="CA35" s="134">
        <v>45413</v>
      </c>
      <c r="CB35" s="46">
        <v>1</v>
      </c>
      <c r="CD35" s="134"/>
    </row>
    <row r="36" spans="1:86">
      <c r="A36" s="46" t="s">
        <v>7397</v>
      </c>
      <c r="B36" s="46" t="s">
        <v>7398</v>
      </c>
      <c r="C36" s="46">
        <v>23</v>
      </c>
      <c r="D36" s="46" t="s">
        <v>7335</v>
      </c>
      <c r="E36" s="46" t="s">
        <v>7399</v>
      </c>
      <c r="F36" s="46" t="s">
        <v>594</v>
      </c>
      <c r="J36" s="46">
        <v>1</v>
      </c>
      <c r="M36" s="46">
        <v>1</v>
      </c>
      <c r="Q36" s="46">
        <v>1</v>
      </c>
      <c r="T36" s="46">
        <v>1</v>
      </c>
      <c r="W36" s="46">
        <v>15</v>
      </c>
      <c r="X36" s="46">
        <v>18</v>
      </c>
      <c r="Y36" s="46">
        <v>20</v>
      </c>
      <c r="Z36" s="46">
        <v>9</v>
      </c>
      <c r="AA36" s="46">
        <v>7</v>
      </c>
      <c r="AB36" s="46">
        <v>7</v>
      </c>
      <c r="AH36" s="46">
        <v>1</v>
      </c>
      <c r="AJ36" s="46">
        <v>1</v>
      </c>
      <c r="AK36" s="46">
        <v>1</v>
      </c>
      <c r="AT36" s="46">
        <v>1</v>
      </c>
      <c r="AW36" s="46">
        <v>1</v>
      </c>
      <c r="BA36" s="46">
        <v>1</v>
      </c>
      <c r="BI36" s="46">
        <v>1</v>
      </c>
      <c r="BV36" s="46">
        <v>1</v>
      </c>
      <c r="BY36" s="46">
        <v>1</v>
      </c>
      <c r="CB36" s="46">
        <v>1</v>
      </c>
    </row>
    <row r="37" spans="1:86">
      <c r="A37" s="46" t="s">
        <v>7400</v>
      </c>
      <c r="B37" s="46" t="s">
        <v>7401</v>
      </c>
      <c r="C37" s="46">
        <v>18</v>
      </c>
      <c r="D37" s="46" t="s">
        <v>7325</v>
      </c>
      <c r="E37" s="46" t="s">
        <v>7402</v>
      </c>
      <c r="F37" s="46" t="s">
        <v>420</v>
      </c>
      <c r="J37" s="46">
        <v>1</v>
      </c>
      <c r="M37" s="46">
        <v>1</v>
      </c>
      <c r="Q37" s="46">
        <v>1</v>
      </c>
      <c r="T37" s="46">
        <v>1</v>
      </c>
      <c r="W37" s="46">
        <v>14</v>
      </c>
      <c r="X37" s="46">
        <v>16</v>
      </c>
      <c r="Y37" s="46" t="s">
        <v>908</v>
      </c>
      <c r="Z37" s="46" t="s">
        <v>908</v>
      </c>
      <c r="AA37" s="46" t="s">
        <v>908</v>
      </c>
      <c r="AB37" s="46" t="s">
        <v>908</v>
      </c>
      <c r="AH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I37" s="46">
        <v>1</v>
      </c>
      <c r="BV37" s="46">
        <v>1</v>
      </c>
      <c r="BY37" s="46">
        <v>1</v>
      </c>
      <c r="CB37" s="46">
        <v>1</v>
      </c>
    </row>
    <row r="38" spans="1:86">
      <c r="A38" s="46" t="s">
        <v>7403</v>
      </c>
      <c r="B38" s="46" t="s">
        <v>7404</v>
      </c>
      <c r="C38" s="46">
        <v>48</v>
      </c>
      <c r="D38" s="46" t="s">
        <v>7296</v>
      </c>
      <c r="E38" s="46" t="s">
        <v>7405</v>
      </c>
      <c r="F38" s="46" t="s">
        <v>3698</v>
      </c>
      <c r="G38" s="46">
        <v>1</v>
      </c>
      <c r="M38" s="46">
        <v>1</v>
      </c>
      <c r="Q38" s="46">
        <v>1</v>
      </c>
      <c r="T38" s="46">
        <v>1</v>
      </c>
      <c r="W38" s="46">
        <v>14</v>
      </c>
      <c r="X38" s="46">
        <v>16</v>
      </c>
      <c r="Y38" s="46">
        <v>16</v>
      </c>
      <c r="Z38" s="46">
        <v>7</v>
      </c>
      <c r="AA38" s="46">
        <v>7</v>
      </c>
      <c r="AB38" s="46">
        <v>7</v>
      </c>
      <c r="AD38" s="46">
        <v>1</v>
      </c>
      <c r="AF38" s="46">
        <v>1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I38" s="46">
        <v>1</v>
      </c>
      <c r="BV38" s="46">
        <v>1</v>
      </c>
      <c r="BY38" s="46">
        <v>1</v>
      </c>
      <c r="CB38" s="46">
        <v>1</v>
      </c>
    </row>
    <row r="39" spans="1:86">
      <c r="A39" s="46" t="s">
        <v>7406</v>
      </c>
      <c r="B39" s="46" t="s">
        <v>7407</v>
      </c>
      <c r="C39" s="46">
        <v>29</v>
      </c>
      <c r="D39" s="46" t="s">
        <v>7408</v>
      </c>
      <c r="E39" s="46" t="s">
        <v>7409</v>
      </c>
      <c r="F39" s="46" t="s">
        <v>112</v>
      </c>
      <c r="G39" s="46">
        <v>1</v>
      </c>
      <c r="M39" s="46">
        <v>1</v>
      </c>
      <c r="Q39" s="46">
        <v>1</v>
      </c>
      <c r="T39" s="46">
        <v>1</v>
      </c>
      <c r="W39" s="46">
        <v>16</v>
      </c>
      <c r="X39" s="46">
        <v>23</v>
      </c>
      <c r="Y39" s="46">
        <v>26</v>
      </c>
      <c r="Z39" s="46">
        <v>2</v>
      </c>
      <c r="AA39" s="46">
        <v>2</v>
      </c>
      <c r="AB39" s="46">
        <v>2</v>
      </c>
      <c r="AD39" s="46">
        <v>1</v>
      </c>
      <c r="AE39" s="46">
        <v>1</v>
      </c>
      <c r="AH39" s="46">
        <v>1</v>
      </c>
      <c r="AI39" s="46">
        <v>1</v>
      </c>
      <c r="AK39" s="46">
        <v>1</v>
      </c>
      <c r="AT39" s="46">
        <v>1</v>
      </c>
      <c r="AW39" s="46">
        <v>1</v>
      </c>
      <c r="BB39" s="46">
        <v>1</v>
      </c>
      <c r="BF39" s="46">
        <v>1</v>
      </c>
      <c r="BI39" s="46">
        <v>1</v>
      </c>
      <c r="BV39" s="46">
        <v>1</v>
      </c>
      <c r="BY39" s="46">
        <v>1</v>
      </c>
      <c r="CB39" s="46">
        <v>1</v>
      </c>
    </row>
    <row r="40" spans="1:86">
      <c r="A40" s="46" t="s">
        <v>7410</v>
      </c>
      <c r="B40" s="46" t="s">
        <v>7411</v>
      </c>
      <c r="C40" s="46">
        <v>37</v>
      </c>
      <c r="D40" s="46" t="s">
        <v>7325</v>
      </c>
      <c r="E40" s="46" t="s">
        <v>7412</v>
      </c>
      <c r="F40" s="46" t="s">
        <v>477</v>
      </c>
      <c r="G40" s="46">
        <v>1</v>
      </c>
      <c r="M40" s="46">
        <v>1</v>
      </c>
      <c r="R40" s="46">
        <v>1</v>
      </c>
      <c r="T40" s="46">
        <v>1</v>
      </c>
      <c r="W40" s="46">
        <v>12</v>
      </c>
      <c r="X40" s="46">
        <v>14</v>
      </c>
      <c r="Y40" s="46">
        <v>15</v>
      </c>
      <c r="Z40" s="46">
        <v>7</v>
      </c>
      <c r="AA40" s="46">
        <v>6</v>
      </c>
      <c r="AB40" s="46">
        <v>6</v>
      </c>
      <c r="AE40" s="46">
        <v>1</v>
      </c>
      <c r="AG40" s="46">
        <v>1</v>
      </c>
      <c r="AL40" s="46">
        <v>1</v>
      </c>
      <c r="AO40" s="46">
        <v>1</v>
      </c>
      <c r="AR40" s="46" t="s">
        <v>1786</v>
      </c>
      <c r="AS40" s="46">
        <v>1</v>
      </c>
      <c r="AT40" s="46">
        <v>1</v>
      </c>
      <c r="AX40" s="46">
        <v>1</v>
      </c>
      <c r="BA40" s="46">
        <v>1</v>
      </c>
      <c r="BI40" s="46">
        <v>1</v>
      </c>
      <c r="BV40" s="46">
        <v>1</v>
      </c>
      <c r="BY40" s="46">
        <v>1</v>
      </c>
      <c r="CB40" s="46">
        <v>1</v>
      </c>
    </row>
    <row r="41" spans="1:86">
      <c r="A41" s="46" t="s">
        <v>7413</v>
      </c>
      <c r="B41" s="46" t="s">
        <v>7414</v>
      </c>
      <c r="C41" s="46">
        <v>41</v>
      </c>
      <c r="D41" s="46" t="s">
        <v>7296</v>
      </c>
      <c r="E41" s="46" t="s">
        <v>7415</v>
      </c>
      <c r="F41" s="46" t="s">
        <v>112</v>
      </c>
      <c r="I41" s="46">
        <v>1</v>
      </c>
      <c r="P41" s="46">
        <v>1</v>
      </c>
      <c r="T41" s="46">
        <v>1</v>
      </c>
      <c r="W41" s="46">
        <v>16</v>
      </c>
      <c r="X41" s="46">
        <v>17</v>
      </c>
      <c r="Y41" s="46">
        <v>25</v>
      </c>
      <c r="Z41" s="46">
        <v>5</v>
      </c>
      <c r="AA41" s="46">
        <v>4</v>
      </c>
      <c r="AB41" s="46">
        <v>4</v>
      </c>
      <c r="AH41" s="46">
        <v>1</v>
      </c>
      <c r="AI41" s="46">
        <v>1</v>
      </c>
      <c r="AL41" s="46">
        <v>1</v>
      </c>
      <c r="AO41" s="46">
        <v>1</v>
      </c>
      <c r="AR41" s="46" t="s">
        <v>1786</v>
      </c>
      <c r="AS41" s="46">
        <v>1</v>
      </c>
      <c r="AT41" s="46">
        <v>1</v>
      </c>
      <c r="AW41" s="46">
        <v>1</v>
      </c>
      <c r="BA41" s="46">
        <v>1</v>
      </c>
      <c r="BK41" s="46">
        <v>1</v>
      </c>
      <c r="BV41" s="46">
        <v>1</v>
      </c>
      <c r="BY41" s="46">
        <v>1</v>
      </c>
      <c r="CB41" s="46">
        <v>1</v>
      </c>
    </row>
    <row r="42" spans="1:86">
      <c r="A42" s="46" t="s">
        <v>7416</v>
      </c>
      <c r="B42" s="46" t="s">
        <v>7417</v>
      </c>
      <c r="C42" s="46">
        <v>22</v>
      </c>
      <c r="D42" s="46" t="s">
        <v>7335</v>
      </c>
      <c r="E42" s="46" t="s">
        <v>7418</v>
      </c>
      <c r="F42" s="46" t="s">
        <v>112</v>
      </c>
      <c r="J42" s="46">
        <v>1</v>
      </c>
      <c r="M42" s="46">
        <v>1</v>
      </c>
      <c r="Q42" s="46">
        <v>1</v>
      </c>
      <c r="U42" s="46">
        <v>1</v>
      </c>
      <c r="W42" s="46">
        <v>14</v>
      </c>
      <c r="X42" s="46">
        <v>20</v>
      </c>
      <c r="Y42" s="46">
        <v>21</v>
      </c>
      <c r="Z42" s="46">
        <v>3</v>
      </c>
      <c r="AA42" s="46">
        <v>2</v>
      </c>
      <c r="AB42" s="46">
        <v>2</v>
      </c>
      <c r="AG42" s="46">
        <v>1</v>
      </c>
      <c r="AJ42" s="46">
        <v>1</v>
      </c>
      <c r="AK42" s="46">
        <v>1</v>
      </c>
      <c r="AT42" s="46">
        <v>1</v>
      </c>
      <c r="AW42" s="46">
        <v>1</v>
      </c>
      <c r="BA42" s="46">
        <v>1</v>
      </c>
      <c r="BI42" s="46">
        <v>1</v>
      </c>
      <c r="BV42" s="46">
        <v>1</v>
      </c>
      <c r="BY42" s="46">
        <v>1</v>
      </c>
      <c r="CB42" s="46">
        <v>1</v>
      </c>
    </row>
    <row r="43" spans="1:86">
      <c r="A43" s="46" t="s">
        <v>7419</v>
      </c>
      <c r="B43" s="46" t="s">
        <v>7420</v>
      </c>
      <c r="C43" s="46">
        <v>26</v>
      </c>
      <c r="D43" s="46" t="s">
        <v>7408</v>
      </c>
      <c r="E43" s="46" t="s">
        <v>7421</v>
      </c>
      <c r="F43" s="46" t="s">
        <v>112</v>
      </c>
      <c r="J43" s="46">
        <v>1</v>
      </c>
      <c r="M43" s="46">
        <v>1</v>
      </c>
      <c r="Q43" s="46">
        <v>1</v>
      </c>
      <c r="T43" s="46">
        <v>1</v>
      </c>
      <c r="W43" s="46">
        <v>13</v>
      </c>
      <c r="X43" s="46">
        <v>13</v>
      </c>
      <c r="Y43" s="46">
        <v>13</v>
      </c>
      <c r="Z43" s="46">
        <v>8</v>
      </c>
      <c r="AA43" s="46">
        <v>5</v>
      </c>
      <c r="AB43" s="46">
        <v>5</v>
      </c>
      <c r="AE43" s="46">
        <v>1</v>
      </c>
      <c r="AH43" s="46">
        <v>1</v>
      </c>
      <c r="AK43" s="46">
        <v>1</v>
      </c>
      <c r="AT43" s="46">
        <v>1</v>
      </c>
      <c r="AW43" s="46">
        <v>1</v>
      </c>
      <c r="BA43" s="46">
        <v>1</v>
      </c>
      <c r="BI43" s="46">
        <v>1</v>
      </c>
      <c r="BV43" s="46">
        <v>1</v>
      </c>
      <c r="BY43" s="46">
        <v>1</v>
      </c>
      <c r="CB43" s="46">
        <v>1</v>
      </c>
    </row>
    <row r="44" spans="1:86">
      <c r="A44" s="46" t="s">
        <v>7422</v>
      </c>
      <c r="B44" s="46" t="s">
        <v>2582</v>
      </c>
      <c r="C44" s="46">
        <v>36</v>
      </c>
      <c r="D44" s="46" t="s">
        <v>7345</v>
      </c>
      <c r="F44" s="46" t="s">
        <v>112</v>
      </c>
      <c r="H44" s="46">
        <v>1</v>
      </c>
      <c r="M44" s="46">
        <v>1</v>
      </c>
      <c r="Q44" s="46">
        <v>1</v>
      </c>
      <c r="T44" s="46">
        <v>1</v>
      </c>
      <c r="W44" s="46">
        <v>15</v>
      </c>
      <c r="X44" s="46">
        <v>17</v>
      </c>
      <c r="Y44" s="46">
        <v>18</v>
      </c>
      <c r="Z44" s="46">
        <v>7</v>
      </c>
      <c r="AA44" s="46">
        <v>7</v>
      </c>
      <c r="AB44" s="46">
        <v>7</v>
      </c>
      <c r="AH44" s="46">
        <v>1</v>
      </c>
      <c r="AI44" s="46">
        <v>1</v>
      </c>
      <c r="AK44" s="46">
        <v>1</v>
      </c>
      <c r="AT44" s="46">
        <v>1</v>
      </c>
      <c r="AW44" s="46">
        <v>1</v>
      </c>
      <c r="BA44" s="46">
        <v>1</v>
      </c>
      <c r="BI44" s="46">
        <v>1</v>
      </c>
      <c r="BV44" s="46">
        <v>1</v>
      </c>
      <c r="BY44" s="46">
        <v>1</v>
      </c>
      <c r="CB44" s="46">
        <v>1</v>
      </c>
      <c r="CH44" s="46">
        <v>1</v>
      </c>
    </row>
    <row r="45" spans="1:86">
      <c r="A45" s="46" t="s">
        <v>7423</v>
      </c>
      <c r="B45" s="46" t="s">
        <v>7424</v>
      </c>
      <c r="C45" s="46">
        <v>47</v>
      </c>
      <c r="D45" s="46" t="s">
        <v>7345</v>
      </c>
      <c r="F45" s="46" t="s">
        <v>112</v>
      </c>
      <c r="J45" s="46">
        <v>1</v>
      </c>
      <c r="M45" s="46">
        <v>1</v>
      </c>
      <c r="Q45" s="46">
        <v>1</v>
      </c>
      <c r="T45" s="46">
        <v>1</v>
      </c>
      <c r="W45" s="46">
        <v>15</v>
      </c>
      <c r="X45" s="46">
        <v>18</v>
      </c>
      <c r="Y45" s="46">
        <v>19</v>
      </c>
      <c r="Z45" s="46">
        <v>11</v>
      </c>
      <c r="AA45" s="46">
        <v>10</v>
      </c>
      <c r="AB45" s="46">
        <v>10</v>
      </c>
      <c r="AE45" s="46">
        <v>1</v>
      </c>
      <c r="AG45" s="46">
        <v>1</v>
      </c>
      <c r="AI45" s="46">
        <v>1</v>
      </c>
      <c r="AK45" s="46">
        <v>1</v>
      </c>
      <c r="AT45" s="46">
        <v>1</v>
      </c>
      <c r="AW45" s="46">
        <v>1</v>
      </c>
      <c r="BA45" s="46">
        <v>1</v>
      </c>
      <c r="BI45" s="46">
        <v>1</v>
      </c>
      <c r="BV45" s="46">
        <v>1</v>
      </c>
      <c r="BY45" s="46">
        <v>1</v>
      </c>
      <c r="CB45" s="46">
        <v>1</v>
      </c>
    </row>
    <row r="46" spans="1:86">
      <c r="A46" s="46" t="s">
        <v>7425</v>
      </c>
      <c r="B46" s="46" t="s">
        <v>7426</v>
      </c>
      <c r="C46" s="46">
        <v>47</v>
      </c>
      <c r="D46" s="46" t="s">
        <v>7335</v>
      </c>
      <c r="E46" s="46" t="s">
        <v>7427</v>
      </c>
      <c r="F46" s="46" t="s">
        <v>2285</v>
      </c>
      <c r="G46" s="46">
        <v>1</v>
      </c>
      <c r="M46" s="46">
        <v>1</v>
      </c>
      <c r="Q46" s="46">
        <v>1</v>
      </c>
      <c r="T46" s="46">
        <v>1</v>
      </c>
      <c r="W46" s="46" t="s">
        <v>908</v>
      </c>
      <c r="X46" s="46">
        <v>13</v>
      </c>
      <c r="Y46" s="46" t="s">
        <v>908</v>
      </c>
      <c r="Z46" s="46">
        <v>14</v>
      </c>
      <c r="AA46" s="46">
        <v>10</v>
      </c>
      <c r="AB46" s="46">
        <v>10</v>
      </c>
      <c r="AH46" s="46">
        <v>1</v>
      </c>
      <c r="AI46" s="46">
        <v>1</v>
      </c>
      <c r="AK46" s="46">
        <v>1</v>
      </c>
      <c r="AT46" s="46">
        <v>1</v>
      </c>
      <c r="AW46" s="46">
        <v>1</v>
      </c>
      <c r="BA46" s="46">
        <v>1</v>
      </c>
      <c r="BJ46" s="46">
        <v>1</v>
      </c>
      <c r="BV46" s="46">
        <v>1</v>
      </c>
      <c r="BY46" s="46">
        <v>1</v>
      </c>
      <c r="CB46" s="46">
        <v>1</v>
      </c>
    </row>
    <row r="47" spans="1:86">
      <c r="A47" s="46" t="s">
        <v>7428</v>
      </c>
      <c r="B47" s="46" t="s">
        <v>7429</v>
      </c>
      <c r="C47" s="46">
        <v>47</v>
      </c>
      <c r="D47" s="46" t="s">
        <v>7430</v>
      </c>
      <c r="E47" s="46" t="s">
        <v>7431</v>
      </c>
      <c r="F47" s="46" t="s">
        <v>7432</v>
      </c>
      <c r="I47" s="46">
        <v>1</v>
      </c>
      <c r="M47" s="46">
        <v>1</v>
      </c>
      <c r="R47" s="46">
        <v>1</v>
      </c>
      <c r="S47" s="46">
        <v>1</v>
      </c>
      <c r="W47" s="46">
        <v>14</v>
      </c>
      <c r="X47" s="46">
        <v>18</v>
      </c>
      <c r="Y47" s="46">
        <v>18</v>
      </c>
      <c r="Z47" s="46">
        <v>6</v>
      </c>
      <c r="AA47" s="46">
        <v>5</v>
      </c>
      <c r="AB47" s="46">
        <v>5</v>
      </c>
      <c r="AH47" s="46">
        <v>1</v>
      </c>
      <c r="AK47" s="46">
        <v>1</v>
      </c>
      <c r="AT47" s="46">
        <v>1</v>
      </c>
      <c r="AW47" s="46">
        <v>1</v>
      </c>
      <c r="BA47" s="46">
        <v>1</v>
      </c>
      <c r="BJ47" s="46">
        <v>1</v>
      </c>
      <c r="BV47" s="46">
        <v>1</v>
      </c>
      <c r="BY47" s="46">
        <v>1</v>
      </c>
      <c r="CB47" s="46">
        <v>1</v>
      </c>
    </row>
    <row r="48" spans="1:86">
      <c r="A48" s="46" t="s">
        <v>7433</v>
      </c>
      <c r="B48" s="46" t="s">
        <v>7434</v>
      </c>
      <c r="C48" s="46">
        <v>32</v>
      </c>
      <c r="D48" s="46" t="s">
        <v>7296</v>
      </c>
      <c r="E48" s="46" t="s">
        <v>7435</v>
      </c>
      <c r="F48" s="46" t="s">
        <v>4766</v>
      </c>
      <c r="G48" s="46">
        <v>1</v>
      </c>
      <c r="M48" s="46">
        <v>1</v>
      </c>
      <c r="R48" s="46">
        <v>1</v>
      </c>
      <c r="T48" s="46">
        <v>1</v>
      </c>
      <c r="W48" s="46">
        <v>14</v>
      </c>
      <c r="X48" s="46">
        <v>16</v>
      </c>
      <c r="Y48" s="46">
        <v>17</v>
      </c>
      <c r="Z48" s="46">
        <v>5</v>
      </c>
      <c r="AA48" s="46">
        <v>5</v>
      </c>
      <c r="AB48" s="46">
        <v>5</v>
      </c>
      <c r="AE48" s="46">
        <v>1</v>
      </c>
      <c r="AG48" s="46">
        <v>1</v>
      </c>
      <c r="AH48" s="46">
        <v>1</v>
      </c>
      <c r="AJ48" s="46">
        <v>1</v>
      </c>
      <c r="AK48" s="46">
        <v>1</v>
      </c>
      <c r="AT48" s="46">
        <v>1</v>
      </c>
      <c r="AW48" s="46">
        <v>1</v>
      </c>
      <c r="BA48" s="46">
        <v>1</v>
      </c>
      <c r="BH48" s="46">
        <v>1</v>
      </c>
      <c r="BU48" s="46" t="s">
        <v>7436</v>
      </c>
      <c r="BV48" s="46">
        <v>1</v>
      </c>
      <c r="BY48" s="46">
        <v>1</v>
      </c>
      <c r="CB48" s="46">
        <v>1</v>
      </c>
      <c r="CH48" s="46">
        <v>1</v>
      </c>
    </row>
    <row r="49" spans="1:80">
      <c r="A49" s="46" t="s">
        <v>7437</v>
      </c>
      <c r="B49" s="46" t="s">
        <v>7438</v>
      </c>
      <c r="C49" s="46">
        <v>22</v>
      </c>
      <c r="D49" s="46" t="s">
        <v>7345</v>
      </c>
      <c r="E49" s="46" t="s">
        <v>7439</v>
      </c>
      <c r="F49" s="46" t="s">
        <v>112</v>
      </c>
      <c r="J49" s="46">
        <v>1</v>
      </c>
      <c r="M49" s="46">
        <v>1</v>
      </c>
      <c r="Q49" s="46">
        <v>1</v>
      </c>
      <c r="T49" s="46">
        <v>1</v>
      </c>
      <c r="W49" s="46">
        <v>14</v>
      </c>
      <c r="X49" s="46">
        <v>18</v>
      </c>
      <c r="Y49" s="46">
        <v>19</v>
      </c>
      <c r="Z49" s="46">
        <v>2</v>
      </c>
      <c r="AA49" s="46">
        <v>2</v>
      </c>
      <c r="AB49" s="46">
        <v>2</v>
      </c>
      <c r="AE49" s="46">
        <v>1</v>
      </c>
      <c r="AH49" s="46">
        <v>1</v>
      </c>
      <c r="AK49" s="46">
        <v>1</v>
      </c>
      <c r="AT49" s="46">
        <v>1</v>
      </c>
      <c r="AW49" s="46">
        <v>1</v>
      </c>
      <c r="BA49" s="46">
        <v>1</v>
      </c>
      <c r="BI49" s="46">
        <v>1</v>
      </c>
      <c r="BJ49" s="46">
        <v>1</v>
      </c>
      <c r="BV49" s="46">
        <v>1</v>
      </c>
      <c r="BY49" s="46">
        <v>1</v>
      </c>
      <c r="CB49" s="46">
        <v>1</v>
      </c>
    </row>
    <row r="50" spans="1:80">
      <c r="A50" s="46" t="s">
        <v>7440</v>
      </c>
      <c r="B50" s="46" t="s">
        <v>7441</v>
      </c>
      <c r="C50" s="46">
        <v>38</v>
      </c>
      <c r="D50" s="46" t="s">
        <v>7408</v>
      </c>
      <c r="F50" s="46" t="s">
        <v>112</v>
      </c>
      <c r="I50" s="46">
        <v>1</v>
      </c>
      <c r="M50" s="46">
        <v>1</v>
      </c>
      <c r="R50" s="46">
        <v>1</v>
      </c>
      <c r="S50" s="46">
        <v>1</v>
      </c>
      <c r="W50" s="46">
        <v>14</v>
      </c>
      <c r="X50" s="46">
        <v>15</v>
      </c>
      <c r="Y50" s="46">
        <v>18</v>
      </c>
      <c r="Z50" s="46">
        <v>8</v>
      </c>
      <c r="AA50" s="46">
        <v>5</v>
      </c>
      <c r="AB50" s="46">
        <v>5</v>
      </c>
      <c r="AE50" s="46">
        <v>1</v>
      </c>
      <c r="AG50" s="46">
        <v>1</v>
      </c>
      <c r="AH50" s="46">
        <v>1</v>
      </c>
      <c r="AJ50" s="46">
        <v>1</v>
      </c>
      <c r="AK50" s="46">
        <v>1</v>
      </c>
      <c r="AT50" s="46">
        <v>1</v>
      </c>
      <c r="AZ50" s="46">
        <v>1</v>
      </c>
      <c r="BA50" s="46">
        <v>1</v>
      </c>
      <c r="BI50" s="46">
        <v>1</v>
      </c>
      <c r="BV50" s="46">
        <v>1</v>
      </c>
      <c r="BY50" s="46">
        <v>1</v>
      </c>
      <c r="CB50" s="46">
        <v>1</v>
      </c>
    </row>
    <row r="51" spans="1:80">
      <c r="A51" s="46" t="s">
        <v>7442</v>
      </c>
      <c r="B51" s="46" t="s">
        <v>7443</v>
      </c>
      <c r="C51" s="46">
        <v>72</v>
      </c>
      <c r="D51" s="46" t="s">
        <v>7408</v>
      </c>
      <c r="F51" s="46" t="s">
        <v>477</v>
      </c>
      <c r="H51" s="46">
        <v>1</v>
      </c>
      <c r="M51" s="46">
        <v>1</v>
      </c>
      <c r="R51" s="46">
        <v>1</v>
      </c>
      <c r="S51" s="46">
        <v>1</v>
      </c>
      <c r="W51" s="46">
        <v>14</v>
      </c>
      <c r="X51" s="46">
        <v>15</v>
      </c>
      <c r="Y51" s="46">
        <v>15</v>
      </c>
      <c r="Z51" s="46">
        <v>1</v>
      </c>
      <c r="AA51" s="46">
        <v>1</v>
      </c>
      <c r="AB51" s="46">
        <v>1</v>
      </c>
      <c r="AF51" s="46">
        <v>1</v>
      </c>
      <c r="AH51" s="46">
        <v>1</v>
      </c>
      <c r="AM51" s="46">
        <v>1</v>
      </c>
      <c r="AT51" s="46">
        <v>1</v>
      </c>
      <c r="AW51" s="46">
        <v>1</v>
      </c>
      <c r="BA51" s="46"/>
      <c r="BB51" s="46">
        <v>1</v>
      </c>
      <c r="BF51" s="46">
        <v>1</v>
      </c>
      <c r="BJ51" s="46">
        <v>1</v>
      </c>
      <c r="BY51" s="46">
        <v>1</v>
      </c>
      <c r="CB51" s="46">
        <v>1</v>
      </c>
    </row>
    <row r="52" spans="1:80">
      <c r="A52" s="46" t="s">
        <v>7444</v>
      </c>
      <c r="B52" s="46" t="s">
        <v>7445</v>
      </c>
      <c r="C52" s="46">
        <v>23</v>
      </c>
      <c r="D52" s="46" t="s">
        <v>7446</v>
      </c>
      <c r="E52" s="46" t="s">
        <v>7447</v>
      </c>
      <c r="F52" s="46" t="s">
        <v>2675</v>
      </c>
      <c r="H52" s="46">
        <v>1</v>
      </c>
      <c r="M52" s="46">
        <v>1</v>
      </c>
      <c r="R52" s="46">
        <v>1</v>
      </c>
      <c r="V52" s="46">
        <v>1</v>
      </c>
      <c r="W52" s="46">
        <v>15</v>
      </c>
      <c r="X52" s="46">
        <v>20</v>
      </c>
      <c r="Y52" s="46" t="s">
        <v>908</v>
      </c>
      <c r="Z52" s="46">
        <v>2</v>
      </c>
      <c r="AA52" s="46">
        <v>0</v>
      </c>
      <c r="AB52" s="46">
        <v>0</v>
      </c>
      <c r="AE52" s="46">
        <v>1</v>
      </c>
      <c r="AG52" s="46">
        <v>1</v>
      </c>
      <c r="AH52" s="46">
        <v>1</v>
      </c>
      <c r="AI52" s="46">
        <v>1</v>
      </c>
      <c r="AK52" s="46">
        <v>1</v>
      </c>
      <c r="AT52" s="46">
        <v>1</v>
      </c>
      <c r="AW52" s="46">
        <v>1</v>
      </c>
      <c r="BA52" s="46">
        <v>1</v>
      </c>
      <c r="BI52" s="46">
        <v>1</v>
      </c>
      <c r="BY52" s="46">
        <v>1</v>
      </c>
      <c r="CB52" s="46">
        <v>1</v>
      </c>
    </row>
    <row r="53" spans="1:80">
      <c r="A53" s="46" t="s">
        <v>7448</v>
      </c>
      <c r="B53" s="46" t="s">
        <v>7449</v>
      </c>
      <c r="C53" s="46">
        <v>23</v>
      </c>
      <c r="D53" s="46" t="s">
        <v>7345</v>
      </c>
      <c r="E53" s="46" t="s">
        <v>7450</v>
      </c>
      <c r="F53" s="46" t="s">
        <v>7451</v>
      </c>
      <c r="J53" s="46">
        <v>1</v>
      </c>
      <c r="M53" s="46">
        <v>1</v>
      </c>
      <c r="R53" s="46">
        <v>1</v>
      </c>
      <c r="U53" s="46">
        <v>1</v>
      </c>
      <c r="W53" s="46">
        <v>14</v>
      </c>
      <c r="X53" s="46">
        <v>15</v>
      </c>
      <c r="Y53" s="46">
        <v>18</v>
      </c>
      <c r="Z53" s="46">
        <v>2</v>
      </c>
      <c r="AA53" s="46">
        <v>2</v>
      </c>
      <c r="AB53" s="46">
        <v>2</v>
      </c>
      <c r="AE53" s="46">
        <v>1</v>
      </c>
      <c r="AG53" s="46">
        <v>1</v>
      </c>
      <c r="AJ53" s="46">
        <v>1</v>
      </c>
      <c r="AK53" s="46">
        <v>1</v>
      </c>
      <c r="AT53" s="46">
        <v>1</v>
      </c>
      <c r="AW53" s="46">
        <v>1</v>
      </c>
      <c r="BA53" s="46">
        <v>1</v>
      </c>
      <c r="BI53" s="46">
        <v>1</v>
      </c>
      <c r="BV53" s="46">
        <v>1</v>
      </c>
      <c r="BY53" s="46">
        <v>1</v>
      </c>
      <c r="CB53" s="46">
        <v>1</v>
      </c>
    </row>
  </sheetData>
  <autoFilter ref="A3:CS53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workbookViewId="0">
      <selection sqref="A1:A2"/>
    </sheetView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70">
        <v>0</v>
      </c>
      <c r="G3" s="70">
        <v>1</v>
      </c>
      <c r="H3" s="70">
        <v>0</v>
      </c>
      <c r="I3" s="70">
        <v>0</v>
      </c>
      <c r="J3" s="71">
        <f t="shared" ref="J3:J9" si="1">SUM(F3:I3)</f>
        <v>1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0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0</v>
      </c>
      <c r="AB3" s="73">
        <v>0</v>
      </c>
      <c r="AC3" s="73">
        <v>0</v>
      </c>
      <c r="AD3" s="73">
        <v>1</v>
      </c>
      <c r="AE3" s="186">
        <f t="shared" ref="AE3:AE8" si="4">SUM(AA3,AB3,AC3,AD3)</f>
        <v>1</v>
      </c>
      <c r="AF3" s="73">
        <v>0</v>
      </c>
      <c r="AG3" s="73">
        <v>0</v>
      </c>
    </row>
    <row r="4" spans="1:33">
      <c r="A4" s="74" t="s">
        <v>5472</v>
      </c>
      <c r="B4" s="69">
        <v>12</v>
      </c>
      <c r="C4" s="69">
        <v>0</v>
      </c>
      <c r="D4" s="69">
        <v>1</v>
      </c>
      <c r="E4" s="69">
        <f t="shared" si="0"/>
        <v>13</v>
      </c>
      <c r="F4" s="70">
        <v>0</v>
      </c>
      <c r="G4" s="70">
        <v>13</v>
      </c>
      <c r="H4" s="70">
        <v>0</v>
      </c>
      <c r="I4" s="70">
        <v>0</v>
      </c>
      <c r="J4" s="71">
        <f t="shared" si="1"/>
        <v>13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 t="shared" si="2"/>
        <v>0</v>
      </c>
      <c r="Q4" s="70">
        <v>0</v>
      </c>
      <c r="R4" s="70">
        <v>0</v>
      </c>
      <c r="S4" s="70">
        <v>12</v>
      </c>
      <c r="T4" s="71">
        <f t="shared" si="3"/>
        <v>12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0</v>
      </c>
      <c r="AB4" s="73">
        <v>0</v>
      </c>
      <c r="AC4" s="73">
        <v>0</v>
      </c>
      <c r="AD4" s="73">
        <v>13</v>
      </c>
      <c r="AE4" s="186">
        <f t="shared" si="4"/>
        <v>13</v>
      </c>
      <c r="AF4" s="73">
        <v>0</v>
      </c>
      <c r="AG4" s="73">
        <v>0</v>
      </c>
    </row>
    <row r="5" spans="1:33">
      <c r="A5" s="77" t="s">
        <v>2600</v>
      </c>
      <c r="B5" s="69">
        <v>15</v>
      </c>
      <c r="C5" s="69">
        <v>1</v>
      </c>
      <c r="D5" s="69">
        <v>0</v>
      </c>
      <c r="E5" s="69">
        <f t="shared" si="0"/>
        <v>16</v>
      </c>
      <c r="F5" s="70">
        <v>1</v>
      </c>
      <c r="G5" s="70">
        <v>12</v>
      </c>
      <c r="H5" s="70">
        <v>0</v>
      </c>
      <c r="I5" s="70">
        <v>0</v>
      </c>
      <c r="J5" s="71">
        <f t="shared" si="1"/>
        <v>13</v>
      </c>
      <c r="K5" s="70">
        <v>2</v>
      </c>
      <c r="L5" s="70">
        <v>0</v>
      </c>
      <c r="M5" s="70">
        <v>0</v>
      </c>
      <c r="N5" s="70">
        <v>0</v>
      </c>
      <c r="O5" s="70">
        <v>1</v>
      </c>
      <c r="P5" s="71">
        <f t="shared" si="2"/>
        <v>3</v>
      </c>
      <c r="Q5" s="70">
        <v>0</v>
      </c>
      <c r="R5" s="70">
        <v>1</v>
      </c>
      <c r="S5" s="70">
        <v>15</v>
      </c>
      <c r="T5" s="71">
        <f t="shared" si="3"/>
        <v>16</v>
      </c>
      <c r="U5" s="75">
        <v>0</v>
      </c>
      <c r="V5" s="75">
        <v>1</v>
      </c>
      <c r="W5" s="75">
        <v>0</v>
      </c>
      <c r="X5" s="75">
        <v>0</v>
      </c>
      <c r="Y5" s="75">
        <v>0</v>
      </c>
      <c r="Z5" s="75"/>
      <c r="AA5" s="73">
        <v>3</v>
      </c>
      <c r="AB5" s="73">
        <v>0</v>
      </c>
      <c r="AC5" s="73">
        <v>0</v>
      </c>
      <c r="AD5" s="73">
        <v>13</v>
      </c>
      <c r="AE5" s="186">
        <f t="shared" si="4"/>
        <v>16</v>
      </c>
      <c r="AF5" s="73">
        <v>0</v>
      </c>
      <c r="AG5" s="73">
        <v>0</v>
      </c>
    </row>
    <row r="6" spans="1:33">
      <c r="A6" s="77" t="s">
        <v>7452</v>
      </c>
      <c r="B6" s="69">
        <v>13</v>
      </c>
      <c r="C6" s="69">
        <v>1</v>
      </c>
      <c r="D6" s="69">
        <v>1</v>
      </c>
      <c r="E6" s="69">
        <f t="shared" si="0"/>
        <v>15</v>
      </c>
      <c r="F6" s="70">
        <v>0</v>
      </c>
      <c r="G6" s="70">
        <v>9</v>
      </c>
      <c r="H6" s="70">
        <v>0</v>
      </c>
      <c r="I6" s="70">
        <v>0</v>
      </c>
      <c r="J6" s="71">
        <f t="shared" si="1"/>
        <v>9</v>
      </c>
      <c r="K6" s="70">
        <v>5</v>
      </c>
      <c r="L6" s="70">
        <v>1</v>
      </c>
      <c r="M6" s="70">
        <v>0</v>
      </c>
      <c r="N6" s="70">
        <v>0</v>
      </c>
      <c r="O6" s="70">
        <v>1</v>
      </c>
      <c r="P6" s="71">
        <f t="shared" si="2"/>
        <v>7</v>
      </c>
      <c r="Q6" s="70">
        <v>0</v>
      </c>
      <c r="R6" s="70">
        <v>0</v>
      </c>
      <c r="S6" s="70">
        <v>15</v>
      </c>
      <c r="T6" s="71">
        <f t="shared" si="3"/>
        <v>15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/>
      <c r="AA6" s="73">
        <v>1</v>
      </c>
      <c r="AB6" s="73">
        <v>0</v>
      </c>
      <c r="AC6" s="73">
        <v>0</v>
      </c>
      <c r="AD6" s="73">
        <v>15</v>
      </c>
      <c r="AE6" s="186">
        <f t="shared" si="4"/>
        <v>16</v>
      </c>
      <c r="AF6" s="73">
        <v>0</v>
      </c>
      <c r="AG6" s="73">
        <v>0</v>
      </c>
    </row>
    <row r="7" spans="1:33">
      <c r="A7" s="243" t="s">
        <v>7453</v>
      </c>
      <c r="B7" s="69">
        <v>3</v>
      </c>
      <c r="C7" s="69">
        <v>0</v>
      </c>
      <c r="D7" s="69">
        <v>0</v>
      </c>
      <c r="E7" s="69">
        <f t="shared" si="0"/>
        <v>3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3</v>
      </c>
      <c r="L7" s="114">
        <v>0</v>
      </c>
      <c r="M7" s="114">
        <v>0</v>
      </c>
      <c r="N7" s="114">
        <v>0</v>
      </c>
      <c r="O7" s="114">
        <v>0</v>
      </c>
      <c r="P7" s="71">
        <f t="shared" si="2"/>
        <v>3</v>
      </c>
      <c r="Q7" s="114">
        <v>0</v>
      </c>
      <c r="R7" s="114">
        <v>0</v>
      </c>
      <c r="S7" s="114">
        <v>3</v>
      </c>
      <c r="T7" s="71">
        <f t="shared" si="3"/>
        <v>3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73">
        <v>0</v>
      </c>
      <c r="AB7" s="73">
        <v>0</v>
      </c>
      <c r="AC7" s="73">
        <v>0</v>
      </c>
      <c r="AD7" s="73">
        <v>3</v>
      </c>
      <c r="AE7" s="186">
        <f t="shared" si="4"/>
        <v>3</v>
      </c>
      <c r="AF7" s="73">
        <v>0</v>
      </c>
      <c r="AG7" s="73">
        <v>0</v>
      </c>
    </row>
    <row r="8" spans="1:33">
      <c r="A8" s="243" t="s">
        <v>556</v>
      </c>
      <c r="B8" s="69">
        <v>0</v>
      </c>
      <c r="C8" s="69">
        <v>0</v>
      </c>
      <c r="D8" s="69">
        <v>1</v>
      </c>
      <c r="E8" s="69">
        <f t="shared" si="0"/>
        <v>1</v>
      </c>
      <c r="F8" s="69">
        <v>0</v>
      </c>
      <c r="G8" s="69">
        <v>0</v>
      </c>
      <c r="H8" s="69">
        <v>0</v>
      </c>
      <c r="I8" s="69">
        <v>0</v>
      </c>
      <c r="J8" s="71">
        <f t="shared" si="1"/>
        <v>0</v>
      </c>
      <c r="K8" s="114">
        <v>1</v>
      </c>
      <c r="L8" s="114">
        <v>0</v>
      </c>
      <c r="M8" s="114">
        <v>0</v>
      </c>
      <c r="N8" s="114">
        <v>0</v>
      </c>
      <c r="O8" s="114">
        <v>0</v>
      </c>
      <c r="P8" s="71">
        <f t="shared" si="2"/>
        <v>1</v>
      </c>
      <c r="Q8" s="114">
        <v>0</v>
      </c>
      <c r="R8" s="114">
        <v>0</v>
      </c>
      <c r="S8" s="114">
        <v>0</v>
      </c>
      <c r="T8" s="71">
        <f t="shared" si="3"/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73">
        <v>0</v>
      </c>
      <c r="AB8" s="73">
        <v>0</v>
      </c>
      <c r="AC8" s="73">
        <v>0</v>
      </c>
      <c r="AD8" s="73">
        <v>1</v>
      </c>
      <c r="AE8" s="186">
        <f t="shared" si="4"/>
        <v>1</v>
      </c>
      <c r="AF8" s="73">
        <v>0</v>
      </c>
      <c r="AG8" s="73">
        <v>0</v>
      </c>
    </row>
    <row r="9" spans="1:33">
      <c r="A9" s="69" t="s">
        <v>376</v>
      </c>
      <c r="B9" s="69">
        <f t="shared" ref="B9:I9" si="5">SUM(B3:B6)</f>
        <v>41</v>
      </c>
      <c r="C9" s="69">
        <f t="shared" si="5"/>
        <v>2</v>
      </c>
      <c r="D9" s="69">
        <f t="shared" si="5"/>
        <v>2</v>
      </c>
      <c r="E9" s="69">
        <f t="shared" si="5"/>
        <v>45</v>
      </c>
      <c r="F9" s="69">
        <f t="shared" si="5"/>
        <v>1</v>
      </c>
      <c r="G9" s="69">
        <f t="shared" si="5"/>
        <v>35</v>
      </c>
      <c r="H9" s="69">
        <f t="shared" si="5"/>
        <v>0</v>
      </c>
      <c r="I9" s="69">
        <f t="shared" si="5"/>
        <v>0</v>
      </c>
      <c r="J9" s="71">
        <f t="shared" si="1"/>
        <v>36</v>
      </c>
      <c r="K9" s="114">
        <f>SUM(K3:K8)</f>
        <v>11</v>
      </c>
      <c r="L9" s="114">
        <f>SUM(L3:L8)</f>
        <v>1</v>
      </c>
      <c r="M9" s="114">
        <f>SUM(M3:M6)</f>
        <v>0</v>
      </c>
      <c r="N9" s="114">
        <f>SUM(N3:N6)</f>
        <v>0</v>
      </c>
      <c r="O9" s="114">
        <f>SUM(O3:O6)</f>
        <v>2</v>
      </c>
      <c r="P9" s="71">
        <f>SUM(K9:N9)</f>
        <v>12</v>
      </c>
      <c r="Q9" s="114">
        <f t="shared" ref="Q9:AG9" si="6">SUM(Q3:Q6)</f>
        <v>0</v>
      </c>
      <c r="R9" s="114">
        <f t="shared" si="6"/>
        <v>1</v>
      </c>
      <c r="S9" s="114">
        <f t="shared" si="6"/>
        <v>43</v>
      </c>
      <c r="T9" s="71">
        <f t="shared" si="6"/>
        <v>44</v>
      </c>
      <c r="U9" s="114">
        <f t="shared" si="6"/>
        <v>0</v>
      </c>
      <c r="V9" s="114">
        <f t="shared" si="6"/>
        <v>1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114">
        <f t="shared" si="6"/>
        <v>0</v>
      </c>
      <c r="AA9" s="73">
        <f t="shared" si="6"/>
        <v>4</v>
      </c>
      <c r="AB9" s="73">
        <f t="shared" si="6"/>
        <v>0</v>
      </c>
      <c r="AC9" s="73">
        <f t="shared" si="6"/>
        <v>0</v>
      </c>
      <c r="AD9" s="73">
        <f t="shared" si="6"/>
        <v>42</v>
      </c>
      <c r="AE9" s="73">
        <f t="shared" si="6"/>
        <v>46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14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4.42578125" defaultRowHeight="15" customHeight="1"/>
  <cols>
    <col min="1" max="1" width="11.140625" customWidth="1"/>
    <col min="2" max="2" width="24.5703125" customWidth="1"/>
    <col min="3" max="3" width="9.85546875" customWidth="1"/>
    <col min="5" max="5" width="20.7109375" customWidth="1"/>
  </cols>
  <sheetData>
    <row r="1" spans="1:98">
      <c r="A1" s="197" t="s">
        <v>7454</v>
      </c>
      <c r="B1" s="143"/>
      <c r="C1" s="231" t="s">
        <v>7455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7456</v>
      </c>
      <c r="B4" s="46" t="s">
        <v>7457</v>
      </c>
      <c r="C4" s="46">
        <v>23</v>
      </c>
      <c r="D4" s="46" t="s">
        <v>7458</v>
      </c>
      <c r="E4" s="46" t="s">
        <v>7459</v>
      </c>
      <c r="F4" s="46" t="s">
        <v>2985</v>
      </c>
      <c r="J4" s="46">
        <v>1</v>
      </c>
      <c r="L4" s="46">
        <v>1</v>
      </c>
      <c r="Q4" s="46">
        <v>1</v>
      </c>
      <c r="V4" s="46">
        <v>1</v>
      </c>
      <c r="W4" s="46">
        <v>15</v>
      </c>
      <c r="X4" s="46">
        <v>22</v>
      </c>
      <c r="Y4" s="46">
        <v>0</v>
      </c>
      <c r="Z4" s="46">
        <v>0</v>
      </c>
      <c r="AA4" s="46">
        <v>0</v>
      </c>
      <c r="AB4" s="46">
        <v>0</v>
      </c>
      <c r="AC4" s="46">
        <v>1</v>
      </c>
      <c r="AI4" s="46">
        <v>1</v>
      </c>
      <c r="AK4" s="46">
        <v>1</v>
      </c>
      <c r="AT4" s="46">
        <v>1</v>
      </c>
      <c r="AW4" s="46">
        <v>1</v>
      </c>
      <c r="BA4" s="46">
        <v>1</v>
      </c>
      <c r="BO4" s="46" t="s">
        <v>7460</v>
      </c>
      <c r="BY4" s="46">
        <v>1</v>
      </c>
      <c r="CB4" s="46">
        <v>1</v>
      </c>
      <c r="CE4" s="46">
        <v>1</v>
      </c>
      <c r="CK4" s="46">
        <v>1</v>
      </c>
      <c r="CT4" s="46" t="s">
        <v>3369</v>
      </c>
    </row>
    <row r="5" spans="1:98">
      <c r="A5" s="46" t="s">
        <v>7461</v>
      </c>
      <c r="B5" s="46" t="s">
        <v>7462</v>
      </c>
      <c r="C5" s="46">
        <v>25</v>
      </c>
      <c r="D5" s="46" t="s">
        <v>7463</v>
      </c>
      <c r="E5" s="46" t="s">
        <v>7464</v>
      </c>
      <c r="F5" s="46" t="s">
        <v>5215</v>
      </c>
      <c r="G5" s="46">
        <v>1</v>
      </c>
      <c r="L5" s="46">
        <v>1</v>
      </c>
      <c r="Q5" s="46">
        <v>1</v>
      </c>
      <c r="V5" s="46">
        <v>1</v>
      </c>
      <c r="W5" s="46">
        <v>13</v>
      </c>
      <c r="X5" s="46">
        <v>18</v>
      </c>
      <c r="Y5" s="46">
        <v>0</v>
      </c>
      <c r="Z5" s="46">
        <v>0</v>
      </c>
      <c r="AA5" s="46">
        <v>0</v>
      </c>
      <c r="AB5" s="46">
        <v>0</v>
      </c>
      <c r="AC5" s="46">
        <v>1</v>
      </c>
      <c r="AI5" s="46">
        <v>1</v>
      </c>
      <c r="AL5" s="46">
        <v>1</v>
      </c>
      <c r="AO5" s="46">
        <v>1</v>
      </c>
      <c r="AQ5" s="46" t="s">
        <v>251</v>
      </c>
      <c r="AT5" s="46">
        <v>1</v>
      </c>
      <c r="AW5" s="46">
        <v>1</v>
      </c>
      <c r="BB5" s="46">
        <v>1</v>
      </c>
      <c r="BG5" s="46">
        <v>1</v>
      </c>
      <c r="BK5" s="46">
        <v>1</v>
      </c>
      <c r="CB5" s="46">
        <v>1</v>
      </c>
      <c r="CE5" s="46">
        <v>1</v>
      </c>
      <c r="CK5" s="46">
        <v>1</v>
      </c>
      <c r="CT5" s="134">
        <v>46661</v>
      </c>
    </row>
    <row r="6" spans="1:98">
      <c r="A6" s="46" t="s">
        <v>7465</v>
      </c>
      <c r="B6" s="46" t="s">
        <v>7466</v>
      </c>
      <c r="C6" s="46">
        <v>38</v>
      </c>
      <c r="D6" s="46" t="s">
        <v>2288</v>
      </c>
      <c r="E6" s="46" t="s">
        <v>7467</v>
      </c>
      <c r="F6" s="46" t="s">
        <v>5736</v>
      </c>
      <c r="M6" s="46">
        <v>1</v>
      </c>
      <c r="Q6" s="46">
        <v>1</v>
      </c>
      <c r="V6" s="46">
        <v>1</v>
      </c>
      <c r="W6" s="46">
        <v>16</v>
      </c>
      <c r="X6" s="46">
        <v>25</v>
      </c>
      <c r="Y6" s="46">
        <v>29</v>
      </c>
      <c r="Z6" s="46">
        <v>3</v>
      </c>
      <c r="AA6" s="46">
        <v>3</v>
      </c>
      <c r="AB6" s="46">
        <v>3</v>
      </c>
      <c r="AC6" s="46">
        <v>1</v>
      </c>
      <c r="AJ6" s="46">
        <v>1</v>
      </c>
      <c r="AK6" s="46">
        <v>1</v>
      </c>
      <c r="AT6" s="46">
        <v>1</v>
      </c>
      <c r="AW6" s="46">
        <v>1</v>
      </c>
      <c r="BB6" s="46">
        <v>1</v>
      </c>
      <c r="BG6" s="46">
        <v>1</v>
      </c>
      <c r="BK6" s="46">
        <v>1</v>
      </c>
      <c r="CB6" s="46">
        <v>1</v>
      </c>
      <c r="CE6" s="46">
        <v>1</v>
      </c>
      <c r="CK6" s="46">
        <v>1</v>
      </c>
      <c r="CT6" s="134">
        <v>46661</v>
      </c>
    </row>
    <row r="7" spans="1:98">
      <c r="A7" s="46" t="s">
        <v>7468</v>
      </c>
      <c r="B7" s="46" t="s">
        <v>7469</v>
      </c>
      <c r="C7" s="46">
        <v>32</v>
      </c>
      <c r="D7" s="46" t="s">
        <v>7458</v>
      </c>
      <c r="E7" s="46" t="s">
        <v>7470</v>
      </c>
      <c r="F7" s="46" t="s">
        <v>389</v>
      </c>
      <c r="J7" s="46">
        <v>1</v>
      </c>
      <c r="L7" s="46">
        <v>1</v>
      </c>
      <c r="Q7" s="46">
        <v>1</v>
      </c>
      <c r="V7" s="46">
        <v>1</v>
      </c>
      <c r="W7" s="46">
        <v>15</v>
      </c>
      <c r="X7" s="46">
        <v>20</v>
      </c>
      <c r="Y7" s="46">
        <v>21</v>
      </c>
      <c r="Z7" s="46">
        <v>1</v>
      </c>
      <c r="AA7" s="46">
        <v>1</v>
      </c>
      <c r="AB7" s="46">
        <v>1</v>
      </c>
      <c r="AC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T7" s="134">
        <v>46661</v>
      </c>
    </row>
    <row r="8" spans="1:98">
      <c r="A8" s="46" t="s">
        <v>7471</v>
      </c>
      <c r="B8" s="46" t="s">
        <v>7472</v>
      </c>
      <c r="C8" s="46">
        <v>21</v>
      </c>
      <c r="D8" s="46" t="s">
        <v>7458</v>
      </c>
      <c r="E8" s="46" t="s">
        <v>7473</v>
      </c>
      <c r="F8" s="46" t="s">
        <v>1109</v>
      </c>
      <c r="J8" s="46">
        <v>1</v>
      </c>
      <c r="L8" s="46">
        <v>1</v>
      </c>
      <c r="Q8" s="46">
        <v>1</v>
      </c>
      <c r="V8" s="46">
        <v>1</v>
      </c>
      <c r="W8" s="46">
        <v>14</v>
      </c>
      <c r="X8" s="46">
        <v>20</v>
      </c>
      <c r="Y8" s="46">
        <v>0</v>
      </c>
      <c r="Z8" s="46">
        <v>0</v>
      </c>
      <c r="AA8" s="46">
        <v>0</v>
      </c>
      <c r="AB8" s="46">
        <v>0</v>
      </c>
      <c r="AF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K8" s="46">
        <v>1</v>
      </c>
      <c r="CT8" s="134">
        <v>46661</v>
      </c>
    </row>
    <row r="9" spans="1:98">
      <c r="A9" s="46" t="s">
        <v>7474</v>
      </c>
      <c r="B9" s="46" t="s">
        <v>7475</v>
      </c>
      <c r="C9" s="46">
        <v>26</v>
      </c>
      <c r="D9" s="46" t="s">
        <v>7458</v>
      </c>
      <c r="E9" s="46" t="s">
        <v>7476</v>
      </c>
      <c r="F9" s="46" t="s">
        <v>3294</v>
      </c>
      <c r="H9" s="46">
        <v>1</v>
      </c>
      <c r="M9" s="46">
        <v>1</v>
      </c>
      <c r="Q9" s="46">
        <v>1</v>
      </c>
      <c r="V9" s="46">
        <v>1</v>
      </c>
      <c r="W9" s="46">
        <v>13</v>
      </c>
      <c r="X9" s="46">
        <v>23</v>
      </c>
      <c r="Y9" s="46">
        <v>26</v>
      </c>
      <c r="Z9" s="46">
        <v>1</v>
      </c>
      <c r="AA9" s="46">
        <v>1</v>
      </c>
      <c r="AB9" s="46">
        <v>1</v>
      </c>
      <c r="AG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T9" s="134">
        <v>46661</v>
      </c>
    </row>
    <row r="10" spans="1:98">
      <c r="A10" s="46" t="s">
        <v>7477</v>
      </c>
      <c r="B10" s="46" t="s">
        <v>7478</v>
      </c>
      <c r="C10" s="46">
        <v>42</v>
      </c>
      <c r="D10" s="46" t="s">
        <v>7458</v>
      </c>
      <c r="E10" s="46" t="s">
        <v>7479</v>
      </c>
      <c r="F10" s="46" t="s">
        <v>514</v>
      </c>
      <c r="J10" s="46">
        <v>1</v>
      </c>
      <c r="M10" s="46">
        <v>1</v>
      </c>
      <c r="Q10" s="46">
        <v>1</v>
      </c>
      <c r="T10" s="46">
        <v>1</v>
      </c>
      <c r="W10" s="46">
        <v>14</v>
      </c>
      <c r="X10" s="46">
        <v>16</v>
      </c>
      <c r="Y10" s="46">
        <v>17</v>
      </c>
      <c r="Z10" s="46">
        <v>8</v>
      </c>
      <c r="AA10" s="46">
        <v>8</v>
      </c>
      <c r="AB10" s="46">
        <v>5</v>
      </c>
      <c r="AC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G10" s="46">
        <v>1</v>
      </c>
      <c r="BK10" s="46">
        <v>1</v>
      </c>
      <c r="CB10" s="46">
        <v>1</v>
      </c>
      <c r="CE10" s="46">
        <v>1</v>
      </c>
      <c r="CL10" s="46">
        <v>1</v>
      </c>
      <c r="CS10" s="46" t="s">
        <v>2778</v>
      </c>
      <c r="CT10" s="134">
        <v>45566</v>
      </c>
    </row>
    <row r="11" spans="1:98">
      <c r="A11" s="46" t="s">
        <v>7480</v>
      </c>
      <c r="B11" s="46" t="s">
        <v>7481</v>
      </c>
      <c r="C11" s="46">
        <v>29</v>
      </c>
      <c r="D11" s="46" t="s">
        <v>7482</v>
      </c>
      <c r="E11" s="46" t="s">
        <v>7483</v>
      </c>
      <c r="F11" s="46" t="s">
        <v>3294</v>
      </c>
      <c r="H11" s="46">
        <v>1</v>
      </c>
      <c r="M11" s="46">
        <v>1</v>
      </c>
      <c r="Q11" s="46">
        <v>1</v>
      </c>
      <c r="V11" s="46">
        <v>1</v>
      </c>
      <c r="W11" s="46">
        <v>13</v>
      </c>
      <c r="X11" s="46">
        <v>23</v>
      </c>
      <c r="Y11" s="46">
        <v>28</v>
      </c>
      <c r="Z11" s="46">
        <v>0</v>
      </c>
      <c r="AA11" s="46">
        <v>0</v>
      </c>
      <c r="AB11" s="46">
        <v>0</v>
      </c>
      <c r="AC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BY11" s="46">
        <v>1</v>
      </c>
      <c r="CB11" s="46">
        <v>1</v>
      </c>
      <c r="CE11" s="46">
        <v>1</v>
      </c>
      <c r="CK11" s="46">
        <v>1</v>
      </c>
      <c r="CT11" s="134">
        <v>46661</v>
      </c>
    </row>
    <row r="12" spans="1:98">
      <c r="A12" s="46" t="s">
        <v>7484</v>
      </c>
      <c r="B12" s="46" t="s">
        <v>7485</v>
      </c>
      <c r="C12" s="46">
        <v>26</v>
      </c>
      <c r="D12" s="46" t="s">
        <v>1139</v>
      </c>
      <c r="E12" s="46" t="s">
        <v>7486</v>
      </c>
      <c r="F12" s="46" t="s">
        <v>2523</v>
      </c>
      <c r="G12" s="46">
        <v>1</v>
      </c>
      <c r="L12" s="46">
        <v>1</v>
      </c>
      <c r="Q12" s="46">
        <v>1</v>
      </c>
      <c r="V12" s="46">
        <v>1</v>
      </c>
      <c r="W12" s="46">
        <v>15</v>
      </c>
      <c r="X12" s="46">
        <v>20</v>
      </c>
      <c r="Y12" s="46">
        <v>0</v>
      </c>
      <c r="Z12" s="46">
        <v>0</v>
      </c>
      <c r="AA12" s="46">
        <v>0</v>
      </c>
      <c r="AB12" s="46">
        <v>0</v>
      </c>
      <c r="AC12" s="46">
        <v>1</v>
      </c>
      <c r="AI12" s="46">
        <v>1</v>
      </c>
      <c r="AK12" s="46">
        <v>1</v>
      </c>
      <c r="AT12" s="46">
        <v>1</v>
      </c>
      <c r="AW12" s="46">
        <v>1</v>
      </c>
      <c r="BO12" s="46" t="s">
        <v>7487</v>
      </c>
      <c r="CB12" s="46">
        <v>1</v>
      </c>
      <c r="CE12" s="46">
        <v>1</v>
      </c>
      <c r="CK12" s="46">
        <v>1</v>
      </c>
      <c r="CT12" s="46" t="s">
        <v>3307</v>
      </c>
    </row>
    <row r="13" spans="1:98">
      <c r="A13" s="46" t="s">
        <v>7488</v>
      </c>
      <c r="B13" s="46" t="s">
        <v>7489</v>
      </c>
      <c r="C13" s="46">
        <v>28</v>
      </c>
      <c r="D13" s="46" t="s">
        <v>7458</v>
      </c>
      <c r="E13" s="46" t="s">
        <v>7490</v>
      </c>
      <c r="F13" s="46" t="s">
        <v>5836</v>
      </c>
      <c r="K13" s="46">
        <v>1</v>
      </c>
      <c r="N13" s="46">
        <v>1</v>
      </c>
      <c r="Q13" s="46">
        <v>1</v>
      </c>
      <c r="V13" s="46">
        <v>1</v>
      </c>
      <c r="W13" s="46">
        <v>12</v>
      </c>
      <c r="X13" s="46">
        <v>18</v>
      </c>
      <c r="Y13" s="46">
        <v>24</v>
      </c>
      <c r="Z13" s="46">
        <v>4</v>
      </c>
      <c r="AA13" s="46">
        <v>2</v>
      </c>
      <c r="AB13" s="46">
        <v>1</v>
      </c>
      <c r="AD13" s="46">
        <v>1</v>
      </c>
      <c r="AE13" s="46">
        <v>1</v>
      </c>
      <c r="AI13" s="46">
        <v>1</v>
      </c>
      <c r="AK13" s="46">
        <v>1</v>
      </c>
      <c r="AT13" s="46">
        <v>1</v>
      </c>
      <c r="AY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T13" s="134">
        <v>46661</v>
      </c>
    </row>
    <row r="14" spans="1:98">
      <c r="A14" s="46" t="s">
        <v>7491</v>
      </c>
      <c r="B14" s="46" t="s">
        <v>7492</v>
      </c>
      <c r="C14" s="46">
        <v>24</v>
      </c>
      <c r="D14" s="46" t="s">
        <v>7493</v>
      </c>
      <c r="E14" s="46" t="s">
        <v>7494</v>
      </c>
      <c r="F14" s="46" t="s">
        <v>1145</v>
      </c>
      <c r="G14" s="46">
        <v>1</v>
      </c>
      <c r="L14" s="46">
        <v>1</v>
      </c>
      <c r="Q14" s="46">
        <v>1</v>
      </c>
      <c r="V14" s="46">
        <v>1</v>
      </c>
      <c r="W14" s="46">
        <v>13</v>
      </c>
      <c r="X14" s="46">
        <v>21</v>
      </c>
      <c r="Y14" s="46">
        <v>0</v>
      </c>
      <c r="Z14" s="46">
        <v>0</v>
      </c>
      <c r="AA14" s="46">
        <v>0</v>
      </c>
      <c r="AB14" s="46">
        <v>0</v>
      </c>
      <c r="AC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J14" s="46">
        <v>1</v>
      </c>
      <c r="BX14" s="46">
        <v>1</v>
      </c>
      <c r="CB14" s="46">
        <v>1</v>
      </c>
      <c r="CE14" s="46">
        <v>1</v>
      </c>
      <c r="CK14" s="46">
        <v>1</v>
      </c>
      <c r="CT14" s="134">
        <v>45931</v>
      </c>
    </row>
  </sheetData>
  <autoFilter ref="A3:CT14"/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topLeftCell="U1" workbookViewId="0">
      <selection activeCell="AG6" sqref="AG6"/>
    </sheetView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74" t="s">
        <v>7495</v>
      </c>
      <c r="B3" s="69">
        <v>7</v>
      </c>
      <c r="C3" s="69">
        <v>1</v>
      </c>
      <c r="D3" s="69">
        <v>0</v>
      </c>
      <c r="E3" s="69">
        <f>SUM(B3:D3)</f>
        <v>8</v>
      </c>
      <c r="F3" s="70">
        <v>1</v>
      </c>
      <c r="G3" s="70">
        <v>5</v>
      </c>
      <c r="H3" s="70">
        <v>0</v>
      </c>
      <c r="I3" s="70">
        <v>0</v>
      </c>
      <c r="J3" s="71">
        <f>SUM(F3:I3)</f>
        <v>6</v>
      </c>
      <c r="K3" s="70">
        <v>0</v>
      </c>
      <c r="L3" s="70">
        <v>0</v>
      </c>
      <c r="M3" s="70">
        <v>0</v>
      </c>
      <c r="N3" s="70">
        <v>1</v>
      </c>
      <c r="O3" s="70">
        <v>1</v>
      </c>
      <c r="P3" s="71">
        <f>SUM(K3:O3)</f>
        <v>2</v>
      </c>
      <c r="Q3" s="70">
        <v>1</v>
      </c>
      <c r="R3" s="70">
        <v>0</v>
      </c>
      <c r="S3" s="70">
        <v>2</v>
      </c>
      <c r="T3" s="71">
        <f>SUM(Q3:S3)</f>
        <v>3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/>
      <c r="AA3" s="73">
        <v>8</v>
      </c>
      <c r="AB3" s="73">
        <v>0</v>
      </c>
      <c r="AC3" s="73">
        <v>0</v>
      </c>
      <c r="AD3" s="73">
        <v>0</v>
      </c>
      <c r="AE3" s="186">
        <f>SUM(AA3,AB3,AC3,AD3)</f>
        <v>8</v>
      </c>
      <c r="AF3" s="73">
        <v>0</v>
      </c>
      <c r="AG3" s="73">
        <v>0</v>
      </c>
    </row>
    <row r="4" spans="1:33">
      <c r="A4" s="77" t="s">
        <v>3391</v>
      </c>
      <c r="B4" s="69">
        <v>2</v>
      </c>
      <c r="C4" s="69">
        <v>0</v>
      </c>
      <c r="D4" s="69">
        <v>0</v>
      </c>
      <c r="E4" s="69">
        <f>SUM(B4:D4)</f>
        <v>2</v>
      </c>
      <c r="F4" s="70">
        <v>0</v>
      </c>
      <c r="G4" s="70">
        <v>2</v>
      </c>
      <c r="H4" s="70">
        <v>0</v>
      </c>
      <c r="I4" s="70">
        <v>0</v>
      </c>
      <c r="J4" s="71">
        <f>SUM(F4:I4)</f>
        <v>2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>SUM(K4:O4)</f>
        <v>0</v>
      </c>
      <c r="Q4" s="70">
        <v>0</v>
      </c>
      <c r="R4" s="70">
        <v>0</v>
      </c>
      <c r="S4" s="70">
        <v>0</v>
      </c>
      <c r="T4" s="71">
        <f>SUM(Q4:S4)</f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2</v>
      </c>
      <c r="AB4" s="73">
        <v>0</v>
      </c>
      <c r="AC4" s="73">
        <v>0</v>
      </c>
      <c r="AD4" s="73">
        <v>0</v>
      </c>
      <c r="AE4" s="186">
        <f>SUM(AA4,AB4,AC4,AD4)</f>
        <v>2</v>
      </c>
      <c r="AF4" s="73">
        <v>0</v>
      </c>
      <c r="AG4" s="73">
        <v>0</v>
      </c>
    </row>
    <row r="5" spans="1:33">
      <c r="A5" s="77" t="s">
        <v>1171</v>
      </c>
      <c r="B5" s="69">
        <v>1</v>
      </c>
      <c r="C5" s="69">
        <v>0</v>
      </c>
      <c r="D5" s="69">
        <v>0</v>
      </c>
      <c r="E5" s="69">
        <f>SUM(B5:D5)</f>
        <v>1</v>
      </c>
      <c r="F5" s="70">
        <v>0</v>
      </c>
      <c r="G5" s="70">
        <v>1</v>
      </c>
      <c r="H5" s="70">
        <v>0</v>
      </c>
      <c r="I5" s="70">
        <v>0</v>
      </c>
      <c r="J5" s="71">
        <f>SUM(F5:I5)</f>
        <v>1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1">
        <f>SUM(K5:O5)</f>
        <v>0</v>
      </c>
      <c r="Q5" s="70">
        <v>0</v>
      </c>
      <c r="R5" s="70">
        <v>0</v>
      </c>
      <c r="S5" s="70">
        <v>0</v>
      </c>
      <c r="T5" s="71">
        <f>SUM(Q5:S5)</f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0</v>
      </c>
      <c r="AB5" s="73">
        <v>1</v>
      </c>
      <c r="AC5" s="73">
        <v>0</v>
      </c>
      <c r="AD5" s="73">
        <v>0</v>
      </c>
      <c r="AE5" s="186">
        <f>SUM(AA5,AB5,AC5,AD5)</f>
        <v>1</v>
      </c>
      <c r="AF5" s="73">
        <v>0</v>
      </c>
      <c r="AG5" s="73">
        <v>1</v>
      </c>
    </row>
    <row r="6" spans="1:33">
      <c r="A6" s="69" t="s">
        <v>376</v>
      </c>
      <c r="B6" s="69">
        <f t="shared" ref="B6:I6" si="0">SUM(B3:B5)</f>
        <v>10</v>
      </c>
      <c r="C6" s="69">
        <f t="shared" si="0"/>
        <v>1</v>
      </c>
      <c r="D6" s="69">
        <f t="shared" si="0"/>
        <v>0</v>
      </c>
      <c r="E6" s="69">
        <f t="shared" si="0"/>
        <v>11</v>
      </c>
      <c r="F6" s="69">
        <f t="shared" si="0"/>
        <v>1</v>
      </c>
      <c r="G6" s="69">
        <f t="shared" si="0"/>
        <v>8</v>
      </c>
      <c r="H6" s="69">
        <f t="shared" si="0"/>
        <v>0</v>
      </c>
      <c r="I6" s="69">
        <f t="shared" si="0"/>
        <v>0</v>
      </c>
      <c r="J6" s="71">
        <f>SUM(F6:I6)</f>
        <v>9</v>
      </c>
      <c r="K6" s="114">
        <f>SUM(K3:K5)</f>
        <v>0</v>
      </c>
      <c r="L6" s="114">
        <f>SUM(L3:L5)</f>
        <v>0</v>
      </c>
      <c r="M6" s="114">
        <f>SUM(M3:M5)</f>
        <v>0</v>
      </c>
      <c r="N6" s="114">
        <f>SUM(N3:N5)</f>
        <v>1</v>
      </c>
      <c r="O6" s="114">
        <f>SUM(O3:O5)</f>
        <v>1</v>
      </c>
      <c r="P6" s="71">
        <f>SUM(K6:O6)</f>
        <v>2</v>
      </c>
      <c r="Q6" s="114">
        <f t="shared" ref="Q6:AG6" si="1">SUM(Q3:Q5)</f>
        <v>1</v>
      </c>
      <c r="R6" s="114">
        <f t="shared" si="1"/>
        <v>0</v>
      </c>
      <c r="S6" s="114">
        <f t="shared" si="1"/>
        <v>2</v>
      </c>
      <c r="T6" s="71">
        <f t="shared" si="1"/>
        <v>3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73">
        <f t="shared" si="1"/>
        <v>10</v>
      </c>
      <c r="AB6" s="73">
        <f t="shared" si="1"/>
        <v>1</v>
      </c>
      <c r="AC6" s="73">
        <f t="shared" si="1"/>
        <v>0</v>
      </c>
      <c r="AD6" s="73">
        <f t="shared" si="1"/>
        <v>0</v>
      </c>
      <c r="AE6" s="73">
        <f t="shared" si="1"/>
        <v>11</v>
      </c>
      <c r="AF6" s="73">
        <f t="shared" si="1"/>
        <v>0</v>
      </c>
      <c r="AG6" s="73">
        <f t="shared" si="1"/>
        <v>1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38"/>
  <sheetViews>
    <sheetView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4.42578125" defaultRowHeight="15" customHeight="1"/>
  <cols>
    <col min="1" max="1" width="10.28515625" customWidth="1"/>
    <col min="2" max="2" width="23.42578125" customWidth="1"/>
    <col min="3" max="3" width="11.85546875" customWidth="1"/>
    <col min="5" max="5" width="21.28515625" customWidth="1"/>
  </cols>
  <sheetData>
    <row r="1" spans="1:98">
      <c r="A1" s="197" t="s">
        <v>7496</v>
      </c>
      <c r="B1" s="143"/>
      <c r="C1" s="231" t="s">
        <v>7497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7498</v>
      </c>
      <c r="B4" s="46" t="s">
        <v>7499</v>
      </c>
      <c r="C4" s="46">
        <v>19</v>
      </c>
      <c r="D4" s="46" t="s">
        <v>7500</v>
      </c>
      <c r="E4" s="46" t="s">
        <v>7501</v>
      </c>
      <c r="F4" s="46" t="s">
        <v>2472</v>
      </c>
      <c r="I4" s="46">
        <v>1</v>
      </c>
      <c r="M4" s="46">
        <v>1</v>
      </c>
      <c r="Q4" s="46">
        <v>1</v>
      </c>
      <c r="T4" s="46">
        <v>1</v>
      </c>
      <c r="W4" s="46">
        <v>14</v>
      </c>
      <c r="X4" s="46">
        <v>17</v>
      </c>
      <c r="Y4" s="46">
        <v>19</v>
      </c>
      <c r="Z4" s="46">
        <v>1</v>
      </c>
      <c r="AA4" s="46">
        <v>1</v>
      </c>
      <c r="AB4" s="46">
        <v>1</v>
      </c>
      <c r="AE4" s="46">
        <v>1</v>
      </c>
      <c r="AG4" s="46">
        <v>1</v>
      </c>
      <c r="AH4" s="46">
        <v>1</v>
      </c>
      <c r="AI4" s="46">
        <v>1</v>
      </c>
      <c r="AM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K4" s="46">
        <v>1</v>
      </c>
      <c r="CT4" s="134">
        <v>46661</v>
      </c>
    </row>
    <row r="5" spans="1:98">
      <c r="A5" s="46" t="s">
        <v>7502</v>
      </c>
      <c r="B5" s="46" t="s">
        <v>7503</v>
      </c>
      <c r="C5" s="46">
        <v>30</v>
      </c>
      <c r="D5" s="46" t="s">
        <v>7504</v>
      </c>
      <c r="E5" s="46" t="s">
        <v>191</v>
      </c>
      <c r="F5" s="46" t="s">
        <v>2472</v>
      </c>
      <c r="H5" s="46">
        <v>1</v>
      </c>
      <c r="M5" s="46">
        <v>1</v>
      </c>
      <c r="Q5" s="46">
        <v>1</v>
      </c>
      <c r="T5" s="46">
        <v>1</v>
      </c>
      <c r="W5" s="46">
        <v>17</v>
      </c>
      <c r="X5" s="46">
        <v>18</v>
      </c>
      <c r="Y5" s="46">
        <v>19</v>
      </c>
      <c r="Z5" s="46">
        <v>5</v>
      </c>
      <c r="AA5" s="46">
        <v>5</v>
      </c>
      <c r="AB5" s="46">
        <v>3</v>
      </c>
      <c r="AE5" s="46">
        <v>1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K5" s="46">
        <v>1</v>
      </c>
      <c r="CT5" s="134">
        <v>46661</v>
      </c>
    </row>
    <row r="6" spans="1:98">
      <c r="A6" s="46" t="s">
        <v>7505</v>
      </c>
      <c r="B6" s="46" t="s">
        <v>7506</v>
      </c>
      <c r="C6" s="46">
        <v>32</v>
      </c>
      <c r="D6" s="46" t="s">
        <v>7504</v>
      </c>
      <c r="E6" s="46" t="s">
        <v>7507</v>
      </c>
      <c r="F6" s="46" t="s">
        <v>2472</v>
      </c>
      <c r="I6" s="46">
        <v>1</v>
      </c>
      <c r="M6" s="46">
        <v>1</v>
      </c>
      <c r="Q6" s="46">
        <v>1</v>
      </c>
      <c r="T6" s="46">
        <v>1</v>
      </c>
      <c r="W6" s="46">
        <v>15</v>
      </c>
      <c r="X6" s="46">
        <v>19</v>
      </c>
      <c r="Y6" s="46">
        <v>20</v>
      </c>
      <c r="Z6" s="46">
        <v>7</v>
      </c>
      <c r="AA6" s="46">
        <v>6</v>
      </c>
      <c r="AB6" s="46">
        <v>6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BY6" s="46">
        <v>1</v>
      </c>
      <c r="CB6" s="46">
        <v>1</v>
      </c>
      <c r="CE6" s="46">
        <v>1</v>
      </c>
      <c r="CK6" s="46">
        <v>1</v>
      </c>
      <c r="CT6" s="134">
        <v>46661</v>
      </c>
    </row>
    <row r="7" spans="1:98">
      <c r="A7" s="46" t="s">
        <v>7508</v>
      </c>
      <c r="B7" s="46" t="s">
        <v>7509</v>
      </c>
      <c r="C7" s="46">
        <v>20</v>
      </c>
      <c r="D7" s="46" t="s">
        <v>7510</v>
      </c>
      <c r="E7" s="46" t="s">
        <v>7511</v>
      </c>
      <c r="F7" s="46" t="s">
        <v>662</v>
      </c>
      <c r="J7" s="46">
        <v>1</v>
      </c>
      <c r="M7" s="46">
        <v>1</v>
      </c>
      <c r="Q7" s="46">
        <v>1</v>
      </c>
      <c r="T7" s="46">
        <v>1</v>
      </c>
      <c r="W7" s="46">
        <v>17</v>
      </c>
      <c r="X7" s="46">
        <v>18</v>
      </c>
      <c r="Y7" s="46">
        <v>18</v>
      </c>
      <c r="Z7" s="46">
        <v>2</v>
      </c>
      <c r="AA7" s="46">
        <v>2</v>
      </c>
      <c r="AB7" s="46">
        <v>2</v>
      </c>
      <c r="AD7" s="46">
        <v>1</v>
      </c>
      <c r="AG7" s="46">
        <v>1</v>
      </c>
      <c r="AH7" s="46">
        <v>1</v>
      </c>
      <c r="AJ7" s="46">
        <v>1</v>
      </c>
      <c r="AM7" s="46">
        <v>1</v>
      </c>
      <c r="AT7" s="46">
        <v>1</v>
      </c>
      <c r="AW7" s="46">
        <v>1</v>
      </c>
      <c r="BA7" s="46">
        <v>1</v>
      </c>
      <c r="BK7" s="46">
        <v>1</v>
      </c>
      <c r="CB7" s="46">
        <v>1</v>
      </c>
      <c r="CE7" s="46">
        <v>1</v>
      </c>
      <c r="CK7" s="46">
        <v>1</v>
      </c>
      <c r="CT7" s="134">
        <v>46661</v>
      </c>
    </row>
    <row r="8" spans="1:98">
      <c r="A8" s="46" t="s">
        <v>7512</v>
      </c>
      <c r="B8" s="46" t="s">
        <v>7513</v>
      </c>
      <c r="C8" s="46">
        <v>23</v>
      </c>
      <c r="D8" s="46" t="s">
        <v>7514</v>
      </c>
      <c r="E8" s="46" t="s">
        <v>7515</v>
      </c>
      <c r="F8" s="46" t="s">
        <v>2472</v>
      </c>
      <c r="G8" s="46">
        <v>1</v>
      </c>
      <c r="M8" s="46">
        <v>1</v>
      </c>
      <c r="Q8" s="46">
        <v>1</v>
      </c>
      <c r="T8" s="46">
        <v>1</v>
      </c>
      <c r="W8" s="46">
        <v>15</v>
      </c>
      <c r="X8" s="46">
        <v>17</v>
      </c>
      <c r="Y8" s="46">
        <v>17</v>
      </c>
      <c r="Z8" s="46">
        <v>3</v>
      </c>
      <c r="AA8" s="46">
        <v>3</v>
      </c>
      <c r="AB8" s="46">
        <v>3</v>
      </c>
      <c r="AG8" s="46">
        <v>1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B8" s="46">
        <v>1</v>
      </c>
      <c r="BG8" s="46">
        <v>1</v>
      </c>
      <c r="CC8" s="46">
        <v>1</v>
      </c>
      <c r="CD8" s="134">
        <v>45413</v>
      </c>
      <c r="CF8" s="46">
        <v>1</v>
      </c>
      <c r="CK8" s="46">
        <v>1</v>
      </c>
    </row>
    <row r="9" spans="1:98">
      <c r="A9" s="46" t="s">
        <v>7516</v>
      </c>
      <c r="B9" s="46" t="s">
        <v>4444</v>
      </c>
      <c r="C9" s="46">
        <v>27</v>
      </c>
      <c r="D9" s="46" t="s">
        <v>7510</v>
      </c>
      <c r="E9" s="46" t="s">
        <v>7517</v>
      </c>
      <c r="F9" s="46" t="s">
        <v>2472</v>
      </c>
      <c r="G9" s="46">
        <v>1</v>
      </c>
      <c r="M9" s="46">
        <v>1</v>
      </c>
      <c r="Q9" s="46">
        <v>1</v>
      </c>
      <c r="U9" s="46">
        <v>1</v>
      </c>
      <c r="W9" s="46">
        <v>15</v>
      </c>
      <c r="X9" s="46">
        <v>18</v>
      </c>
      <c r="Y9" s="46">
        <v>19</v>
      </c>
      <c r="Z9" s="46">
        <v>2</v>
      </c>
      <c r="AA9" s="46">
        <v>2</v>
      </c>
      <c r="AB9" s="46">
        <v>2</v>
      </c>
      <c r="AG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J9" s="46">
        <v>1</v>
      </c>
      <c r="BX9" s="46">
        <v>1</v>
      </c>
      <c r="BY9" s="46">
        <v>1</v>
      </c>
      <c r="CB9" s="46">
        <v>1</v>
      </c>
      <c r="CE9" s="46">
        <v>1</v>
      </c>
      <c r="CK9" s="46">
        <v>1</v>
      </c>
      <c r="CT9" s="134">
        <v>45931</v>
      </c>
    </row>
    <row r="10" spans="1:98">
      <c r="A10" s="46" t="s">
        <v>7518</v>
      </c>
      <c r="B10" s="46" t="s">
        <v>7519</v>
      </c>
      <c r="C10" s="46">
        <v>27</v>
      </c>
      <c r="D10" s="46" t="s">
        <v>7514</v>
      </c>
      <c r="E10" s="46" t="s">
        <v>7520</v>
      </c>
      <c r="F10" s="46" t="s">
        <v>2472</v>
      </c>
      <c r="G10" s="46">
        <v>1</v>
      </c>
      <c r="M10" s="46">
        <v>1</v>
      </c>
      <c r="Q10" s="46">
        <v>1</v>
      </c>
      <c r="T10" s="46">
        <v>1</v>
      </c>
      <c r="W10" s="46">
        <v>14</v>
      </c>
      <c r="X10" s="46">
        <v>17</v>
      </c>
      <c r="Y10" s="46">
        <v>17</v>
      </c>
      <c r="Z10" s="46">
        <v>4</v>
      </c>
      <c r="AA10" s="46">
        <v>4</v>
      </c>
      <c r="AB10" s="46">
        <v>4</v>
      </c>
      <c r="AD10" s="46">
        <v>1</v>
      </c>
      <c r="AE10" s="46">
        <v>1</v>
      </c>
      <c r="AG10" s="46">
        <v>1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A10" s="46">
        <v>1</v>
      </c>
      <c r="BO10" s="46" t="s">
        <v>7521</v>
      </c>
      <c r="BQ10" s="46" t="s">
        <v>7522</v>
      </c>
      <c r="CB10" s="46">
        <v>1</v>
      </c>
      <c r="CE10" s="46">
        <v>1</v>
      </c>
      <c r="CK10" s="46">
        <v>1</v>
      </c>
      <c r="CT10" s="46" t="s">
        <v>3369</v>
      </c>
    </row>
    <row r="11" spans="1:98">
      <c r="A11" s="46" t="s">
        <v>7523</v>
      </c>
      <c r="B11" s="46" t="s">
        <v>7524</v>
      </c>
      <c r="C11" s="46">
        <v>47</v>
      </c>
      <c r="D11" s="46" t="s">
        <v>7525</v>
      </c>
      <c r="E11" s="46" t="s">
        <v>7526</v>
      </c>
      <c r="F11" s="46" t="s">
        <v>2472</v>
      </c>
      <c r="H11" s="46">
        <v>1</v>
      </c>
      <c r="M11" s="46">
        <v>1</v>
      </c>
      <c r="R11" s="46">
        <v>1</v>
      </c>
      <c r="S11" s="46">
        <v>1</v>
      </c>
      <c r="W11" s="46">
        <v>16</v>
      </c>
      <c r="X11" s="46">
        <v>18</v>
      </c>
      <c r="Y11" s="46">
        <v>18</v>
      </c>
      <c r="Z11" s="46">
        <v>6</v>
      </c>
      <c r="AA11" s="46">
        <v>6</v>
      </c>
      <c r="AB11" s="46">
        <v>6</v>
      </c>
      <c r="AE11" s="46">
        <v>1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BY11" s="46">
        <v>1</v>
      </c>
      <c r="CB11" s="46">
        <v>1</v>
      </c>
      <c r="CE11" s="46">
        <v>1</v>
      </c>
      <c r="CK11" s="46">
        <v>1</v>
      </c>
      <c r="CT11" s="134">
        <v>46661</v>
      </c>
    </row>
    <row r="12" spans="1:98">
      <c r="A12" s="46" t="s">
        <v>7527</v>
      </c>
      <c r="B12" s="46" t="s">
        <v>7528</v>
      </c>
      <c r="C12" s="46">
        <v>38</v>
      </c>
      <c r="D12" s="46" t="s">
        <v>7529</v>
      </c>
      <c r="E12" s="46" t="s">
        <v>191</v>
      </c>
      <c r="F12" s="46" t="s">
        <v>2472</v>
      </c>
      <c r="H12" s="46">
        <v>1</v>
      </c>
      <c r="M12" s="46">
        <v>1</v>
      </c>
      <c r="Q12" s="46">
        <v>1</v>
      </c>
      <c r="T12" s="46">
        <v>1</v>
      </c>
      <c r="W12" s="46">
        <v>15</v>
      </c>
      <c r="X12" s="46">
        <v>18</v>
      </c>
      <c r="Y12" s="46">
        <v>19</v>
      </c>
      <c r="Z12" s="46">
        <v>7</v>
      </c>
      <c r="AA12" s="46">
        <v>7</v>
      </c>
      <c r="AB12" s="46">
        <v>7</v>
      </c>
      <c r="AD12" s="46">
        <v>1</v>
      </c>
      <c r="AE12" s="46">
        <v>1</v>
      </c>
      <c r="AG12" s="46">
        <v>1</v>
      </c>
      <c r="AH12" s="46">
        <v>1</v>
      </c>
      <c r="AJ12" s="46">
        <v>1</v>
      </c>
      <c r="AM12" s="46">
        <v>1</v>
      </c>
      <c r="AT12" s="46">
        <v>1</v>
      </c>
      <c r="AW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K12" s="46">
        <v>1</v>
      </c>
      <c r="CT12" s="134">
        <v>46661</v>
      </c>
    </row>
    <row r="13" spans="1:98">
      <c r="A13" s="46" t="s">
        <v>7530</v>
      </c>
      <c r="B13" s="46" t="s">
        <v>7531</v>
      </c>
      <c r="C13" s="46">
        <v>19</v>
      </c>
      <c r="D13" s="46" t="s">
        <v>7532</v>
      </c>
      <c r="E13" s="46" t="s">
        <v>191</v>
      </c>
      <c r="F13" s="46" t="s">
        <v>2472</v>
      </c>
      <c r="I13" s="46">
        <v>1</v>
      </c>
      <c r="M13" s="46">
        <v>1</v>
      </c>
      <c r="Q13" s="46">
        <v>1</v>
      </c>
      <c r="U13" s="46">
        <v>1</v>
      </c>
      <c r="W13" s="46">
        <v>16</v>
      </c>
      <c r="X13" s="46">
        <v>17</v>
      </c>
      <c r="Y13" s="46">
        <v>18</v>
      </c>
      <c r="Z13" s="46">
        <v>1</v>
      </c>
      <c r="AA13" s="46">
        <v>1</v>
      </c>
      <c r="AB13" s="46">
        <v>1</v>
      </c>
      <c r="AE13" s="46">
        <v>1</v>
      </c>
      <c r="AH13" s="46">
        <v>1</v>
      </c>
      <c r="AI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BY13" s="46">
        <v>1</v>
      </c>
      <c r="CB13" s="46">
        <v>1</v>
      </c>
      <c r="CE13" s="46">
        <v>1</v>
      </c>
      <c r="CK13" s="46">
        <v>1</v>
      </c>
      <c r="CT13" s="134">
        <v>46661</v>
      </c>
    </row>
    <row r="14" spans="1:98">
      <c r="A14" s="46" t="s">
        <v>7533</v>
      </c>
      <c r="B14" s="46" t="s">
        <v>7534</v>
      </c>
      <c r="C14" s="46">
        <v>23</v>
      </c>
      <c r="D14" s="46" t="s">
        <v>7535</v>
      </c>
      <c r="E14" s="46" t="s">
        <v>7536</v>
      </c>
      <c r="F14" s="46" t="s">
        <v>662</v>
      </c>
      <c r="H14" s="46">
        <v>1</v>
      </c>
      <c r="M14" s="46">
        <v>1</v>
      </c>
      <c r="Q14" s="46">
        <v>1</v>
      </c>
      <c r="T14" s="46">
        <v>1</v>
      </c>
      <c r="W14" s="46">
        <v>15</v>
      </c>
      <c r="X14" s="46">
        <v>17</v>
      </c>
      <c r="Y14" s="46">
        <v>19</v>
      </c>
      <c r="Z14" s="46">
        <v>2</v>
      </c>
      <c r="AA14" s="46">
        <v>2</v>
      </c>
      <c r="AB14" s="46">
        <v>2</v>
      </c>
      <c r="AE14" s="46">
        <v>1</v>
      </c>
      <c r="AG14" s="46">
        <v>1</v>
      </c>
      <c r="AJ14" s="46">
        <v>1</v>
      </c>
      <c r="AM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T14" s="134">
        <v>46661</v>
      </c>
    </row>
    <row r="15" spans="1:98">
      <c r="A15" s="46" t="s">
        <v>7537</v>
      </c>
      <c r="B15" s="46" t="s">
        <v>7538</v>
      </c>
      <c r="C15" s="46">
        <v>31</v>
      </c>
      <c r="D15" s="46" t="s">
        <v>7504</v>
      </c>
      <c r="E15" s="46" t="s">
        <v>7539</v>
      </c>
      <c r="F15" s="46" t="s">
        <v>2472</v>
      </c>
      <c r="H15" s="46">
        <v>1</v>
      </c>
      <c r="M15" s="46">
        <v>1</v>
      </c>
      <c r="Q15" s="46">
        <v>1</v>
      </c>
      <c r="T15" s="46">
        <v>1</v>
      </c>
      <c r="W15" s="46">
        <v>13</v>
      </c>
      <c r="X15" s="46">
        <v>17</v>
      </c>
      <c r="Y15" s="46">
        <v>18</v>
      </c>
      <c r="Z15" s="46">
        <v>5</v>
      </c>
      <c r="AA15" s="46">
        <v>5</v>
      </c>
      <c r="AB15" s="46">
        <v>5</v>
      </c>
      <c r="AE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CB15" s="46">
        <v>1</v>
      </c>
      <c r="CE15" s="46">
        <v>1</v>
      </c>
      <c r="CK15" s="46">
        <v>1</v>
      </c>
      <c r="CT15" s="134">
        <v>46661</v>
      </c>
    </row>
    <row r="16" spans="1:98">
      <c r="A16" s="46" t="s">
        <v>7540</v>
      </c>
      <c r="B16" s="46" t="s">
        <v>7541</v>
      </c>
      <c r="C16" s="46">
        <v>25</v>
      </c>
      <c r="D16" s="46" t="s">
        <v>7542</v>
      </c>
      <c r="E16" s="46" t="s">
        <v>191</v>
      </c>
      <c r="F16" s="46" t="s">
        <v>662</v>
      </c>
      <c r="J16" s="46">
        <v>1</v>
      </c>
      <c r="M16" s="46">
        <v>1</v>
      </c>
      <c r="Q16" s="46">
        <v>1</v>
      </c>
      <c r="T16" s="46">
        <v>1</v>
      </c>
      <c r="W16" s="46">
        <v>16</v>
      </c>
      <c r="X16" s="46">
        <v>19</v>
      </c>
      <c r="Y16" s="46">
        <v>19</v>
      </c>
      <c r="Z16" s="46">
        <v>2</v>
      </c>
      <c r="AA16" s="46">
        <v>2</v>
      </c>
      <c r="AB16" s="46">
        <v>2</v>
      </c>
      <c r="AE16" s="46">
        <v>1</v>
      </c>
      <c r="AG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K16" s="46">
        <v>1</v>
      </c>
      <c r="CT16" s="134">
        <v>46661</v>
      </c>
    </row>
    <row r="17" spans="1:98">
      <c r="A17" s="46" t="s">
        <v>7543</v>
      </c>
      <c r="B17" s="46" t="s">
        <v>6379</v>
      </c>
      <c r="C17" s="46">
        <v>39</v>
      </c>
      <c r="D17" s="46" t="s">
        <v>7504</v>
      </c>
      <c r="E17" s="46" t="s">
        <v>7544</v>
      </c>
      <c r="F17" s="46" t="s">
        <v>2472</v>
      </c>
      <c r="H17" s="46">
        <v>1</v>
      </c>
      <c r="M17" s="46">
        <v>1</v>
      </c>
      <c r="R17" s="46">
        <v>1</v>
      </c>
      <c r="T17" s="46">
        <v>1</v>
      </c>
      <c r="W17" s="46">
        <v>17</v>
      </c>
      <c r="X17" s="46">
        <v>17</v>
      </c>
      <c r="Y17" s="46">
        <v>18</v>
      </c>
      <c r="Z17" s="46">
        <v>7</v>
      </c>
      <c r="AA17" s="46">
        <v>7</v>
      </c>
      <c r="AB17" s="46">
        <v>7</v>
      </c>
      <c r="AE17" s="46">
        <v>1</v>
      </c>
      <c r="AG17" s="46">
        <v>1</v>
      </c>
      <c r="AH17" s="46">
        <v>1</v>
      </c>
      <c r="AJ17" s="46">
        <v>1</v>
      </c>
      <c r="AK17" s="46">
        <v>1</v>
      </c>
      <c r="AT17" s="46">
        <v>1</v>
      </c>
      <c r="AW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T17" s="134">
        <v>46661</v>
      </c>
    </row>
    <row r="18" spans="1:98">
      <c r="A18" s="46" t="s">
        <v>7545</v>
      </c>
      <c r="B18" s="46" t="s">
        <v>2400</v>
      </c>
      <c r="C18" s="46">
        <v>45</v>
      </c>
      <c r="D18" s="46" t="s">
        <v>7546</v>
      </c>
      <c r="E18" s="46" t="s">
        <v>7547</v>
      </c>
      <c r="F18" s="46" t="s">
        <v>2472</v>
      </c>
      <c r="H18" s="46">
        <v>1</v>
      </c>
      <c r="P18" s="46">
        <v>1</v>
      </c>
      <c r="Q18" s="46">
        <v>1</v>
      </c>
      <c r="S18" s="46">
        <v>1</v>
      </c>
      <c r="W18" s="46">
        <v>15</v>
      </c>
      <c r="X18" s="46">
        <v>17</v>
      </c>
      <c r="Y18" s="46">
        <v>20</v>
      </c>
      <c r="Z18" s="46">
        <v>7</v>
      </c>
      <c r="AA18" s="46">
        <v>7</v>
      </c>
      <c r="AB18" s="46">
        <v>7</v>
      </c>
      <c r="AD18" s="46">
        <v>1</v>
      </c>
      <c r="AE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BY18" s="46">
        <v>1</v>
      </c>
      <c r="CB18" s="46">
        <v>1</v>
      </c>
      <c r="CE18" s="46">
        <v>1</v>
      </c>
      <c r="CK18" s="46">
        <v>1</v>
      </c>
      <c r="CT18" s="134">
        <v>46661</v>
      </c>
    </row>
    <row r="19" spans="1:98">
      <c r="A19" s="46" t="s">
        <v>7548</v>
      </c>
      <c r="B19" s="46" t="s">
        <v>7549</v>
      </c>
      <c r="C19" s="46">
        <v>44</v>
      </c>
      <c r="D19" s="46" t="s">
        <v>7504</v>
      </c>
      <c r="E19" s="46" t="s">
        <v>191</v>
      </c>
      <c r="F19" s="46" t="s">
        <v>662</v>
      </c>
      <c r="G19" s="46">
        <v>1</v>
      </c>
      <c r="M19" s="46">
        <v>1</v>
      </c>
      <c r="Q19" s="46">
        <v>1</v>
      </c>
      <c r="T19" s="46">
        <v>1</v>
      </c>
      <c r="W19" s="46">
        <v>10</v>
      </c>
      <c r="X19" s="46">
        <v>10</v>
      </c>
      <c r="Y19" s="46">
        <v>14</v>
      </c>
      <c r="Z19" s="46">
        <v>4</v>
      </c>
      <c r="AA19" s="46">
        <v>4</v>
      </c>
      <c r="AB19" s="46">
        <v>4</v>
      </c>
      <c r="AD19" s="46">
        <v>1</v>
      </c>
      <c r="AE19" s="46">
        <v>1</v>
      </c>
      <c r="AG19" s="46">
        <v>1</v>
      </c>
      <c r="AH19" s="46">
        <v>1</v>
      </c>
      <c r="AJ19" s="46">
        <v>1</v>
      </c>
      <c r="AK19" s="46">
        <v>1</v>
      </c>
      <c r="AT19" s="46">
        <v>1</v>
      </c>
      <c r="AW19" s="46">
        <v>1</v>
      </c>
      <c r="BB19" s="46">
        <v>1</v>
      </c>
      <c r="BG19" s="46">
        <v>1</v>
      </c>
      <c r="BK19" s="46">
        <v>1</v>
      </c>
      <c r="CB19" s="46">
        <v>1</v>
      </c>
      <c r="CE19" s="46">
        <v>1</v>
      </c>
      <c r="CK19" s="46">
        <v>1</v>
      </c>
      <c r="CT19" s="134">
        <v>46661</v>
      </c>
    </row>
    <row r="20" spans="1:98">
      <c r="A20" s="46" t="s">
        <v>7550</v>
      </c>
      <c r="B20" s="46" t="s">
        <v>7551</v>
      </c>
      <c r="C20" s="46">
        <v>30</v>
      </c>
      <c r="D20" s="46" t="s">
        <v>7552</v>
      </c>
      <c r="E20" s="46" t="s">
        <v>7553</v>
      </c>
      <c r="F20" s="46" t="s">
        <v>2472</v>
      </c>
      <c r="I20" s="46">
        <v>1</v>
      </c>
      <c r="M20" s="46">
        <v>1</v>
      </c>
      <c r="R20" s="46">
        <v>1</v>
      </c>
      <c r="S20" s="46">
        <v>1</v>
      </c>
      <c r="W20" s="46">
        <v>14</v>
      </c>
      <c r="X20" s="46">
        <v>18</v>
      </c>
      <c r="Y20" s="46">
        <v>20</v>
      </c>
      <c r="Z20" s="46">
        <v>6</v>
      </c>
      <c r="AA20" s="46">
        <v>6</v>
      </c>
      <c r="AB20" s="46">
        <v>6</v>
      </c>
      <c r="AG20" s="46">
        <v>1</v>
      </c>
      <c r="AH20" s="46">
        <v>1</v>
      </c>
      <c r="AJ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T20" s="134">
        <v>46661</v>
      </c>
    </row>
    <row r="21" spans="1:98">
      <c r="A21" s="46" t="s">
        <v>7554</v>
      </c>
      <c r="B21" s="46" t="s">
        <v>7555</v>
      </c>
      <c r="C21" s="46">
        <v>34</v>
      </c>
      <c r="D21" s="46" t="s">
        <v>7532</v>
      </c>
      <c r="E21" s="46" t="s">
        <v>7556</v>
      </c>
      <c r="F21" s="46" t="s">
        <v>662</v>
      </c>
      <c r="H21" s="46">
        <v>1</v>
      </c>
      <c r="M21" s="46">
        <v>1</v>
      </c>
      <c r="Q21" s="46">
        <v>1</v>
      </c>
      <c r="T21" s="46">
        <v>1</v>
      </c>
      <c r="W21" s="46">
        <v>16</v>
      </c>
      <c r="X21" s="46">
        <v>20</v>
      </c>
      <c r="Y21" s="46">
        <v>20</v>
      </c>
      <c r="Z21" s="46">
        <v>9</v>
      </c>
      <c r="AA21" s="46">
        <v>9</v>
      </c>
      <c r="AB21" s="46">
        <v>9</v>
      </c>
      <c r="AE21" s="46">
        <v>1</v>
      </c>
      <c r="AG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T21" s="134">
        <v>46661</v>
      </c>
    </row>
    <row r="22" spans="1:98">
      <c r="A22" s="46" t="s">
        <v>7557</v>
      </c>
      <c r="B22" s="46" t="s">
        <v>7558</v>
      </c>
      <c r="C22" s="46">
        <v>27</v>
      </c>
      <c r="D22" s="46" t="s">
        <v>7559</v>
      </c>
      <c r="E22" s="46" t="s">
        <v>191</v>
      </c>
      <c r="F22" s="46" t="s">
        <v>2472</v>
      </c>
      <c r="J22" s="46">
        <v>1</v>
      </c>
      <c r="M22" s="46">
        <v>1</v>
      </c>
      <c r="Q22" s="46">
        <v>1</v>
      </c>
      <c r="T22" s="46">
        <v>1</v>
      </c>
      <c r="W22" s="46">
        <v>14</v>
      </c>
      <c r="X22" s="46">
        <v>14</v>
      </c>
      <c r="Y22" s="46">
        <v>16</v>
      </c>
      <c r="Z22" s="46">
        <v>4</v>
      </c>
      <c r="AA22" s="46">
        <v>4</v>
      </c>
      <c r="AB22" s="46">
        <v>4</v>
      </c>
      <c r="AG22" s="46">
        <v>1</v>
      </c>
      <c r="AH22" s="46">
        <v>1</v>
      </c>
      <c r="AJ22" s="46">
        <v>1</v>
      </c>
      <c r="AM22" s="46">
        <v>1</v>
      </c>
      <c r="AT22" s="46">
        <v>1</v>
      </c>
      <c r="AW22" s="46">
        <v>1</v>
      </c>
      <c r="BA22" s="46">
        <v>1</v>
      </c>
      <c r="BK22" s="46">
        <v>1</v>
      </c>
      <c r="BY22" s="46">
        <v>1</v>
      </c>
      <c r="CB22" s="46">
        <v>1</v>
      </c>
      <c r="CE22" s="46">
        <v>1</v>
      </c>
      <c r="CK22" s="46">
        <v>1</v>
      </c>
      <c r="CT22" s="134">
        <v>46661</v>
      </c>
    </row>
    <row r="23" spans="1:98">
      <c r="A23" s="46" t="s">
        <v>7560</v>
      </c>
      <c r="B23" s="46" t="s">
        <v>7561</v>
      </c>
      <c r="C23" s="46">
        <v>40</v>
      </c>
      <c r="D23" s="46" t="s">
        <v>7552</v>
      </c>
      <c r="E23" s="46" t="s">
        <v>191</v>
      </c>
      <c r="F23" s="46" t="s">
        <v>7562</v>
      </c>
      <c r="G23" s="46">
        <v>1</v>
      </c>
      <c r="M23" s="46">
        <v>1</v>
      </c>
      <c r="Q23" s="46">
        <v>1</v>
      </c>
      <c r="S23" s="46">
        <v>1</v>
      </c>
      <c r="W23" s="46">
        <v>14</v>
      </c>
      <c r="X23" s="46">
        <v>18</v>
      </c>
      <c r="Y23" s="46">
        <v>19</v>
      </c>
      <c r="Z23" s="46">
        <v>7</v>
      </c>
      <c r="AA23" s="46">
        <v>7</v>
      </c>
      <c r="AB23" s="46">
        <v>7</v>
      </c>
      <c r="AD23" s="46">
        <v>1</v>
      </c>
      <c r="AE23" s="46">
        <v>1</v>
      </c>
      <c r="AG23" s="46">
        <v>1</v>
      </c>
      <c r="AH23" s="46">
        <v>1</v>
      </c>
      <c r="AJ23" s="46">
        <v>1</v>
      </c>
      <c r="AK23" s="46">
        <v>1</v>
      </c>
      <c r="AT23" s="46">
        <v>1</v>
      </c>
      <c r="AX23" s="46">
        <v>1</v>
      </c>
      <c r="BA23" s="46">
        <v>1</v>
      </c>
      <c r="BK23" s="46">
        <v>1</v>
      </c>
      <c r="BY23" s="46">
        <v>1</v>
      </c>
      <c r="CB23" s="46">
        <v>1</v>
      </c>
      <c r="CE23" s="46">
        <v>1</v>
      </c>
      <c r="CK23" s="46">
        <v>1</v>
      </c>
      <c r="CT23" s="134">
        <v>46661</v>
      </c>
    </row>
    <row r="24" spans="1:98">
      <c r="A24" s="46" t="s">
        <v>7563</v>
      </c>
      <c r="B24" s="46" t="s">
        <v>1696</v>
      </c>
      <c r="C24" s="46">
        <v>23</v>
      </c>
      <c r="D24" s="46" t="s">
        <v>7546</v>
      </c>
      <c r="E24" s="46" t="s">
        <v>7564</v>
      </c>
      <c r="F24" s="46" t="s">
        <v>2472</v>
      </c>
      <c r="G24" s="46">
        <v>1</v>
      </c>
      <c r="M24" s="46">
        <v>1</v>
      </c>
      <c r="Q24" s="46">
        <v>1</v>
      </c>
      <c r="U24" s="46">
        <v>1</v>
      </c>
      <c r="W24" s="46">
        <v>15</v>
      </c>
      <c r="X24" s="46">
        <v>18</v>
      </c>
      <c r="Y24" s="46">
        <v>19</v>
      </c>
      <c r="Z24" s="46">
        <v>2</v>
      </c>
      <c r="AA24" s="46">
        <v>2</v>
      </c>
      <c r="AB24" s="46">
        <v>2</v>
      </c>
      <c r="AC24" s="46">
        <v>1</v>
      </c>
      <c r="AJ24" s="46">
        <v>1</v>
      </c>
      <c r="AK24" s="46">
        <v>1</v>
      </c>
      <c r="AT24" s="46">
        <v>1</v>
      </c>
      <c r="AW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T24" s="134">
        <v>46661</v>
      </c>
    </row>
    <row r="25" spans="1:98">
      <c r="A25" s="46" t="s">
        <v>7565</v>
      </c>
      <c r="B25" s="46" t="s">
        <v>7566</v>
      </c>
      <c r="C25" s="46">
        <v>35</v>
      </c>
      <c r="D25" s="46" t="s">
        <v>7504</v>
      </c>
      <c r="E25" s="46" t="s">
        <v>191</v>
      </c>
      <c r="F25" s="46" t="s">
        <v>662</v>
      </c>
      <c r="H25" s="46">
        <v>1</v>
      </c>
      <c r="M25" s="46">
        <v>1</v>
      </c>
      <c r="R25" s="46">
        <v>1</v>
      </c>
      <c r="T25" s="46">
        <v>1</v>
      </c>
      <c r="W25" s="46">
        <v>20</v>
      </c>
      <c r="X25" s="46">
        <v>24</v>
      </c>
      <c r="Y25" s="46">
        <v>24</v>
      </c>
      <c r="Z25" s="46">
        <v>8</v>
      </c>
      <c r="AA25" s="46">
        <v>8</v>
      </c>
      <c r="AB25" s="46">
        <v>6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CB25" s="46">
        <v>1</v>
      </c>
      <c r="CE25" s="46">
        <v>1</v>
      </c>
      <c r="CK25" s="46">
        <v>1</v>
      </c>
      <c r="CT25" s="134">
        <v>46661</v>
      </c>
    </row>
    <row r="26" spans="1:98">
      <c r="A26" s="46" t="s">
        <v>7567</v>
      </c>
      <c r="B26" s="46" t="s">
        <v>7568</v>
      </c>
      <c r="C26" s="46">
        <v>28</v>
      </c>
      <c r="D26" s="46" t="s">
        <v>7504</v>
      </c>
      <c r="E26" s="46" t="s">
        <v>7569</v>
      </c>
      <c r="F26" s="46" t="s">
        <v>1045</v>
      </c>
      <c r="G26" s="46">
        <v>1</v>
      </c>
      <c r="M26" s="46">
        <v>1</v>
      </c>
      <c r="R26" s="46">
        <v>1</v>
      </c>
      <c r="S26" s="46">
        <v>1</v>
      </c>
      <c r="W26" s="46">
        <v>12</v>
      </c>
      <c r="X26" s="46">
        <v>14</v>
      </c>
      <c r="Y26" s="46">
        <v>16</v>
      </c>
      <c r="Z26" s="46">
        <v>6</v>
      </c>
      <c r="AA26" s="46">
        <v>5</v>
      </c>
      <c r="AB26" s="46">
        <v>5</v>
      </c>
      <c r="AC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T26" s="134">
        <v>46661</v>
      </c>
    </row>
    <row r="27" spans="1:98">
      <c r="A27" s="46" t="s">
        <v>7570</v>
      </c>
      <c r="B27" s="46" t="s">
        <v>7571</v>
      </c>
      <c r="C27" s="46">
        <v>32</v>
      </c>
      <c r="D27" s="46" t="s">
        <v>7504</v>
      </c>
      <c r="E27" s="46" t="s">
        <v>191</v>
      </c>
      <c r="F27" s="46" t="s">
        <v>662</v>
      </c>
      <c r="J27" s="46">
        <v>1</v>
      </c>
      <c r="O27" s="46">
        <v>1</v>
      </c>
      <c r="R27" s="46">
        <v>1</v>
      </c>
      <c r="S27" s="46">
        <v>1</v>
      </c>
      <c r="X27" s="46">
        <v>10</v>
      </c>
      <c r="Y27" s="46">
        <v>12</v>
      </c>
      <c r="Z27" s="46">
        <v>9</v>
      </c>
      <c r="AA27" s="46">
        <v>9</v>
      </c>
      <c r="AB27" s="46">
        <v>4</v>
      </c>
      <c r="AD27" s="46">
        <v>1</v>
      </c>
      <c r="AE27" s="46">
        <v>1</v>
      </c>
      <c r="AG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T27" s="134">
        <v>46661</v>
      </c>
    </row>
    <row r="28" spans="1:98">
      <c r="A28" s="46" t="s">
        <v>7572</v>
      </c>
      <c r="B28" s="46" t="s">
        <v>7573</v>
      </c>
      <c r="C28" s="46">
        <v>41</v>
      </c>
      <c r="D28" s="46" t="s">
        <v>7532</v>
      </c>
      <c r="E28" s="46" t="s">
        <v>7574</v>
      </c>
      <c r="F28" s="46" t="s">
        <v>2472</v>
      </c>
      <c r="J28" s="46">
        <v>1</v>
      </c>
      <c r="M28" s="46">
        <v>1</v>
      </c>
      <c r="Q28" s="46">
        <v>1</v>
      </c>
      <c r="U28" s="46">
        <v>1</v>
      </c>
      <c r="W28" s="46">
        <v>18</v>
      </c>
      <c r="X28" s="46">
        <v>24</v>
      </c>
      <c r="Y28" s="46">
        <v>28</v>
      </c>
      <c r="Z28" s="46">
        <v>7</v>
      </c>
      <c r="AA28" s="46">
        <v>7</v>
      </c>
      <c r="AB28" s="46">
        <v>7</v>
      </c>
      <c r="AC28" s="46">
        <v>1</v>
      </c>
      <c r="AJ28" s="46">
        <v>1</v>
      </c>
      <c r="AK28" s="46">
        <v>1</v>
      </c>
      <c r="AT28" s="46">
        <v>1</v>
      </c>
      <c r="AW28" s="46">
        <v>1</v>
      </c>
      <c r="BB28" s="46">
        <v>1</v>
      </c>
      <c r="BG28" s="46">
        <v>1</v>
      </c>
      <c r="BM28" s="46">
        <v>1</v>
      </c>
      <c r="BU28" s="46">
        <v>1</v>
      </c>
      <c r="CB28" s="46">
        <v>1</v>
      </c>
      <c r="CE28" s="46">
        <v>1</v>
      </c>
      <c r="CK28" s="46">
        <v>1</v>
      </c>
      <c r="CT28" s="134">
        <v>45597</v>
      </c>
    </row>
    <row r="29" spans="1:98">
      <c r="A29" s="46" t="s">
        <v>7575</v>
      </c>
      <c r="B29" s="46" t="s">
        <v>7576</v>
      </c>
      <c r="C29" s="46">
        <v>50</v>
      </c>
      <c r="D29" s="46" t="s">
        <v>7504</v>
      </c>
      <c r="E29" s="46" t="s">
        <v>7577</v>
      </c>
      <c r="F29" s="46" t="s">
        <v>662</v>
      </c>
      <c r="G29" s="46">
        <v>1</v>
      </c>
      <c r="P29" s="46">
        <v>1</v>
      </c>
      <c r="Q29" s="46">
        <v>1</v>
      </c>
      <c r="T29" s="46">
        <v>1</v>
      </c>
      <c r="W29" s="46">
        <v>20</v>
      </c>
      <c r="X29" s="46">
        <v>18</v>
      </c>
      <c r="Y29" s="46">
        <v>25</v>
      </c>
      <c r="Z29" s="46">
        <v>7</v>
      </c>
      <c r="AA29" s="46">
        <v>7</v>
      </c>
      <c r="AB29" s="46">
        <v>4</v>
      </c>
      <c r="AG29" s="46">
        <v>1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L29" s="46">
        <v>1</v>
      </c>
      <c r="BY29" s="46">
        <v>1</v>
      </c>
      <c r="CB29" s="46">
        <v>1</v>
      </c>
      <c r="CE29" s="46">
        <v>1</v>
      </c>
      <c r="CK29" s="46">
        <v>1</v>
      </c>
      <c r="CT29" s="134">
        <v>46661</v>
      </c>
    </row>
    <row r="30" spans="1:98">
      <c r="A30" s="46" t="s">
        <v>7578</v>
      </c>
      <c r="B30" s="46" t="s">
        <v>7579</v>
      </c>
      <c r="C30" s="46">
        <v>64</v>
      </c>
      <c r="D30" s="46" t="s">
        <v>7580</v>
      </c>
      <c r="E30" s="46" t="s">
        <v>191</v>
      </c>
      <c r="F30" s="46" t="s">
        <v>2472</v>
      </c>
      <c r="H30" s="46">
        <v>1</v>
      </c>
      <c r="M30" s="46">
        <v>1</v>
      </c>
      <c r="R30" s="46">
        <v>1</v>
      </c>
      <c r="S30" s="46">
        <v>1</v>
      </c>
      <c r="W30" s="46">
        <v>14</v>
      </c>
      <c r="X30" s="46">
        <v>18</v>
      </c>
      <c r="Y30" s="46">
        <v>22</v>
      </c>
      <c r="Z30" s="46">
        <v>13</v>
      </c>
      <c r="AA30" s="46">
        <v>13</v>
      </c>
      <c r="AB30" s="46">
        <v>8</v>
      </c>
      <c r="AG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L30" s="46">
        <v>1</v>
      </c>
      <c r="CB30" s="46">
        <v>1</v>
      </c>
      <c r="CE30" s="46">
        <v>1</v>
      </c>
      <c r="CK30" s="46">
        <v>1</v>
      </c>
      <c r="CT30" s="134">
        <v>46661</v>
      </c>
    </row>
    <row r="31" spans="1:98">
      <c r="A31" s="46" t="s">
        <v>7581</v>
      </c>
      <c r="B31" s="46" t="s">
        <v>7582</v>
      </c>
      <c r="C31" s="46">
        <v>50</v>
      </c>
      <c r="D31" s="46" t="s">
        <v>7546</v>
      </c>
      <c r="E31" s="46" t="s">
        <v>191</v>
      </c>
      <c r="F31" s="46" t="s">
        <v>662</v>
      </c>
      <c r="J31" s="46">
        <v>1</v>
      </c>
      <c r="M31" s="46">
        <v>1</v>
      </c>
      <c r="Q31" s="46">
        <v>1</v>
      </c>
      <c r="S31" s="46">
        <v>1</v>
      </c>
      <c r="W31" s="46">
        <v>15</v>
      </c>
      <c r="X31" s="46">
        <v>15</v>
      </c>
      <c r="Y31" s="46">
        <v>17</v>
      </c>
      <c r="Z31" s="46">
        <v>11</v>
      </c>
      <c r="AA31" s="46">
        <v>11</v>
      </c>
      <c r="AB31" s="46">
        <v>11</v>
      </c>
      <c r="AH31" s="46">
        <v>1</v>
      </c>
      <c r="AJ31" s="46">
        <v>1</v>
      </c>
      <c r="AK31" s="46">
        <v>1</v>
      </c>
      <c r="AT31" s="46">
        <v>1</v>
      </c>
      <c r="AX31" s="46">
        <v>1</v>
      </c>
      <c r="BA31" s="46">
        <v>1</v>
      </c>
      <c r="BL31" s="46">
        <v>1</v>
      </c>
      <c r="CB31" s="46">
        <v>1</v>
      </c>
      <c r="CE31" s="46">
        <v>1</v>
      </c>
      <c r="CK31" s="46">
        <v>1</v>
      </c>
      <c r="CT31" s="134">
        <v>46661</v>
      </c>
    </row>
    <row r="32" spans="1:98">
      <c r="A32" s="46" t="s">
        <v>7583</v>
      </c>
      <c r="B32" s="46" t="s">
        <v>7584</v>
      </c>
      <c r="C32" s="46">
        <v>52</v>
      </c>
      <c r="D32" s="46" t="s">
        <v>7532</v>
      </c>
      <c r="E32" s="46" t="s">
        <v>7585</v>
      </c>
      <c r="F32" s="46" t="s">
        <v>2472</v>
      </c>
      <c r="H32" s="46">
        <v>1</v>
      </c>
      <c r="P32" s="46">
        <v>1</v>
      </c>
      <c r="Q32" s="46">
        <v>1</v>
      </c>
      <c r="U32" s="46">
        <v>1</v>
      </c>
      <c r="W32" s="46">
        <v>14</v>
      </c>
      <c r="X32" s="46">
        <v>18</v>
      </c>
      <c r="Y32" s="46">
        <v>19</v>
      </c>
      <c r="Z32" s="46">
        <v>6</v>
      </c>
      <c r="AA32" s="46">
        <v>3</v>
      </c>
      <c r="AB32" s="46">
        <v>3</v>
      </c>
      <c r="AD32" s="46">
        <v>1</v>
      </c>
      <c r="AG32" s="46">
        <v>1</v>
      </c>
      <c r="AH32" s="46">
        <v>1</v>
      </c>
      <c r="AI32" s="46">
        <v>1</v>
      </c>
      <c r="AK32" s="46">
        <v>1</v>
      </c>
      <c r="AT32" s="46">
        <v>1</v>
      </c>
      <c r="AX32" s="46">
        <v>1</v>
      </c>
      <c r="BA32" s="46">
        <v>1</v>
      </c>
      <c r="BL32" s="46">
        <v>1</v>
      </c>
      <c r="BY32" s="46">
        <v>1</v>
      </c>
      <c r="CB32" s="46">
        <v>1</v>
      </c>
      <c r="CE32" s="46">
        <v>1</v>
      </c>
      <c r="CK32" s="46">
        <v>1</v>
      </c>
      <c r="CT32" s="134">
        <v>46661</v>
      </c>
    </row>
    <row r="33" spans="1:98">
      <c r="A33" s="46" t="s">
        <v>7586</v>
      </c>
      <c r="B33" s="46" t="s">
        <v>7587</v>
      </c>
      <c r="C33" s="46">
        <v>45</v>
      </c>
      <c r="D33" s="46" t="s">
        <v>7588</v>
      </c>
      <c r="E33" s="46" t="s">
        <v>7589</v>
      </c>
      <c r="F33" s="46" t="s">
        <v>2472</v>
      </c>
      <c r="J33" s="46">
        <v>1</v>
      </c>
      <c r="P33" s="46">
        <v>1</v>
      </c>
      <c r="Q33" s="46">
        <v>1</v>
      </c>
      <c r="T33" s="46">
        <v>1</v>
      </c>
      <c r="W33" s="46">
        <v>16</v>
      </c>
      <c r="X33" s="46">
        <v>17</v>
      </c>
      <c r="Y33" s="46">
        <v>19</v>
      </c>
      <c r="Z33" s="46">
        <v>1</v>
      </c>
      <c r="AA33" s="46">
        <v>1</v>
      </c>
      <c r="AB33" s="46">
        <v>1</v>
      </c>
      <c r="AD33" s="46">
        <v>1</v>
      </c>
      <c r="AE33" s="46">
        <v>1</v>
      </c>
      <c r="AG33" s="46">
        <v>1</v>
      </c>
      <c r="AH33" s="46">
        <v>1</v>
      </c>
      <c r="AJ33" s="46">
        <v>1</v>
      </c>
      <c r="AK33" s="46">
        <v>1</v>
      </c>
      <c r="AT33" s="46">
        <v>1</v>
      </c>
      <c r="AW33" s="46">
        <v>1</v>
      </c>
      <c r="BA33" s="46">
        <v>1</v>
      </c>
      <c r="BL33" s="46">
        <v>1</v>
      </c>
      <c r="CC33" s="46">
        <v>1</v>
      </c>
      <c r="CD33" s="46" t="s">
        <v>7590</v>
      </c>
      <c r="CE33" s="46">
        <v>1</v>
      </c>
      <c r="CK33" s="46">
        <v>1</v>
      </c>
      <c r="CT33" s="134">
        <v>46661</v>
      </c>
    </row>
    <row r="34" spans="1:98">
      <c r="A34" s="46" t="s">
        <v>7591</v>
      </c>
      <c r="B34" s="46" t="s">
        <v>7592</v>
      </c>
      <c r="C34" s="46">
        <v>50</v>
      </c>
      <c r="D34" s="46" t="s">
        <v>7588</v>
      </c>
      <c r="E34" s="46" t="s">
        <v>191</v>
      </c>
      <c r="F34" s="46" t="s">
        <v>662</v>
      </c>
      <c r="H34" s="46">
        <v>1</v>
      </c>
      <c r="M34" s="46">
        <v>1</v>
      </c>
      <c r="Q34" s="46">
        <v>1</v>
      </c>
      <c r="S34" s="46">
        <v>1</v>
      </c>
      <c r="Z34" s="46">
        <v>8</v>
      </c>
      <c r="AA34" s="46">
        <v>8</v>
      </c>
      <c r="AB34" s="46">
        <v>8</v>
      </c>
      <c r="AE34" s="46">
        <v>1</v>
      </c>
      <c r="AG34" s="46">
        <v>1</v>
      </c>
      <c r="AH34" s="46">
        <v>1</v>
      </c>
      <c r="AI34" s="46">
        <v>1</v>
      </c>
      <c r="AM34" s="46">
        <v>1</v>
      </c>
      <c r="AT34" s="46">
        <v>1</v>
      </c>
      <c r="AW34" s="46">
        <v>1</v>
      </c>
      <c r="BA34" s="46">
        <v>1</v>
      </c>
      <c r="BL34" s="46">
        <v>1</v>
      </c>
      <c r="CB34" s="46">
        <v>1</v>
      </c>
      <c r="CE34" s="46">
        <v>1</v>
      </c>
      <c r="CK34" s="46">
        <v>1</v>
      </c>
      <c r="CT34" s="134">
        <v>46661</v>
      </c>
    </row>
    <row r="35" spans="1:98">
      <c r="A35" s="46" t="s">
        <v>7593</v>
      </c>
      <c r="B35" s="46" t="s">
        <v>7594</v>
      </c>
      <c r="C35" s="46">
        <v>70</v>
      </c>
      <c r="D35" s="46" t="s">
        <v>7595</v>
      </c>
      <c r="E35" s="46" t="s">
        <v>7596</v>
      </c>
      <c r="F35" s="46" t="s">
        <v>662</v>
      </c>
      <c r="O35" s="46">
        <v>1</v>
      </c>
      <c r="R35" s="46">
        <v>1</v>
      </c>
      <c r="S35" s="46">
        <v>1</v>
      </c>
      <c r="W35" s="46">
        <v>14</v>
      </c>
      <c r="X35" s="46">
        <v>14</v>
      </c>
      <c r="Y35" s="46">
        <v>19</v>
      </c>
      <c r="Z35" s="46">
        <v>10</v>
      </c>
      <c r="AA35" s="46">
        <v>10</v>
      </c>
      <c r="AB35" s="46">
        <v>10</v>
      </c>
      <c r="AF35" s="46">
        <v>1</v>
      </c>
      <c r="AG35" s="46">
        <v>1</v>
      </c>
      <c r="AH35" s="46">
        <v>1</v>
      </c>
      <c r="AI35" s="46">
        <v>1</v>
      </c>
      <c r="AM35" s="46">
        <v>1</v>
      </c>
      <c r="AT35" s="46">
        <v>1</v>
      </c>
      <c r="AX35" s="46">
        <v>1</v>
      </c>
      <c r="BA35" s="46">
        <v>1</v>
      </c>
      <c r="BL35" s="46">
        <v>1</v>
      </c>
      <c r="BY35" s="46">
        <v>1</v>
      </c>
      <c r="CB35" s="46">
        <v>1</v>
      </c>
      <c r="CE35" s="46">
        <v>1</v>
      </c>
      <c r="CK35" s="46">
        <v>1</v>
      </c>
      <c r="CT35" s="134">
        <v>46661</v>
      </c>
    </row>
    <row r="36" spans="1:98">
      <c r="A36" s="46" t="s">
        <v>7597</v>
      </c>
      <c r="B36" s="46" t="s">
        <v>7598</v>
      </c>
      <c r="C36" s="46">
        <v>68</v>
      </c>
      <c r="D36" s="46" t="s">
        <v>7599</v>
      </c>
      <c r="E36" s="46" t="s">
        <v>191</v>
      </c>
      <c r="F36" s="46" t="s">
        <v>7600</v>
      </c>
      <c r="H36" s="46">
        <v>1</v>
      </c>
      <c r="P36" s="46">
        <v>1</v>
      </c>
      <c r="R36" s="46">
        <v>1</v>
      </c>
      <c r="T36" s="46">
        <v>1</v>
      </c>
      <c r="W36" s="46">
        <v>15</v>
      </c>
      <c r="X36" s="46">
        <v>17</v>
      </c>
      <c r="Y36" s="46">
        <v>17</v>
      </c>
      <c r="Z36" s="46">
        <v>10</v>
      </c>
      <c r="AA36" s="46">
        <v>10</v>
      </c>
      <c r="AB36" s="46">
        <v>8</v>
      </c>
      <c r="AE36" s="46">
        <v>1</v>
      </c>
      <c r="AG36" s="46">
        <v>1</v>
      </c>
      <c r="AJ36" s="46">
        <v>1</v>
      </c>
      <c r="AM36" s="46">
        <v>1</v>
      </c>
      <c r="AT36" s="46">
        <v>1</v>
      </c>
      <c r="AW36" s="46">
        <v>1</v>
      </c>
      <c r="BA36" s="46">
        <v>1</v>
      </c>
      <c r="BL36" s="46">
        <v>1</v>
      </c>
      <c r="CB36" s="46">
        <v>1</v>
      </c>
      <c r="CE36" s="46">
        <v>1</v>
      </c>
      <c r="CK36" s="46">
        <v>1</v>
      </c>
      <c r="CT36" s="134">
        <v>46661</v>
      </c>
    </row>
    <row r="37" spans="1:98">
      <c r="A37" s="46" t="s">
        <v>7601</v>
      </c>
      <c r="B37" s="46" t="s">
        <v>7602</v>
      </c>
      <c r="C37" s="46">
        <v>40</v>
      </c>
      <c r="D37" s="46" t="s">
        <v>7603</v>
      </c>
      <c r="E37" s="46" t="s">
        <v>191</v>
      </c>
      <c r="F37" s="46" t="s">
        <v>662</v>
      </c>
      <c r="H37" s="46">
        <v>1</v>
      </c>
      <c r="O37" s="46">
        <v>1</v>
      </c>
      <c r="R37" s="46">
        <v>1</v>
      </c>
      <c r="S37" s="46">
        <v>1</v>
      </c>
      <c r="W37" s="46">
        <v>15</v>
      </c>
      <c r="X37" s="46">
        <v>18</v>
      </c>
      <c r="Y37" s="46">
        <v>19</v>
      </c>
      <c r="Z37" s="46">
        <v>6</v>
      </c>
      <c r="AA37" s="46">
        <v>6</v>
      </c>
      <c r="AB37" s="46">
        <v>6</v>
      </c>
      <c r="AD37" s="46">
        <v>1</v>
      </c>
      <c r="AE37" s="46">
        <v>1</v>
      </c>
      <c r="AH37" s="46">
        <v>1</v>
      </c>
      <c r="AJ37" s="46">
        <v>1</v>
      </c>
      <c r="AK37" s="46">
        <v>1</v>
      </c>
      <c r="AT37" s="46">
        <v>1</v>
      </c>
      <c r="AW37" s="46">
        <v>1</v>
      </c>
      <c r="BA37" s="46">
        <v>1</v>
      </c>
      <c r="BL37" s="46">
        <v>1</v>
      </c>
      <c r="CB37" s="46">
        <v>1</v>
      </c>
      <c r="CE37" s="46">
        <v>1</v>
      </c>
      <c r="CK37" s="46">
        <v>1</v>
      </c>
      <c r="CT37" s="134">
        <v>46661</v>
      </c>
    </row>
    <row r="38" spans="1:98">
      <c r="A38" s="46" t="s">
        <v>7604</v>
      </c>
      <c r="B38" s="46" t="s">
        <v>7605</v>
      </c>
      <c r="C38" s="46">
        <v>39</v>
      </c>
      <c r="D38" s="46" t="s">
        <v>7580</v>
      </c>
      <c r="E38" s="46" t="s">
        <v>191</v>
      </c>
      <c r="F38" s="46" t="s">
        <v>2472</v>
      </c>
      <c r="H38" s="46">
        <v>1</v>
      </c>
      <c r="M38" s="46">
        <v>1</v>
      </c>
      <c r="Q38" s="46">
        <v>1</v>
      </c>
      <c r="T38" s="46">
        <v>1</v>
      </c>
      <c r="W38" s="46">
        <v>14</v>
      </c>
      <c r="X38" s="46">
        <v>16</v>
      </c>
      <c r="Y38" s="46">
        <v>17</v>
      </c>
      <c r="Z38" s="46">
        <v>9</v>
      </c>
      <c r="AA38" s="46">
        <v>9</v>
      </c>
      <c r="AB38" s="46">
        <v>9</v>
      </c>
      <c r="AH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BK38" s="46">
        <v>1</v>
      </c>
      <c r="CB38" s="46">
        <v>1</v>
      </c>
      <c r="CE38" s="46">
        <v>1</v>
      </c>
      <c r="CK38" s="46">
        <v>1</v>
      </c>
      <c r="CT38" s="134">
        <v>46661</v>
      </c>
    </row>
  </sheetData>
  <autoFilter ref="A3:CT38"/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topLeftCell="W1" workbookViewId="0">
      <selection activeCell="AA10" sqref="AA10"/>
    </sheetView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504" t="s">
        <v>356</v>
      </c>
      <c r="AG1" s="534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551</v>
      </c>
      <c r="B3" s="69">
        <v>1</v>
      </c>
      <c r="C3" s="69">
        <v>0</v>
      </c>
      <c r="D3" s="69">
        <v>1</v>
      </c>
      <c r="E3" s="69">
        <f t="shared" ref="E3:E8" si="0">SUM(B3:D3)</f>
        <v>2</v>
      </c>
      <c r="F3" s="70">
        <v>0</v>
      </c>
      <c r="G3" s="70">
        <v>2</v>
      </c>
      <c r="H3" s="70">
        <v>0</v>
      </c>
      <c r="I3" s="70">
        <v>0</v>
      </c>
      <c r="J3" s="71">
        <f t="shared" ref="J3:J9" si="1">SUM(F3:I3)</f>
        <v>2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7" si="2">SUM(K3:O3)</f>
        <v>0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2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2</v>
      </c>
      <c r="AF3" s="73">
        <v>0</v>
      </c>
      <c r="AG3" s="73">
        <v>0</v>
      </c>
    </row>
    <row r="4" spans="1:33">
      <c r="A4" s="74" t="s">
        <v>7606</v>
      </c>
      <c r="B4" s="69">
        <v>8</v>
      </c>
      <c r="C4" s="69">
        <v>0</v>
      </c>
      <c r="D4" s="69">
        <v>3</v>
      </c>
      <c r="E4" s="69">
        <f t="shared" si="0"/>
        <v>11</v>
      </c>
      <c r="F4" s="70">
        <v>1</v>
      </c>
      <c r="G4" s="70">
        <v>8</v>
      </c>
      <c r="H4" s="70">
        <v>0</v>
      </c>
      <c r="I4" s="70">
        <v>0</v>
      </c>
      <c r="J4" s="71">
        <f t="shared" si="1"/>
        <v>9</v>
      </c>
      <c r="K4" s="70">
        <v>0</v>
      </c>
      <c r="L4" s="70">
        <v>0</v>
      </c>
      <c r="M4" s="70">
        <v>0</v>
      </c>
      <c r="N4" s="70">
        <v>1</v>
      </c>
      <c r="O4" s="70">
        <v>1</v>
      </c>
      <c r="P4" s="71">
        <f t="shared" si="2"/>
        <v>2</v>
      </c>
      <c r="Q4" s="70">
        <v>1</v>
      </c>
      <c r="R4" s="70">
        <v>0</v>
      </c>
      <c r="S4" s="70">
        <v>0</v>
      </c>
      <c r="T4" s="71">
        <f t="shared" si="3"/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11</v>
      </c>
      <c r="AB4" s="73">
        <v>0</v>
      </c>
      <c r="AC4" s="73">
        <v>0</v>
      </c>
      <c r="AD4" s="73">
        <v>0</v>
      </c>
      <c r="AE4" s="186">
        <f t="shared" si="4"/>
        <v>11</v>
      </c>
      <c r="AF4" s="73">
        <v>0</v>
      </c>
      <c r="AG4" s="73">
        <v>0</v>
      </c>
    </row>
    <row r="5" spans="1:33">
      <c r="A5" s="77" t="s">
        <v>7089</v>
      </c>
      <c r="B5" s="69">
        <v>9</v>
      </c>
      <c r="C5" s="69">
        <v>0</v>
      </c>
      <c r="D5" s="69">
        <v>1</v>
      </c>
      <c r="E5" s="69">
        <f t="shared" si="0"/>
        <v>10</v>
      </c>
      <c r="F5" s="70">
        <v>0</v>
      </c>
      <c r="G5" s="70">
        <v>9</v>
      </c>
      <c r="H5" s="70">
        <v>0</v>
      </c>
      <c r="I5" s="70">
        <v>0</v>
      </c>
      <c r="J5" s="71">
        <f t="shared" si="1"/>
        <v>9</v>
      </c>
      <c r="K5" s="70">
        <v>1</v>
      </c>
      <c r="L5" s="70">
        <v>0</v>
      </c>
      <c r="M5" s="70">
        <v>0</v>
      </c>
      <c r="N5" s="70">
        <v>0</v>
      </c>
      <c r="O5" s="70">
        <v>0</v>
      </c>
      <c r="P5" s="71">
        <f t="shared" si="2"/>
        <v>1</v>
      </c>
      <c r="Q5" s="70">
        <v>0</v>
      </c>
      <c r="R5" s="70">
        <v>0</v>
      </c>
      <c r="S5" s="70">
        <v>3</v>
      </c>
      <c r="T5" s="71">
        <f t="shared" si="3"/>
        <v>3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10</v>
      </c>
      <c r="AB5" s="73">
        <v>0</v>
      </c>
      <c r="AC5" s="73">
        <v>0</v>
      </c>
      <c r="AD5" s="73">
        <v>0</v>
      </c>
      <c r="AE5" s="186">
        <f t="shared" si="4"/>
        <v>10</v>
      </c>
      <c r="AF5" s="73">
        <v>0</v>
      </c>
      <c r="AG5" s="73">
        <v>0</v>
      </c>
    </row>
    <row r="6" spans="1:33">
      <c r="A6" s="77" t="s">
        <v>4618</v>
      </c>
      <c r="B6" s="69">
        <v>7</v>
      </c>
      <c r="C6" s="69">
        <v>0</v>
      </c>
      <c r="D6" s="69">
        <v>1</v>
      </c>
      <c r="E6" s="69">
        <f t="shared" si="0"/>
        <v>8</v>
      </c>
      <c r="F6" s="70">
        <v>0</v>
      </c>
      <c r="G6" s="70">
        <v>3</v>
      </c>
      <c r="H6" s="70">
        <v>0</v>
      </c>
      <c r="I6" s="70">
        <v>0</v>
      </c>
      <c r="J6" s="71">
        <f t="shared" si="1"/>
        <v>3</v>
      </c>
      <c r="K6" s="70">
        <v>4</v>
      </c>
      <c r="L6" s="70">
        <v>1</v>
      </c>
      <c r="M6" s="70">
        <v>0</v>
      </c>
      <c r="N6" s="70">
        <v>0</v>
      </c>
      <c r="O6" s="70">
        <v>0</v>
      </c>
      <c r="P6" s="71">
        <f t="shared" si="2"/>
        <v>5</v>
      </c>
      <c r="Q6" s="70">
        <v>0</v>
      </c>
      <c r="R6" s="70">
        <v>0</v>
      </c>
      <c r="S6" s="70">
        <v>0</v>
      </c>
      <c r="T6" s="71">
        <f t="shared" si="3"/>
        <v>0</v>
      </c>
      <c r="U6" s="75">
        <v>0</v>
      </c>
      <c r="V6" s="75">
        <v>0</v>
      </c>
      <c r="W6" s="75">
        <v>0</v>
      </c>
      <c r="X6" s="75">
        <v>1</v>
      </c>
      <c r="Y6" s="75">
        <v>0</v>
      </c>
      <c r="Z6" s="75"/>
      <c r="AA6" s="73">
        <v>8</v>
      </c>
      <c r="AB6" s="73">
        <v>0</v>
      </c>
      <c r="AC6" s="73">
        <v>0</v>
      </c>
      <c r="AD6" s="73">
        <v>0</v>
      </c>
      <c r="AE6" s="186">
        <f t="shared" si="4"/>
        <v>8</v>
      </c>
      <c r="AF6" s="73">
        <v>0</v>
      </c>
      <c r="AG6" s="73">
        <v>0</v>
      </c>
    </row>
    <row r="7" spans="1:33">
      <c r="A7" s="243" t="s">
        <v>7607</v>
      </c>
      <c r="B7" s="69">
        <v>1</v>
      </c>
      <c r="C7" s="69">
        <v>0</v>
      </c>
      <c r="D7" s="69">
        <v>0</v>
      </c>
      <c r="E7" s="69">
        <f t="shared" si="0"/>
        <v>1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1</v>
      </c>
      <c r="L7" s="114">
        <v>0</v>
      </c>
      <c r="M7" s="114">
        <v>0</v>
      </c>
      <c r="N7" s="114">
        <v>0</v>
      </c>
      <c r="O7" s="114">
        <v>0</v>
      </c>
      <c r="P7" s="71">
        <f t="shared" si="2"/>
        <v>1</v>
      </c>
      <c r="Q7" s="114">
        <v>0</v>
      </c>
      <c r="R7" s="114">
        <v>0</v>
      </c>
      <c r="S7" s="114">
        <v>1</v>
      </c>
      <c r="T7" s="71">
        <f t="shared" si="3"/>
        <v>1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73">
        <v>1</v>
      </c>
      <c r="AB7" s="73">
        <v>0</v>
      </c>
      <c r="AC7" s="73">
        <v>0</v>
      </c>
      <c r="AD7" s="73">
        <v>0</v>
      </c>
      <c r="AE7" s="186">
        <f t="shared" si="4"/>
        <v>1</v>
      </c>
      <c r="AF7" s="73">
        <v>0</v>
      </c>
      <c r="AG7" s="73">
        <v>0</v>
      </c>
    </row>
    <row r="8" spans="1:33">
      <c r="A8" s="243" t="s">
        <v>4816</v>
      </c>
      <c r="B8" s="69">
        <v>1</v>
      </c>
      <c r="C8" s="69">
        <v>0</v>
      </c>
      <c r="D8" s="69">
        <v>2</v>
      </c>
      <c r="E8" s="69">
        <f t="shared" si="0"/>
        <v>3</v>
      </c>
      <c r="F8" s="69">
        <v>0</v>
      </c>
      <c r="G8" s="69">
        <v>0</v>
      </c>
      <c r="H8" s="69">
        <v>0</v>
      </c>
      <c r="I8" s="69">
        <v>0</v>
      </c>
      <c r="J8" s="71">
        <f t="shared" si="1"/>
        <v>0</v>
      </c>
      <c r="K8" s="114">
        <v>3</v>
      </c>
      <c r="L8" s="114">
        <v>0</v>
      </c>
      <c r="M8" s="114">
        <v>0</v>
      </c>
      <c r="N8" s="114">
        <v>0</v>
      </c>
      <c r="O8" s="114">
        <v>0</v>
      </c>
      <c r="P8" s="71">
        <f>SUM(K8:O8)</f>
        <v>3</v>
      </c>
      <c r="Q8" s="114">
        <v>0</v>
      </c>
      <c r="R8" s="114">
        <v>0</v>
      </c>
      <c r="S8" s="114">
        <v>1</v>
      </c>
      <c r="T8" s="71">
        <f t="shared" si="3"/>
        <v>1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73">
        <v>3</v>
      </c>
      <c r="AB8" s="73">
        <v>0</v>
      </c>
      <c r="AC8" s="73">
        <v>0</v>
      </c>
      <c r="AD8" s="73">
        <v>0</v>
      </c>
      <c r="AE8" s="186">
        <f t="shared" si="4"/>
        <v>3</v>
      </c>
      <c r="AF8" s="73">
        <v>0</v>
      </c>
      <c r="AG8" s="73">
        <v>0</v>
      </c>
    </row>
    <row r="9" spans="1:33">
      <c r="A9" s="69" t="s">
        <v>376</v>
      </c>
      <c r="B9" s="69">
        <f>SUM(B3:B8)</f>
        <v>27</v>
      </c>
      <c r="C9" s="69">
        <f t="shared" ref="C9:E9" si="5">SUM(C3:C8)</f>
        <v>0</v>
      </c>
      <c r="D9" s="69">
        <f t="shared" si="5"/>
        <v>8</v>
      </c>
      <c r="E9" s="69">
        <f t="shared" si="5"/>
        <v>35</v>
      </c>
      <c r="F9" s="69">
        <f t="shared" ref="F9" si="6">SUM(F3:F8)</f>
        <v>1</v>
      </c>
      <c r="G9" s="69">
        <f t="shared" ref="G9" si="7">SUM(G3:G8)</f>
        <v>22</v>
      </c>
      <c r="H9" s="69">
        <f t="shared" ref="H9" si="8">SUM(H3:H8)</f>
        <v>0</v>
      </c>
      <c r="I9" s="69">
        <f t="shared" ref="I9" si="9">SUM(I3:I8)</f>
        <v>0</v>
      </c>
      <c r="J9" s="71">
        <f t="shared" si="1"/>
        <v>23</v>
      </c>
      <c r="K9" s="114">
        <f>SUM(K3:K8)</f>
        <v>9</v>
      </c>
      <c r="L9" s="114">
        <f t="shared" ref="L9:M9" si="10">SUM(L3:L8)</f>
        <v>1</v>
      </c>
      <c r="M9" s="114">
        <f t="shared" si="10"/>
        <v>0</v>
      </c>
      <c r="N9" s="114">
        <f t="shared" ref="N9" si="11">SUM(N3:N8)</f>
        <v>1</v>
      </c>
      <c r="O9" s="114">
        <f t="shared" ref="O9" si="12">SUM(O3:O8)</f>
        <v>1</v>
      </c>
      <c r="P9" s="71">
        <f>SUM(K9:O9)</f>
        <v>12</v>
      </c>
      <c r="Q9" s="114">
        <f>SUM(Q3:Q8)</f>
        <v>1</v>
      </c>
      <c r="R9" s="114">
        <f t="shared" ref="R9:S9" si="13">SUM(R3:R8)</f>
        <v>0</v>
      </c>
      <c r="S9" s="114">
        <f t="shared" si="13"/>
        <v>6</v>
      </c>
      <c r="T9" s="71">
        <f>SUM(T3:T8)</f>
        <v>7</v>
      </c>
      <c r="U9" s="114">
        <f>SUM(U3:U8)</f>
        <v>0</v>
      </c>
      <c r="V9" s="114">
        <f t="shared" ref="V9:Y9" si="14">SUM(V3:V8)</f>
        <v>0</v>
      </c>
      <c r="W9" s="114">
        <f t="shared" si="14"/>
        <v>0</v>
      </c>
      <c r="X9" s="114">
        <f t="shared" si="14"/>
        <v>1</v>
      </c>
      <c r="Y9" s="114">
        <f t="shared" si="14"/>
        <v>0</v>
      </c>
      <c r="Z9" s="114">
        <f t="shared" ref="Z9" si="15">SUM(Z3:Z6)</f>
        <v>0</v>
      </c>
      <c r="AA9" s="73">
        <f>SUM(AA3:AA8)</f>
        <v>35</v>
      </c>
      <c r="AB9" s="183">
        <f t="shared" ref="AB9:AC9" si="16">SUM(AB3:AB8)</f>
        <v>0</v>
      </c>
      <c r="AC9" s="183">
        <f t="shared" si="16"/>
        <v>0</v>
      </c>
      <c r="AD9" s="183">
        <f t="shared" ref="AD9" si="17">SUM(AD3:AD8)</f>
        <v>0</v>
      </c>
      <c r="AE9" s="183">
        <f t="shared" ref="AE9" si="18">SUM(AE3:AE8)</f>
        <v>35</v>
      </c>
      <c r="AF9" s="183">
        <f t="shared" ref="AF9:AG9" si="19">SUM(AF3:AF8)</f>
        <v>0</v>
      </c>
      <c r="AG9" s="183">
        <f t="shared" si="19"/>
        <v>0</v>
      </c>
    </row>
  </sheetData>
  <mergeCells count="8">
    <mergeCell ref="AF1:AG1"/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39"/>
  <sheetViews>
    <sheetView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4.42578125" defaultRowHeight="15" customHeight="1"/>
  <cols>
    <col min="1" max="1" width="11" customWidth="1"/>
    <col min="2" max="2" width="26.85546875" customWidth="1"/>
    <col min="3" max="3" width="11.42578125" customWidth="1"/>
    <col min="4" max="4" width="18.28515625" customWidth="1"/>
    <col min="5" max="5" width="21.28515625" customWidth="1"/>
  </cols>
  <sheetData>
    <row r="1" spans="1:98">
      <c r="A1" s="197" t="s">
        <v>7608</v>
      </c>
      <c r="B1" s="143"/>
      <c r="C1" s="231" t="s">
        <v>7609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>
      <c r="A4" s="46" t="s">
        <v>7610</v>
      </c>
      <c r="B4" s="46" t="s">
        <v>7611</v>
      </c>
      <c r="C4" s="46">
        <v>37</v>
      </c>
      <c r="D4" s="46" t="s">
        <v>7612</v>
      </c>
      <c r="E4" s="46" t="s">
        <v>191</v>
      </c>
      <c r="F4" s="46" t="s">
        <v>2675</v>
      </c>
      <c r="H4" s="46">
        <v>1</v>
      </c>
      <c r="M4" s="46">
        <v>1</v>
      </c>
      <c r="R4" s="46">
        <v>1</v>
      </c>
      <c r="T4" s="46">
        <v>1</v>
      </c>
      <c r="W4" s="46">
        <v>15</v>
      </c>
      <c r="X4" s="46">
        <v>16</v>
      </c>
      <c r="Y4" s="46">
        <v>16</v>
      </c>
      <c r="Z4" s="46">
        <v>6</v>
      </c>
      <c r="AA4" s="46">
        <v>6</v>
      </c>
      <c r="AB4" s="46">
        <v>5</v>
      </c>
      <c r="AD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X4" s="46">
        <v>1</v>
      </c>
      <c r="BA4" s="46">
        <v>1</v>
      </c>
      <c r="BK4" s="46">
        <v>1</v>
      </c>
      <c r="CB4" s="46">
        <v>1</v>
      </c>
      <c r="CE4" s="46">
        <v>1</v>
      </c>
      <c r="CK4" s="46">
        <v>1</v>
      </c>
      <c r="CT4" s="134">
        <v>46661</v>
      </c>
    </row>
    <row r="5" spans="1:98">
      <c r="A5" s="46" t="s">
        <v>7613</v>
      </c>
      <c r="B5" s="46" t="s">
        <v>7614</v>
      </c>
      <c r="C5" s="46">
        <v>58</v>
      </c>
      <c r="D5" s="46" t="s">
        <v>2255</v>
      </c>
      <c r="E5" s="46" t="s">
        <v>7615</v>
      </c>
      <c r="F5" s="46" t="s">
        <v>2472</v>
      </c>
      <c r="H5" s="46">
        <v>1</v>
      </c>
      <c r="M5" s="46">
        <v>1</v>
      </c>
      <c r="Q5" s="46">
        <v>1</v>
      </c>
      <c r="V5" s="46">
        <v>1</v>
      </c>
      <c r="W5" s="46">
        <v>14</v>
      </c>
      <c r="X5" s="46">
        <v>27</v>
      </c>
      <c r="Y5" s="46">
        <v>28</v>
      </c>
      <c r="Z5" s="46">
        <v>6</v>
      </c>
      <c r="AA5" s="46">
        <v>4</v>
      </c>
      <c r="AB5" s="46">
        <v>4</v>
      </c>
      <c r="AF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M5" s="46">
        <v>1</v>
      </c>
      <c r="BU5" s="46">
        <v>1</v>
      </c>
      <c r="BV5" s="46" t="s">
        <v>952</v>
      </c>
      <c r="CB5" s="46">
        <v>1</v>
      </c>
      <c r="CE5" s="46">
        <v>1</v>
      </c>
      <c r="CK5" s="46">
        <v>1</v>
      </c>
      <c r="CT5" s="46" t="s">
        <v>7616</v>
      </c>
    </row>
    <row r="6" spans="1:98">
      <c r="A6" s="46" t="s">
        <v>7617</v>
      </c>
      <c r="B6" s="46" t="s">
        <v>7618</v>
      </c>
      <c r="C6" s="46">
        <v>62</v>
      </c>
      <c r="D6" s="46" t="s">
        <v>1369</v>
      </c>
      <c r="E6" s="46" t="s">
        <v>191</v>
      </c>
      <c r="F6" s="46" t="s">
        <v>162</v>
      </c>
      <c r="H6" s="46">
        <v>1</v>
      </c>
      <c r="O6" s="46">
        <v>1</v>
      </c>
      <c r="Q6" s="46">
        <v>1</v>
      </c>
      <c r="S6" s="46">
        <v>1</v>
      </c>
      <c r="W6" s="46">
        <v>14</v>
      </c>
      <c r="X6" s="46">
        <v>15</v>
      </c>
      <c r="Y6" s="46">
        <v>17</v>
      </c>
      <c r="Z6" s="46">
        <v>9</v>
      </c>
      <c r="AA6" s="46">
        <v>9</v>
      </c>
      <c r="AB6" s="46">
        <v>6</v>
      </c>
      <c r="AH6" s="46">
        <v>1</v>
      </c>
      <c r="AI6" s="46">
        <v>1</v>
      </c>
      <c r="AL6" s="46">
        <v>1</v>
      </c>
      <c r="AO6" s="46">
        <v>1</v>
      </c>
      <c r="AS6" s="46">
        <v>1</v>
      </c>
      <c r="AT6" s="46">
        <v>1</v>
      </c>
      <c r="AW6" s="46">
        <v>1</v>
      </c>
      <c r="BA6" s="46">
        <v>1</v>
      </c>
      <c r="BM6" s="46">
        <v>1</v>
      </c>
      <c r="BU6" s="46">
        <v>1</v>
      </c>
      <c r="BV6" s="46" t="s">
        <v>952</v>
      </c>
      <c r="BY6" s="46">
        <v>1</v>
      </c>
      <c r="CB6" s="46">
        <v>1</v>
      </c>
      <c r="CE6" s="46">
        <v>1</v>
      </c>
      <c r="CK6" s="46">
        <v>1</v>
      </c>
      <c r="CT6" s="46" t="s">
        <v>3369</v>
      </c>
    </row>
    <row r="7" spans="1:98">
      <c r="A7" s="46" t="s">
        <v>7619</v>
      </c>
      <c r="B7" s="46" t="s">
        <v>7620</v>
      </c>
      <c r="C7" s="46">
        <v>32</v>
      </c>
      <c r="D7" s="46" t="s">
        <v>1459</v>
      </c>
      <c r="E7" s="46" t="s">
        <v>7621</v>
      </c>
      <c r="F7" s="46" t="s">
        <v>2472</v>
      </c>
      <c r="I7" s="46">
        <v>1</v>
      </c>
      <c r="L7" s="46">
        <v>1</v>
      </c>
      <c r="Q7" s="46">
        <v>1</v>
      </c>
      <c r="U7" s="46">
        <v>1</v>
      </c>
      <c r="W7" s="46">
        <v>14</v>
      </c>
      <c r="X7" s="46">
        <v>18</v>
      </c>
      <c r="Y7" s="46">
        <v>19</v>
      </c>
      <c r="Z7" s="46">
        <v>4</v>
      </c>
      <c r="AA7" s="46">
        <v>3</v>
      </c>
      <c r="AB7" s="46">
        <v>3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A7" s="46">
        <v>1</v>
      </c>
      <c r="CB7" s="46">
        <v>1</v>
      </c>
      <c r="CE7" s="46">
        <v>1</v>
      </c>
      <c r="CK7" s="46">
        <v>1</v>
      </c>
    </row>
    <row r="8" spans="1:98">
      <c r="A8" s="46" t="s">
        <v>7622</v>
      </c>
      <c r="B8" s="46" t="s">
        <v>7623</v>
      </c>
      <c r="C8" s="46">
        <v>52</v>
      </c>
      <c r="D8" s="46" t="s">
        <v>4127</v>
      </c>
      <c r="E8" s="46" t="s">
        <v>7624</v>
      </c>
      <c r="F8" s="46" t="s">
        <v>2472</v>
      </c>
      <c r="K8" s="46">
        <v>1</v>
      </c>
      <c r="M8" s="46">
        <v>1</v>
      </c>
      <c r="Q8" s="46">
        <v>1</v>
      </c>
      <c r="T8" s="46">
        <v>1</v>
      </c>
      <c r="W8" s="46">
        <v>20</v>
      </c>
      <c r="X8" s="46">
        <v>20</v>
      </c>
      <c r="Y8" s="46">
        <v>0</v>
      </c>
      <c r="Z8" s="46">
        <v>0</v>
      </c>
      <c r="AA8" s="46">
        <v>0</v>
      </c>
      <c r="AB8" s="46">
        <v>0</v>
      </c>
      <c r="AC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L8" s="46">
        <v>1</v>
      </c>
      <c r="CB8" s="46">
        <v>1</v>
      </c>
      <c r="CE8" s="46">
        <v>1</v>
      </c>
      <c r="CK8" s="46">
        <v>1</v>
      </c>
      <c r="CT8" s="134">
        <v>46661</v>
      </c>
    </row>
    <row r="9" spans="1:98">
      <c r="A9" s="46" t="s">
        <v>7625</v>
      </c>
      <c r="B9" s="46" t="s">
        <v>7626</v>
      </c>
      <c r="C9" s="46">
        <v>25</v>
      </c>
      <c r="D9" s="46" t="s">
        <v>4127</v>
      </c>
      <c r="E9" s="46" t="s">
        <v>7627</v>
      </c>
      <c r="F9" s="46" t="s">
        <v>2472</v>
      </c>
      <c r="H9" s="46">
        <v>1</v>
      </c>
      <c r="O9" s="46">
        <v>1</v>
      </c>
      <c r="R9" s="46">
        <v>1</v>
      </c>
      <c r="U9" s="46">
        <v>1</v>
      </c>
      <c r="W9" s="46">
        <v>15</v>
      </c>
      <c r="X9" s="46">
        <v>22</v>
      </c>
      <c r="Y9" s="46">
        <v>22</v>
      </c>
      <c r="Z9" s="46">
        <v>2</v>
      </c>
      <c r="AA9" s="46">
        <v>2</v>
      </c>
      <c r="AB9" s="46">
        <v>2</v>
      </c>
      <c r="AG9" s="46">
        <v>1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BY9" s="46">
        <v>1</v>
      </c>
      <c r="CB9" s="46">
        <v>1</v>
      </c>
      <c r="CE9" s="46">
        <v>1</v>
      </c>
      <c r="CK9" s="46">
        <v>1</v>
      </c>
      <c r="CT9" s="134">
        <v>46661</v>
      </c>
    </row>
    <row r="10" spans="1:98">
      <c r="A10" s="46" t="s">
        <v>7628</v>
      </c>
      <c r="B10" s="46" t="s">
        <v>7629</v>
      </c>
      <c r="C10" s="46">
        <v>52</v>
      </c>
      <c r="D10" s="46" t="s">
        <v>4127</v>
      </c>
      <c r="E10" s="46" t="s">
        <v>7630</v>
      </c>
      <c r="F10" s="46" t="s">
        <v>2523</v>
      </c>
      <c r="I10" s="46">
        <v>1</v>
      </c>
      <c r="P10" s="46">
        <v>1</v>
      </c>
      <c r="R10" s="46">
        <v>1</v>
      </c>
      <c r="T10" s="46">
        <v>1</v>
      </c>
      <c r="W10" s="46">
        <v>14</v>
      </c>
      <c r="X10" s="46">
        <v>18</v>
      </c>
      <c r="Y10" s="46">
        <v>20</v>
      </c>
      <c r="Z10" s="46">
        <v>5</v>
      </c>
      <c r="AA10" s="46">
        <v>5</v>
      </c>
      <c r="AB10" s="46">
        <v>3</v>
      </c>
      <c r="AH10" s="46">
        <v>1</v>
      </c>
      <c r="AI10" s="46">
        <v>1</v>
      </c>
      <c r="AK10" s="46">
        <v>1</v>
      </c>
      <c r="AT10" s="46">
        <v>1</v>
      </c>
      <c r="AW10" s="46">
        <v>1</v>
      </c>
      <c r="BA10" s="46">
        <v>1</v>
      </c>
      <c r="BL10" s="46">
        <v>1</v>
      </c>
      <c r="BY10" s="46">
        <v>1</v>
      </c>
      <c r="CB10" s="46">
        <v>1</v>
      </c>
      <c r="CE10" s="46">
        <v>1</v>
      </c>
      <c r="CK10" s="46">
        <v>1</v>
      </c>
      <c r="CT10" s="134">
        <v>46661</v>
      </c>
    </row>
    <row r="11" spans="1:98">
      <c r="A11" s="46" t="s">
        <v>7631</v>
      </c>
      <c r="B11" s="46" t="s">
        <v>7632</v>
      </c>
      <c r="C11" s="46">
        <v>31</v>
      </c>
      <c r="D11" s="46" t="s">
        <v>1459</v>
      </c>
      <c r="E11" s="46" t="s">
        <v>7633</v>
      </c>
      <c r="F11" s="46" t="s">
        <v>127</v>
      </c>
      <c r="I11" s="46">
        <v>1</v>
      </c>
      <c r="O11" s="46">
        <v>1</v>
      </c>
      <c r="Q11" s="46">
        <v>1</v>
      </c>
      <c r="T11" s="46">
        <v>1</v>
      </c>
      <c r="W11" s="46">
        <v>16</v>
      </c>
      <c r="X11" s="46">
        <v>20</v>
      </c>
      <c r="Y11" s="46">
        <v>20</v>
      </c>
      <c r="Z11" s="46">
        <v>3</v>
      </c>
      <c r="AA11" s="46">
        <v>3</v>
      </c>
      <c r="AB11" s="46">
        <v>3</v>
      </c>
      <c r="AH11" s="46">
        <v>1</v>
      </c>
      <c r="AJ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T11" s="134">
        <v>46661</v>
      </c>
    </row>
    <row r="12" spans="1:98">
      <c r="A12" s="46" t="s">
        <v>7634</v>
      </c>
      <c r="B12" s="46" t="s">
        <v>7635</v>
      </c>
      <c r="C12" s="46">
        <v>24</v>
      </c>
      <c r="D12" s="46" t="s">
        <v>1459</v>
      </c>
      <c r="E12" s="46" t="s">
        <v>7636</v>
      </c>
      <c r="F12" s="46" t="s">
        <v>2472</v>
      </c>
      <c r="G12" s="46">
        <v>1</v>
      </c>
      <c r="L12" s="46">
        <v>1</v>
      </c>
      <c r="R12" s="46">
        <v>1</v>
      </c>
      <c r="U12" s="46">
        <v>1</v>
      </c>
      <c r="W12" s="46">
        <v>12</v>
      </c>
      <c r="X12" s="46">
        <v>20</v>
      </c>
      <c r="Y12" s="46">
        <v>0</v>
      </c>
      <c r="Z12" s="46">
        <v>0</v>
      </c>
      <c r="AA12" s="46">
        <v>0</v>
      </c>
      <c r="AB12" s="46">
        <v>0</v>
      </c>
      <c r="AG12" s="46">
        <v>1</v>
      </c>
      <c r="AH12" s="46">
        <v>1</v>
      </c>
      <c r="AI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K12" s="46">
        <v>1</v>
      </c>
      <c r="CR12" s="46" t="s">
        <v>1804</v>
      </c>
      <c r="CT12" s="134">
        <v>46661</v>
      </c>
    </row>
    <row r="13" spans="1:98">
      <c r="A13" s="46" t="s">
        <v>7637</v>
      </c>
      <c r="B13" s="46" t="s">
        <v>7638</v>
      </c>
      <c r="C13" s="46">
        <v>16</v>
      </c>
      <c r="D13" s="46" t="s">
        <v>1369</v>
      </c>
      <c r="E13" s="46" t="s">
        <v>7639</v>
      </c>
      <c r="F13" s="46" t="s">
        <v>2675</v>
      </c>
      <c r="H13" s="46">
        <v>1</v>
      </c>
      <c r="M13" s="46">
        <v>1</v>
      </c>
      <c r="R13" s="46">
        <v>1</v>
      </c>
      <c r="T13" s="46">
        <v>1</v>
      </c>
      <c r="W13" s="46">
        <v>13</v>
      </c>
      <c r="X13" s="46">
        <v>15</v>
      </c>
      <c r="Y13" s="46">
        <v>15</v>
      </c>
      <c r="Z13" s="46">
        <v>1</v>
      </c>
      <c r="AA13" s="46">
        <v>1</v>
      </c>
      <c r="AB13" s="46">
        <v>1</v>
      </c>
      <c r="AC13" s="46">
        <v>1</v>
      </c>
      <c r="AI13" s="46">
        <v>1</v>
      </c>
      <c r="AM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T13" s="134">
        <v>46661</v>
      </c>
    </row>
    <row r="14" spans="1:98">
      <c r="A14" s="46" t="s">
        <v>7640</v>
      </c>
      <c r="B14" s="46" t="s">
        <v>7641</v>
      </c>
      <c r="C14" s="46">
        <v>24</v>
      </c>
      <c r="D14" s="46" t="s">
        <v>4127</v>
      </c>
      <c r="E14" s="46" t="s">
        <v>7642</v>
      </c>
      <c r="F14" s="46" t="s">
        <v>2484</v>
      </c>
      <c r="H14" s="46">
        <v>1</v>
      </c>
      <c r="M14" s="46">
        <v>1</v>
      </c>
      <c r="Q14" s="46">
        <v>1</v>
      </c>
      <c r="U14" s="46">
        <v>1</v>
      </c>
      <c r="W14" s="46">
        <v>12</v>
      </c>
      <c r="X14" s="46">
        <v>17</v>
      </c>
      <c r="Y14" s="46">
        <v>20</v>
      </c>
      <c r="Z14" s="46">
        <v>2</v>
      </c>
      <c r="AA14" s="46">
        <v>2</v>
      </c>
      <c r="AB14" s="46">
        <v>2</v>
      </c>
      <c r="AC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T14" s="134">
        <v>46661</v>
      </c>
    </row>
    <row r="15" spans="1:98">
      <c r="A15" s="46" t="s">
        <v>7643</v>
      </c>
      <c r="B15" s="46" t="s">
        <v>7644</v>
      </c>
      <c r="C15" s="46">
        <v>23</v>
      </c>
      <c r="D15" s="46" t="s">
        <v>4127</v>
      </c>
      <c r="E15" s="46" t="s">
        <v>7645</v>
      </c>
      <c r="F15" s="46" t="s">
        <v>2484</v>
      </c>
      <c r="J15" s="46">
        <v>1</v>
      </c>
      <c r="O15" s="46">
        <v>1</v>
      </c>
      <c r="Q15" s="46">
        <v>1</v>
      </c>
      <c r="U15" s="46">
        <v>1</v>
      </c>
      <c r="W15" s="46">
        <v>15</v>
      </c>
      <c r="X15" s="46">
        <v>18</v>
      </c>
      <c r="Y15" s="46">
        <v>18</v>
      </c>
      <c r="Z15" s="46">
        <v>3</v>
      </c>
      <c r="AA15" s="46">
        <v>3</v>
      </c>
      <c r="AB15" s="46">
        <v>3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CB15" s="46">
        <v>1</v>
      </c>
      <c r="CE15" s="46">
        <v>1</v>
      </c>
      <c r="CK15" s="46">
        <v>1</v>
      </c>
      <c r="CT15" s="46" t="s">
        <v>3307</v>
      </c>
    </row>
    <row r="16" spans="1:98">
      <c r="A16" s="46" t="s">
        <v>7646</v>
      </c>
      <c r="B16" s="46" t="s">
        <v>7647</v>
      </c>
      <c r="C16" s="46">
        <v>40</v>
      </c>
      <c r="D16" s="46" t="s">
        <v>4127</v>
      </c>
      <c r="E16" s="46" t="s">
        <v>191</v>
      </c>
      <c r="F16" s="46" t="s">
        <v>2484</v>
      </c>
      <c r="J16" s="46">
        <v>1</v>
      </c>
      <c r="M16" s="46">
        <v>1</v>
      </c>
      <c r="R16" s="46">
        <v>1</v>
      </c>
      <c r="T16" s="46">
        <v>1</v>
      </c>
      <c r="W16" s="46">
        <v>13</v>
      </c>
      <c r="X16" s="46">
        <v>18</v>
      </c>
      <c r="Y16" s="46">
        <v>18</v>
      </c>
      <c r="Z16" s="46">
        <v>5</v>
      </c>
      <c r="AA16" s="46">
        <v>5</v>
      </c>
      <c r="AB16" s="46">
        <v>5</v>
      </c>
      <c r="AE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CB16" s="46">
        <v>1</v>
      </c>
      <c r="CF16" s="46">
        <v>1</v>
      </c>
      <c r="CG16" s="46">
        <v>2016</v>
      </c>
      <c r="CI16" s="46">
        <v>1</v>
      </c>
      <c r="CK16" s="46">
        <v>1</v>
      </c>
      <c r="CT16" s="46" t="s">
        <v>3307</v>
      </c>
    </row>
    <row r="17" spans="1:98">
      <c r="A17" s="46" t="s">
        <v>7648</v>
      </c>
      <c r="B17" s="46" t="s">
        <v>7649</v>
      </c>
      <c r="C17" s="46">
        <v>53</v>
      </c>
      <c r="D17" s="46" t="s">
        <v>4127</v>
      </c>
      <c r="E17" s="46" t="s">
        <v>191</v>
      </c>
      <c r="F17" s="46" t="s">
        <v>2484</v>
      </c>
      <c r="H17" s="46">
        <v>1</v>
      </c>
      <c r="M17" s="46">
        <v>1</v>
      </c>
      <c r="Q17" s="46">
        <v>1</v>
      </c>
      <c r="S17" s="46">
        <v>1</v>
      </c>
      <c r="W17" s="46">
        <v>15</v>
      </c>
      <c r="X17" s="46">
        <v>17</v>
      </c>
      <c r="Y17" s="46">
        <v>17</v>
      </c>
      <c r="Z17" s="46">
        <v>5</v>
      </c>
      <c r="AA17" s="46">
        <v>5</v>
      </c>
      <c r="AB17" s="46">
        <v>5</v>
      </c>
      <c r="AC17" s="46">
        <v>1</v>
      </c>
      <c r="AJ17" s="46">
        <v>1</v>
      </c>
      <c r="AK17" s="46">
        <v>1</v>
      </c>
      <c r="AT17" s="46">
        <v>1</v>
      </c>
      <c r="AX17" s="46">
        <v>1</v>
      </c>
      <c r="BL17" s="46">
        <v>1</v>
      </c>
      <c r="CB17" s="46">
        <v>1</v>
      </c>
      <c r="CE17" s="46">
        <v>1</v>
      </c>
      <c r="CK17" s="46">
        <v>1</v>
      </c>
      <c r="CT17" s="134">
        <v>46661</v>
      </c>
    </row>
    <row r="18" spans="1:98">
      <c r="A18" s="46" t="s">
        <v>7650</v>
      </c>
      <c r="B18" s="46" t="s">
        <v>7651</v>
      </c>
      <c r="C18" s="46">
        <v>30</v>
      </c>
      <c r="D18" s="46" t="s">
        <v>1459</v>
      </c>
      <c r="E18" s="46" t="s">
        <v>7652</v>
      </c>
      <c r="F18" s="46" t="s">
        <v>2484</v>
      </c>
      <c r="G18" s="46">
        <v>1</v>
      </c>
      <c r="M18" s="46">
        <v>1</v>
      </c>
      <c r="Q18" s="46">
        <v>1</v>
      </c>
      <c r="V18" s="46">
        <v>1</v>
      </c>
      <c r="W18" s="46">
        <v>12</v>
      </c>
      <c r="X18" s="46">
        <v>20</v>
      </c>
      <c r="Y18" s="46">
        <v>25</v>
      </c>
      <c r="Z18" s="46">
        <v>2</v>
      </c>
      <c r="AA18" s="46">
        <v>2</v>
      </c>
      <c r="AB18" s="46">
        <v>2</v>
      </c>
      <c r="AG18" s="46">
        <v>1</v>
      </c>
      <c r="AH18" s="46">
        <v>1</v>
      </c>
      <c r="AI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T18" s="134">
        <v>46661</v>
      </c>
    </row>
    <row r="19" spans="1:98">
      <c r="A19" s="46" t="s">
        <v>7653</v>
      </c>
      <c r="B19" s="46" t="s">
        <v>7654</v>
      </c>
      <c r="C19" s="46">
        <v>28</v>
      </c>
      <c r="D19" s="46" t="s">
        <v>4127</v>
      </c>
      <c r="E19" s="46" t="s">
        <v>7655</v>
      </c>
      <c r="F19" s="46" t="s">
        <v>2574</v>
      </c>
      <c r="J19" s="46">
        <v>1</v>
      </c>
      <c r="M19" s="46">
        <v>1</v>
      </c>
      <c r="R19" s="46">
        <v>1</v>
      </c>
      <c r="V19" s="46">
        <v>1</v>
      </c>
      <c r="W19" s="46">
        <v>18</v>
      </c>
      <c r="X19" s="46">
        <v>20</v>
      </c>
      <c r="Y19" s="46">
        <v>23</v>
      </c>
      <c r="Z19" s="46">
        <v>1</v>
      </c>
      <c r="AA19" s="46">
        <v>1</v>
      </c>
      <c r="AB19" s="46">
        <v>1</v>
      </c>
      <c r="AD19" s="46">
        <v>1</v>
      </c>
      <c r="AH19" s="46">
        <v>1</v>
      </c>
      <c r="AI19" s="46">
        <v>1</v>
      </c>
      <c r="AK19" s="46">
        <v>1</v>
      </c>
      <c r="AT19" s="46">
        <v>1</v>
      </c>
      <c r="AW19" s="46">
        <v>1</v>
      </c>
      <c r="BB19" s="46">
        <v>1</v>
      </c>
      <c r="BG19" s="46">
        <v>1</v>
      </c>
      <c r="BK19" s="46">
        <v>1</v>
      </c>
      <c r="CB19" s="46">
        <v>1</v>
      </c>
      <c r="CE19" s="46">
        <v>1</v>
      </c>
      <c r="CK19" s="46">
        <v>1</v>
      </c>
      <c r="CT19" s="134">
        <v>46661</v>
      </c>
    </row>
    <row r="20" spans="1:98">
      <c r="A20" s="46" t="s">
        <v>7656</v>
      </c>
      <c r="B20" s="46" t="s">
        <v>7657</v>
      </c>
      <c r="C20" s="46">
        <v>44</v>
      </c>
      <c r="D20" s="46" t="s">
        <v>7658</v>
      </c>
      <c r="E20" s="46" t="s">
        <v>7659</v>
      </c>
      <c r="F20" s="46" t="s">
        <v>2484</v>
      </c>
      <c r="H20" s="46">
        <v>1</v>
      </c>
      <c r="O20" s="46">
        <v>1</v>
      </c>
      <c r="Q20" s="46">
        <v>1</v>
      </c>
      <c r="S20" s="46">
        <v>1</v>
      </c>
      <c r="W20" s="46">
        <v>14</v>
      </c>
      <c r="X20" s="46">
        <v>14</v>
      </c>
      <c r="Y20" s="46">
        <v>14</v>
      </c>
      <c r="Z20" s="46">
        <v>7</v>
      </c>
      <c r="AA20" s="46">
        <v>7</v>
      </c>
      <c r="AB20" s="46">
        <v>7</v>
      </c>
      <c r="AE20" s="46">
        <v>1</v>
      </c>
      <c r="AG20" s="46">
        <v>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T20" s="134">
        <v>46661</v>
      </c>
    </row>
    <row r="21" spans="1:98">
      <c r="A21" s="46" t="s">
        <v>7660</v>
      </c>
      <c r="B21" s="46" t="s">
        <v>7661</v>
      </c>
      <c r="C21" s="46">
        <v>32</v>
      </c>
      <c r="D21" s="46" t="s">
        <v>1369</v>
      </c>
      <c r="E21" s="46" t="s">
        <v>7662</v>
      </c>
      <c r="F21" s="46" t="s">
        <v>1960</v>
      </c>
      <c r="H21" s="46">
        <v>1</v>
      </c>
      <c r="O21" s="46">
        <v>1</v>
      </c>
      <c r="Q21" s="46">
        <v>1</v>
      </c>
      <c r="V21" s="46">
        <v>1</v>
      </c>
      <c r="W21" s="46">
        <v>14</v>
      </c>
      <c r="X21" s="46">
        <v>20</v>
      </c>
      <c r="Y21" s="46">
        <v>28</v>
      </c>
      <c r="Z21" s="46">
        <v>1</v>
      </c>
      <c r="AA21" s="46">
        <v>1</v>
      </c>
      <c r="AB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K21" s="46">
        <v>1</v>
      </c>
      <c r="CB21" s="46">
        <v>1</v>
      </c>
      <c r="CE21" s="46">
        <v>1</v>
      </c>
      <c r="CK21" s="46">
        <v>1</v>
      </c>
      <c r="CT21" s="134">
        <v>46661</v>
      </c>
    </row>
    <row r="22" spans="1:98">
      <c r="A22" s="46" t="s">
        <v>7663</v>
      </c>
      <c r="B22" s="46" t="s">
        <v>7664</v>
      </c>
      <c r="C22" s="46">
        <v>56</v>
      </c>
      <c r="D22" s="46" t="s">
        <v>1369</v>
      </c>
      <c r="E22" s="46" t="s">
        <v>191</v>
      </c>
      <c r="F22" s="46" t="s">
        <v>145</v>
      </c>
      <c r="G22" s="46">
        <v>1</v>
      </c>
      <c r="M22" s="46">
        <v>1</v>
      </c>
      <c r="Q22" s="46">
        <v>1</v>
      </c>
      <c r="T22" s="46">
        <v>1</v>
      </c>
      <c r="W22" s="46">
        <v>14</v>
      </c>
      <c r="X22" s="46">
        <v>15</v>
      </c>
      <c r="Y22" s="46">
        <v>16</v>
      </c>
      <c r="Z22" s="46">
        <v>10</v>
      </c>
      <c r="AA22" s="46">
        <v>10</v>
      </c>
      <c r="AB22" s="46">
        <v>8</v>
      </c>
      <c r="AC22" s="46">
        <v>1</v>
      </c>
      <c r="AI22" s="46">
        <v>1</v>
      </c>
      <c r="AK22" s="46">
        <v>1</v>
      </c>
      <c r="AT22" s="46">
        <v>1</v>
      </c>
      <c r="AX22" s="46">
        <v>1</v>
      </c>
      <c r="BA22" s="46">
        <v>1</v>
      </c>
      <c r="BL22" s="46">
        <v>1</v>
      </c>
      <c r="CB22" s="46">
        <v>1</v>
      </c>
      <c r="CE22" s="46">
        <v>1</v>
      </c>
      <c r="CK22" s="46">
        <v>1</v>
      </c>
      <c r="CT22" s="134">
        <v>46661</v>
      </c>
    </row>
    <row r="23" spans="1:98">
      <c r="A23" s="46" t="s">
        <v>7665</v>
      </c>
      <c r="B23" s="46" t="s">
        <v>7666</v>
      </c>
      <c r="C23" s="46">
        <v>49</v>
      </c>
      <c r="D23" s="46" t="s">
        <v>4127</v>
      </c>
      <c r="E23" s="46" t="s">
        <v>7667</v>
      </c>
      <c r="F23" s="46" t="s">
        <v>2484</v>
      </c>
      <c r="H23" s="46">
        <v>1</v>
      </c>
      <c r="M23" s="46">
        <v>1</v>
      </c>
      <c r="R23" s="46">
        <v>1</v>
      </c>
      <c r="T23" s="46">
        <v>1</v>
      </c>
      <c r="W23" s="46">
        <v>17</v>
      </c>
      <c r="X23" s="46">
        <v>17</v>
      </c>
      <c r="Y23" s="46">
        <v>19</v>
      </c>
      <c r="Z23" s="46">
        <v>7</v>
      </c>
      <c r="AA23" s="46">
        <v>7</v>
      </c>
      <c r="AB23" s="46">
        <v>7</v>
      </c>
      <c r="AD23" s="46">
        <v>1</v>
      </c>
      <c r="AH23" s="46">
        <v>1</v>
      </c>
      <c r="AI23" s="46">
        <v>1</v>
      </c>
      <c r="AK23" s="46">
        <v>1</v>
      </c>
      <c r="AT23" s="46">
        <v>1</v>
      </c>
      <c r="AW23" s="46">
        <v>1</v>
      </c>
      <c r="BA23" s="46">
        <v>1</v>
      </c>
      <c r="BL23" s="46">
        <v>1</v>
      </c>
      <c r="CB23" s="46">
        <v>1</v>
      </c>
      <c r="CE23" s="46">
        <v>1</v>
      </c>
      <c r="CK23" s="46">
        <v>1</v>
      </c>
      <c r="CT23" s="134">
        <v>46661</v>
      </c>
    </row>
    <row r="24" spans="1:98">
      <c r="A24" s="46" t="s">
        <v>7668</v>
      </c>
      <c r="B24" s="46" t="s">
        <v>7669</v>
      </c>
      <c r="C24" s="46">
        <v>19</v>
      </c>
      <c r="D24" s="46" t="s">
        <v>1369</v>
      </c>
      <c r="E24" s="46" t="s">
        <v>7670</v>
      </c>
      <c r="F24" s="46" t="s">
        <v>2675</v>
      </c>
      <c r="J24" s="46">
        <v>1</v>
      </c>
      <c r="O24" s="46">
        <v>1</v>
      </c>
      <c r="Q24" s="46">
        <v>1</v>
      </c>
      <c r="T24" s="46">
        <v>1</v>
      </c>
      <c r="W24" s="46">
        <v>13</v>
      </c>
      <c r="X24" s="46">
        <v>13</v>
      </c>
      <c r="Y24" s="46">
        <v>19</v>
      </c>
      <c r="Z24" s="46">
        <v>1</v>
      </c>
      <c r="AA24" s="46">
        <v>1</v>
      </c>
      <c r="AB24" s="46">
        <v>1</v>
      </c>
      <c r="AD24" s="46">
        <v>1</v>
      </c>
      <c r="AE24" s="46">
        <v>1</v>
      </c>
      <c r="AG24" s="46">
        <v>1</v>
      </c>
      <c r="AH24" s="46">
        <v>1</v>
      </c>
      <c r="AI24" s="46">
        <v>1</v>
      </c>
      <c r="AK24" s="46">
        <v>1</v>
      </c>
      <c r="AT24" s="46">
        <v>1</v>
      </c>
      <c r="AX24" s="46">
        <v>1</v>
      </c>
      <c r="BA24" s="46">
        <v>1</v>
      </c>
      <c r="BK24" s="46">
        <v>1</v>
      </c>
      <c r="BY24" s="46">
        <v>1</v>
      </c>
      <c r="CB24" s="46">
        <v>1</v>
      </c>
      <c r="CE24" s="46">
        <v>1</v>
      </c>
      <c r="CK24" s="46">
        <v>1</v>
      </c>
      <c r="CT24" s="134">
        <v>46661</v>
      </c>
    </row>
    <row r="25" spans="1:98">
      <c r="A25" s="46" t="s">
        <v>7671</v>
      </c>
      <c r="B25" s="46" t="s">
        <v>7672</v>
      </c>
      <c r="C25" s="46">
        <v>39</v>
      </c>
      <c r="D25" s="46" t="s">
        <v>7673</v>
      </c>
      <c r="E25" s="46" t="s">
        <v>191</v>
      </c>
      <c r="F25" s="46" t="s">
        <v>2244</v>
      </c>
      <c r="G25" s="46">
        <v>1</v>
      </c>
      <c r="M25" s="46">
        <v>1</v>
      </c>
      <c r="R25" s="46">
        <v>1</v>
      </c>
      <c r="S25" s="46">
        <v>1</v>
      </c>
      <c r="W25" s="46">
        <v>14</v>
      </c>
      <c r="X25" s="46">
        <v>14</v>
      </c>
      <c r="Y25" s="46">
        <v>15</v>
      </c>
      <c r="Z25" s="46">
        <v>8</v>
      </c>
      <c r="AA25" s="46">
        <v>8</v>
      </c>
      <c r="AB25" s="46">
        <v>8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CB25" s="46">
        <v>1</v>
      </c>
      <c r="CE25" s="46">
        <v>1</v>
      </c>
      <c r="CK25" s="46">
        <v>1</v>
      </c>
      <c r="CT25" s="134">
        <v>46661</v>
      </c>
    </row>
    <row r="26" spans="1:98">
      <c r="A26" s="46" t="s">
        <v>7674</v>
      </c>
      <c r="B26" s="46" t="s">
        <v>7675</v>
      </c>
      <c r="C26" s="46">
        <v>21</v>
      </c>
      <c r="D26" s="46" t="s">
        <v>1369</v>
      </c>
      <c r="E26" s="46" t="s">
        <v>191</v>
      </c>
      <c r="F26" s="46" t="s">
        <v>2675</v>
      </c>
      <c r="G26" s="46">
        <v>1</v>
      </c>
      <c r="M26" s="46">
        <v>1</v>
      </c>
      <c r="Q26" s="46">
        <v>1</v>
      </c>
      <c r="T26" s="46">
        <v>1</v>
      </c>
      <c r="W26" s="46">
        <v>16</v>
      </c>
      <c r="X26" s="46">
        <v>17</v>
      </c>
      <c r="Y26" s="46">
        <v>19</v>
      </c>
      <c r="Z26" s="46">
        <v>2</v>
      </c>
      <c r="AA26" s="46">
        <v>1</v>
      </c>
      <c r="AB26" s="46">
        <v>1</v>
      </c>
      <c r="AC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CB26" s="46">
        <v>1</v>
      </c>
      <c r="CE26" s="46">
        <v>1</v>
      </c>
      <c r="CK26" s="46">
        <v>1</v>
      </c>
      <c r="CT26" s="134">
        <v>46661</v>
      </c>
    </row>
    <row r="27" spans="1:98">
      <c r="A27" s="46" t="s">
        <v>7676</v>
      </c>
      <c r="B27" s="46" t="s">
        <v>7677</v>
      </c>
      <c r="C27" s="46">
        <v>37</v>
      </c>
      <c r="D27" s="46" t="s">
        <v>1459</v>
      </c>
      <c r="E27" s="46" t="s">
        <v>7678</v>
      </c>
      <c r="F27" s="46" t="s">
        <v>2523</v>
      </c>
      <c r="J27" s="46">
        <v>1</v>
      </c>
      <c r="M27" s="46">
        <v>1</v>
      </c>
      <c r="Q27" s="46">
        <v>1</v>
      </c>
      <c r="V27" s="46">
        <v>1</v>
      </c>
      <c r="W27" s="46">
        <v>12</v>
      </c>
      <c r="X27" s="46">
        <v>19</v>
      </c>
      <c r="Y27" s="46">
        <v>32</v>
      </c>
      <c r="Z27" s="46">
        <v>1</v>
      </c>
      <c r="AA27" s="46">
        <v>2</v>
      </c>
      <c r="AB27" s="46">
        <v>2</v>
      </c>
      <c r="AC27" s="46">
        <v>1</v>
      </c>
      <c r="AI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T27" s="134">
        <v>46661</v>
      </c>
    </row>
    <row r="28" spans="1:98">
      <c r="A28" s="46" t="s">
        <v>7679</v>
      </c>
      <c r="B28" s="46" t="s">
        <v>7680</v>
      </c>
      <c r="C28" s="46">
        <v>34</v>
      </c>
      <c r="D28" s="46" t="s">
        <v>1369</v>
      </c>
      <c r="E28" s="46" t="s">
        <v>7681</v>
      </c>
      <c r="F28" s="46" t="s">
        <v>2675</v>
      </c>
      <c r="J28" s="46">
        <v>1</v>
      </c>
      <c r="M28" s="46">
        <v>1</v>
      </c>
      <c r="Q28" s="46">
        <v>1</v>
      </c>
      <c r="T28" s="46">
        <v>1</v>
      </c>
      <c r="W28" s="46">
        <v>17</v>
      </c>
      <c r="X28" s="46">
        <v>18</v>
      </c>
      <c r="Y28" s="46">
        <v>19</v>
      </c>
      <c r="Z28" s="46">
        <v>5</v>
      </c>
      <c r="AA28" s="46">
        <v>5</v>
      </c>
      <c r="AB28" s="46">
        <v>4</v>
      </c>
      <c r="AD28" s="46">
        <v>1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X28" s="46">
        <v>1</v>
      </c>
      <c r="BA28" s="46">
        <v>1</v>
      </c>
      <c r="BK28" s="46">
        <v>1</v>
      </c>
      <c r="CB28" s="46">
        <v>1</v>
      </c>
      <c r="CE28" s="46">
        <v>1</v>
      </c>
      <c r="CK28" s="46">
        <v>1</v>
      </c>
      <c r="CT28" s="134">
        <v>46661</v>
      </c>
    </row>
    <row r="29" spans="1:98">
      <c r="A29" s="46" t="s">
        <v>7682</v>
      </c>
      <c r="B29" s="46" t="s">
        <v>7683</v>
      </c>
      <c r="C29" s="46">
        <v>47</v>
      </c>
      <c r="D29" s="46" t="s">
        <v>4127</v>
      </c>
      <c r="E29" s="46" t="s">
        <v>7684</v>
      </c>
      <c r="F29" s="46" t="s">
        <v>2484</v>
      </c>
      <c r="I29" s="46">
        <v>1</v>
      </c>
      <c r="O29" s="46">
        <v>1</v>
      </c>
      <c r="R29" s="46">
        <v>1</v>
      </c>
      <c r="U29" s="46">
        <v>1</v>
      </c>
      <c r="W29" s="46">
        <v>14</v>
      </c>
      <c r="X29" s="46">
        <v>18</v>
      </c>
      <c r="Y29" s="46">
        <v>18</v>
      </c>
      <c r="Z29" s="46">
        <v>6</v>
      </c>
      <c r="AA29" s="46">
        <v>4</v>
      </c>
      <c r="AB29" s="46">
        <v>4</v>
      </c>
      <c r="AD29" s="46">
        <v>1</v>
      </c>
      <c r="AE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O29" s="46">
        <v>1</v>
      </c>
      <c r="CB29" s="46">
        <v>1</v>
      </c>
      <c r="CE29" s="46">
        <v>1</v>
      </c>
      <c r="CK29" s="46">
        <v>1</v>
      </c>
      <c r="CT29" s="134">
        <v>45566</v>
      </c>
    </row>
    <row r="30" spans="1:98">
      <c r="A30" s="46" t="s">
        <v>7685</v>
      </c>
      <c r="B30" s="46" t="s">
        <v>7686</v>
      </c>
      <c r="C30" s="46">
        <v>21</v>
      </c>
      <c r="D30" s="46" t="s">
        <v>1459</v>
      </c>
      <c r="E30" s="46" t="s">
        <v>7687</v>
      </c>
      <c r="F30" s="46" t="s">
        <v>2484</v>
      </c>
      <c r="H30" s="46">
        <v>1</v>
      </c>
      <c r="L30" s="46">
        <v>1</v>
      </c>
      <c r="R30" s="46">
        <v>1</v>
      </c>
      <c r="V30" s="46">
        <v>1</v>
      </c>
      <c r="W30" s="46">
        <v>12</v>
      </c>
      <c r="X30" s="46">
        <v>18</v>
      </c>
      <c r="Y30" s="46">
        <v>0</v>
      </c>
      <c r="Z30" s="46">
        <v>0</v>
      </c>
      <c r="AA30" s="46">
        <v>0</v>
      </c>
      <c r="AB30" s="46">
        <v>0</v>
      </c>
      <c r="AC30" s="46">
        <v>1</v>
      </c>
      <c r="AI30" s="46">
        <v>1</v>
      </c>
      <c r="AK30" s="46">
        <v>1</v>
      </c>
      <c r="AT30" s="46">
        <v>1</v>
      </c>
      <c r="AW30" s="46">
        <v>1</v>
      </c>
      <c r="BA30" s="46">
        <v>1</v>
      </c>
      <c r="BK30" s="46">
        <v>1</v>
      </c>
      <c r="CB30" s="46">
        <v>1</v>
      </c>
      <c r="CE30" s="46">
        <v>1</v>
      </c>
      <c r="CK30" s="46">
        <v>1</v>
      </c>
      <c r="CT30" s="134">
        <v>46661</v>
      </c>
    </row>
    <row r="31" spans="1:98">
      <c r="A31" s="46" t="s">
        <v>7688</v>
      </c>
      <c r="B31" s="46" t="s">
        <v>7689</v>
      </c>
      <c r="C31" s="46">
        <v>44</v>
      </c>
      <c r="D31" s="46" t="s">
        <v>4127</v>
      </c>
      <c r="E31" s="46" t="s">
        <v>7690</v>
      </c>
      <c r="F31" s="46" t="s">
        <v>2484</v>
      </c>
      <c r="G31" s="46">
        <v>1</v>
      </c>
      <c r="M31" s="46">
        <v>1</v>
      </c>
      <c r="R31" s="46">
        <v>1</v>
      </c>
      <c r="U31" s="46">
        <v>1</v>
      </c>
      <c r="W31" s="46">
        <v>14</v>
      </c>
      <c r="X31" s="46">
        <v>16</v>
      </c>
      <c r="Y31" s="46">
        <v>16</v>
      </c>
      <c r="Z31" s="46">
        <v>7</v>
      </c>
      <c r="AA31" s="46">
        <v>7</v>
      </c>
      <c r="AB31" s="46">
        <v>5</v>
      </c>
      <c r="AD31" s="46">
        <v>1</v>
      </c>
      <c r="AE31" s="46">
        <v>1</v>
      </c>
      <c r="AG31" s="46">
        <v>1</v>
      </c>
      <c r="AH31" s="46">
        <v>1</v>
      </c>
      <c r="AJ31" s="46">
        <v>1</v>
      </c>
      <c r="AK31" s="46">
        <v>1</v>
      </c>
      <c r="AT31" s="46">
        <v>1</v>
      </c>
      <c r="AW31" s="46">
        <v>1</v>
      </c>
      <c r="BB31" s="46">
        <v>1</v>
      </c>
      <c r="BG31" s="46">
        <v>1</v>
      </c>
      <c r="BM31" s="46">
        <v>1</v>
      </c>
      <c r="BU31" s="46">
        <v>1</v>
      </c>
      <c r="BV31" s="46" t="s">
        <v>952</v>
      </c>
      <c r="CB31" s="46">
        <v>1</v>
      </c>
      <c r="CE31" s="46">
        <v>1</v>
      </c>
      <c r="CK31" s="46">
        <v>1</v>
      </c>
      <c r="CT31" s="134">
        <v>45597</v>
      </c>
    </row>
    <row r="32" spans="1:98">
      <c r="A32" s="46" t="s">
        <v>7691</v>
      </c>
      <c r="B32" s="46" t="s">
        <v>7692</v>
      </c>
      <c r="C32" s="46">
        <v>45</v>
      </c>
      <c r="D32" s="46" t="s">
        <v>1369</v>
      </c>
      <c r="E32" s="46" t="s">
        <v>7693</v>
      </c>
      <c r="F32" s="46" t="s">
        <v>7694</v>
      </c>
      <c r="G32" s="46">
        <v>1</v>
      </c>
      <c r="M32" s="46">
        <v>1</v>
      </c>
      <c r="Q32" s="46">
        <v>1</v>
      </c>
      <c r="R32" s="46">
        <v>1</v>
      </c>
      <c r="U32" s="46">
        <v>1</v>
      </c>
      <c r="W32" s="46">
        <v>14</v>
      </c>
      <c r="X32" s="46">
        <v>14</v>
      </c>
      <c r="Y32" s="46">
        <v>17</v>
      </c>
      <c r="Z32" s="46">
        <v>10</v>
      </c>
      <c r="AA32" s="46">
        <v>10</v>
      </c>
      <c r="AB32" s="46">
        <v>10</v>
      </c>
      <c r="AE32" s="46">
        <v>1</v>
      </c>
      <c r="AJ32" s="46">
        <v>1</v>
      </c>
      <c r="AK32" s="46">
        <v>1</v>
      </c>
      <c r="AT32" s="46">
        <v>1</v>
      </c>
      <c r="AW32" s="46">
        <v>1</v>
      </c>
      <c r="BA32" s="46">
        <v>1</v>
      </c>
      <c r="BK32" s="46">
        <v>1</v>
      </c>
      <c r="BY32" s="46">
        <v>1</v>
      </c>
      <c r="CB32" s="46">
        <v>1</v>
      </c>
      <c r="CE32" s="46">
        <v>1</v>
      </c>
      <c r="CK32" s="46">
        <v>1</v>
      </c>
      <c r="CT32" s="134">
        <v>46661</v>
      </c>
    </row>
    <row r="33" spans="1:98">
      <c r="A33" s="46" t="s">
        <v>7695</v>
      </c>
      <c r="B33" s="46" t="s">
        <v>7696</v>
      </c>
      <c r="C33" s="46">
        <v>40</v>
      </c>
      <c r="D33" s="46" t="s">
        <v>4127</v>
      </c>
      <c r="E33" s="46" t="s">
        <v>191</v>
      </c>
      <c r="F33" s="46" t="s">
        <v>2484</v>
      </c>
      <c r="H33" s="46">
        <v>1</v>
      </c>
      <c r="M33" s="46">
        <v>1</v>
      </c>
      <c r="R33" s="46">
        <v>1</v>
      </c>
      <c r="T33" s="46">
        <v>1</v>
      </c>
      <c r="W33" s="46">
        <v>15</v>
      </c>
      <c r="X33" s="46">
        <v>18</v>
      </c>
      <c r="Y33" s="46">
        <v>20</v>
      </c>
      <c r="Z33" s="46">
        <v>8</v>
      </c>
      <c r="AA33" s="46">
        <v>8</v>
      </c>
      <c r="AB33" s="46">
        <v>7</v>
      </c>
      <c r="AC33" s="46">
        <v>1</v>
      </c>
      <c r="AJ33" s="46">
        <v>1</v>
      </c>
      <c r="AL33" s="46">
        <v>1</v>
      </c>
      <c r="AT33" s="46">
        <v>1</v>
      </c>
      <c r="AW33" s="46">
        <v>1</v>
      </c>
      <c r="BA33" s="46">
        <v>1</v>
      </c>
      <c r="BK33" s="46">
        <v>1</v>
      </c>
      <c r="CB33" s="46">
        <v>1</v>
      </c>
      <c r="CE33" s="46">
        <v>1</v>
      </c>
      <c r="CK33" s="46">
        <v>1</v>
      </c>
      <c r="CT33" s="134">
        <v>46661</v>
      </c>
    </row>
    <row r="34" spans="1:98">
      <c r="A34" s="46" t="s">
        <v>7697</v>
      </c>
      <c r="B34" s="46" t="s">
        <v>1557</v>
      </c>
      <c r="C34" s="46">
        <v>69</v>
      </c>
      <c r="D34" s="46" t="s">
        <v>7658</v>
      </c>
      <c r="E34" s="46" t="s">
        <v>191</v>
      </c>
      <c r="F34" s="46" t="s">
        <v>2484</v>
      </c>
      <c r="I34" s="46">
        <v>1</v>
      </c>
      <c r="O34" s="46">
        <v>1</v>
      </c>
      <c r="Q34" s="46">
        <v>1</v>
      </c>
      <c r="S34" s="46">
        <v>1</v>
      </c>
      <c r="W34" s="46">
        <v>14</v>
      </c>
      <c r="X34" s="46">
        <v>20</v>
      </c>
      <c r="Y34" s="46">
        <v>29</v>
      </c>
      <c r="Z34" s="46">
        <v>10</v>
      </c>
      <c r="AA34" s="46">
        <v>10</v>
      </c>
      <c r="AB34" s="46">
        <v>9</v>
      </c>
      <c r="AC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O34" s="46" t="s">
        <v>7698</v>
      </c>
      <c r="BY34" s="46">
        <v>1</v>
      </c>
      <c r="CB34" s="46">
        <v>1</v>
      </c>
      <c r="CE34" s="46">
        <v>1</v>
      </c>
      <c r="CK34" s="46">
        <v>1</v>
      </c>
      <c r="CT34" s="134">
        <v>46661</v>
      </c>
    </row>
    <row r="35" spans="1:98">
      <c r="A35" s="46" t="s">
        <v>7699</v>
      </c>
      <c r="B35" s="46" t="s">
        <v>7700</v>
      </c>
      <c r="C35" s="46">
        <v>39</v>
      </c>
      <c r="D35" s="46" t="s">
        <v>4127</v>
      </c>
      <c r="E35" s="46" t="s">
        <v>7701</v>
      </c>
      <c r="F35" s="46" t="s">
        <v>2484</v>
      </c>
      <c r="H35" s="46">
        <v>1</v>
      </c>
      <c r="M35" s="46">
        <v>1</v>
      </c>
      <c r="R35" s="46">
        <v>1</v>
      </c>
      <c r="T35" s="46">
        <v>1</v>
      </c>
      <c r="W35" s="46">
        <v>13</v>
      </c>
      <c r="X35" s="46">
        <v>16</v>
      </c>
      <c r="Y35" s="46">
        <v>20</v>
      </c>
      <c r="Z35" s="46">
        <v>4</v>
      </c>
      <c r="AA35" s="46">
        <v>4</v>
      </c>
      <c r="AB35" s="46">
        <v>4</v>
      </c>
      <c r="AG35" s="46">
        <v>1</v>
      </c>
      <c r="AH35" s="46">
        <v>1</v>
      </c>
      <c r="AJ35" s="46">
        <v>1</v>
      </c>
      <c r="AK35" s="46">
        <v>1</v>
      </c>
      <c r="AT35" s="46">
        <v>1</v>
      </c>
      <c r="AX35" s="46">
        <v>1</v>
      </c>
      <c r="BA35" s="46">
        <v>1</v>
      </c>
      <c r="BK35" s="46">
        <v>1</v>
      </c>
      <c r="CB35" s="46">
        <v>1</v>
      </c>
      <c r="CE35" s="46">
        <v>1</v>
      </c>
      <c r="CK35" s="46">
        <v>1</v>
      </c>
      <c r="CT35" s="134">
        <v>46661</v>
      </c>
    </row>
    <row r="36" spans="1:98">
      <c r="A36" s="46" t="s">
        <v>7702</v>
      </c>
      <c r="B36" s="46" t="s">
        <v>7703</v>
      </c>
      <c r="C36" s="46">
        <v>37</v>
      </c>
      <c r="D36" s="46" t="s">
        <v>4127</v>
      </c>
      <c r="E36" s="46" t="s">
        <v>7704</v>
      </c>
      <c r="F36" s="46" t="s">
        <v>2484</v>
      </c>
      <c r="J36" s="46">
        <v>1</v>
      </c>
      <c r="M36" s="46">
        <v>1</v>
      </c>
      <c r="R36" s="46">
        <v>1</v>
      </c>
      <c r="T36" s="46">
        <v>1</v>
      </c>
      <c r="W36" s="46">
        <v>14</v>
      </c>
      <c r="X36" s="46">
        <v>16</v>
      </c>
      <c r="Y36" s="46">
        <v>16</v>
      </c>
      <c r="Z36" s="46">
        <v>6</v>
      </c>
      <c r="AA36" s="46">
        <v>6</v>
      </c>
      <c r="AB36" s="46">
        <v>6</v>
      </c>
      <c r="AC36" s="46">
        <v>1</v>
      </c>
      <c r="AJ36" s="46">
        <v>1</v>
      </c>
      <c r="AK36" s="46">
        <v>1</v>
      </c>
      <c r="AT36" s="46">
        <v>1</v>
      </c>
      <c r="AW36" s="46">
        <v>1</v>
      </c>
      <c r="BB36" s="46">
        <v>1</v>
      </c>
      <c r="BG36" s="46">
        <v>1</v>
      </c>
      <c r="BO36" s="46"/>
      <c r="CB36" s="46">
        <v>1</v>
      </c>
      <c r="CE36" s="46">
        <v>1</v>
      </c>
      <c r="CK36" s="46">
        <v>1</v>
      </c>
      <c r="CT36" s="134">
        <v>46661</v>
      </c>
    </row>
    <row r="37" spans="1:98">
      <c r="A37" s="46" t="s">
        <v>7705</v>
      </c>
      <c r="B37" s="46" t="s">
        <v>7706</v>
      </c>
      <c r="C37" s="46">
        <v>20</v>
      </c>
      <c r="D37" s="46" t="s">
        <v>1459</v>
      </c>
      <c r="E37" s="46" t="s">
        <v>7707</v>
      </c>
      <c r="F37" s="46" t="s">
        <v>2523</v>
      </c>
      <c r="H37" s="46">
        <v>1</v>
      </c>
      <c r="L37" s="46">
        <v>1</v>
      </c>
      <c r="Q37" s="46">
        <v>1</v>
      </c>
      <c r="V37" s="46">
        <v>1</v>
      </c>
      <c r="W37" s="46">
        <v>13</v>
      </c>
      <c r="X37" s="46">
        <v>19</v>
      </c>
      <c r="Y37" s="46">
        <v>0</v>
      </c>
      <c r="Z37" s="46">
        <v>0</v>
      </c>
      <c r="AA37" s="46">
        <v>0</v>
      </c>
      <c r="AB37" s="46">
        <v>0</v>
      </c>
      <c r="AE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BK37" s="46">
        <v>1</v>
      </c>
      <c r="BY37" s="46">
        <v>1</v>
      </c>
      <c r="CB37" s="46">
        <v>1</v>
      </c>
      <c r="CE37" s="46">
        <v>1</v>
      </c>
      <c r="CK37" s="46">
        <v>1</v>
      </c>
      <c r="CT37" s="134">
        <v>46661</v>
      </c>
    </row>
    <row r="38" spans="1:98">
      <c r="A38" s="46" t="s">
        <v>7708</v>
      </c>
      <c r="B38" s="46" t="s">
        <v>7709</v>
      </c>
      <c r="C38" s="46">
        <v>45</v>
      </c>
      <c r="D38" s="46" t="s">
        <v>4127</v>
      </c>
      <c r="E38" s="46" t="s">
        <v>7710</v>
      </c>
      <c r="F38" s="46" t="s">
        <v>2484</v>
      </c>
      <c r="I38" s="46">
        <v>1</v>
      </c>
      <c r="L38" s="46">
        <v>1</v>
      </c>
      <c r="Q38" s="46">
        <v>1</v>
      </c>
      <c r="T38" s="46">
        <v>1</v>
      </c>
      <c r="W38" s="46">
        <v>13</v>
      </c>
      <c r="X38" s="46">
        <v>16</v>
      </c>
      <c r="Y38" s="46">
        <v>17</v>
      </c>
      <c r="Z38" s="46">
        <v>10</v>
      </c>
      <c r="AA38" s="46">
        <v>8</v>
      </c>
      <c r="AB38" s="46">
        <v>7</v>
      </c>
      <c r="AE38" s="46">
        <v>1</v>
      </c>
      <c r="AG38" s="46">
        <v>1</v>
      </c>
      <c r="AI38" s="46">
        <v>1</v>
      </c>
      <c r="AK38" s="46">
        <v>1</v>
      </c>
      <c r="AT38" s="46">
        <v>1</v>
      </c>
      <c r="AW38" s="46">
        <v>1</v>
      </c>
      <c r="BB38" s="46">
        <v>1</v>
      </c>
      <c r="BG38" s="46">
        <v>1</v>
      </c>
      <c r="CC38" s="46">
        <v>1</v>
      </c>
      <c r="CF38" s="46">
        <v>1</v>
      </c>
      <c r="CH38" s="46">
        <v>1</v>
      </c>
      <c r="CM38" s="46">
        <v>1</v>
      </c>
      <c r="CO38" s="46">
        <v>1</v>
      </c>
      <c r="CQ38" s="46">
        <v>1</v>
      </c>
      <c r="CS38" s="46" t="s">
        <v>7711</v>
      </c>
      <c r="CT38" s="50">
        <v>45566</v>
      </c>
    </row>
    <row r="39" spans="1:98">
      <c r="A39" s="46" t="s">
        <v>7712</v>
      </c>
      <c r="B39" s="46" t="s">
        <v>7713</v>
      </c>
      <c r="C39" s="46">
        <v>35</v>
      </c>
      <c r="D39" s="46" t="s">
        <v>4127</v>
      </c>
      <c r="E39" s="46" t="s">
        <v>191</v>
      </c>
      <c r="F39" s="46" t="s">
        <v>662</v>
      </c>
      <c r="H39" s="46">
        <v>1</v>
      </c>
      <c r="M39" s="46">
        <v>1</v>
      </c>
      <c r="R39" s="46">
        <v>1</v>
      </c>
      <c r="T39" s="46">
        <v>1</v>
      </c>
      <c r="W39" s="46">
        <v>13</v>
      </c>
      <c r="X39" s="46">
        <v>16</v>
      </c>
      <c r="Y39" s="46">
        <v>20</v>
      </c>
      <c r="Z39" s="46">
        <v>2</v>
      </c>
      <c r="AA39" s="46">
        <v>2</v>
      </c>
      <c r="AB39" s="46">
        <v>2</v>
      </c>
      <c r="AD39" s="46">
        <v>1</v>
      </c>
      <c r="AE39" s="46">
        <v>1</v>
      </c>
      <c r="AG39" s="46">
        <v>1</v>
      </c>
      <c r="AH39" s="46">
        <v>1</v>
      </c>
      <c r="AJ39" s="46">
        <v>1</v>
      </c>
      <c r="AK39" s="46">
        <v>1</v>
      </c>
      <c r="AT39" s="46">
        <v>1</v>
      </c>
      <c r="AX39" s="46">
        <v>1</v>
      </c>
      <c r="BA39" s="46">
        <v>1</v>
      </c>
      <c r="BJ39" s="46">
        <v>1</v>
      </c>
      <c r="BX39" s="46">
        <v>1</v>
      </c>
      <c r="BY39" s="46">
        <v>1</v>
      </c>
      <c r="CB39" s="46">
        <v>1</v>
      </c>
      <c r="CE39" s="46">
        <v>1</v>
      </c>
      <c r="CK39" s="46">
        <v>1</v>
      </c>
      <c r="CT39" s="134">
        <v>45931</v>
      </c>
    </row>
  </sheetData>
  <autoFilter ref="A3:CT39"/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topLeftCell="X1" workbookViewId="0">
      <selection activeCell="AF6" sqref="AF6"/>
    </sheetView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551</v>
      </c>
      <c r="B3" s="69">
        <v>1</v>
      </c>
      <c r="C3" s="69">
        <v>0</v>
      </c>
      <c r="D3" s="69">
        <v>1</v>
      </c>
      <c r="E3" s="69">
        <f t="shared" ref="E3:E8" si="0">SUM(B3:D3)</f>
        <v>2</v>
      </c>
      <c r="F3" s="70">
        <v>0</v>
      </c>
      <c r="G3" s="70">
        <v>2</v>
      </c>
      <c r="H3" s="70">
        <v>0</v>
      </c>
      <c r="I3" s="70">
        <v>0</v>
      </c>
      <c r="J3" s="71">
        <f t="shared" ref="J3:J9" si="1">SUM(F3:I3)</f>
        <v>2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1">
        <f t="shared" ref="P3:P8" si="2">SUM(K3:O3)</f>
        <v>0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2</v>
      </c>
      <c r="AB3" s="73">
        <v>0</v>
      </c>
      <c r="AC3" s="73">
        <v>0</v>
      </c>
      <c r="AD3" s="73">
        <v>0</v>
      </c>
      <c r="AE3" s="186">
        <f t="shared" ref="AE3:AE8" si="4">SUM(AA3,AB3,AC3,AD3)</f>
        <v>2</v>
      </c>
      <c r="AF3" s="73">
        <v>0</v>
      </c>
      <c r="AG3" s="73">
        <v>0</v>
      </c>
    </row>
    <row r="4" spans="1:33">
      <c r="A4" s="74" t="s">
        <v>7714</v>
      </c>
      <c r="B4" s="69">
        <v>9</v>
      </c>
      <c r="C4" s="69">
        <v>0</v>
      </c>
      <c r="D4" s="69">
        <v>0</v>
      </c>
      <c r="E4" s="69">
        <f t="shared" si="0"/>
        <v>9</v>
      </c>
      <c r="F4" s="70">
        <v>0</v>
      </c>
      <c r="G4" s="70">
        <v>8</v>
      </c>
      <c r="H4" s="70">
        <v>0</v>
      </c>
      <c r="I4" s="70">
        <v>0</v>
      </c>
      <c r="J4" s="71">
        <f t="shared" si="1"/>
        <v>8</v>
      </c>
      <c r="K4" s="70">
        <v>0</v>
      </c>
      <c r="L4" s="70">
        <v>0</v>
      </c>
      <c r="M4" s="70">
        <v>0</v>
      </c>
      <c r="N4" s="70">
        <v>0</v>
      </c>
      <c r="O4" s="70">
        <v>1</v>
      </c>
      <c r="P4" s="71">
        <f t="shared" si="2"/>
        <v>1</v>
      </c>
      <c r="Q4" s="70">
        <v>0</v>
      </c>
      <c r="R4" s="70">
        <v>0</v>
      </c>
      <c r="S4" s="70">
        <v>2</v>
      </c>
      <c r="T4" s="71">
        <f t="shared" si="3"/>
        <v>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9</v>
      </c>
      <c r="AB4" s="73">
        <v>0</v>
      </c>
      <c r="AC4" s="73">
        <v>0</v>
      </c>
      <c r="AD4" s="73">
        <v>0</v>
      </c>
      <c r="AE4" s="186">
        <f t="shared" si="4"/>
        <v>9</v>
      </c>
      <c r="AF4" s="73">
        <v>0</v>
      </c>
      <c r="AG4" s="73">
        <v>0</v>
      </c>
    </row>
    <row r="5" spans="1:33">
      <c r="A5" s="77" t="s">
        <v>888</v>
      </c>
      <c r="B5" s="69">
        <v>10</v>
      </c>
      <c r="C5" s="69">
        <v>1</v>
      </c>
      <c r="D5" s="69">
        <v>0</v>
      </c>
      <c r="E5" s="69">
        <f t="shared" si="0"/>
        <v>11</v>
      </c>
      <c r="F5" s="70">
        <v>1</v>
      </c>
      <c r="G5" s="70">
        <v>7</v>
      </c>
      <c r="H5" s="70">
        <v>0</v>
      </c>
      <c r="I5" s="70">
        <v>0</v>
      </c>
      <c r="J5" s="71">
        <f t="shared" si="1"/>
        <v>8</v>
      </c>
      <c r="K5" s="70">
        <v>0</v>
      </c>
      <c r="L5" s="70">
        <v>0</v>
      </c>
      <c r="M5" s="70">
        <v>0</v>
      </c>
      <c r="N5" s="70">
        <v>0</v>
      </c>
      <c r="O5" s="70">
        <v>3</v>
      </c>
      <c r="P5" s="71">
        <f t="shared" si="2"/>
        <v>3</v>
      </c>
      <c r="Q5" s="70">
        <v>1</v>
      </c>
      <c r="R5" s="70">
        <v>0</v>
      </c>
      <c r="S5" s="70">
        <v>1</v>
      </c>
      <c r="T5" s="71">
        <f t="shared" si="3"/>
        <v>2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11</v>
      </c>
      <c r="AB5" s="73">
        <v>0</v>
      </c>
      <c r="AC5" s="73">
        <v>0</v>
      </c>
      <c r="AD5" s="73">
        <v>0</v>
      </c>
      <c r="AE5" s="186">
        <f t="shared" si="4"/>
        <v>11</v>
      </c>
      <c r="AF5" s="73">
        <v>0</v>
      </c>
      <c r="AG5" s="73">
        <v>0</v>
      </c>
    </row>
    <row r="6" spans="1:33">
      <c r="A6" s="77" t="s">
        <v>7715</v>
      </c>
      <c r="B6" s="69">
        <v>6</v>
      </c>
      <c r="C6" s="69">
        <v>0</v>
      </c>
      <c r="D6" s="69">
        <v>0</v>
      </c>
      <c r="E6" s="69">
        <f t="shared" si="0"/>
        <v>6</v>
      </c>
      <c r="F6" s="70">
        <v>0</v>
      </c>
      <c r="G6" s="70">
        <v>2</v>
      </c>
      <c r="H6" s="70">
        <v>0</v>
      </c>
      <c r="I6" s="70">
        <v>0</v>
      </c>
      <c r="J6" s="71">
        <f t="shared" si="1"/>
        <v>2</v>
      </c>
      <c r="K6" s="70">
        <v>1</v>
      </c>
      <c r="L6" s="70">
        <v>1</v>
      </c>
      <c r="M6" s="70">
        <v>0</v>
      </c>
      <c r="N6" s="70">
        <v>1</v>
      </c>
      <c r="O6" s="70">
        <v>1</v>
      </c>
      <c r="P6" s="71">
        <f t="shared" si="2"/>
        <v>4</v>
      </c>
      <c r="Q6" s="70">
        <v>0</v>
      </c>
      <c r="R6" s="70"/>
      <c r="S6" s="70">
        <v>1</v>
      </c>
      <c r="T6" s="71">
        <f t="shared" si="3"/>
        <v>1</v>
      </c>
      <c r="U6" s="75">
        <v>0</v>
      </c>
      <c r="V6" s="75">
        <v>0</v>
      </c>
      <c r="W6" s="75">
        <v>0</v>
      </c>
      <c r="X6" s="75">
        <v>1</v>
      </c>
      <c r="Y6" s="75">
        <v>0</v>
      </c>
      <c r="Z6" s="75"/>
      <c r="AA6" s="73">
        <v>5</v>
      </c>
      <c r="AB6" s="73">
        <v>0</v>
      </c>
      <c r="AC6" s="73">
        <v>1</v>
      </c>
      <c r="AD6" s="73">
        <v>0</v>
      </c>
      <c r="AE6" s="186">
        <f t="shared" si="4"/>
        <v>6</v>
      </c>
      <c r="AF6" s="73">
        <v>0</v>
      </c>
      <c r="AG6" s="73">
        <v>0</v>
      </c>
    </row>
    <row r="7" spans="1:33">
      <c r="A7" s="243" t="s">
        <v>7716</v>
      </c>
      <c r="B7" s="69">
        <v>5</v>
      </c>
      <c r="C7" s="69">
        <v>0</v>
      </c>
      <c r="D7" s="69">
        <v>0</v>
      </c>
      <c r="E7" s="69">
        <f t="shared" si="0"/>
        <v>5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4</v>
      </c>
      <c r="L7" s="114">
        <v>1</v>
      </c>
      <c r="M7" s="114">
        <v>0</v>
      </c>
      <c r="N7" s="114">
        <v>0</v>
      </c>
      <c r="O7" s="114">
        <v>0</v>
      </c>
      <c r="P7" s="71">
        <f t="shared" si="2"/>
        <v>5</v>
      </c>
      <c r="Q7" s="114">
        <v>0</v>
      </c>
      <c r="R7" s="114">
        <v>0</v>
      </c>
      <c r="S7" s="114">
        <v>1</v>
      </c>
      <c r="T7" s="71">
        <f t="shared" si="3"/>
        <v>1</v>
      </c>
      <c r="U7" s="114">
        <v>0</v>
      </c>
      <c r="V7" s="114">
        <v>0</v>
      </c>
      <c r="W7" s="114">
        <v>0</v>
      </c>
      <c r="X7" s="114">
        <v>1</v>
      </c>
      <c r="Y7" s="114">
        <v>0</v>
      </c>
      <c r="Z7" s="114"/>
      <c r="AA7" s="73">
        <v>5</v>
      </c>
      <c r="AB7" s="73">
        <v>0</v>
      </c>
      <c r="AC7" s="73">
        <v>0</v>
      </c>
      <c r="AD7" s="73">
        <v>0</v>
      </c>
      <c r="AE7" s="186">
        <f t="shared" si="4"/>
        <v>5</v>
      </c>
      <c r="AF7" s="73">
        <v>0</v>
      </c>
      <c r="AG7" s="73">
        <v>0</v>
      </c>
    </row>
    <row r="8" spans="1:33">
      <c r="A8" s="243" t="s">
        <v>1364</v>
      </c>
      <c r="B8" s="69">
        <v>1</v>
      </c>
      <c r="C8" s="69">
        <v>1</v>
      </c>
      <c r="D8" s="69">
        <v>0</v>
      </c>
      <c r="E8" s="69">
        <f t="shared" si="0"/>
        <v>2</v>
      </c>
      <c r="F8" s="69">
        <v>1</v>
      </c>
      <c r="G8" s="69">
        <v>0</v>
      </c>
      <c r="H8" s="69">
        <v>0</v>
      </c>
      <c r="I8" s="69">
        <v>0</v>
      </c>
      <c r="J8" s="71">
        <f t="shared" si="1"/>
        <v>1</v>
      </c>
      <c r="K8" s="114">
        <v>0</v>
      </c>
      <c r="L8" s="114">
        <v>1</v>
      </c>
      <c r="M8" s="114">
        <v>0</v>
      </c>
      <c r="N8" s="114">
        <v>0</v>
      </c>
      <c r="O8" s="114">
        <v>0</v>
      </c>
      <c r="P8" s="71">
        <f t="shared" si="2"/>
        <v>1</v>
      </c>
      <c r="Q8" s="114">
        <v>0</v>
      </c>
      <c r="R8" s="114">
        <v>0</v>
      </c>
      <c r="S8" s="114">
        <v>1</v>
      </c>
      <c r="T8" s="71">
        <f t="shared" si="3"/>
        <v>1</v>
      </c>
      <c r="U8" s="114">
        <v>0</v>
      </c>
      <c r="V8" s="114">
        <v>0</v>
      </c>
      <c r="W8" s="114">
        <v>0</v>
      </c>
      <c r="X8" s="114">
        <v>1</v>
      </c>
      <c r="Y8" s="114">
        <v>0</v>
      </c>
      <c r="Z8" s="114"/>
      <c r="AA8" s="73">
        <v>2</v>
      </c>
      <c r="AB8" s="73">
        <v>0</v>
      </c>
      <c r="AC8" s="73">
        <v>0</v>
      </c>
      <c r="AD8" s="73">
        <v>0</v>
      </c>
      <c r="AE8" s="186">
        <f t="shared" si="4"/>
        <v>2</v>
      </c>
      <c r="AF8" s="73">
        <v>0</v>
      </c>
      <c r="AG8" s="73">
        <v>0</v>
      </c>
    </row>
    <row r="9" spans="1:33">
      <c r="A9" s="69" t="s">
        <v>376</v>
      </c>
      <c r="B9" s="69">
        <f t="shared" ref="B9:G9" si="5">SUM(B3:B8)</f>
        <v>32</v>
      </c>
      <c r="C9" s="69">
        <f t="shared" si="5"/>
        <v>2</v>
      </c>
      <c r="D9" s="69">
        <f t="shared" si="5"/>
        <v>1</v>
      </c>
      <c r="E9" s="69">
        <f t="shared" si="5"/>
        <v>35</v>
      </c>
      <c r="F9" s="69">
        <f t="shared" si="5"/>
        <v>2</v>
      </c>
      <c r="G9" s="69">
        <f t="shared" si="5"/>
        <v>19</v>
      </c>
      <c r="H9" s="69">
        <f>SUM(H3:H6)</f>
        <v>0</v>
      </c>
      <c r="I9" s="69">
        <f>SUM(I3:I6)</f>
        <v>0</v>
      </c>
      <c r="J9" s="71">
        <f t="shared" si="1"/>
        <v>21</v>
      </c>
      <c r="K9" s="114">
        <f>SUM(K3:K8)</f>
        <v>5</v>
      </c>
      <c r="L9" s="114">
        <f>SUM(L3:L8)</f>
        <v>3</v>
      </c>
      <c r="M9" s="114">
        <f>SUM(M3:M8)</f>
        <v>0</v>
      </c>
      <c r="N9" s="114">
        <f>SUM(N3:N8)</f>
        <v>1</v>
      </c>
      <c r="O9" s="114">
        <f>SUM(O3:O8)</f>
        <v>5</v>
      </c>
      <c r="P9" s="71">
        <f>SUM(K9:O9)</f>
        <v>14</v>
      </c>
      <c r="Q9" s="114">
        <f>SUM(Q3:Q8)</f>
        <v>1</v>
      </c>
      <c r="R9" s="114">
        <f t="shared" ref="R9:AG9" si="6">SUM(R3:R6)</f>
        <v>0</v>
      </c>
      <c r="S9" s="114">
        <f>SUM(S3:S8)</f>
        <v>7</v>
      </c>
      <c r="T9" s="71">
        <f>SUM(T3:T8)</f>
        <v>8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>SUM(X3:X8)</f>
        <v>3</v>
      </c>
      <c r="Y9" s="114">
        <f t="shared" si="6"/>
        <v>0</v>
      </c>
      <c r="Z9" s="114">
        <f t="shared" si="6"/>
        <v>0</v>
      </c>
      <c r="AA9" s="73">
        <f>SUM(AA3:AA8)</f>
        <v>34</v>
      </c>
      <c r="AB9" s="73">
        <f t="shared" si="6"/>
        <v>0</v>
      </c>
      <c r="AC9" s="73">
        <f t="shared" si="6"/>
        <v>1</v>
      </c>
      <c r="AD9" s="73">
        <f t="shared" si="6"/>
        <v>0</v>
      </c>
      <c r="AE9" s="73">
        <f>SUM(AE3:AE8)</f>
        <v>35</v>
      </c>
      <c r="AF9" s="73">
        <f t="shared" si="6"/>
        <v>0</v>
      </c>
      <c r="AG9" s="73">
        <f t="shared" si="6"/>
        <v>0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34"/>
  <sheetViews>
    <sheetView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4.42578125" defaultRowHeight="15" customHeight="1"/>
  <cols>
    <col min="1" max="1" width="11.42578125" customWidth="1"/>
    <col min="2" max="2" width="25.42578125" customWidth="1"/>
    <col min="3" max="3" width="11.7109375" customWidth="1"/>
    <col min="5" max="5" width="18.85546875" customWidth="1"/>
  </cols>
  <sheetData>
    <row r="1" spans="1:98">
      <c r="A1" s="197" t="s">
        <v>7717</v>
      </c>
      <c r="B1" s="143"/>
      <c r="C1" s="231" t="s">
        <v>7718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7719</v>
      </c>
      <c r="B4" s="46" t="s">
        <v>7720</v>
      </c>
      <c r="C4" s="46">
        <v>32</v>
      </c>
      <c r="D4" s="46" t="s">
        <v>7721</v>
      </c>
      <c r="E4" s="46" t="s">
        <v>7722</v>
      </c>
      <c r="F4" s="46" t="s">
        <v>5736</v>
      </c>
      <c r="J4" s="46">
        <v>1</v>
      </c>
      <c r="M4" s="46">
        <v>1</v>
      </c>
      <c r="R4" s="46">
        <v>1</v>
      </c>
      <c r="T4" s="46">
        <v>1</v>
      </c>
      <c r="W4" s="46">
        <v>15</v>
      </c>
      <c r="X4" s="46">
        <v>19</v>
      </c>
      <c r="Y4" s="46">
        <v>20</v>
      </c>
      <c r="Z4" s="46">
        <v>5</v>
      </c>
      <c r="AA4" s="46">
        <v>5</v>
      </c>
      <c r="AB4" s="46">
        <v>5</v>
      </c>
      <c r="AD4" s="46">
        <v>1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CB4" s="46">
        <v>1</v>
      </c>
      <c r="CE4" s="46">
        <v>1</v>
      </c>
      <c r="CK4" s="46">
        <v>1</v>
      </c>
    </row>
    <row r="5" spans="1:98" hidden="1">
      <c r="A5" s="46" t="s">
        <v>7723</v>
      </c>
      <c r="B5" s="46" t="s">
        <v>7724</v>
      </c>
      <c r="C5" s="46">
        <v>34</v>
      </c>
      <c r="D5" s="46" t="s">
        <v>7725</v>
      </c>
      <c r="E5" s="46" t="s">
        <v>7726</v>
      </c>
      <c r="F5" s="46" t="s">
        <v>2523</v>
      </c>
      <c r="H5" s="46">
        <v>1</v>
      </c>
      <c r="M5" s="46">
        <v>1</v>
      </c>
      <c r="R5" s="46">
        <v>1</v>
      </c>
      <c r="T5" s="46">
        <v>1</v>
      </c>
      <c r="W5" s="46">
        <v>18</v>
      </c>
      <c r="X5" s="46">
        <v>20</v>
      </c>
      <c r="Y5" s="46">
        <v>21</v>
      </c>
      <c r="Z5" s="46">
        <v>5</v>
      </c>
      <c r="AA5" s="46">
        <v>5</v>
      </c>
      <c r="AB5" s="46">
        <v>5</v>
      </c>
      <c r="AD5" s="46">
        <v>1</v>
      </c>
      <c r="AE5" s="46">
        <v>1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X5" s="46">
        <v>1</v>
      </c>
      <c r="BB5" s="46">
        <v>1</v>
      </c>
      <c r="BG5" s="46">
        <v>1</v>
      </c>
      <c r="CB5" s="46">
        <v>1</v>
      </c>
      <c r="CE5" s="46">
        <v>1</v>
      </c>
      <c r="CK5" s="46">
        <v>1</v>
      </c>
    </row>
    <row r="6" spans="1:98" hidden="1">
      <c r="A6" s="46" t="s">
        <v>7727</v>
      </c>
      <c r="B6" s="46" t="s">
        <v>1592</v>
      </c>
      <c r="C6" s="46">
        <v>17</v>
      </c>
      <c r="D6" s="46" t="s">
        <v>7728</v>
      </c>
      <c r="E6" s="46" t="s">
        <v>191</v>
      </c>
      <c r="F6" s="46" t="s">
        <v>2472</v>
      </c>
      <c r="J6" s="46">
        <v>1</v>
      </c>
      <c r="O6" s="46">
        <v>1</v>
      </c>
      <c r="Q6" s="46">
        <v>1</v>
      </c>
      <c r="T6" s="46">
        <v>1</v>
      </c>
      <c r="W6" s="46">
        <v>13</v>
      </c>
      <c r="X6" s="46">
        <v>15</v>
      </c>
      <c r="Y6" s="46">
        <v>17</v>
      </c>
      <c r="Z6" s="46">
        <v>1</v>
      </c>
      <c r="AA6" s="46">
        <v>1</v>
      </c>
      <c r="AB6" s="46">
        <v>1</v>
      </c>
      <c r="AE6" s="46">
        <v>1</v>
      </c>
      <c r="AG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O6" s="46" t="s">
        <v>2703</v>
      </c>
      <c r="BY6" s="46">
        <v>1</v>
      </c>
      <c r="CC6" s="46">
        <v>1</v>
      </c>
      <c r="CD6" s="46" t="s">
        <v>7729</v>
      </c>
      <c r="CE6" s="46">
        <v>1</v>
      </c>
      <c r="CN6" s="46">
        <v>1</v>
      </c>
    </row>
    <row r="7" spans="1:98" hidden="1">
      <c r="A7" s="46" t="s">
        <v>7730</v>
      </c>
      <c r="B7" s="46" t="s">
        <v>7731</v>
      </c>
      <c r="C7" s="46">
        <v>36</v>
      </c>
      <c r="D7" s="46" t="s">
        <v>7721</v>
      </c>
      <c r="E7" s="46" t="s">
        <v>191</v>
      </c>
      <c r="F7" s="46" t="s">
        <v>1279</v>
      </c>
      <c r="J7" s="46">
        <v>1</v>
      </c>
      <c r="M7" s="46">
        <v>1</v>
      </c>
      <c r="R7" s="46">
        <v>1</v>
      </c>
      <c r="T7" s="46">
        <v>1</v>
      </c>
      <c r="W7" s="46">
        <v>15</v>
      </c>
      <c r="X7" s="46">
        <v>0</v>
      </c>
      <c r="Y7" s="46">
        <v>16</v>
      </c>
      <c r="Z7" s="46">
        <v>5</v>
      </c>
      <c r="AA7" s="46">
        <v>5</v>
      </c>
      <c r="AB7" s="46">
        <v>5</v>
      </c>
      <c r="AE7" s="46">
        <v>1</v>
      </c>
      <c r="AG7" s="46">
        <v>1</v>
      </c>
      <c r="AH7" s="46">
        <v>1</v>
      </c>
      <c r="AJ7" s="46">
        <v>1</v>
      </c>
      <c r="AM7" s="46">
        <v>1</v>
      </c>
      <c r="AT7" s="46">
        <v>1</v>
      </c>
      <c r="AW7" s="46">
        <v>1</v>
      </c>
      <c r="BA7" s="46">
        <v>1</v>
      </c>
      <c r="CB7" s="46">
        <v>1</v>
      </c>
      <c r="CE7" s="46">
        <v>1</v>
      </c>
      <c r="CK7" s="46">
        <v>1</v>
      </c>
    </row>
    <row r="8" spans="1:98">
      <c r="A8" s="46" t="s">
        <v>7732</v>
      </c>
      <c r="B8" s="46" t="s">
        <v>7733</v>
      </c>
      <c r="C8" s="46">
        <v>49</v>
      </c>
      <c r="D8" s="46" t="s">
        <v>7734</v>
      </c>
      <c r="E8" s="46" t="s">
        <v>7735</v>
      </c>
      <c r="F8" s="46" t="s">
        <v>2285</v>
      </c>
      <c r="H8" s="46">
        <v>1</v>
      </c>
      <c r="O8" s="46">
        <v>1</v>
      </c>
      <c r="Q8" s="46">
        <v>1</v>
      </c>
      <c r="T8" s="46">
        <v>1</v>
      </c>
      <c r="W8" s="46">
        <v>0</v>
      </c>
      <c r="X8" s="46">
        <v>0</v>
      </c>
      <c r="Y8" s="46">
        <v>0</v>
      </c>
      <c r="Z8" s="46">
        <v>8</v>
      </c>
      <c r="AA8" s="46">
        <v>8</v>
      </c>
      <c r="AB8" s="46">
        <v>3</v>
      </c>
      <c r="AE8" s="46">
        <v>1</v>
      </c>
      <c r="AG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L8" s="46">
        <v>1</v>
      </c>
      <c r="CB8" s="46">
        <v>1</v>
      </c>
      <c r="CE8" s="46">
        <v>1</v>
      </c>
      <c r="CT8" s="134">
        <v>46661</v>
      </c>
    </row>
    <row r="9" spans="1:98" hidden="1">
      <c r="A9" s="46" t="s">
        <v>7736</v>
      </c>
      <c r="B9" s="46" t="s">
        <v>7737</v>
      </c>
      <c r="C9" s="46">
        <v>28</v>
      </c>
      <c r="D9" s="46" t="s">
        <v>2014</v>
      </c>
      <c r="E9" s="46" t="s">
        <v>7738</v>
      </c>
      <c r="F9" s="46" t="s">
        <v>5736</v>
      </c>
      <c r="G9" s="46">
        <v>1</v>
      </c>
      <c r="M9" s="46">
        <v>1</v>
      </c>
      <c r="Q9" s="46">
        <v>1</v>
      </c>
      <c r="U9" s="46">
        <v>1</v>
      </c>
      <c r="W9" s="46">
        <v>15</v>
      </c>
      <c r="X9" s="46">
        <v>17</v>
      </c>
      <c r="Y9" s="46">
        <v>25</v>
      </c>
      <c r="Z9" s="46">
        <v>3</v>
      </c>
      <c r="AA9" s="46">
        <v>2</v>
      </c>
      <c r="AB9" s="46">
        <v>2</v>
      </c>
      <c r="AH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K9" s="46">
        <v>1</v>
      </c>
      <c r="CT9" s="134">
        <v>46661</v>
      </c>
    </row>
    <row r="10" spans="1:98" hidden="1">
      <c r="A10" s="46" t="s">
        <v>7739</v>
      </c>
      <c r="B10" s="46" t="s">
        <v>7740</v>
      </c>
      <c r="C10" s="46">
        <v>30</v>
      </c>
      <c r="D10" s="46" t="s">
        <v>2014</v>
      </c>
      <c r="E10" s="46" t="s">
        <v>7741</v>
      </c>
      <c r="F10" s="46" t="s">
        <v>2014</v>
      </c>
      <c r="G10" s="46">
        <v>1</v>
      </c>
      <c r="M10" s="46">
        <v>1</v>
      </c>
      <c r="Q10" s="46">
        <v>1</v>
      </c>
      <c r="S10" s="46">
        <v>1</v>
      </c>
      <c r="W10" s="46">
        <v>12</v>
      </c>
      <c r="X10" s="46">
        <v>17</v>
      </c>
      <c r="Y10" s="46">
        <v>18</v>
      </c>
      <c r="Z10" s="46">
        <v>3</v>
      </c>
      <c r="AA10" s="46">
        <v>3</v>
      </c>
      <c r="AB10" s="46">
        <v>3</v>
      </c>
      <c r="AE10" s="46">
        <v>1</v>
      </c>
      <c r="AH10" s="46">
        <v>1</v>
      </c>
      <c r="AJ10" s="46">
        <v>1</v>
      </c>
      <c r="AK10" s="46">
        <v>1</v>
      </c>
      <c r="AT10" s="46">
        <v>1</v>
      </c>
      <c r="AX10" s="46">
        <v>1</v>
      </c>
      <c r="BA10" s="46">
        <v>1</v>
      </c>
      <c r="BK10" s="46">
        <v>1</v>
      </c>
      <c r="CB10" s="46">
        <v>1</v>
      </c>
      <c r="CE10" s="46">
        <v>1</v>
      </c>
      <c r="CK10" s="46">
        <v>1</v>
      </c>
      <c r="CT10" s="134">
        <v>46661</v>
      </c>
    </row>
    <row r="11" spans="1:98" hidden="1">
      <c r="A11" s="46" t="s">
        <v>7742</v>
      </c>
      <c r="B11" s="46" t="s">
        <v>7743</v>
      </c>
      <c r="C11" s="46">
        <v>19</v>
      </c>
      <c r="D11" s="46" t="s">
        <v>7744</v>
      </c>
      <c r="E11" s="46" t="s">
        <v>7745</v>
      </c>
      <c r="F11" s="46" t="s">
        <v>2985</v>
      </c>
      <c r="G11" s="46">
        <v>1</v>
      </c>
      <c r="M11" s="46">
        <v>1</v>
      </c>
      <c r="Q11" s="46">
        <v>1</v>
      </c>
      <c r="T11" s="46">
        <v>1</v>
      </c>
      <c r="W11" s="46">
        <v>10</v>
      </c>
      <c r="X11" s="46">
        <v>11</v>
      </c>
      <c r="Y11" s="46">
        <v>18</v>
      </c>
      <c r="Z11" s="46">
        <v>1</v>
      </c>
      <c r="AA11" s="46">
        <v>1</v>
      </c>
      <c r="AB11" s="46">
        <v>1</v>
      </c>
      <c r="AD11" s="46">
        <v>1</v>
      </c>
      <c r="AE11" s="46">
        <v>1</v>
      </c>
      <c r="AH11" s="46">
        <v>1</v>
      </c>
      <c r="AJ11" s="46">
        <v>1</v>
      </c>
      <c r="AM11" s="46">
        <v>1</v>
      </c>
      <c r="AT11" s="46">
        <v>1</v>
      </c>
      <c r="AW11" s="46">
        <v>1</v>
      </c>
      <c r="BA11" s="46">
        <v>1</v>
      </c>
      <c r="BK11" s="46">
        <v>1</v>
      </c>
      <c r="CB11" s="46">
        <v>1</v>
      </c>
      <c r="CE11" s="46">
        <v>1</v>
      </c>
      <c r="CK11" s="46">
        <v>1</v>
      </c>
      <c r="CT11" s="134">
        <v>46661</v>
      </c>
    </row>
    <row r="12" spans="1:98" hidden="1">
      <c r="A12" s="46" t="s">
        <v>7746</v>
      </c>
      <c r="B12" s="46" t="s">
        <v>7747</v>
      </c>
      <c r="C12" s="46">
        <v>37</v>
      </c>
      <c r="D12" s="46" t="s">
        <v>7748</v>
      </c>
      <c r="E12" s="46" t="s">
        <v>7749</v>
      </c>
      <c r="F12" s="46" t="s">
        <v>2472</v>
      </c>
      <c r="I12" s="46">
        <v>1</v>
      </c>
      <c r="M12" s="46">
        <v>1</v>
      </c>
      <c r="Q12" s="46">
        <v>1</v>
      </c>
      <c r="U12" s="46">
        <v>1</v>
      </c>
      <c r="W12" s="46">
        <v>19</v>
      </c>
      <c r="X12" s="46">
        <v>22</v>
      </c>
      <c r="Y12" s="46">
        <v>24</v>
      </c>
      <c r="Z12" s="46">
        <v>6</v>
      </c>
      <c r="AA12" s="46">
        <v>6</v>
      </c>
      <c r="AB12" s="46">
        <v>5</v>
      </c>
      <c r="AC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F12" s="46">
        <v>1</v>
      </c>
      <c r="CG12" s="46">
        <v>2024</v>
      </c>
      <c r="CI12" s="46">
        <v>1</v>
      </c>
      <c r="CT12" s="134">
        <v>46661</v>
      </c>
    </row>
    <row r="13" spans="1:98" hidden="1">
      <c r="A13" s="46" t="s">
        <v>7750</v>
      </c>
      <c r="B13" s="46" t="s">
        <v>7751</v>
      </c>
      <c r="C13" s="46">
        <v>25</v>
      </c>
      <c r="D13" s="46" t="s">
        <v>7748</v>
      </c>
      <c r="E13" s="46" t="s">
        <v>7752</v>
      </c>
      <c r="F13" s="46" t="s">
        <v>2472</v>
      </c>
      <c r="I13" s="46">
        <v>1</v>
      </c>
      <c r="M13" s="46">
        <v>1</v>
      </c>
      <c r="Q13" s="46">
        <v>1</v>
      </c>
      <c r="T13" s="46">
        <v>1</v>
      </c>
      <c r="W13" s="46">
        <v>15</v>
      </c>
      <c r="X13" s="46">
        <v>20</v>
      </c>
      <c r="Y13" s="46">
        <v>21</v>
      </c>
      <c r="Z13" s="46">
        <v>4</v>
      </c>
      <c r="AA13" s="46">
        <v>4</v>
      </c>
      <c r="AB13" s="46">
        <v>4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K13" s="46">
        <v>1</v>
      </c>
      <c r="CT13" s="134">
        <v>46661</v>
      </c>
    </row>
    <row r="14" spans="1:98" hidden="1">
      <c r="A14" s="46" t="s">
        <v>7753</v>
      </c>
      <c r="B14" s="46" t="s">
        <v>2768</v>
      </c>
      <c r="C14" s="46">
        <v>23</v>
      </c>
      <c r="D14" s="46" t="s">
        <v>7754</v>
      </c>
      <c r="E14" s="46" t="s">
        <v>7755</v>
      </c>
      <c r="F14" s="46" t="s">
        <v>2472</v>
      </c>
      <c r="I14" s="46">
        <v>1</v>
      </c>
      <c r="O14" s="46">
        <v>1</v>
      </c>
      <c r="Q14" s="46">
        <v>1</v>
      </c>
      <c r="T14" s="46">
        <v>1</v>
      </c>
      <c r="W14" s="46">
        <v>0</v>
      </c>
      <c r="X14" s="46">
        <v>18</v>
      </c>
      <c r="Y14" s="46">
        <v>19</v>
      </c>
      <c r="Z14" s="46">
        <v>2</v>
      </c>
      <c r="AA14" s="46">
        <v>2</v>
      </c>
      <c r="AB14" s="46">
        <v>2</v>
      </c>
      <c r="AD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K14" s="46">
        <v>1</v>
      </c>
      <c r="CT14" s="134">
        <v>46661</v>
      </c>
    </row>
    <row r="15" spans="1:98" hidden="1">
      <c r="A15" s="46" t="s">
        <v>7756</v>
      </c>
      <c r="B15" s="46" t="s">
        <v>7757</v>
      </c>
      <c r="C15" s="46">
        <v>19</v>
      </c>
      <c r="D15" s="46" t="s">
        <v>7728</v>
      </c>
      <c r="E15" s="46" t="s">
        <v>7758</v>
      </c>
      <c r="F15" s="46" t="s">
        <v>2472</v>
      </c>
      <c r="I15" s="46">
        <v>1</v>
      </c>
      <c r="M15" s="46">
        <v>1</v>
      </c>
      <c r="Q15" s="46">
        <v>1</v>
      </c>
      <c r="T15" s="46">
        <v>1</v>
      </c>
      <c r="W15" s="46">
        <v>14</v>
      </c>
      <c r="X15" s="46">
        <v>17</v>
      </c>
      <c r="Y15" s="46">
        <v>18</v>
      </c>
      <c r="Z15" s="46">
        <v>2</v>
      </c>
      <c r="AA15" s="46">
        <v>2</v>
      </c>
      <c r="AB15" s="46">
        <v>2</v>
      </c>
      <c r="AD15" s="46">
        <v>1</v>
      </c>
      <c r="AE15" s="46">
        <v>1</v>
      </c>
      <c r="AG15" s="46">
        <v>1</v>
      </c>
      <c r="AH15" s="46">
        <v>1</v>
      </c>
      <c r="AJ15" s="46">
        <v>1</v>
      </c>
      <c r="AK15" s="46">
        <v>1</v>
      </c>
      <c r="AT15" s="46">
        <v>1</v>
      </c>
      <c r="AW15" s="46">
        <v>1</v>
      </c>
      <c r="BA15" s="46">
        <v>1</v>
      </c>
      <c r="BK15" s="46">
        <v>1</v>
      </c>
      <c r="CB15" s="46">
        <v>1</v>
      </c>
      <c r="CE15" s="46">
        <v>1</v>
      </c>
      <c r="CT15" s="134">
        <v>46661</v>
      </c>
    </row>
    <row r="16" spans="1:98">
      <c r="A16" s="46" t="s">
        <v>7759</v>
      </c>
      <c r="B16" s="46" t="s">
        <v>7760</v>
      </c>
      <c r="C16" s="46">
        <v>45</v>
      </c>
      <c r="D16" s="46" t="s">
        <v>7728</v>
      </c>
      <c r="E16" s="46" t="s">
        <v>7758</v>
      </c>
      <c r="F16" s="46" t="s">
        <v>2472</v>
      </c>
      <c r="J16" s="46">
        <v>1</v>
      </c>
      <c r="M16" s="46">
        <v>1</v>
      </c>
      <c r="R16" s="46">
        <v>1</v>
      </c>
      <c r="T16" s="46">
        <v>1</v>
      </c>
      <c r="W16" s="46">
        <v>15</v>
      </c>
      <c r="X16" s="46">
        <v>20</v>
      </c>
      <c r="Y16" s="46">
        <v>22</v>
      </c>
      <c r="Z16" s="46">
        <v>8</v>
      </c>
      <c r="AA16" s="46">
        <v>8</v>
      </c>
      <c r="AB16" s="46">
        <v>8</v>
      </c>
      <c r="AE16" s="46">
        <v>1</v>
      </c>
      <c r="AG16" s="46">
        <v>1</v>
      </c>
      <c r="AH16" s="46">
        <v>1</v>
      </c>
      <c r="AJ16" s="46">
        <v>1</v>
      </c>
      <c r="AK16" s="46">
        <v>1</v>
      </c>
      <c r="AT16" s="46">
        <v>1</v>
      </c>
      <c r="AW16" s="46">
        <v>1</v>
      </c>
      <c r="BA16" s="46">
        <v>1</v>
      </c>
      <c r="BK16" s="46">
        <v>1</v>
      </c>
      <c r="CB16" s="46">
        <v>1</v>
      </c>
      <c r="CE16" s="46">
        <v>1</v>
      </c>
      <c r="CT16" s="134">
        <v>46661</v>
      </c>
    </row>
    <row r="17" spans="1:98" hidden="1">
      <c r="A17" s="46" t="s">
        <v>7761</v>
      </c>
      <c r="B17" s="46" t="s">
        <v>7762</v>
      </c>
      <c r="C17" s="46">
        <v>24</v>
      </c>
      <c r="D17" s="46" t="s">
        <v>7734</v>
      </c>
      <c r="E17" s="46" t="s">
        <v>7763</v>
      </c>
      <c r="F17" s="46" t="s">
        <v>2985</v>
      </c>
      <c r="H17" s="46">
        <v>1</v>
      </c>
      <c r="M17" s="46">
        <v>1</v>
      </c>
      <c r="R17" s="46">
        <v>1</v>
      </c>
      <c r="U17" s="46">
        <v>1</v>
      </c>
      <c r="W17" s="46">
        <v>16</v>
      </c>
      <c r="X17" s="46">
        <v>19</v>
      </c>
      <c r="Y17" s="46">
        <v>0</v>
      </c>
      <c r="Z17" s="46">
        <v>0</v>
      </c>
      <c r="AA17" s="46">
        <v>0</v>
      </c>
      <c r="AB17" s="46">
        <v>0</v>
      </c>
      <c r="AC17" s="46">
        <v>1</v>
      </c>
      <c r="AJ17" s="46">
        <v>1</v>
      </c>
      <c r="AK17" s="46">
        <v>1</v>
      </c>
      <c r="AT17" s="46">
        <v>1</v>
      </c>
      <c r="AX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T17" s="134">
        <v>46661</v>
      </c>
    </row>
    <row r="18" spans="1:98" hidden="1">
      <c r="A18" s="46" t="s">
        <v>7764</v>
      </c>
      <c r="B18" s="46" t="s">
        <v>7765</v>
      </c>
      <c r="C18" s="46">
        <v>24</v>
      </c>
      <c r="D18" s="46" t="s">
        <v>7754</v>
      </c>
      <c r="E18" s="46" t="s">
        <v>7766</v>
      </c>
      <c r="F18" s="46" t="s">
        <v>2472</v>
      </c>
      <c r="I18" s="46">
        <v>1</v>
      </c>
      <c r="M18" s="46">
        <v>1</v>
      </c>
      <c r="Q18" s="46">
        <v>1</v>
      </c>
      <c r="T18" s="46">
        <v>1</v>
      </c>
      <c r="W18" s="46">
        <v>16</v>
      </c>
      <c r="X18" s="46">
        <v>18</v>
      </c>
      <c r="Y18" s="46">
        <v>21</v>
      </c>
      <c r="Z18" s="46">
        <v>1</v>
      </c>
      <c r="AA18" s="46">
        <v>1</v>
      </c>
      <c r="AB18" s="46">
        <v>1</v>
      </c>
      <c r="AH18" s="46">
        <v>1</v>
      </c>
      <c r="AJ18" s="46">
        <v>1</v>
      </c>
      <c r="AK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K18" s="46">
        <v>1</v>
      </c>
      <c r="CT18" s="134">
        <v>46661</v>
      </c>
    </row>
    <row r="19" spans="1:98" hidden="1">
      <c r="A19" s="46" t="s">
        <v>7767</v>
      </c>
      <c r="B19" s="46" t="s">
        <v>7768</v>
      </c>
      <c r="C19" s="46">
        <v>40</v>
      </c>
      <c r="D19" s="46" t="s">
        <v>7754</v>
      </c>
      <c r="E19" s="46" t="s">
        <v>191</v>
      </c>
      <c r="F19" s="46" t="s">
        <v>2574</v>
      </c>
      <c r="I19" s="46">
        <v>1</v>
      </c>
      <c r="M19" s="46">
        <v>1</v>
      </c>
      <c r="R19" s="46">
        <v>1</v>
      </c>
      <c r="T19" s="46">
        <v>1</v>
      </c>
      <c r="W19" s="46">
        <v>14</v>
      </c>
      <c r="X19" s="46">
        <v>18</v>
      </c>
      <c r="Y19" s="46">
        <v>19</v>
      </c>
      <c r="Z19" s="46">
        <v>8</v>
      </c>
      <c r="AA19" s="46">
        <v>8</v>
      </c>
      <c r="AB19" s="46">
        <v>8</v>
      </c>
      <c r="AC19" s="46">
        <v>1</v>
      </c>
      <c r="AJ19" s="46">
        <v>1</v>
      </c>
      <c r="AK19" s="46">
        <v>1</v>
      </c>
      <c r="AT19" s="46">
        <v>1</v>
      </c>
      <c r="AW19" s="46">
        <v>1</v>
      </c>
      <c r="BA19" s="46">
        <v>1</v>
      </c>
      <c r="BK19" s="46">
        <v>1</v>
      </c>
      <c r="BY19" s="46">
        <v>1</v>
      </c>
      <c r="CB19" s="46">
        <v>1</v>
      </c>
      <c r="CE19" s="46">
        <v>1</v>
      </c>
      <c r="CK19" s="46">
        <v>1</v>
      </c>
      <c r="CT19" s="134">
        <v>46661</v>
      </c>
    </row>
    <row r="20" spans="1:98" hidden="1">
      <c r="A20" s="46" t="s">
        <v>7769</v>
      </c>
      <c r="B20" s="46" t="s">
        <v>7770</v>
      </c>
      <c r="C20" s="46">
        <v>28</v>
      </c>
      <c r="D20" s="46" t="s">
        <v>7748</v>
      </c>
      <c r="E20" s="46" t="s">
        <v>7771</v>
      </c>
      <c r="F20" s="46" t="s">
        <v>2675</v>
      </c>
      <c r="G20" s="46">
        <v>1</v>
      </c>
      <c r="M20" s="46">
        <v>1</v>
      </c>
      <c r="Q20" s="46">
        <v>1</v>
      </c>
      <c r="T20" s="46">
        <v>1</v>
      </c>
      <c r="W20" s="46">
        <v>0</v>
      </c>
      <c r="X20" s="46">
        <v>0</v>
      </c>
      <c r="Y20" s="46">
        <v>20</v>
      </c>
      <c r="Z20" s="46">
        <v>5</v>
      </c>
      <c r="AA20" s="46">
        <v>5</v>
      </c>
      <c r="AB20" s="46">
        <v>5</v>
      </c>
      <c r="AD20" s="46">
        <v>1</v>
      </c>
      <c r="AE20" s="46">
        <v>1</v>
      </c>
      <c r="AG20" s="46">
        <v>1</v>
      </c>
      <c r="AH20" s="46">
        <v>1</v>
      </c>
      <c r="AJ20" s="46">
        <v>1</v>
      </c>
      <c r="AM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T20" s="134">
        <v>46661</v>
      </c>
    </row>
    <row r="21" spans="1:98" hidden="1">
      <c r="A21" s="46" t="s">
        <v>7772</v>
      </c>
      <c r="B21" s="46" t="s">
        <v>7773</v>
      </c>
      <c r="C21" s="46">
        <v>30</v>
      </c>
      <c r="D21" s="46" t="s">
        <v>7774</v>
      </c>
      <c r="E21" s="46" t="s">
        <v>7775</v>
      </c>
      <c r="F21" s="46" t="s">
        <v>2472</v>
      </c>
      <c r="H21" s="46">
        <v>1</v>
      </c>
      <c r="M21" s="46">
        <v>1</v>
      </c>
      <c r="R21" s="46">
        <v>1</v>
      </c>
      <c r="V21" s="46">
        <v>1</v>
      </c>
      <c r="W21" s="46">
        <v>13</v>
      </c>
      <c r="X21" s="46">
        <v>18</v>
      </c>
      <c r="Y21" s="46">
        <v>21</v>
      </c>
      <c r="Z21" s="46">
        <v>3</v>
      </c>
      <c r="AA21" s="46">
        <v>3</v>
      </c>
      <c r="AB21" s="46">
        <v>3</v>
      </c>
      <c r="AE21" s="46">
        <v>1</v>
      </c>
      <c r="AH21" s="46">
        <v>1</v>
      </c>
      <c r="AJ21" s="46">
        <v>1</v>
      </c>
      <c r="AK21" s="46">
        <v>1</v>
      </c>
      <c r="AT21" s="46">
        <v>1</v>
      </c>
      <c r="AW21" s="46">
        <v>1</v>
      </c>
      <c r="BA21" s="46">
        <v>1</v>
      </c>
      <c r="BK21" s="46">
        <v>1</v>
      </c>
      <c r="CB21" s="46">
        <v>1</v>
      </c>
      <c r="CE21" s="46">
        <v>1</v>
      </c>
      <c r="CK21" s="46">
        <v>1</v>
      </c>
      <c r="CT21" s="134">
        <v>46661</v>
      </c>
    </row>
    <row r="22" spans="1:98">
      <c r="A22" s="46" t="s">
        <v>7776</v>
      </c>
      <c r="B22" s="46" t="s">
        <v>7777</v>
      </c>
      <c r="C22" s="46">
        <v>42</v>
      </c>
      <c r="D22" s="46" t="s">
        <v>7728</v>
      </c>
      <c r="E22" s="46" t="s">
        <v>7778</v>
      </c>
      <c r="F22" s="46" t="s">
        <v>2472</v>
      </c>
      <c r="J22" s="46">
        <v>1</v>
      </c>
      <c r="M22" s="46">
        <v>1</v>
      </c>
      <c r="Q22" s="46">
        <v>1</v>
      </c>
      <c r="T22" s="46">
        <v>1</v>
      </c>
      <c r="W22" s="46">
        <v>13</v>
      </c>
      <c r="X22" s="46">
        <v>16</v>
      </c>
      <c r="Y22" s="46">
        <v>17</v>
      </c>
      <c r="Z22" s="46">
        <v>9</v>
      </c>
      <c r="AA22" s="46">
        <v>12</v>
      </c>
      <c r="AB22" s="46">
        <v>12</v>
      </c>
      <c r="AE22" s="46">
        <v>1</v>
      </c>
      <c r="AG22" s="46">
        <v>1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K22" s="46">
        <v>1</v>
      </c>
      <c r="BY22" s="46">
        <v>1</v>
      </c>
      <c r="CB22" s="46">
        <v>1</v>
      </c>
      <c r="CE22" s="46">
        <v>1</v>
      </c>
      <c r="CK22" s="46">
        <v>1</v>
      </c>
      <c r="CT22" s="134">
        <v>46661</v>
      </c>
    </row>
    <row r="23" spans="1:98">
      <c r="A23" s="46" t="s">
        <v>7779</v>
      </c>
      <c r="B23" s="46" t="s">
        <v>7780</v>
      </c>
      <c r="C23" s="46">
        <v>42</v>
      </c>
      <c r="D23" s="46" t="s">
        <v>7728</v>
      </c>
      <c r="E23" s="46" t="s">
        <v>7778</v>
      </c>
      <c r="F23" s="46" t="s">
        <v>2985</v>
      </c>
      <c r="J23" s="46">
        <v>1</v>
      </c>
      <c r="O23" s="46">
        <v>1</v>
      </c>
      <c r="R23" s="46">
        <v>1</v>
      </c>
      <c r="S23" s="46">
        <v>1</v>
      </c>
      <c r="W23" s="46">
        <v>14</v>
      </c>
      <c r="X23" s="46">
        <v>16</v>
      </c>
      <c r="Y23" s="46">
        <v>17</v>
      </c>
      <c r="Z23" s="46">
        <v>9</v>
      </c>
      <c r="AA23" s="46">
        <v>9</v>
      </c>
      <c r="AB23" s="46">
        <v>8</v>
      </c>
      <c r="AG23" s="46">
        <v>1</v>
      </c>
      <c r="AH23" s="46">
        <v>1</v>
      </c>
      <c r="AJ23" s="46">
        <v>1</v>
      </c>
      <c r="AK23" s="46">
        <v>1</v>
      </c>
      <c r="AT23" s="46">
        <v>1</v>
      </c>
      <c r="AW23" s="46">
        <v>1</v>
      </c>
      <c r="BA23" s="46">
        <v>1</v>
      </c>
      <c r="BL23" s="46">
        <v>1</v>
      </c>
      <c r="BY23" s="46">
        <v>1</v>
      </c>
      <c r="CB23" s="46">
        <v>1</v>
      </c>
      <c r="CE23" s="46">
        <v>1</v>
      </c>
      <c r="CK23" s="46">
        <v>1</v>
      </c>
      <c r="CT23" s="134">
        <v>46661</v>
      </c>
    </row>
    <row r="24" spans="1:98">
      <c r="A24" s="46" t="s">
        <v>7781</v>
      </c>
      <c r="B24" s="46" t="s">
        <v>7782</v>
      </c>
      <c r="C24" s="46">
        <v>50</v>
      </c>
      <c r="D24" s="46" t="s">
        <v>7725</v>
      </c>
      <c r="E24" s="46" t="s">
        <v>7783</v>
      </c>
      <c r="F24" s="46" t="s">
        <v>2985</v>
      </c>
      <c r="H24" s="46">
        <v>1</v>
      </c>
      <c r="M24" s="46">
        <v>1</v>
      </c>
      <c r="Q24" s="46">
        <v>1</v>
      </c>
      <c r="W24" s="46">
        <v>15</v>
      </c>
      <c r="X24" s="46">
        <v>16</v>
      </c>
      <c r="Y24" s="46">
        <v>17</v>
      </c>
      <c r="Z24" s="46">
        <v>3</v>
      </c>
      <c r="AA24" s="46">
        <v>3</v>
      </c>
      <c r="AB24" s="46">
        <v>3</v>
      </c>
      <c r="AE24" s="46">
        <v>1</v>
      </c>
      <c r="AG24" s="46">
        <v>1</v>
      </c>
      <c r="AH24" s="46">
        <v>1</v>
      </c>
      <c r="AI24" s="46">
        <v>1</v>
      </c>
      <c r="AK24" s="46">
        <v>1</v>
      </c>
      <c r="AT24" s="46">
        <v>1</v>
      </c>
      <c r="AW24" s="46">
        <v>1</v>
      </c>
      <c r="BA24" s="46">
        <v>1</v>
      </c>
      <c r="BO24" s="46">
        <v>1</v>
      </c>
      <c r="BU24" s="46">
        <v>1</v>
      </c>
      <c r="BV24" s="46" t="s">
        <v>7784</v>
      </c>
      <c r="CB24" s="46">
        <v>1</v>
      </c>
      <c r="CE24" s="46">
        <v>1</v>
      </c>
      <c r="CN24" s="46" t="s">
        <v>7785</v>
      </c>
      <c r="CS24" s="46" t="s">
        <v>7786</v>
      </c>
      <c r="CT24" s="50">
        <v>45597</v>
      </c>
    </row>
    <row r="25" spans="1:98" hidden="1">
      <c r="A25" s="46" t="s">
        <v>7787</v>
      </c>
      <c r="B25" s="46" t="s">
        <v>7788</v>
      </c>
      <c r="C25" s="46">
        <v>21</v>
      </c>
      <c r="D25" s="46" t="s">
        <v>7754</v>
      </c>
      <c r="E25" s="46" t="s">
        <v>7789</v>
      </c>
      <c r="F25" s="46" t="s">
        <v>2472</v>
      </c>
      <c r="I25" s="46">
        <v>1</v>
      </c>
      <c r="M25" s="46">
        <v>1</v>
      </c>
      <c r="Q25" s="46">
        <v>1</v>
      </c>
      <c r="U25" s="46">
        <v>1</v>
      </c>
      <c r="W25" s="46">
        <v>15</v>
      </c>
      <c r="X25" s="46">
        <v>17</v>
      </c>
      <c r="Y25" s="46">
        <v>0</v>
      </c>
      <c r="Z25" s="46">
        <v>0</v>
      </c>
      <c r="AA25" s="46">
        <v>0</v>
      </c>
      <c r="AB25" s="46">
        <v>0</v>
      </c>
      <c r="AE25" s="46">
        <v>1</v>
      </c>
      <c r="AG25" s="46">
        <v>1</v>
      </c>
      <c r="AH25" s="46">
        <v>1</v>
      </c>
      <c r="AJ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BY25" s="46">
        <v>1</v>
      </c>
      <c r="CB25" s="46">
        <v>1</v>
      </c>
      <c r="CE25" s="46">
        <v>1</v>
      </c>
      <c r="CT25" s="134">
        <v>46661</v>
      </c>
    </row>
    <row r="26" spans="1:98" hidden="1">
      <c r="A26" s="46" t="s">
        <v>7790</v>
      </c>
      <c r="B26" s="46" t="s">
        <v>7791</v>
      </c>
      <c r="C26" s="46">
        <v>24</v>
      </c>
      <c r="D26" s="46" t="s">
        <v>7754</v>
      </c>
      <c r="E26" s="46" t="s">
        <v>7792</v>
      </c>
      <c r="F26" s="46" t="s">
        <v>2985</v>
      </c>
      <c r="G26" s="46">
        <v>1</v>
      </c>
      <c r="M26" s="46">
        <v>1</v>
      </c>
      <c r="Q26" s="46">
        <v>1</v>
      </c>
      <c r="T26" s="46">
        <v>1</v>
      </c>
      <c r="W26" s="46">
        <v>14</v>
      </c>
      <c r="X26" s="46">
        <v>15</v>
      </c>
      <c r="Y26" s="46">
        <v>17</v>
      </c>
      <c r="Z26" s="46">
        <v>2</v>
      </c>
      <c r="AA26" s="46">
        <v>2</v>
      </c>
      <c r="AB26" s="46">
        <v>2</v>
      </c>
      <c r="AD26" s="46">
        <v>1</v>
      </c>
      <c r="AE26" s="46">
        <v>1</v>
      </c>
      <c r="AG26" s="46">
        <v>1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K26" s="46">
        <v>1</v>
      </c>
      <c r="CB26" s="46">
        <v>1</v>
      </c>
      <c r="CE26" s="46">
        <v>1</v>
      </c>
      <c r="CT26" s="134">
        <v>46661</v>
      </c>
    </row>
    <row r="27" spans="1:98" hidden="1">
      <c r="A27" s="46" t="s">
        <v>7793</v>
      </c>
      <c r="B27" s="46" t="s">
        <v>7794</v>
      </c>
      <c r="C27" s="46">
        <v>19</v>
      </c>
      <c r="D27" s="46" t="s">
        <v>7754</v>
      </c>
      <c r="E27" s="46" t="s">
        <v>7795</v>
      </c>
      <c r="F27" s="46" t="s">
        <v>2472</v>
      </c>
      <c r="I27" s="46">
        <v>1</v>
      </c>
      <c r="M27" s="46">
        <v>1</v>
      </c>
      <c r="R27" s="46">
        <v>1</v>
      </c>
      <c r="T27" s="46">
        <v>1</v>
      </c>
      <c r="W27" s="46">
        <v>10</v>
      </c>
      <c r="X27" s="46">
        <v>17</v>
      </c>
      <c r="Y27" s="46">
        <v>18</v>
      </c>
      <c r="Z27" s="46">
        <v>1</v>
      </c>
      <c r="AA27" s="46">
        <v>1</v>
      </c>
      <c r="AB27" s="46">
        <v>1</v>
      </c>
      <c r="AE27" s="46">
        <v>1</v>
      </c>
      <c r="AG27" s="46">
        <v>1</v>
      </c>
      <c r="AH27" s="46">
        <v>1</v>
      </c>
      <c r="AJ27" s="46">
        <v>1</v>
      </c>
      <c r="AM27" s="46">
        <v>1</v>
      </c>
      <c r="AT27" s="46">
        <v>1</v>
      </c>
      <c r="AW27" s="46">
        <v>1</v>
      </c>
      <c r="BA27" s="46">
        <v>1</v>
      </c>
      <c r="BK27" s="46">
        <v>1</v>
      </c>
      <c r="CC27" s="46">
        <v>1</v>
      </c>
      <c r="CD27" s="46">
        <v>2023</v>
      </c>
      <c r="CE27" s="46">
        <v>1</v>
      </c>
      <c r="CT27" s="134">
        <v>46661</v>
      </c>
    </row>
    <row r="28" spans="1:98" hidden="1">
      <c r="A28" s="46" t="s">
        <v>7796</v>
      </c>
      <c r="B28" s="46" t="s">
        <v>7797</v>
      </c>
      <c r="C28" s="46">
        <v>67</v>
      </c>
      <c r="D28" s="46" t="s">
        <v>7725</v>
      </c>
      <c r="E28" s="46" t="s">
        <v>7798</v>
      </c>
      <c r="F28" s="46" t="s">
        <v>2574</v>
      </c>
      <c r="G28" s="46">
        <v>1</v>
      </c>
      <c r="P28" s="46">
        <v>1</v>
      </c>
      <c r="R28" s="46">
        <v>1</v>
      </c>
      <c r="T28" s="46">
        <v>1</v>
      </c>
      <c r="W28" s="46">
        <v>13</v>
      </c>
      <c r="X28" s="46">
        <v>15</v>
      </c>
      <c r="Y28" s="46">
        <v>17</v>
      </c>
      <c r="Z28" s="46">
        <v>10</v>
      </c>
      <c r="AA28" s="46">
        <v>10</v>
      </c>
      <c r="AB28" s="46">
        <v>5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L28" s="46">
        <v>1</v>
      </c>
      <c r="BY28" s="46">
        <v>1</v>
      </c>
      <c r="CB28" s="46">
        <v>1</v>
      </c>
      <c r="CE28" s="46">
        <v>1</v>
      </c>
      <c r="CK28" s="46">
        <v>1</v>
      </c>
      <c r="CT28" s="134">
        <v>46661</v>
      </c>
    </row>
    <row r="29" spans="1:98" hidden="1">
      <c r="A29" s="46" t="s">
        <v>7799</v>
      </c>
      <c r="B29" s="46" t="s">
        <v>7800</v>
      </c>
      <c r="C29" s="46">
        <v>27</v>
      </c>
      <c r="D29" s="46" t="s">
        <v>7754</v>
      </c>
      <c r="E29" s="46" t="s">
        <v>7801</v>
      </c>
      <c r="F29" s="46" t="s">
        <v>4773</v>
      </c>
      <c r="J29" s="46">
        <v>1</v>
      </c>
      <c r="O29" s="46">
        <v>1</v>
      </c>
      <c r="R29" s="46">
        <v>1</v>
      </c>
      <c r="U29" s="46">
        <v>1</v>
      </c>
      <c r="W29" s="46">
        <v>13</v>
      </c>
      <c r="X29" s="46">
        <v>14</v>
      </c>
      <c r="Y29" s="46">
        <v>14</v>
      </c>
      <c r="Z29" s="46">
        <v>2</v>
      </c>
      <c r="AA29" s="46">
        <v>2</v>
      </c>
      <c r="AB29" s="46">
        <v>2</v>
      </c>
      <c r="AE29" s="46">
        <v>1</v>
      </c>
      <c r="AJ29" s="46">
        <v>1</v>
      </c>
      <c r="AK29" s="46">
        <v>1</v>
      </c>
      <c r="AT29" s="46">
        <v>1</v>
      </c>
      <c r="AX29" s="46">
        <v>1</v>
      </c>
      <c r="BA29" s="46">
        <v>1</v>
      </c>
      <c r="BK29" s="46">
        <v>1</v>
      </c>
      <c r="CB29" s="46">
        <v>1</v>
      </c>
      <c r="CE29" s="46">
        <v>1</v>
      </c>
      <c r="CK29" s="46">
        <v>1</v>
      </c>
      <c r="CT29" s="134">
        <v>46661</v>
      </c>
    </row>
    <row r="30" spans="1:98" hidden="1">
      <c r="A30" s="46" t="s">
        <v>7802</v>
      </c>
      <c r="B30" s="46" t="s">
        <v>7803</v>
      </c>
      <c r="C30" s="46">
        <v>24</v>
      </c>
      <c r="D30" s="46" t="s">
        <v>7754</v>
      </c>
      <c r="E30" s="46" t="s">
        <v>7804</v>
      </c>
      <c r="F30" s="46" t="s">
        <v>2472</v>
      </c>
      <c r="G30" s="46">
        <v>1</v>
      </c>
      <c r="M30" s="46">
        <v>1</v>
      </c>
      <c r="R30" s="46">
        <v>1</v>
      </c>
      <c r="T30" s="46">
        <v>1</v>
      </c>
      <c r="W30" s="46">
        <v>17</v>
      </c>
      <c r="X30" s="46">
        <v>17</v>
      </c>
      <c r="Y30" s="46">
        <v>18</v>
      </c>
      <c r="Z30" s="46">
        <v>2</v>
      </c>
      <c r="AA30" s="46">
        <v>2</v>
      </c>
      <c r="AB30" s="46">
        <v>2</v>
      </c>
      <c r="AD30" s="46">
        <v>1</v>
      </c>
      <c r="AE30" s="46">
        <v>1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K30" s="46">
        <v>1</v>
      </c>
      <c r="CB30" s="46">
        <v>1</v>
      </c>
      <c r="CE30" s="46">
        <v>1</v>
      </c>
      <c r="CK30" s="46">
        <v>1</v>
      </c>
      <c r="CT30" s="134">
        <v>46661</v>
      </c>
    </row>
    <row r="31" spans="1:98" hidden="1">
      <c r="A31" s="46" t="s">
        <v>7805</v>
      </c>
      <c r="B31" s="46" t="s">
        <v>7806</v>
      </c>
      <c r="C31" s="46">
        <v>23</v>
      </c>
      <c r="D31" s="46" t="s">
        <v>7754</v>
      </c>
      <c r="E31" s="46" t="s">
        <v>7807</v>
      </c>
      <c r="F31" s="46" t="s">
        <v>2484</v>
      </c>
      <c r="I31" s="46">
        <v>1</v>
      </c>
      <c r="M31" s="46">
        <v>1</v>
      </c>
      <c r="Q31" s="46">
        <v>1</v>
      </c>
      <c r="U31" s="46">
        <v>1</v>
      </c>
      <c r="W31" s="46">
        <v>16</v>
      </c>
      <c r="X31" s="46">
        <v>18</v>
      </c>
      <c r="Y31" s="46">
        <v>22</v>
      </c>
      <c r="Z31" s="46">
        <v>1</v>
      </c>
      <c r="AA31" s="46">
        <v>0</v>
      </c>
      <c r="AB31" s="46">
        <v>0</v>
      </c>
      <c r="AE31" s="46">
        <v>1</v>
      </c>
      <c r="AH31" s="46">
        <v>1</v>
      </c>
      <c r="AI31" s="46">
        <v>1</v>
      </c>
      <c r="AM31" s="46">
        <v>1</v>
      </c>
      <c r="AT31" s="46">
        <v>1</v>
      </c>
      <c r="AX31" s="46">
        <v>1</v>
      </c>
      <c r="BA31" s="46">
        <v>1</v>
      </c>
      <c r="BK31" s="46">
        <v>1</v>
      </c>
      <c r="CB31" s="46">
        <v>1</v>
      </c>
      <c r="CE31" s="46">
        <v>1</v>
      </c>
      <c r="CK31" s="46">
        <v>1</v>
      </c>
      <c r="CT31" s="134">
        <v>46661</v>
      </c>
    </row>
    <row r="32" spans="1:98" hidden="1">
      <c r="A32" s="46" t="s">
        <v>7808</v>
      </c>
      <c r="B32" s="46" t="s">
        <v>7809</v>
      </c>
      <c r="C32" s="46">
        <v>23</v>
      </c>
      <c r="D32" s="46" t="s">
        <v>7721</v>
      </c>
      <c r="E32" s="46" t="s">
        <v>7810</v>
      </c>
      <c r="F32" s="46" t="s">
        <v>2985</v>
      </c>
      <c r="G32" s="46">
        <v>1</v>
      </c>
      <c r="M32" s="46">
        <v>1</v>
      </c>
      <c r="Q32" s="46">
        <v>1</v>
      </c>
      <c r="T32" s="46">
        <v>1</v>
      </c>
      <c r="W32" s="46">
        <v>12</v>
      </c>
      <c r="X32" s="46">
        <v>16</v>
      </c>
      <c r="Y32" s="46">
        <v>0</v>
      </c>
      <c r="Z32" s="46">
        <v>0</v>
      </c>
      <c r="AA32" s="46">
        <v>0</v>
      </c>
      <c r="AB32" s="46">
        <v>0</v>
      </c>
      <c r="AD32" s="46">
        <v>1</v>
      </c>
      <c r="AE32" s="46">
        <v>1</v>
      </c>
      <c r="AG32" s="46">
        <v>1</v>
      </c>
      <c r="AH32" s="46">
        <v>1</v>
      </c>
      <c r="AI32" s="46">
        <v>1</v>
      </c>
      <c r="AM32" s="46">
        <v>1</v>
      </c>
      <c r="AT32" s="46">
        <v>1</v>
      </c>
      <c r="AW32" s="46">
        <v>1</v>
      </c>
      <c r="BA32" s="46">
        <v>1</v>
      </c>
      <c r="BK32" s="46">
        <v>1</v>
      </c>
      <c r="CB32" s="46">
        <v>1</v>
      </c>
      <c r="CE32" s="46">
        <v>1</v>
      </c>
      <c r="CK32" s="46">
        <v>1</v>
      </c>
      <c r="CT32" s="134">
        <v>46661</v>
      </c>
    </row>
    <row r="33" spans="1:98" hidden="1">
      <c r="A33" s="46" t="s">
        <v>7811</v>
      </c>
      <c r="B33" s="46" t="s">
        <v>7812</v>
      </c>
      <c r="C33" s="46">
        <v>51</v>
      </c>
      <c r="D33" s="46" t="s">
        <v>7754</v>
      </c>
      <c r="E33" s="46" t="s">
        <v>191</v>
      </c>
      <c r="F33" s="46" t="s">
        <v>2985</v>
      </c>
      <c r="J33" s="46">
        <v>1</v>
      </c>
      <c r="M33" s="46">
        <v>1</v>
      </c>
      <c r="Q33" s="46">
        <v>1</v>
      </c>
      <c r="T33" s="46">
        <v>1</v>
      </c>
      <c r="W33" s="46">
        <v>14</v>
      </c>
      <c r="X33" s="46">
        <v>17</v>
      </c>
      <c r="Y33" s="46">
        <v>18</v>
      </c>
      <c r="Z33" s="46">
        <v>8</v>
      </c>
      <c r="AA33" s="46">
        <v>8</v>
      </c>
      <c r="AB33" s="46">
        <v>8</v>
      </c>
      <c r="AE33" s="46">
        <v>1</v>
      </c>
      <c r="AG33" s="46">
        <v>1</v>
      </c>
      <c r="AH33" s="46">
        <v>1</v>
      </c>
      <c r="AI33" s="46">
        <v>1</v>
      </c>
      <c r="AK33" s="46">
        <v>1</v>
      </c>
      <c r="AT33" s="46">
        <v>1</v>
      </c>
      <c r="AX33" s="46">
        <v>1</v>
      </c>
      <c r="BA33" s="46">
        <v>1</v>
      </c>
      <c r="BL33" s="46">
        <v>1</v>
      </c>
      <c r="CB33" s="46">
        <v>1</v>
      </c>
      <c r="CE33" s="46">
        <v>1</v>
      </c>
      <c r="CK33" s="46">
        <v>1</v>
      </c>
      <c r="CT33" s="134">
        <v>46661</v>
      </c>
    </row>
    <row r="34" spans="1:98">
      <c r="A34" s="46" t="s">
        <v>7813</v>
      </c>
      <c r="B34" s="46" t="s">
        <v>7814</v>
      </c>
      <c r="C34" s="46">
        <v>43</v>
      </c>
      <c r="D34" s="46" t="s">
        <v>7754</v>
      </c>
      <c r="E34" s="46" t="s">
        <v>7815</v>
      </c>
      <c r="F34" s="46" t="s">
        <v>2985</v>
      </c>
      <c r="G34" s="46">
        <v>1</v>
      </c>
      <c r="P34" s="46">
        <v>1</v>
      </c>
      <c r="Q34" s="46">
        <v>1</v>
      </c>
      <c r="T34" s="46">
        <v>1</v>
      </c>
      <c r="W34" s="46">
        <v>14</v>
      </c>
      <c r="X34" s="46">
        <v>15</v>
      </c>
      <c r="Y34" s="46">
        <v>15</v>
      </c>
      <c r="Z34" s="46">
        <v>7</v>
      </c>
      <c r="AA34" s="46">
        <v>7</v>
      </c>
      <c r="AB34" s="46">
        <v>7</v>
      </c>
      <c r="AE34" s="46">
        <v>1</v>
      </c>
      <c r="AG34" s="46">
        <v>1</v>
      </c>
      <c r="AH34" s="46">
        <v>1</v>
      </c>
      <c r="AI34" s="46">
        <v>1</v>
      </c>
      <c r="AK34" s="46">
        <v>1</v>
      </c>
      <c r="AT34" s="46">
        <v>1</v>
      </c>
      <c r="AX34" s="46">
        <v>1</v>
      </c>
      <c r="BB34" s="46">
        <v>1</v>
      </c>
      <c r="BG34" s="46">
        <v>1</v>
      </c>
      <c r="BL34" s="46">
        <v>1</v>
      </c>
      <c r="CB34" s="46">
        <v>1</v>
      </c>
      <c r="CE34" s="46">
        <v>1</v>
      </c>
      <c r="CK34" s="46">
        <v>1</v>
      </c>
      <c r="CT34" s="134">
        <v>46661</v>
      </c>
    </row>
  </sheetData>
  <autoFilter ref="A3:CT34">
    <filterColumn colId="2">
      <filters>
        <filter val="42"/>
        <filter val="43"/>
        <filter val="45"/>
        <filter val="49"/>
        <filter val="50"/>
      </filters>
    </filterColumn>
  </autoFilter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"/>
  <sheetViews>
    <sheetView topLeftCell="V1" workbookViewId="0">
      <selection activeCell="AE9" sqref="AE9"/>
    </sheetView>
  </sheetViews>
  <sheetFormatPr defaultColWidth="14.42578125" defaultRowHeight="15" customHeight="1"/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3" t="s">
        <v>358</v>
      </c>
      <c r="C2" s="63" t="s">
        <v>359</v>
      </c>
      <c r="D2" s="63" t="s">
        <v>360</v>
      </c>
      <c r="E2" s="63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7816</v>
      </c>
      <c r="B3" s="69">
        <v>2</v>
      </c>
      <c r="C3" s="69">
        <v>0</v>
      </c>
      <c r="D3" s="69">
        <v>2</v>
      </c>
      <c r="E3" s="69">
        <f t="shared" ref="E3:E8" si="0">SUM(B3:D3)</f>
        <v>4</v>
      </c>
      <c r="F3" s="70">
        <v>0</v>
      </c>
      <c r="G3" s="70">
        <v>3</v>
      </c>
      <c r="H3" s="70">
        <v>0</v>
      </c>
      <c r="I3" s="70">
        <v>0</v>
      </c>
      <c r="J3" s="71">
        <f t="shared" ref="J3:J9" si="1">SUM(F3:I3)</f>
        <v>3</v>
      </c>
      <c r="K3" s="70">
        <v>0</v>
      </c>
      <c r="L3" s="70">
        <v>0</v>
      </c>
      <c r="M3" s="70">
        <v>0</v>
      </c>
      <c r="N3" s="70">
        <v>0</v>
      </c>
      <c r="O3" s="70">
        <v>1</v>
      </c>
      <c r="P3" s="71">
        <f t="shared" ref="P3:P8" si="2">SUM(K3:O3)</f>
        <v>1</v>
      </c>
      <c r="Q3" s="70">
        <v>0</v>
      </c>
      <c r="R3" s="70">
        <v>0</v>
      </c>
      <c r="S3" s="70">
        <v>1</v>
      </c>
      <c r="T3" s="71">
        <f t="shared" ref="T3:T8" si="3">SUM(Q3:S3)</f>
        <v>1</v>
      </c>
      <c r="U3" s="70">
        <v>0</v>
      </c>
      <c r="V3" s="70">
        <v>0</v>
      </c>
      <c r="W3" s="70">
        <v>0</v>
      </c>
      <c r="X3" s="70">
        <v>0</v>
      </c>
      <c r="Y3" s="70">
        <v>0</v>
      </c>
      <c r="Z3" s="70"/>
      <c r="AA3" s="73">
        <v>2</v>
      </c>
      <c r="AB3" s="73">
        <v>0</v>
      </c>
      <c r="AC3" s="73">
        <v>0</v>
      </c>
      <c r="AD3" s="73">
        <v>2</v>
      </c>
      <c r="AE3" s="186">
        <f t="shared" ref="AE3:AE8" si="4">SUM(AA3,AB3,AC3,AD3)</f>
        <v>4</v>
      </c>
      <c r="AF3" s="73">
        <v>0</v>
      </c>
      <c r="AG3" s="73">
        <v>0</v>
      </c>
    </row>
    <row r="4" spans="1:33">
      <c r="A4" s="74" t="s">
        <v>7817</v>
      </c>
      <c r="B4" s="69">
        <v>11</v>
      </c>
      <c r="C4" s="69">
        <v>0</v>
      </c>
      <c r="D4" s="69">
        <v>3</v>
      </c>
      <c r="E4" s="69">
        <f t="shared" si="0"/>
        <v>14</v>
      </c>
      <c r="F4" s="70">
        <v>0</v>
      </c>
      <c r="G4" s="70">
        <v>14</v>
      </c>
      <c r="H4" s="70">
        <v>0</v>
      </c>
      <c r="I4" s="70">
        <v>0</v>
      </c>
      <c r="J4" s="71">
        <f t="shared" si="1"/>
        <v>14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1">
        <f t="shared" si="2"/>
        <v>0</v>
      </c>
      <c r="Q4" s="70">
        <v>0</v>
      </c>
      <c r="R4" s="70">
        <v>0</v>
      </c>
      <c r="S4" s="70">
        <v>1</v>
      </c>
      <c r="T4" s="71">
        <f t="shared" si="3"/>
        <v>1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/>
      <c r="AA4" s="73">
        <v>12</v>
      </c>
      <c r="AB4" s="73">
        <v>0</v>
      </c>
      <c r="AC4" s="73">
        <v>0</v>
      </c>
      <c r="AD4" s="73">
        <v>2</v>
      </c>
      <c r="AE4" s="186">
        <f t="shared" si="4"/>
        <v>14</v>
      </c>
      <c r="AF4" s="73">
        <v>0</v>
      </c>
      <c r="AG4" s="73">
        <v>0</v>
      </c>
    </row>
    <row r="5" spans="1:33">
      <c r="A5" s="77" t="s">
        <v>2705</v>
      </c>
      <c r="B5" s="69">
        <v>4</v>
      </c>
      <c r="C5" s="69">
        <v>0</v>
      </c>
      <c r="D5" s="69">
        <v>1</v>
      </c>
      <c r="E5" s="69">
        <f t="shared" si="0"/>
        <v>5</v>
      </c>
      <c r="F5" s="70">
        <v>0</v>
      </c>
      <c r="G5" s="70">
        <v>2</v>
      </c>
      <c r="H5" s="70">
        <v>0</v>
      </c>
      <c r="I5" s="70">
        <v>0</v>
      </c>
      <c r="J5" s="71">
        <f t="shared" si="1"/>
        <v>2</v>
      </c>
      <c r="K5" s="70">
        <v>0</v>
      </c>
      <c r="L5" s="70">
        <v>0</v>
      </c>
      <c r="M5" s="70">
        <v>0</v>
      </c>
      <c r="N5" s="70">
        <v>0</v>
      </c>
      <c r="O5" s="70">
        <v>3</v>
      </c>
      <c r="P5" s="71">
        <f t="shared" si="2"/>
        <v>3</v>
      </c>
      <c r="Q5" s="70">
        <v>0</v>
      </c>
      <c r="R5" s="70">
        <v>0</v>
      </c>
      <c r="S5" s="70">
        <v>1</v>
      </c>
      <c r="T5" s="71">
        <f t="shared" si="3"/>
        <v>1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/>
      <c r="AA5" s="73">
        <v>4</v>
      </c>
      <c r="AB5" s="73">
        <v>0</v>
      </c>
      <c r="AC5" s="73">
        <v>0</v>
      </c>
      <c r="AD5" s="73">
        <v>1</v>
      </c>
      <c r="AE5" s="186">
        <f t="shared" si="4"/>
        <v>5</v>
      </c>
      <c r="AF5" s="73">
        <v>0</v>
      </c>
      <c r="AG5" s="73">
        <v>0</v>
      </c>
    </row>
    <row r="6" spans="1:33">
      <c r="A6" s="77" t="s">
        <v>7715</v>
      </c>
      <c r="B6" s="69">
        <v>6</v>
      </c>
      <c r="C6" s="69">
        <v>0</v>
      </c>
      <c r="D6" s="69">
        <v>0</v>
      </c>
      <c r="E6" s="69">
        <f t="shared" si="0"/>
        <v>6</v>
      </c>
      <c r="F6" s="70">
        <v>0</v>
      </c>
      <c r="G6" s="70">
        <v>2</v>
      </c>
      <c r="H6" s="70">
        <v>0</v>
      </c>
      <c r="I6" s="70">
        <v>0</v>
      </c>
      <c r="J6" s="71">
        <f t="shared" si="1"/>
        <v>2</v>
      </c>
      <c r="K6" s="70">
        <v>3</v>
      </c>
      <c r="L6" s="70">
        <v>0</v>
      </c>
      <c r="M6" s="70">
        <v>0</v>
      </c>
      <c r="N6" s="70">
        <v>1</v>
      </c>
      <c r="O6" s="70">
        <v>0</v>
      </c>
      <c r="P6" s="71">
        <f t="shared" si="2"/>
        <v>4</v>
      </c>
      <c r="Q6" s="70">
        <v>0</v>
      </c>
      <c r="R6" s="70">
        <v>0</v>
      </c>
      <c r="S6" s="70">
        <v>2</v>
      </c>
      <c r="T6" s="71">
        <f t="shared" si="3"/>
        <v>2</v>
      </c>
      <c r="U6" s="75">
        <v>0</v>
      </c>
      <c r="V6" s="75">
        <v>0</v>
      </c>
      <c r="W6" s="75">
        <v>0</v>
      </c>
      <c r="X6" s="75">
        <v>1</v>
      </c>
      <c r="Y6" s="75">
        <v>0</v>
      </c>
      <c r="Z6" s="75"/>
      <c r="AA6" s="73">
        <v>3</v>
      </c>
      <c r="AB6" s="73">
        <v>1</v>
      </c>
      <c r="AC6" s="73">
        <v>0</v>
      </c>
      <c r="AD6" s="73">
        <v>2</v>
      </c>
      <c r="AE6" s="186">
        <f t="shared" si="4"/>
        <v>6</v>
      </c>
      <c r="AF6" s="73">
        <v>0</v>
      </c>
      <c r="AG6" s="73">
        <v>1</v>
      </c>
    </row>
    <row r="7" spans="1:33">
      <c r="A7" s="243" t="s">
        <v>7607</v>
      </c>
      <c r="B7" s="69">
        <v>1</v>
      </c>
      <c r="C7" s="69">
        <v>0</v>
      </c>
      <c r="D7" s="69">
        <v>0</v>
      </c>
      <c r="E7" s="69">
        <f t="shared" si="0"/>
        <v>1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1</v>
      </c>
      <c r="L7" s="114">
        <v>0</v>
      </c>
      <c r="M7" s="114">
        <v>0</v>
      </c>
      <c r="N7" s="114">
        <v>0</v>
      </c>
      <c r="O7" s="114">
        <v>0</v>
      </c>
      <c r="P7" s="71">
        <f t="shared" si="2"/>
        <v>1</v>
      </c>
      <c r="Q7" s="114">
        <v>0</v>
      </c>
      <c r="R7" s="114">
        <v>0</v>
      </c>
      <c r="S7" s="114">
        <v>0</v>
      </c>
      <c r="T7" s="71">
        <f t="shared" si="3"/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73">
        <v>1</v>
      </c>
      <c r="AB7" s="73">
        <v>0</v>
      </c>
      <c r="AC7" s="73">
        <v>0</v>
      </c>
      <c r="AD7" s="73">
        <v>0</v>
      </c>
      <c r="AE7" s="186">
        <f t="shared" si="4"/>
        <v>1</v>
      </c>
      <c r="AF7" s="73">
        <v>0</v>
      </c>
      <c r="AG7" s="73">
        <v>0</v>
      </c>
    </row>
    <row r="8" spans="1:33">
      <c r="A8" s="243" t="s">
        <v>556</v>
      </c>
      <c r="B8" s="69">
        <v>1</v>
      </c>
      <c r="C8" s="69">
        <v>0</v>
      </c>
      <c r="D8" s="69">
        <v>0</v>
      </c>
      <c r="E8" s="69">
        <f t="shared" si="0"/>
        <v>1</v>
      </c>
      <c r="F8" s="69">
        <v>0</v>
      </c>
      <c r="G8" s="69">
        <v>0</v>
      </c>
      <c r="H8" s="69">
        <v>0</v>
      </c>
      <c r="I8" s="69">
        <v>0</v>
      </c>
      <c r="J8" s="71">
        <f t="shared" si="1"/>
        <v>0</v>
      </c>
      <c r="K8" s="114">
        <v>1</v>
      </c>
      <c r="L8" s="114">
        <v>0</v>
      </c>
      <c r="M8" s="114">
        <v>0</v>
      </c>
      <c r="N8" s="114">
        <v>0</v>
      </c>
      <c r="O8" s="114">
        <v>0</v>
      </c>
      <c r="P8" s="71">
        <f t="shared" si="2"/>
        <v>1</v>
      </c>
      <c r="Q8" s="114">
        <v>0</v>
      </c>
      <c r="R8" s="114">
        <v>0</v>
      </c>
      <c r="S8" s="114">
        <v>1</v>
      </c>
      <c r="T8" s="71">
        <f t="shared" si="3"/>
        <v>1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73">
        <v>1</v>
      </c>
      <c r="AB8" s="73">
        <v>0</v>
      </c>
      <c r="AC8" s="73">
        <v>0</v>
      </c>
      <c r="AD8" s="73">
        <v>0</v>
      </c>
      <c r="AE8" s="186">
        <f t="shared" si="4"/>
        <v>1</v>
      </c>
      <c r="AF8" s="73">
        <v>0</v>
      </c>
      <c r="AG8" s="73">
        <v>0</v>
      </c>
    </row>
    <row r="9" spans="1:33">
      <c r="A9" s="69" t="s">
        <v>376</v>
      </c>
      <c r="B9" s="69">
        <f>SUM(B3:B8)</f>
        <v>25</v>
      </c>
      <c r="C9" s="69">
        <f>SUM(C3:C6)</f>
        <v>0</v>
      </c>
      <c r="D9" s="69">
        <f>SUM(D3:D8)</f>
        <v>6</v>
      </c>
      <c r="E9" s="69">
        <f>SUM(E3:E8)</f>
        <v>31</v>
      </c>
      <c r="F9" s="69">
        <f>SUM(F3:F6)</f>
        <v>0</v>
      </c>
      <c r="G9" s="69">
        <f>SUM(G3:G8)</f>
        <v>21</v>
      </c>
      <c r="H9" s="69">
        <f>SUM(H3:H6)</f>
        <v>0</v>
      </c>
      <c r="I9" s="69">
        <f>SUM(I3:I6)</f>
        <v>0</v>
      </c>
      <c r="J9" s="71">
        <f t="shared" si="1"/>
        <v>21</v>
      </c>
      <c r="K9" s="114">
        <f>SUM(K3:K8)</f>
        <v>5</v>
      </c>
      <c r="L9" s="114">
        <f>SUM(L3:L8)</f>
        <v>0</v>
      </c>
      <c r="M9" s="114">
        <f>SUM(M3:M6)</f>
        <v>0</v>
      </c>
      <c r="N9" s="114">
        <f>SUM(N3:N6)</f>
        <v>1</v>
      </c>
      <c r="O9" s="114">
        <f>SUM(O3:O6)</f>
        <v>4</v>
      </c>
      <c r="P9" s="71">
        <f>SUM(K9:O9)</f>
        <v>10</v>
      </c>
      <c r="Q9" s="114">
        <f t="shared" ref="Q9:AD9" si="5">SUM(Q3:Q6)</f>
        <v>0</v>
      </c>
      <c r="R9" s="114">
        <f t="shared" si="5"/>
        <v>0</v>
      </c>
      <c r="S9" s="114">
        <f>SUM(S3:S8)</f>
        <v>6</v>
      </c>
      <c r="T9" s="71">
        <f>SUM(T3:T8)</f>
        <v>6</v>
      </c>
      <c r="U9" s="114">
        <f t="shared" si="5"/>
        <v>0</v>
      </c>
      <c r="V9" s="114">
        <f t="shared" si="5"/>
        <v>0</v>
      </c>
      <c r="W9" s="114">
        <f t="shared" si="5"/>
        <v>0</v>
      </c>
      <c r="X9" s="114">
        <f t="shared" si="5"/>
        <v>1</v>
      </c>
      <c r="Y9" s="114">
        <f t="shared" si="5"/>
        <v>0</v>
      </c>
      <c r="Z9" s="114">
        <f t="shared" si="5"/>
        <v>0</v>
      </c>
      <c r="AA9" s="73">
        <f>SUM(AA3:AA8)</f>
        <v>23</v>
      </c>
      <c r="AB9" s="73">
        <f t="shared" si="5"/>
        <v>1</v>
      </c>
      <c r="AC9" s="73">
        <f t="shared" si="5"/>
        <v>0</v>
      </c>
      <c r="AD9" s="73">
        <f t="shared" si="5"/>
        <v>7</v>
      </c>
      <c r="AE9" s="73">
        <f>SUM(AE3:AE8)</f>
        <v>31</v>
      </c>
      <c r="AF9" s="73">
        <f>SUM(AF3:AF6)</f>
        <v>0</v>
      </c>
      <c r="AG9" s="73">
        <f>SUM(AG3:AG6)</f>
        <v>1</v>
      </c>
    </row>
  </sheetData>
  <mergeCells count="7">
    <mergeCell ref="U1:Z1"/>
    <mergeCell ref="AA1:AE1"/>
    <mergeCell ref="A1:A2"/>
    <mergeCell ref="B1:E1"/>
    <mergeCell ref="F1:H1"/>
    <mergeCell ref="K1:P1"/>
    <mergeCell ref="Q1:T1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29"/>
  <sheetViews>
    <sheetView workbookViewId="0">
      <pane xSplit="6" ySplit="5" topLeftCell="CL6" activePane="bottomRight" state="frozen"/>
      <selection pane="topRight" activeCell="G1" sqref="G1"/>
      <selection pane="bottomLeft" activeCell="A6" sqref="A6"/>
      <selection pane="bottomRight" activeCell="CP23" sqref="CP23"/>
    </sheetView>
  </sheetViews>
  <sheetFormatPr defaultColWidth="14.42578125" defaultRowHeight="15" customHeight="1"/>
  <cols>
    <col min="1" max="1" width="11.140625" customWidth="1"/>
    <col min="2" max="2" width="25.140625" customWidth="1"/>
    <col min="3" max="3" width="13.140625" customWidth="1"/>
    <col min="4" max="4" width="21.42578125" customWidth="1"/>
    <col min="5" max="5" width="22.28515625" customWidth="1"/>
  </cols>
  <sheetData>
    <row r="1" spans="1:98">
      <c r="A1" s="282">
        <v>45583</v>
      </c>
      <c r="B1" s="143" t="s">
        <v>3591</v>
      </c>
      <c r="C1" s="231" t="s">
        <v>7818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7819</v>
      </c>
      <c r="B4" s="46" t="s">
        <v>7820</v>
      </c>
      <c r="C4" s="46">
        <v>38</v>
      </c>
      <c r="D4" s="46" t="s">
        <v>858</v>
      </c>
      <c r="E4" s="46" t="s">
        <v>7821</v>
      </c>
      <c r="F4" s="46" t="s">
        <v>2472</v>
      </c>
      <c r="H4" s="46">
        <v>1</v>
      </c>
      <c r="M4" s="46">
        <v>1</v>
      </c>
      <c r="R4" s="46">
        <v>1</v>
      </c>
      <c r="T4" s="46">
        <v>1</v>
      </c>
      <c r="W4" s="46">
        <v>14</v>
      </c>
      <c r="X4" s="46">
        <v>16</v>
      </c>
      <c r="Y4" s="46">
        <v>20</v>
      </c>
      <c r="Z4" s="46">
        <v>7</v>
      </c>
      <c r="AA4" s="46">
        <v>7</v>
      </c>
      <c r="AB4" s="46">
        <v>7</v>
      </c>
      <c r="AD4" s="46">
        <v>1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K4" s="46">
        <v>1</v>
      </c>
      <c r="CB4" s="46">
        <v>1</v>
      </c>
      <c r="CE4" s="46">
        <v>1</v>
      </c>
      <c r="CR4" s="46">
        <v>1</v>
      </c>
      <c r="CT4" s="134">
        <v>46661</v>
      </c>
    </row>
    <row r="5" spans="1:98" hidden="1">
      <c r="A5" s="46" t="s">
        <v>7822</v>
      </c>
      <c r="B5" s="46" t="s">
        <v>7823</v>
      </c>
      <c r="C5" s="46">
        <v>22</v>
      </c>
      <c r="D5" s="46" t="s">
        <v>858</v>
      </c>
      <c r="E5" s="46" t="s">
        <v>7824</v>
      </c>
      <c r="F5" s="46" t="s">
        <v>2472</v>
      </c>
      <c r="H5" s="46">
        <v>1</v>
      </c>
      <c r="M5" s="46">
        <v>1</v>
      </c>
      <c r="Q5" s="46">
        <v>1</v>
      </c>
      <c r="U5" s="46">
        <v>1</v>
      </c>
      <c r="W5" s="46">
        <v>15</v>
      </c>
      <c r="X5" s="46">
        <v>15</v>
      </c>
      <c r="Y5" s="46">
        <v>15</v>
      </c>
      <c r="Z5" s="46">
        <v>1</v>
      </c>
      <c r="AA5" s="46">
        <v>1</v>
      </c>
      <c r="AB5" s="46">
        <v>1</v>
      </c>
      <c r="AE5" s="46">
        <v>1</v>
      </c>
      <c r="AH5" s="46">
        <v>1</v>
      </c>
      <c r="AI5" s="46">
        <v>1</v>
      </c>
      <c r="AK5" s="46">
        <v>1</v>
      </c>
      <c r="AT5" s="46">
        <v>1</v>
      </c>
      <c r="AY5" s="46">
        <v>1</v>
      </c>
      <c r="BA5" s="46">
        <v>1</v>
      </c>
      <c r="BK5" s="46">
        <v>1</v>
      </c>
      <c r="CB5" s="46">
        <v>1</v>
      </c>
      <c r="CE5" s="46">
        <v>1</v>
      </c>
      <c r="CR5" s="46">
        <v>1</v>
      </c>
      <c r="CT5" s="134">
        <v>46661</v>
      </c>
    </row>
    <row r="6" spans="1:98" hidden="1">
      <c r="A6" s="46" t="s">
        <v>7825</v>
      </c>
      <c r="B6" s="46" t="s">
        <v>1649</v>
      </c>
      <c r="C6" s="46">
        <v>26</v>
      </c>
      <c r="D6" s="46" t="s">
        <v>858</v>
      </c>
      <c r="E6" s="46" t="s">
        <v>7826</v>
      </c>
      <c r="F6" s="46" t="s">
        <v>2472</v>
      </c>
      <c r="H6" s="46">
        <v>1</v>
      </c>
      <c r="M6" s="46">
        <v>1</v>
      </c>
      <c r="R6" s="46">
        <v>1</v>
      </c>
      <c r="U6" s="46">
        <v>1</v>
      </c>
      <c r="W6" s="46">
        <v>14</v>
      </c>
      <c r="X6" s="46">
        <v>19</v>
      </c>
      <c r="Y6" s="46">
        <v>19</v>
      </c>
      <c r="Z6" s="46">
        <v>2</v>
      </c>
      <c r="AA6" s="46">
        <v>2</v>
      </c>
      <c r="AB6" s="46">
        <v>2</v>
      </c>
      <c r="AE6" s="46">
        <v>1</v>
      </c>
      <c r="AH6" s="46">
        <v>1</v>
      </c>
      <c r="AJ6" s="46">
        <v>1</v>
      </c>
      <c r="AK6" s="46">
        <v>1</v>
      </c>
      <c r="AT6" s="46">
        <v>1</v>
      </c>
      <c r="AW6" s="46">
        <v>1</v>
      </c>
      <c r="BA6" s="46">
        <v>1</v>
      </c>
      <c r="BK6" s="46">
        <v>1</v>
      </c>
      <c r="CB6" s="46">
        <v>1</v>
      </c>
      <c r="CE6" s="46">
        <v>1</v>
      </c>
      <c r="CR6" s="46">
        <v>1</v>
      </c>
      <c r="CT6" s="134">
        <v>46661</v>
      </c>
    </row>
    <row r="7" spans="1:98" hidden="1">
      <c r="A7" s="46" t="s">
        <v>7827</v>
      </c>
      <c r="B7" s="46" t="s">
        <v>5177</v>
      </c>
      <c r="C7" s="46">
        <v>25</v>
      </c>
      <c r="D7" s="46" t="s">
        <v>858</v>
      </c>
      <c r="E7" s="46" t="s">
        <v>7828</v>
      </c>
      <c r="F7" s="46" t="s">
        <v>2472</v>
      </c>
      <c r="I7" s="46">
        <v>1</v>
      </c>
      <c r="M7" s="46">
        <v>1</v>
      </c>
      <c r="Q7" s="46">
        <v>1</v>
      </c>
      <c r="T7" s="46">
        <v>1</v>
      </c>
      <c r="W7" s="46">
        <v>17</v>
      </c>
      <c r="X7" s="46">
        <v>17</v>
      </c>
      <c r="Y7" s="46">
        <v>21</v>
      </c>
      <c r="Z7" s="46">
        <v>4</v>
      </c>
      <c r="AA7" s="46">
        <v>3</v>
      </c>
      <c r="AB7" s="46">
        <v>2</v>
      </c>
      <c r="AE7" s="46">
        <v>1</v>
      </c>
      <c r="AG7" s="46">
        <v>1</v>
      </c>
      <c r="AH7" s="46">
        <v>1</v>
      </c>
      <c r="AJ7" s="46">
        <v>1</v>
      </c>
      <c r="AM7" s="46">
        <v>1</v>
      </c>
      <c r="AT7" s="46">
        <v>1</v>
      </c>
      <c r="AX7" s="46">
        <v>1</v>
      </c>
      <c r="BA7" s="46">
        <v>1</v>
      </c>
      <c r="BK7" s="46">
        <v>1</v>
      </c>
      <c r="BY7" s="46">
        <v>1</v>
      </c>
      <c r="CB7" s="46">
        <v>1</v>
      </c>
      <c r="CE7" s="46">
        <v>1</v>
      </c>
      <c r="CR7" s="46">
        <v>1</v>
      </c>
      <c r="CT7" s="134">
        <v>46661</v>
      </c>
    </row>
    <row r="8" spans="1:98" hidden="1">
      <c r="A8" s="46" t="s">
        <v>7829</v>
      </c>
      <c r="B8" s="46" t="s">
        <v>6661</v>
      </c>
      <c r="C8" s="46">
        <v>38</v>
      </c>
      <c r="D8" s="46" t="s">
        <v>7830</v>
      </c>
      <c r="E8" s="46" t="s">
        <v>191</v>
      </c>
      <c r="F8" s="46" t="s">
        <v>2472</v>
      </c>
      <c r="J8" s="46">
        <v>1</v>
      </c>
      <c r="M8" s="46">
        <v>1</v>
      </c>
      <c r="Q8" s="46">
        <v>1</v>
      </c>
      <c r="U8" s="46">
        <v>1</v>
      </c>
      <c r="W8" s="46">
        <v>15</v>
      </c>
      <c r="X8" s="46">
        <v>0</v>
      </c>
      <c r="Y8" s="46">
        <v>20</v>
      </c>
      <c r="Z8" s="46">
        <v>9</v>
      </c>
      <c r="AA8" s="46">
        <v>9</v>
      </c>
      <c r="AB8" s="46">
        <v>8</v>
      </c>
      <c r="AE8" s="46">
        <v>1</v>
      </c>
      <c r="AH8" s="46">
        <v>1</v>
      </c>
      <c r="AI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CB8" s="46">
        <v>1</v>
      </c>
      <c r="CE8" s="46">
        <v>1</v>
      </c>
      <c r="CR8" s="46">
        <v>1</v>
      </c>
      <c r="CT8" s="134">
        <v>46661</v>
      </c>
    </row>
    <row r="9" spans="1:98" hidden="1">
      <c r="A9" s="46" t="s">
        <v>7831</v>
      </c>
      <c r="B9" s="46" t="s">
        <v>7832</v>
      </c>
      <c r="C9" s="46">
        <v>40</v>
      </c>
      <c r="D9" s="46" t="s">
        <v>858</v>
      </c>
      <c r="E9" s="46" t="s">
        <v>7833</v>
      </c>
      <c r="F9" s="46" t="s">
        <v>2472</v>
      </c>
      <c r="J9" s="46">
        <v>1</v>
      </c>
      <c r="M9" s="46">
        <v>1</v>
      </c>
      <c r="Q9" s="46">
        <v>1</v>
      </c>
      <c r="U9" s="46">
        <v>1</v>
      </c>
      <c r="W9" s="46">
        <v>13</v>
      </c>
      <c r="X9" s="46">
        <v>20</v>
      </c>
      <c r="Y9" s="46">
        <v>25</v>
      </c>
      <c r="Z9" s="46">
        <v>3</v>
      </c>
      <c r="AA9" s="46">
        <v>3</v>
      </c>
      <c r="AB9" s="46">
        <v>3</v>
      </c>
      <c r="AC9" s="46">
        <v>1</v>
      </c>
      <c r="AJ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CB9" s="46">
        <v>1</v>
      </c>
      <c r="CE9" s="46">
        <v>1</v>
      </c>
      <c r="CR9" s="46">
        <v>1</v>
      </c>
      <c r="CT9" s="134">
        <v>46661</v>
      </c>
    </row>
    <row r="10" spans="1:98" hidden="1">
      <c r="A10" s="46" t="s">
        <v>7834</v>
      </c>
      <c r="B10" s="46" t="s">
        <v>7835</v>
      </c>
      <c r="C10" s="46">
        <v>18</v>
      </c>
      <c r="D10" s="46" t="s">
        <v>858</v>
      </c>
      <c r="E10" s="46" t="s">
        <v>191</v>
      </c>
      <c r="F10" s="46" t="s">
        <v>2472</v>
      </c>
      <c r="I10" s="46">
        <v>1</v>
      </c>
      <c r="M10" s="46">
        <v>1</v>
      </c>
      <c r="Q10" s="46">
        <v>1</v>
      </c>
      <c r="T10" s="46">
        <v>1</v>
      </c>
      <c r="W10" s="46">
        <v>15</v>
      </c>
      <c r="X10" s="46">
        <v>15</v>
      </c>
      <c r="Y10" s="46">
        <v>17</v>
      </c>
      <c r="Z10" s="46">
        <v>1</v>
      </c>
      <c r="AA10" s="46">
        <v>1</v>
      </c>
      <c r="AB10" s="46">
        <v>1</v>
      </c>
      <c r="AH10" s="46">
        <v>1</v>
      </c>
      <c r="AI10" s="46">
        <v>1</v>
      </c>
      <c r="AK10" s="46">
        <v>1</v>
      </c>
      <c r="AT10" s="46">
        <v>1</v>
      </c>
      <c r="AX10" s="46">
        <v>1</v>
      </c>
      <c r="BA10" s="46">
        <v>1</v>
      </c>
      <c r="BJ10" s="46">
        <v>1</v>
      </c>
      <c r="BX10" s="46">
        <v>1</v>
      </c>
      <c r="BY10" s="46">
        <v>1</v>
      </c>
      <c r="CB10" s="46">
        <v>1</v>
      </c>
      <c r="CE10" s="46">
        <v>1</v>
      </c>
      <c r="CR10" s="46">
        <v>1</v>
      </c>
      <c r="CT10" s="134">
        <v>45931</v>
      </c>
    </row>
    <row r="11" spans="1:98" hidden="1">
      <c r="A11" s="46" t="s">
        <v>7836</v>
      </c>
      <c r="B11" s="46" t="s">
        <v>7837</v>
      </c>
      <c r="C11" s="46">
        <v>43</v>
      </c>
      <c r="D11" s="46" t="s">
        <v>858</v>
      </c>
      <c r="E11" s="46" t="s">
        <v>7838</v>
      </c>
      <c r="F11" s="46" t="s">
        <v>2472</v>
      </c>
      <c r="H11" s="46">
        <v>1</v>
      </c>
      <c r="M11" s="46">
        <v>1</v>
      </c>
      <c r="Q11" s="46">
        <v>1</v>
      </c>
      <c r="T11" s="46">
        <v>1</v>
      </c>
      <c r="W11" s="46">
        <v>12</v>
      </c>
      <c r="X11" s="46">
        <v>14</v>
      </c>
      <c r="Y11" s="46">
        <v>15</v>
      </c>
      <c r="Z11" s="46">
        <v>8</v>
      </c>
      <c r="AA11" s="46">
        <v>8</v>
      </c>
      <c r="AB11" s="46">
        <v>6</v>
      </c>
      <c r="AE11" s="46">
        <v>1</v>
      </c>
      <c r="AH11" s="46">
        <v>1</v>
      </c>
      <c r="AI11" s="46">
        <v>1</v>
      </c>
      <c r="AK11" s="46">
        <v>1</v>
      </c>
      <c r="AT11" s="46">
        <v>1</v>
      </c>
      <c r="AW11" s="46">
        <v>1</v>
      </c>
      <c r="BA11" s="46">
        <v>1</v>
      </c>
      <c r="BK11" s="46">
        <v>1</v>
      </c>
      <c r="BY11" s="46">
        <v>1</v>
      </c>
      <c r="CB11" s="46">
        <v>1</v>
      </c>
      <c r="CE11" s="46">
        <v>1</v>
      </c>
      <c r="CR11" s="46">
        <v>1</v>
      </c>
      <c r="CT11" s="134">
        <v>46661</v>
      </c>
    </row>
    <row r="12" spans="1:98" hidden="1">
      <c r="A12" s="46" t="s">
        <v>7839</v>
      </c>
      <c r="B12" s="46" t="s">
        <v>5507</v>
      </c>
      <c r="C12" s="46">
        <v>24</v>
      </c>
      <c r="D12" s="46" t="s">
        <v>858</v>
      </c>
      <c r="E12" s="46" t="s">
        <v>7840</v>
      </c>
      <c r="F12" s="46" t="s">
        <v>2472</v>
      </c>
      <c r="J12" s="46">
        <v>1</v>
      </c>
      <c r="M12" s="46">
        <v>1</v>
      </c>
      <c r="Q12" s="46">
        <v>1</v>
      </c>
      <c r="U12" s="46">
        <v>1</v>
      </c>
      <c r="W12" s="46">
        <v>15</v>
      </c>
      <c r="X12" s="46">
        <v>18</v>
      </c>
      <c r="Y12" s="46">
        <v>18</v>
      </c>
      <c r="Z12" s="46">
        <v>1</v>
      </c>
      <c r="AA12" s="46">
        <v>1</v>
      </c>
      <c r="AB12" s="46">
        <v>1</v>
      </c>
      <c r="AG12" s="46">
        <v>1</v>
      </c>
      <c r="AH12" s="46">
        <v>1</v>
      </c>
      <c r="AJ12" s="46">
        <v>1</v>
      </c>
      <c r="AK12" s="46">
        <v>1</v>
      </c>
      <c r="AT12" s="46">
        <v>1</v>
      </c>
      <c r="AW12" s="46">
        <v>1</v>
      </c>
      <c r="BA12" s="46">
        <v>1</v>
      </c>
      <c r="BK12" s="46">
        <v>1</v>
      </c>
      <c r="CB12" s="46">
        <v>1</v>
      </c>
      <c r="CE12" s="46">
        <v>1</v>
      </c>
      <c r="CR12" s="46">
        <v>1</v>
      </c>
      <c r="CT12" s="134">
        <v>46661</v>
      </c>
    </row>
    <row r="13" spans="1:98">
      <c r="A13" s="46" t="s">
        <v>7841</v>
      </c>
      <c r="B13" s="46" t="s">
        <v>7842</v>
      </c>
      <c r="C13" s="46">
        <v>56</v>
      </c>
      <c r="D13" s="46" t="s">
        <v>7843</v>
      </c>
      <c r="E13" s="46" t="s">
        <v>191</v>
      </c>
      <c r="F13" s="46" t="s">
        <v>4494</v>
      </c>
      <c r="M13" s="46">
        <v>1</v>
      </c>
      <c r="Q13" s="46">
        <v>1</v>
      </c>
      <c r="T13" s="46">
        <v>1</v>
      </c>
      <c r="W13" s="46">
        <v>15</v>
      </c>
      <c r="X13" s="46">
        <v>16</v>
      </c>
      <c r="Y13" s="46">
        <v>17</v>
      </c>
      <c r="Z13" s="46">
        <v>11</v>
      </c>
      <c r="AA13" s="46">
        <v>11</v>
      </c>
      <c r="AB13" s="46">
        <v>10</v>
      </c>
      <c r="AE13" s="46">
        <v>1</v>
      </c>
      <c r="AG13" s="46">
        <v>1</v>
      </c>
      <c r="AH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L13" s="46">
        <v>1</v>
      </c>
      <c r="CB13" s="46">
        <v>1</v>
      </c>
      <c r="CE13" s="46">
        <v>1</v>
      </c>
      <c r="CR13" s="46">
        <v>1</v>
      </c>
      <c r="CT13" s="134">
        <v>46661</v>
      </c>
    </row>
    <row r="14" spans="1:98" hidden="1">
      <c r="A14" s="46" t="s">
        <v>7844</v>
      </c>
      <c r="B14" s="46" t="s">
        <v>7845</v>
      </c>
      <c r="C14" s="46">
        <v>30</v>
      </c>
      <c r="D14" s="46" t="s">
        <v>7846</v>
      </c>
      <c r="E14" s="46" t="s">
        <v>7847</v>
      </c>
      <c r="F14" s="46" t="s">
        <v>2472</v>
      </c>
      <c r="H14" s="46">
        <v>1</v>
      </c>
      <c r="M14" s="46">
        <v>1</v>
      </c>
      <c r="R14" s="46">
        <v>1</v>
      </c>
      <c r="U14" s="46">
        <v>1</v>
      </c>
      <c r="W14" s="46">
        <v>16</v>
      </c>
      <c r="X14" s="46">
        <v>18</v>
      </c>
      <c r="Y14" s="46">
        <v>20</v>
      </c>
      <c r="Z14" s="46">
        <v>5</v>
      </c>
      <c r="AA14" s="46">
        <v>6</v>
      </c>
      <c r="AB14" s="46">
        <v>6</v>
      </c>
      <c r="AD14" s="46">
        <v>1</v>
      </c>
      <c r="AE14" s="46">
        <v>1</v>
      </c>
      <c r="AG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CB14" s="46">
        <v>1</v>
      </c>
      <c r="CE14" s="46">
        <v>1</v>
      </c>
      <c r="CR14" s="46">
        <v>1</v>
      </c>
      <c r="CT14" s="134">
        <v>46661</v>
      </c>
    </row>
    <row r="15" spans="1:98" hidden="1">
      <c r="A15" s="46" t="s">
        <v>7848</v>
      </c>
      <c r="B15" s="46" t="s">
        <v>7849</v>
      </c>
      <c r="C15" s="46">
        <v>70</v>
      </c>
      <c r="D15" s="46" t="s">
        <v>858</v>
      </c>
      <c r="E15" s="46" t="s">
        <v>191</v>
      </c>
      <c r="F15" s="46" t="s">
        <v>2472</v>
      </c>
      <c r="H15" s="46">
        <v>1</v>
      </c>
      <c r="P15" s="46">
        <v>1</v>
      </c>
      <c r="S15" s="46">
        <v>1</v>
      </c>
      <c r="W15" s="46">
        <v>11</v>
      </c>
      <c r="X15" s="46">
        <v>13</v>
      </c>
      <c r="Y15" s="46">
        <v>18</v>
      </c>
      <c r="Z15" s="46">
        <v>8</v>
      </c>
      <c r="AA15" s="46">
        <v>6</v>
      </c>
      <c r="AB15" s="46">
        <v>5</v>
      </c>
      <c r="AC15" s="46">
        <v>1</v>
      </c>
      <c r="AI15" s="46">
        <v>1</v>
      </c>
      <c r="AM15" s="46">
        <v>1</v>
      </c>
      <c r="AT15" s="46">
        <v>1</v>
      </c>
      <c r="AW15" s="46">
        <v>1</v>
      </c>
      <c r="BA15" s="46">
        <v>1</v>
      </c>
      <c r="BL15" s="46">
        <v>1</v>
      </c>
      <c r="CB15" s="46">
        <v>1</v>
      </c>
      <c r="CE15" s="46">
        <v>1</v>
      </c>
      <c r="CK15" s="46">
        <v>1</v>
      </c>
      <c r="CR15" s="46">
        <v>1</v>
      </c>
      <c r="CT15" s="134">
        <v>46661</v>
      </c>
    </row>
    <row r="16" spans="1:98" hidden="1">
      <c r="A16" s="46" t="s">
        <v>7850</v>
      </c>
      <c r="B16" s="46" t="s">
        <v>7851</v>
      </c>
      <c r="C16" s="46">
        <v>37</v>
      </c>
      <c r="D16" s="46" t="s">
        <v>858</v>
      </c>
      <c r="E16" s="46" t="s">
        <v>7852</v>
      </c>
      <c r="F16" s="46" t="s">
        <v>2472</v>
      </c>
      <c r="H16" s="46">
        <v>1</v>
      </c>
      <c r="M16" s="46">
        <v>1</v>
      </c>
      <c r="R16" s="46">
        <v>1</v>
      </c>
      <c r="T16" s="46">
        <v>1</v>
      </c>
      <c r="W16" s="46">
        <v>15</v>
      </c>
      <c r="X16" s="46">
        <v>16</v>
      </c>
      <c r="Y16" s="46">
        <v>18</v>
      </c>
      <c r="Z16" s="46">
        <v>6</v>
      </c>
      <c r="AA16" s="46">
        <v>6</v>
      </c>
      <c r="AB16" s="46">
        <v>6</v>
      </c>
      <c r="AD16" s="46">
        <v>1</v>
      </c>
      <c r="AE16" s="46">
        <v>1</v>
      </c>
      <c r="AG16" s="46">
        <v>1</v>
      </c>
      <c r="AJ16" s="46">
        <v>1</v>
      </c>
      <c r="AK16" s="46">
        <v>1</v>
      </c>
      <c r="AT16" s="46">
        <v>1</v>
      </c>
      <c r="AX16" s="46">
        <v>1</v>
      </c>
      <c r="BA16" s="46">
        <v>1</v>
      </c>
      <c r="BK16" s="46">
        <v>1</v>
      </c>
      <c r="CB16" s="46">
        <v>1</v>
      </c>
      <c r="CE16" s="46">
        <v>1</v>
      </c>
      <c r="CR16" s="46">
        <v>1</v>
      </c>
      <c r="CT16" s="134">
        <v>46661</v>
      </c>
    </row>
    <row r="17" spans="1:98" hidden="1">
      <c r="A17" s="46" t="s">
        <v>7853</v>
      </c>
      <c r="B17" s="46" t="s">
        <v>7854</v>
      </c>
      <c r="C17" s="46">
        <v>34</v>
      </c>
      <c r="D17" s="46" t="s">
        <v>858</v>
      </c>
      <c r="E17" s="46" t="s">
        <v>7855</v>
      </c>
      <c r="F17" s="46" t="s">
        <v>2472</v>
      </c>
      <c r="I17" s="46">
        <v>1</v>
      </c>
      <c r="M17" s="46">
        <v>1</v>
      </c>
      <c r="R17" s="46">
        <v>1</v>
      </c>
      <c r="T17" s="46">
        <v>1</v>
      </c>
      <c r="W17" s="46">
        <v>14</v>
      </c>
      <c r="X17" s="46">
        <v>16</v>
      </c>
      <c r="Y17" s="46">
        <v>16</v>
      </c>
      <c r="Z17" s="46">
        <v>4</v>
      </c>
      <c r="AA17" s="46">
        <v>4</v>
      </c>
      <c r="AB17" s="46">
        <v>4</v>
      </c>
      <c r="AD17" s="46">
        <v>1</v>
      </c>
      <c r="AE17" s="46">
        <v>1</v>
      </c>
      <c r="AG17" s="46">
        <v>1</v>
      </c>
      <c r="AH17" s="46">
        <v>1</v>
      </c>
      <c r="AI17" s="46">
        <v>1</v>
      </c>
      <c r="AK17" s="46">
        <v>1</v>
      </c>
      <c r="AT17" s="46">
        <v>1</v>
      </c>
      <c r="AX17" s="46">
        <v>1</v>
      </c>
      <c r="BA17" s="46">
        <v>1</v>
      </c>
      <c r="BK17" s="46">
        <v>1</v>
      </c>
      <c r="CB17" s="46">
        <v>1</v>
      </c>
      <c r="CE17" s="46">
        <v>1</v>
      </c>
      <c r="CK17" s="46">
        <v>1</v>
      </c>
      <c r="CR17" s="46">
        <v>1</v>
      </c>
      <c r="CT17" s="134">
        <v>46661</v>
      </c>
    </row>
    <row r="18" spans="1:98" hidden="1">
      <c r="A18" s="46" t="s">
        <v>7856</v>
      </c>
      <c r="B18" s="46" t="s">
        <v>7857</v>
      </c>
      <c r="C18" s="46">
        <v>40</v>
      </c>
      <c r="D18" s="46" t="s">
        <v>7858</v>
      </c>
      <c r="E18" s="46" t="s">
        <v>7859</v>
      </c>
      <c r="F18" s="46" t="s">
        <v>4494</v>
      </c>
      <c r="G18" s="46">
        <v>1</v>
      </c>
      <c r="M18" s="46">
        <v>1</v>
      </c>
      <c r="R18" s="46">
        <v>1</v>
      </c>
      <c r="T18" s="46">
        <v>1</v>
      </c>
      <c r="W18" s="46">
        <v>20</v>
      </c>
      <c r="X18" s="46">
        <v>21</v>
      </c>
      <c r="Y18" s="46">
        <v>22</v>
      </c>
      <c r="Z18" s="46">
        <v>9</v>
      </c>
      <c r="AA18" s="46">
        <v>9</v>
      </c>
      <c r="AB18" s="46">
        <v>8</v>
      </c>
      <c r="AH18" s="46">
        <v>1</v>
      </c>
      <c r="AJ18" s="46">
        <v>1</v>
      </c>
      <c r="AM18" s="46">
        <v>1</v>
      </c>
      <c r="AT18" s="46">
        <v>1</v>
      </c>
      <c r="AW18" s="46">
        <v>1</v>
      </c>
      <c r="BA18" s="46">
        <v>1</v>
      </c>
      <c r="BK18" s="46">
        <v>1</v>
      </c>
      <c r="CB18" s="46">
        <v>1</v>
      </c>
      <c r="CE18" s="46">
        <v>1</v>
      </c>
      <c r="CR18" s="46">
        <v>1</v>
      </c>
      <c r="CT18" s="134">
        <v>46661</v>
      </c>
    </row>
    <row r="19" spans="1:98" hidden="1">
      <c r="A19" s="46" t="s">
        <v>7860</v>
      </c>
      <c r="B19" s="46" t="s">
        <v>7861</v>
      </c>
      <c r="C19" s="46">
        <v>50</v>
      </c>
      <c r="D19" s="46" t="s">
        <v>906</v>
      </c>
      <c r="E19" s="46" t="s">
        <v>191</v>
      </c>
      <c r="F19" s="46" t="s">
        <v>2472</v>
      </c>
      <c r="K19" s="46">
        <v>1</v>
      </c>
      <c r="M19" s="46">
        <v>1</v>
      </c>
      <c r="R19" s="46">
        <v>1</v>
      </c>
      <c r="S19" s="46">
        <v>1</v>
      </c>
      <c r="W19" s="46">
        <v>18</v>
      </c>
      <c r="X19" s="46">
        <v>20</v>
      </c>
      <c r="Y19" s="46">
        <v>21</v>
      </c>
      <c r="Z19" s="46">
        <v>9</v>
      </c>
      <c r="AA19" s="46">
        <v>9</v>
      </c>
      <c r="AB19" s="46">
        <v>8</v>
      </c>
      <c r="AE19" s="46">
        <v>1</v>
      </c>
      <c r="AH19" s="46">
        <v>1</v>
      </c>
      <c r="AI19" s="46">
        <v>1</v>
      </c>
      <c r="AK19" s="46">
        <v>1</v>
      </c>
      <c r="AT19" s="46">
        <v>1</v>
      </c>
      <c r="AX19" s="46">
        <v>1</v>
      </c>
      <c r="BA19" s="46">
        <v>1</v>
      </c>
      <c r="BL19" s="46">
        <v>1</v>
      </c>
      <c r="CB19" s="46">
        <v>1</v>
      </c>
      <c r="CE19" s="46">
        <v>1</v>
      </c>
      <c r="CK19" s="46">
        <v>1</v>
      </c>
      <c r="CR19" s="46">
        <v>1</v>
      </c>
      <c r="CT19" s="134">
        <v>46661</v>
      </c>
    </row>
    <row r="20" spans="1:98" hidden="1">
      <c r="A20" s="46" t="s">
        <v>7862</v>
      </c>
      <c r="B20" s="46" t="s">
        <v>7863</v>
      </c>
      <c r="C20" s="46">
        <v>45</v>
      </c>
      <c r="D20" s="46" t="s">
        <v>858</v>
      </c>
      <c r="E20" s="46" t="s">
        <v>191</v>
      </c>
      <c r="F20" s="46" t="s">
        <v>145</v>
      </c>
      <c r="H20" s="46">
        <v>1</v>
      </c>
      <c r="M20" s="46">
        <v>1</v>
      </c>
      <c r="R20" s="46">
        <v>1</v>
      </c>
      <c r="S20" s="46">
        <v>1</v>
      </c>
      <c r="W20" s="46">
        <v>16</v>
      </c>
      <c r="X20" s="46">
        <v>16</v>
      </c>
      <c r="Y20" s="46">
        <v>25</v>
      </c>
      <c r="Z20" s="46">
        <v>11</v>
      </c>
      <c r="AA20" s="46">
        <v>11</v>
      </c>
      <c r="AB20" s="46">
        <v>11</v>
      </c>
      <c r="AH20" s="46">
        <v>1</v>
      </c>
      <c r="AI20" s="46">
        <v>1</v>
      </c>
      <c r="AK20" s="46">
        <v>1</v>
      </c>
      <c r="AT20" s="46">
        <v>1</v>
      </c>
      <c r="AW20" s="46">
        <v>1</v>
      </c>
      <c r="BA20" s="46">
        <v>1</v>
      </c>
      <c r="BK20" s="46">
        <v>1</v>
      </c>
      <c r="CB20" s="46">
        <v>1</v>
      </c>
      <c r="CE20" s="46">
        <v>1</v>
      </c>
      <c r="CK20" s="46">
        <v>1</v>
      </c>
      <c r="CR20" s="46">
        <v>1</v>
      </c>
      <c r="CT20" s="134">
        <v>46661</v>
      </c>
    </row>
    <row r="21" spans="1:98" hidden="1">
      <c r="A21" s="46" t="s">
        <v>7864</v>
      </c>
      <c r="B21" s="46" t="s">
        <v>7865</v>
      </c>
      <c r="C21" s="46">
        <v>21</v>
      </c>
      <c r="D21" s="46" t="s">
        <v>858</v>
      </c>
      <c r="E21" s="46" t="s">
        <v>7866</v>
      </c>
      <c r="F21" s="46" t="s">
        <v>2506</v>
      </c>
      <c r="H21" s="46">
        <v>1</v>
      </c>
      <c r="M21" s="46">
        <v>1</v>
      </c>
      <c r="Q21" s="46">
        <v>1</v>
      </c>
      <c r="U21" s="46">
        <v>1</v>
      </c>
      <c r="W21" s="46">
        <v>14</v>
      </c>
      <c r="X21" s="46">
        <v>15</v>
      </c>
      <c r="Y21" s="46">
        <v>0</v>
      </c>
      <c r="Z21" s="46">
        <v>0</v>
      </c>
      <c r="AA21" s="46">
        <v>0</v>
      </c>
      <c r="AB21" s="46">
        <v>0</v>
      </c>
      <c r="AE21" s="46">
        <v>1</v>
      </c>
      <c r="AG21" s="46">
        <v>1</v>
      </c>
      <c r="AH21" s="46">
        <v>1</v>
      </c>
      <c r="AI21" s="46">
        <v>1</v>
      </c>
      <c r="AM21" s="46">
        <v>1</v>
      </c>
      <c r="AT21" s="46">
        <v>1</v>
      </c>
      <c r="AX21" s="46">
        <v>1</v>
      </c>
      <c r="BA21" s="46">
        <v>1</v>
      </c>
      <c r="BK21" s="46">
        <v>1</v>
      </c>
      <c r="CB21" s="46">
        <v>1</v>
      </c>
      <c r="CE21" s="46">
        <v>1</v>
      </c>
      <c r="CR21" s="46">
        <v>1</v>
      </c>
      <c r="CT21" s="134">
        <v>46661</v>
      </c>
    </row>
    <row r="22" spans="1:98" hidden="1">
      <c r="A22" s="46" t="s">
        <v>7867</v>
      </c>
      <c r="B22" s="46" t="s">
        <v>6093</v>
      </c>
      <c r="C22" s="46">
        <v>27</v>
      </c>
      <c r="D22" s="46" t="s">
        <v>858</v>
      </c>
      <c r="E22" s="46" t="s">
        <v>7868</v>
      </c>
      <c r="F22" s="46" t="s">
        <v>2472</v>
      </c>
      <c r="H22" s="46">
        <v>1</v>
      </c>
      <c r="M22" s="46">
        <v>1</v>
      </c>
      <c r="Q22" s="46">
        <v>1</v>
      </c>
      <c r="U22" s="46">
        <v>1</v>
      </c>
      <c r="W22" s="46">
        <v>15</v>
      </c>
      <c r="X22" s="46">
        <v>17</v>
      </c>
      <c r="Y22" s="46">
        <v>18</v>
      </c>
      <c r="Z22" s="46">
        <v>3</v>
      </c>
      <c r="AA22" s="46">
        <v>3</v>
      </c>
      <c r="AB22" s="46">
        <v>3</v>
      </c>
      <c r="AH22" s="46">
        <v>1</v>
      </c>
      <c r="AJ22" s="46">
        <v>1</v>
      </c>
      <c r="AK22" s="46">
        <v>1</v>
      </c>
      <c r="AT22" s="46">
        <v>1</v>
      </c>
      <c r="AW22" s="46">
        <v>1</v>
      </c>
      <c r="BA22" s="46">
        <v>1</v>
      </c>
      <c r="BJ22" s="46">
        <v>1</v>
      </c>
      <c r="BX22" s="46">
        <v>1</v>
      </c>
      <c r="BY22" s="46">
        <v>1</v>
      </c>
      <c r="CB22" s="46">
        <v>1</v>
      </c>
      <c r="CE22" s="46">
        <v>1</v>
      </c>
      <c r="CR22" s="46">
        <v>1</v>
      </c>
      <c r="CT22" s="134">
        <v>45931</v>
      </c>
    </row>
    <row r="23" spans="1:98" hidden="1">
      <c r="A23" s="46" t="s">
        <v>7869</v>
      </c>
      <c r="B23" s="46" t="s">
        <v>7870</v>
      </c>
      <c r="C23" s="46">
        <v>44</v>
      </c>
      <c r="D23" s="46" t="s">
        <v>858</v>
      </c>
      <c r="E23" s="46" t="s">
        <v>191</v>
      </c>
      <c r="F23" s="46" t="s">
        <v>477</v>
      </c>
      <c r="H23" s="46">
        <v>1</v>
      </c>
      <c r="M23" s="46">
        <v>1</v>
      </c>
      <c r="R23" s="46">
        <v>1</v>
      </c>
      <c r="S23" s="46">
        <v>1</v>
      </c>
      <c r="W23" s="46">
        <v>0</v>
      </c>
      <c r="X23" s="46">
        <v>28</v>
      </c>
      <c r="Y23" s="46">
        <v>0</v>
      </c>
      <c r="Z23" s="46">
        <v>11</v>
      </c>
      <c r="AA23" s="46">
        <v>11</v>
      </c>
      <c r="AB23" s="46">
        <v>9</v>
      </c>
      <c r="AH23" s="46">
        <v>1</v>
      </c>
      <c r="AJ23" s="46">
        <v>1</v>
      </c>
      <c r="AM23" s="46">
        <v>1</v>
      </c>
      <c r="AT23" s="46">
        <v>1</v>
      </c>
      <c r="AX23" s="46">
        <v>1</v>
      </c>
      <c r="BA23" s="46">
        <v>1</v>
      </c>
      <c r="BL23" s="46">
        <v>1</v>
      </c>
      <c r="CB23" s="46">
        <v>1</v>
      </c>
      <c r="CE23" s="46">
        <v>1</v>
      </c>
      <c r="CK23" s="46">
        <v>1</v>
      </c>
      <c r="CR23" s="46">
        <v>1</v>
      </c>
      <c r="CT23" s="134">
        <v>46661</v>
      </c>
    </row>
    <row r="24" spans="1:98" hidden="1">
      <c r="A24" s="46" t="s">
        <v>7871</v>
      </c>
      <c r="B24" s="46" t="s">
        <v>7872</v>
      </c>
      <c r="C24" s="46">
        <v>40</v>
      </c>
      <c r="D24" s="46" t="s">
        <v>858</v>
      </c>
      <c r="E24" s="46" t="s">
        <v>7873</v>
      </c>
      <c r="F24" s="46" t="s">
        <v>2472</v>
      </c>
      <c r="I24" s="46">
        <v>1</v>
      </c>
      <c r="O24" s="46">
        <v>1</v>
      </c>
      <c r="Q24" s="46">
        <v>1</v>
      </c>
      <c r="U24" s="46">
        <v>1</v>
      </c>
      <c r="W24" s="46">
        <v>13</v>
      </c>
      <c r="X24" s="46">
        <v>15</v>
      </c>
      <c r="Y24" s="46">
        <v>16</v>
      </c>
      <c r="Z24" s="46">
        <v>3</v>
      </c>
      <c r="AA24" s="46">
        <v>3</v>
      </c>
      <c r="AB24" s="46">
        <v>3</v>
      </c>
      <c r="AE24" s="46">
        <v>1</v>
      </c>
      <c r="AH24" s="46">
        <v>1</v>
      </c>
      <c r="AJ24" s="46">
        <v>1</v>
      </c>
      <c r="AK24" s="46">
        <v>1</v>
      </c>
      <c r="AT24" s="46">
        <v>1</v>
      </c>
      <c r="AX24" s="46">
        <v>1</v>
      </c>
      <c r="BA24" s="46">
        <v>1</v>
      </c>
      <c r="BK24" s="46">
        <v>1</v>
      </c>
      <c r="CB24" s="46">
        <v>1</v>
      </c>
      <c r="CE24" s="46">
        <v>1</v>
      </c>
      <c r="CK24" s="46">
        <v>1</v>
      </c>
      <c r="CR24" s="46">
        <v>1</v>
      </c>
      <c r="CT24" s="134">
        <v>46661</v>
      </c>
    </row>
    <row r="25" spans="1:98" hidden="1">
      <c r="A25" s="46" t="s">
        <v>7874</v>
      </c>
      <c r="B25" s="46" t="s">
        <v>7875</v>
      </c>
      <c r="C25" s="46">
        <v>39</v>
      </c>
      <c r="D25" s="46" t="s">
        <v>858</v>
      </c>
      <c r="E25" s="46" t="s">
        <v>7876</v>
      </c>
      <c r="F25" s="46" t="s">
        <v>2472</v>
      </c>
      <c r="H25" s="46">
        <v>1</v>
      </c>
      <c r="M25" s="46">
        <v>1</v>
      </c>
      <c r="R25" s="46">
        <v>1</v>
      </c>
      <c r="S25" s="46">
        <v>1</v>
      </c>
      <c r="W25" s="46">
        <v>16</v>
      </c>
      <c r="X25" s="46">
        <v>16</v>
      </c>
      <c r="Y25" s="46">
        <v>17</v>
      </c>
      <c r="Z25" s="46">
        <v>10</v>
      </c>
      <c r="AA25" s="46">
        <v>10</v>
      </c>
      <c r="AB25" s="46">
        <v>10</v>
      </c>
      <c r="AD25" s="46">
        <v>1</v>
      </c>
      <c r="AE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BY25" s="46">
        <v>1</v>
      </c>
      <c r="CB25" s="46">
        <v>1</v>
      </c>
      <c r="CE25" s="46">
        <v>1</v>
      </c>
      <c r="CR25" s="46">
        <v>1</v>
      </c>
      <c r="CT25" s="134">
        <v>46661</v>
      </c>
    </row>
    <row r="26" spans="1:98" hidden="1">
      <c r="A26" s="46" t="s">
        <v>7877</v>
      </c>
      <c r="B26" s="46" t="s">
        <v>7878</v>
      </c>
      <c r="C26" s="46">
        <v>23</v>
      </c>
      <c r="D26" s="46" t="s">
        <v>7858</v>
      </c>
      <c r="E26" s="46" t="s">
        <v>7879</v>
      </c>
      <c r="F26" s="46" t="s">
        <v>145</v>
      </c>
      <c r="J26" s="46">
        <v>1</v>
      </c>
      <c r="M26" s="46">
        <v>1</v>
      </c>
      <c r="Q26" s="46">
        <v>1</v>
      </c>
      <c r="T26" s="46">
        <v>1</v>
      </c>
      <c r="W26" s="46">
        <v>16</v>
      </c>
      <c r="X26" s="46">
        <v>18</v>
      </c>
      <c r="Y26" s="46">
        <v>18</v>
      </c>
      <c r="Z26" s="46">
        <v>2</v>
      </c>
      <c r="AA26" s="46">
        <v>2</v>
      </c>
      <c r="AB26" s="46">
        <v>2</v>
      </c>
      <c r="AH26" s="46">
        <v>1</v>
      </c>
      <c r="AJ26" s="46">
        <v>1</v>
      </c>
      <c r="AK26" s="46">
        <v>1</v>
      </c>
      <c r="AT26" s="46">
        <v>1</v>
      </c>
      <c r="AW26" s="46">
        <v>1</v>
      </c>
      <c r="BA26" s="46">
        <v>1</v>
      </c>
      <c r="BJ26" s="46">
        <v>1</v>
      </c>
      <c r="BX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134">
        <v>46661</v>
      </c>
    </row>
    <row r="27" spans="1:98" hidden="1">
      <c r="A27" s="46" t="s">
        <v>7880</v>
      </c>
      <c r="B27" s="46" t="s">
        <v>7881</v>
      </c>
      <c r="C27" s="46">
        <v>39</v>
      </c>
      <c r="D27" s="46" t="s">
        <v>7882</v>
      </c>
      <c r="E27" s="46" t="s">
        <v>191</v>
      </c>
      <c r="F27" s="46" t="s">
        <v>2523</v>
      </c>
      <c r="I27" s="46">
        <v>1</v>
      </c>
      <c r="M27" s="46">
        <v>1</v>
      </c>
      <c r="Q27" s="46">
        <v>1</v>
      </c>
      <c r="U27" s="46">
        <v>1</v>
      </c>
      <c r="W27" s="46">
        <v>15</v>
      </c>
      <c r="X27" s="46">
        <v>18</v>
      </c>
      <c r="Y27" s="46">
        <v>22</v>
      </c>
      <c r="Z27" s="46">
        <v>7</v>
      </c>
      <c r="AA27" s="46">
        <v>7</v>
      </c>
      <c r="AB27" s="46">
        <v>6</v>
      </c>
      <c r="AE27" s="46">
        <v>1</v>
      </c>
      <c r="AG27" s="46">
        <v>1</v>
      </c>
      <c r="AH27" s="46">
        <v>1</v>
      </c>
      <c r="AJ27" s="46">
        <v>1</v>
      </c>
      <c r="AK27" s="46">
        <v>1</v>
      </c>
      <c r="AT27" s="46">
        <v>1</v>
      </c>
      <c r="AW27" s="46">
        <v>1</v>
      </c>
      <c r="BA27" s="46">
        <v>1</v>
      </c>
      <c r="BK27" s="46">
        <v>1</v>
      </c>
      <c r="CB27" s="46">
        <v>1</v>
      </c>
      <c r="CE27" s="46">
        <v>1</v>
      </c>
      <c r="CR27" s="46">
        <v>1</v>
      </c>
      <c r="CT27" s="134">
        <v>46661</v>
      </c>
    </row>
    <row r="28" spans="1:98" hidden="1">
      <c r="A28" s="46" t="s">
        <v>7883</v>
      </c>
      <c r="B28" s="46" t="s">
        <v>7884</v>
      </c>
      <c r="C28" s="46">
        <v>35</v>
      </c>
      <c r="D28" s="46" t="s">
        <v>858</v>
      </c>
      <c r="E28" s="46" t="s">
        <v>191</v>
      </c>
      <c r="F28" s="46" t="s">
        <v>2472</v>
      </c>
      <c r="H28" s="46">
        <v>1</v>
      </c>
      <c r="M28" s="46">
        <v>1</v>
      </c>
      <c r="R28" s="46">
        <v>1</v>
      </c>
      <c r="T28" s="46">
        <v>1</v>
      </c>
      <c r="W28" s="46">
        <v>12</v>
      </c>
      <c r="X28" s="46">
        <v>18</v>
      </c>
      <c r="Y28" s="46">
        <v>19</v>
      </c>
      <c r="Z28" s="46">
        <v>6</v>
      </c>
      <c r="AA28" s="46">
        <v>6</v>
      </c>
      <c r="AB28" s="46">
        <v>6</v>
      </c>
      <c r="AE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K28" s="46">
        <v>1</v>
      </c>
      <c r="CB28" s="46">
        <v>1</v>
      </c>
      <c r="CE28" s="46">
        <v>1</v>
      </c>
      <c r="CR28" s="46">
        <v>1</v>
      </c>
      <c r="CT28" s="134">
        <v>46661</v>
      </c>
    </row>
    <row r="29" spans="1:98" hidden="1">
      <c r="A29" s="46" t="s">
        <v>7885</v>
      </c>
      <c r="B29" s="46" t="s">
        <v>6570</v>
      </c>
      <c r="C29" s="46">
        <v>45</v>
      </c>
      <c r="D29" s="46" t="s">
        <v>858</v>
      </c>
      <c r="E29" s="46" t="s">
        <v>7886</v>
      </c>
      <c r="F29" s="46" t="s">
        <v>2484</v>
      </c>
      <c r="H29" s="46">
        <v>1</v>
      </c>
      <c r="J29" s="46">
        <v>1</v>
      </c>
      <c r="M29" s="46">
        <v>1</v>
      </c>
      <c r="R29" s="46">
        <v>1</v>
      </c>
      <c r="S29" s="46">
        <v>1</v>
      </c>
      <c r="W29" s="46">
        <v>14</v>
      </c>
      <c r="X29" s="46">
        <v>16</v>
      </c>
      <c r="Y29" s="46">
        <v>18</v>
      </c>
      <c r="Z29" s="46">
        <v>9</v>
      </c>
      <c r="AA29" s="46">
        <v>9</v>
      </c>
      <c r="AB29" s="46">
        <v>9</v>
      </c>
      <c r="AG29" s="46">
        <v>1</v>
      </c>
      <c r="AH29" s="46">
        <v>1</v>
      </c>
      <c r="AJ29" s="46">
        <v>1</v>
      </c>
      <c r="AK29" s="46">
        <v>1</v>
      </c>
      <c r="AT29" s="46">
        <v>1</v>
      </c>
      <c r="AW29" s="46">
        <v>1</v>
      </c>
      <c r="BA29" s="46">
        <v>1</v>
      </c>
      <c r="BK29" s="46">
        <v>1</v>
      </c>
      <c r="CB29" s="46">
        <v>1</v>
      </c>
      <c r="CE29" s="46">
        <v>1</v>
      </c>
      <c r="CR29" s="46">
        <v>1</v>
      </c>
      <c r="CT29" s="134">
        <v>46661</v>
      </c>
    </row>
  </sheetData>
  <autoFilter ref="A3:CT29">
    <filterColumn colId="2">
      <filters>
        <filter val="56"/>
      </filters>
    </filterColumn>
  </autoFilter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N1" workbookViewId="0">
      <selection activeCell="AE10" sqref="AE10"/>
    </sheetView>
  </sheetViews>
  <sheetFormatPr defaultRowHeight="15"/>
  <cols>
    <col min="33" max="33" width="12.85546875" customWidth="1"/>
  </cols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6" t="s">
        <v>358</v>
      </c>
      <c r="C2" s="66" t="s">
        <v>359</v>
      </c>
      <c r="D2" s="66" t="s">
        <v>360</v>
      </c>
      <c r="E2" s="66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1</v>
      </c>
      <c r="C3" s="69">
        <v>0</v>
      </c>
      <c r="D3" s="69">
        <v>0</v>
      </c>
      <c r="E3" s="69">
        <f t="shared" ref="E3:E8" si="0">SUM(B3:D3)</f>
        <v>1</v>
      </c>
      <c r="F3" s="261">
        <v>1</v>
      </c>
      <c r="G3" s="261">
        <v>0</v>
      </c>
      <c r="H3" s="261">
        <v>0</v>
      </c>
      <c r="I3" s="261">
        <v>0</v>
      </c>
      <c r="J3" s="71">
        <f t="shared" ref="J3:J9" si="1">SUM(F3:I3)</f>
        <v>1</v>
      </c>
      <c r="K3" s="261">
        <v>0</v>
      </c>
      <c r="L3" s="261">
        <v>0</v>
      </c>
      <c r="M3" s="261">
        <v>0</v>
      </c>
      <c r="N3" s="261">
        <v>0</v>
      </c>
      <c r="O3" s="261">
        <v>0</v>
      </c>
      <c r="P3" s="71">
        <f t="shared" ref="P3:P8" si="2">SUM(K3:O3)</f>
        <v>0</v>
      </c>
      <c r="Q3" s="261">
        <v>1</v>
      </c>
      <c r="R3" s="261"/>
      <c r="S3" s="261">
        <v>1</v>
      </c>
      <c r="T3" s="71">
        <f t="shared" ref="T3:T8" si="3">SUM(Q3:S3)</f>
        <v>2</v>
      </c>
      <c r="U3" s="261">
        <v>0</v>
      </c>
      <c r="V3" s="261">
        <v>0</v>
      </c>
      <c r="W3" s="261">
        <v>0</v>
      </c>
      <c r="X3" s="261">
        <v>0</v>
      </c>
      <c r="Y3" s="261">
        <v>0</v>
      </c>
      <c r="Z3" s="261"/>
      <c r="AA3" s="183">
        <v>0</v>
      </c>
      <c r="AB3" s="183">
        <v>0</v>
      </c>
      <c r="AC3" s="183">
        <v>0</v>
      </c>
      <c r="AD3" s="183">
        <v>1</v>
      </c>
      <c r="AE3" s="186">
        <f t="shared" ref="AE3:AE8" si="4">SUM(AA3,AB3,AC3,AD3)</f>
        <v>1</v>
      </c>
      <c r="AF3" s="183">
        <v>0</v>
      </c>
      <c r="AG3" s="183">
        <v>0</v>
      </c>
    </row>
    <row r="4" spans="1:33">
      <c r="A4" s="77" t="s">
        <v>7495</v>
      </c>
      <c r="B4" s="69">
        <v>6</v>
      </c>
      <c r="C4" s="69">
        <v>0</v>
      </c>
      <c r="D4" s="69">
        <v>2</v>
      </c>
      <c r="E4" s="69">
        <f t="shared" si="0"/>
        <v>8</v>
      </c>
      <c r="F4" s="261">
        <v>2</v>
      </c>
      <c r="G4" s="261">
        <v>6</v>
      </c>
      <c r="H4" s="261">
        <v>0</v>
      </c>
      <c r="I4" s="261">
        <v>0</v>
      </c>
      <c r="J4" s="71">
        <f t="shared" si="1"/>
        <v>8</v>
      </c>
      <c r="K4" s="261">
        <v>0</v>
      </c>
      <c r="L4" s="261">
        <v>0</v>
      </c>
      <c r="M4" s="261">
        <v>0</v>
      </c>
      <c r="N4" s="261">
        <v>0</v>
      </c>
      <c r="O4" s="261">
        <v>0</v>
      </c>
      <c r="P4" s="71">
        <f t="shared" si="2"/>
        <v>0</v>
      </c>
      <c r="Q4" s="261">
        <v>2</v>
      </c>
      <c r="R4" s="261">
        <v>0</v>
      </c>
      <c r="S4" s="261">
        <v>3</v>
      </c>
      <c r="T4" s="71">
        <f t="shared" si="3"/>
        <v>5</v>
      </c>
      <c r="U4" s="76">
        <v>0</v>
      </c>
      <c r="V4" s="76">
        <v>0</v>
      </c>
      <c r="W4" s="76">
        <v>0</v>
      </c>
      <c r="X4" s="76">
        <v>0</v>
      </c>
      <c r="Y4" s="76">
        <v>0</v>
      </c>
      <c r="Z4" s="76"/>
      <c r="AA4" s="183">
        <v>2</v>
      </c>
      <c r="AB4" s="183">
        <v>0</v>
      </c>
      <c r="AC4" s="183">
        <v>0</v>
      </c>
      <c r="AD4" s="183">
        <v>6</v>
      </c>
      <c r="AE4" s="186">
        <f t="shared" si="4"/>
        <v>8</v>
      </c>
      <c r="AF4" s="183">
        <v>0</v>
      </c>
      <c r="AG4" s="183">
        <v>0</v>
      </c>
    </row>
    <row r="5" spans="1:33">
      <c r="A5" s="77" t="s">
        <v>7089</v>
      </c>
      <c r="B5" s="69">
        <v>9</v>
      </c>
      <c r="C5" s="69">
        <v>0</v>
      </c>
      <c r="D5" s="69">
        <v>1</v>
      </c>
      <c r="E5" s="69">
        <f t="shared" si="0"/>
        <v>10</v>
      </c>
      <c r="F5" s="261">
        <v>0</v>
      </c>
      <c r="G5" s="261">
        <v>10</v>
      </c>
      <c r="H5" s="261">
        <v>0</v>
      </c>
      <c r="I5" s="261">
        <v>0</v>
      </c>
      <c r="J5" s="71">
        <f t="shared" si="1"/>
        <v>10</v>
      </c>
      <c r="K5" s="261">
        <v>0</v>
      </c>
      <c r="L5" s="261">
        <v>0</v>
      </c>
      <c r="M5" s="261">
        <v>0</v>
      </c>
      <c r="N5" s="261">
        <v>0</v>
      </c>
      <c r="O5" s="261">
        <v>0</v>
      </c>
      <c r="P5" s="71">
        <f t="shared" si="2"/>
        <v>0</v>
      </c>
      <c r="Q5" s="261">
        <v>0</v>
      </c>
      <c r="R5" s="261">
        <v>0</v>
      </c>
      <c r="S5" s="261">
        <v>1</v>
      </c>
      <c r="T5" s="71">
        <f t="shared" si="3"/>
        <v>1</v>
      </c>
      <c r="U5" s="76">
        <v>0</v>
      </c>
      <c r="V5" s="76">
        <v>0</v>
      </c>
      <c r="W5" s="76">
        <v>0</v>
      </c>
      <c r="X5" s="76">
        <v>0</v>
      </c>
      <c r="Y5" s="76">
        <v>0</v>
      </c>
      <c r="Z5" s="76"/>
      <c r="AA5" s="183">
        <v>1</v>
      </c>
      <c r="AB5" s="183">
        <v>0</v>
      </c>
      <c r="AC5" s="183">
        <v>0</v>
      </c>
      <c r="AD5" s="183">
        <v>9</v>
      </c>
      <c r="AE5" s="186">
        <f t="shared" si="4"/>
        <v>10</v>
      </c>
      <c r="AF5" s="183">
        <v>0</v>
      </c>
      <c r="AG5" s="183">
        <v>0</v>
      </c>
    </row>
    <row r="6" spans="1:33">
      <c r="A6" s="77" t="s">
        <v>4618</v>
      </c>
      <c r="B6" s="69">
        <v>6</v>
      </c>
      <c r="C6" s="69">
        <v>0</v>
      </c>
      <c r="D6" s="69">
        <v>2</v>
      </c>
      <c r="E6" s="69">
        <f t="shared" si="0"/>
        <v>8</v>
      </c>
      <c r="F6" s="261">
        <v>0</v>
      </c>
      <c r="G6" s="261">
        <v>6</v>
      </c>
      <c r="H6" s="261">
        <v>0</v>
      </c>
      <c r="I6" s="261">
        <v>0</v>
      </c>
      <c r="J6" s="71">
        <f t="shared" si="1"/>
        <v>6</v>
      </c>
      <c r="K6" s="261">
        <v>2</v>
      </c>
      <c r="L6" s="261">
        <v>0</v>
      </c>
      <c r="M6" s="261">
        <v>0</v>
      </c>
      <c r="N6" s="261">
        <v>0</v>
      </c>
      <c r="O6" s="261">
        <v>0</v>
      </c>
      <c r="P6" s="71">
        <f t="shared" si="2"/>
        <v>2</v>
      </c>
      <c r="Q6" s="261">
        <v>0</v>
      </c>
      <c r="R6" s="261">
        <v>0</v>
      </c>
      <c r="S6" s="261">
        <v>1</v>
      </c>
      <c r="T6" s="71">
        <f t="shared" si="3"/>
        <v>1</v>
      </c>
      <c r="U6" s="76">
        <v>0</v>
      </c>
      <c r="V6" s="76">
        <v>0</v>
      </c>
      <c r="W6" s="76">
        <v>0</v>
      </c>
      <c r="X6" s="76">
        <v>0</v>
      </c>
      <c r="Y6" s="76">
        <v>0</v>
      </c>
      <c r="Z6" s="76"/>
      <c r="AA6" s="183">
        <v>4</v>
      </c>
      <c r="AB6" s="183">
        <v>0</v>
      </c>
      <c r="AC6" s="183">
        <v>0</v>
      </c>
      <c r="AD6" s="183">
        <v>4</v>
      </c>
      <c r="AE6" s="186">
        <f t="shared" si="4"/>
        <v>8</v>
      </c>
      <c r="AF6" s="183">
        <v>0</v>
      </c>
      <c r="AG6" s="183">
        <v>0</v>
      </c>
    </row>
    <row r="7" spans="1:33">
      <c r="A7" s="243" t="s">
        <v>7607</v>
      </c>
      <c r="B7" s="69">
        <v>1</v>
      </c>
      <c r="C7" s="69">
        <v>0</v>
      </c>
      <c r="D7" s="69">
        <v>0</v>
      </c>
      <c r="E7" s="69">
        <f t="shared" si="0"/>
        <v>1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1</v>
      </c>
      <c r="L7" s="114">
        <v>0</v>
      </c>
      <c r="M7" s="114">
        <v>0</v>
      </c>
      <c r="N7" s="114">
        <v>0</v>
      </c>
      <c r="O7" s="114">
        <v>0</v>
      </c>
      <c r="P7" s="71">
        <f t="shared" si="2"/>
        <v>1</v>
      </c>
      <c r="Q7" s="114">
        <v>0</v>
      </c>
      <c r="R7" s="114">
        <v>0</v>
      </c>
      <c r="S7" s="114">
        <v>0</v>
      </c>
      <c r="T7" s="71">
        <f t="shared" si="3"/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183">
        <v>0</v>
      </c>
      <c r="AB7" s="183">
        <v>0</v>
      </c>
      <c r="AC7" s="183">
        <v>0</v>
      </c>
      <c r="AD7" s="183">
        <v>1</v>
      </c>
      <c r="AE7" s="186">
        <f>SUM(AA7,AB7,AC7,AD7)</f>
        <v>1</v>
      </c>
      <c r="AF7" s="183">
        <v>0</v>
      </c>
      <c r="AG7" s="183">
        <v>0</v>
      </c>
    </row>
    <row r="8" spans="1:33">
      <c r="A8" s="243" t="s">
        <v>556</v>
      </c>
      <c r="B8" s="69">
        <v>0</v>
      </c>
      <c r="C8" s="69">
        <v>0</v>
      </c>
      <c r="D8" s="69">
        <v>1</v>
      </c>
      <c r="E8" s="69">
        <f t="shared" si="0"/>
        <v>1</v>
      </c>
      <c r="F8" s="69">
        <v>0</v>
      </c>
      <c r="G8" s="69">
        <v>0</v>
      </c>
      <c r="H8" s="69">
        <v>0</v>
      </c>
      <c r="I8" s="69">
        <v>0</v>
      </c>
      <c r="J8" s="71">
        <f t="shared" si="1"/>
        <v>0</v>
      </c>
      <c r="K8" s="114">
        <v>1</v>
      </c>
      <c r="L8" s="114">
        <v>0</v>
      </c>
      <c r="M8" s="114">
        <v>0</v>
      </c>
      <c r="N8" s="114">
        <v>0</v>
      </c>
      <c r="O8" s="114">
        <v>0</v>
      </c>
      <c r="P8" s="71">
        <f t="shared" si="2"/>
        <v>1</v>
      </c>
      <c r="Q8" s="114">
        <v>0</v>
      </c>
      <c r="R8" s="114">
        <v>0</v>
      </c>
      <c r="S8" s="114">
        <v>0</v>
      </c>
      <c r="T8" s="71">
        <f t="shared" si="3"/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183">
        <v>1</v>
      </c>
      <c r="AB8" s="183">
        <v>0</v>
      </c>
      <c r="AC8" s="183">
        <v>0</v>
      </c>
      <c r="AD8" s="183">
        <v>0</v>
      </c>
      <c r="AE8" s="186">
        <f t="shared" si="4"/>
        <v>1</v>
      </c>
      <c r="AF8" s="183">
        <v>0</v>
      </c>
      <c r="AG8" s="183">
        <v>0</v>
      </c>
    </row>
    <row r="9" spans="1:33">
      <c r="A9" s="69" t="s">
        <v>376</v>
      </c>
      <c r="B9" s="69">
        <f t="shared" ref="B9:I9" si="5">SUM(B3:B8)</f>
        <v>23</v>
      </c>
      <c r="C9" s="69">
        <f t="shared" si="5"/>
        <v>0</v>
      </c>
      <c r="D9" s="69">
        <f t="shared" si="5"/>
        <v>6</v>
      </c>
      <c r="E9" s="69">
        <f t="shared" si="5"/>
        <v>29</v>
      </c>
      <c r="F9" s="69">
        <f t="shared" si="5"/>
        <v>3</v>
      </c>
      <c r="G9" s="69">
        <f t="shared" si="5"/>
        <v>22</v>
      </c>
      <c r="H9" s="69">
        <f t="shared" si="5"/>
        <v>0</v>
      </c>
      <c r="I9" s="69">
        <f t="shared" si="5"/>
        <v>0</v>
      </c>
      <c r="J9" s="71">
        <f t="shared" si="1"/>
        <v>25</v>
      </c>
      <c r="K9" s="114">
        <f>SUM(K3:K8)</f>
        <v>4</v>
      </c>
      <c r="L9" s="114">
        <f>SUM(L3:L8)</f>
        <v>0</v>
      </c>
      <c r="M9" s="114">
        <f>SUM(M3:M8)</f>
        <v>0</v>
      </c>
      <c r="N9" s="114">
        <f>SUM(N3:N8)</f>
        <v>0</v>
      </c>
      <c r="O9" s="114">
        <f>SUM(O3:O8)</f>
        <v>0</v>
      </c>
      <c r="P9" s="71">
        <f>SUM(K9:N9)</f>
        <v>4</v>
      </c>
      <c r="Q9" s="114">
        <f t="shared" ref="Q9:Y9" si="6">SUM(Q3:Q8)</f>
        <v>3</v>
      </c>
      <c r="R9" s="114">
        <f t="shared" si="6"/>
        <v>0</v>
      </c>
      <c r="S9" s="114">
        <f t="shared" si="6"/>
        <v>6</v>
      </c>
      <c r="T9" s="71">
        <f t="shared" si="6"/>
        <v>9</v>
      </c>
      <c r="U9" s="114">
        <f t="shared" si="6"/>
        <v>0</v>
      </c>
      <c r="V9" s="114">
        <f t="shared" si="6"/>
        <v>0</v>
      </c>
      <c r="W9" s="114">
        <f t="shared" si="6"/>
        <v>0</v>
      </c>
      <c r="X9" s="114">
        <f t="shared" si="6"/>
        <v>0</v>
      </c>
      <c r="Y9" s="114">
        <f t="shared" si="6"/>
        <v>0</v>
      </c>
      <c r="Z9" s="114">
        <f>SUM(Z3:Z6)</f>
        <v>0</v>
      </c>
      <c r="AA9" s="183">
        <f t="shared" ref="AA9:AG9" si="7">SUM(AA3:AA8)</f>
        <v>8</v>
      </c>
      <c r="AB9" s="183">
        <f t="shared" si="7"/>
        <v>0</v>
      </c>
      <c r="AC9" s="183">
        <f t="shared" si="7"/>
        <v>0</v>
      </c>
      <c r="AD9" s="183">
        <f t="shared" si="7"/>
        <v>21</v>
      </c>
      <c r="AE9" s="183">
        <f t="shared" si="7"/>
        <v>29</v>
      </c>
      <c r="AF9" s="183">
        <f t="shared" si="7"/>
        <v>0</v>
      </c>
      <c r="AG9" s="183">
        <f t="shared" si="7"/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CT39"/>
  <sheetViews>
    <sheetView workbookViewId="0">
      <pane xSplit="6" ySplit="6" topLeftCell="BR7" activePane="bottomRight" state="frozen"/>
      <selection pane="topRight" activeCell="G1" sqref="G1"/>
      <selection pane="bottomLeft" activeCell="A7" sqref="A7"/>
      <selection pane="bottomRight" activeCell="BU3" sqref="BU3"/>
    </sheetView>
  </sheetViews>
  <sheetFormatPr defaultColWidth="14.42578125" defaultRowHeight="15" customHeight="1"/>
  <cols>
    <col min="1" max="1" width="10.140625" customWidth="1"/>
    <col min="2" max="2" width="24" customWidth="1"/>
    <col min="3" max="3" width="10.28515625" customWidth="1"/>
    <col min="4" max="4" width="17.7109375" customWidth="1"/>
    <col min="5" max="5" width="20.5703125" customWidth="1"/>
    <col min="67" max="67" width="16.140625" customWidth="1"/>
  </cols>
  <sheetData>
    <row r="1" spans="1:98">
      <c r="A1" s="197" t="s">
        <v>7887</v>
      </c>
      <c r="B1" s="143"/>
      <c r="C1" s="231" t="s">
        <v>7888</v>
      </c>
      <c r="D1" s="143"/>
      <c r="E1" s="143"/>
      <c r="F1" s="143"/>
      <c r="G1" s="533" t="s">
        <v>2</v>
      </c>
      <c r="H1" s="481"/>
      <c r="I1" s="481"/>
      <c r="J1" s="481"/>
      <c r="K1" s="480"/>
      <c r="L1" s="510" t="s">
        <v>3</v>
      </c>
      <c r="M1" s="481"/>
      <c r="N1" s="481"/>
      <c r="O1" s="481"/>
      <c r="P1" s="480"/>
      <c r="Q1" s="532"/>
      <c r="R1" s="480"/>
      <c r="S1" s="505" t="s">
        <v>5</v>
      </c>
      <c r="T1" s="481"/>
      <c r="U1" s="481"/>
      <c r="V1" s="480"/>
      <c r="W1" s="532" t="s">
        <v>6</v>
      </c>
      <c r="X1" s="481"/>
      <c r="Y1" s="481"/>
      <c r="Z1" s="481"/>
      <c r="AA1" s="481"/>
      <c r="AB1" s="480"/>
      <c r="AC1" s="505" t="s">
        <v>7</v>
      </c>
      <c r="AD1" s="481"/>
      <c r="AE1" s="481"/>
      <c r="AF1" s="481"/>
      <c r="AG1" s="481"/>
      <c r="AH1" s="480"/>
      <c r="AI1" s="531" t="s">
        <v>8</v>
      </c>
      <c r="AJ1" s="480"/>
      <c r="AK1" s="505" t="s">
        <v>9</v>
      </c>
      <c r="AL1" s="481"/>
      <c r="AM1" s="480"/>
      <c r="AN1" s="505" t="s">
        <v>10</v>
      </c>
      <c r="AO1" s="481"/>
      <c r="AP1" s="480"/>
      <c r="AQ1" s="505" t="s">
        <v>11</v>
      </c>
      <c r="AR1" s="481"/>
      <c r="AS1" s="480"/>
      <c r="AT1" s="531" t="s">
        <v>12</v>
      </c>
      <c r="AU1" s="480"/>
      <c r="AV1" s="509" t="s">
        <v>13</v>
      </c>
      <c r="AW1" s="481"/>
      <c r="AX1" s="481"/>
      <c r="AY1" s="481"/>
      <c r="AZ1" s="480"/>
      <c r="BA1" s="532" t="s">
        <v>6658</v>
      </c>
      <c r="BB1" s="481"/>
      <c r="BC1" s="480"/>
      <c r="BD1" s="505" t="s">
        <v>3542</v>
      </c>
      <c r="BE1" s="481"/>
      <c r="BF1" s="480"/>
      <c r="BG1" s="143"/>
      <c r="BH1" s="143"/>
      <c r="BI1" s="531" t="s">
        <v>16</v>
      </c>
      <c r="BJ1" s="481"/>
      <c r="BK1" s="481"/>
      <c r="BL1" s="481"/>
      <c r="BM1" s="481"/>
      <c r="BN1" s="481"/>
      <c r="BO1" s="480"/>
      <c r="BP1" s="505" t="s">
        <v>17</v>
      </c>
      <c r="BQ1" s="481"/>
      <c r="BR1" s="480"/>
      <c r="BS1" s="510" t="s">
        <v>18</v>
      </c>
      <c r="BT1" s="480"/>
      <c r="BU1" s="143"/>
      <c r="BV1" s="143"/>
      <c r="BW1" s="531" t="s">
        <v>6659</v>
      </c>
      <c r="BX1" s="481"/>
      <c r="BY1" s="481"/>
      <c r="BZ1" s="481"/>
      <c r="CA1" s="480"/>
      <c r="CB1" s="240" t="s">
        <v>20</v>
      </c>
      <c r="CC1" s="143"/>
      <c r="CD1" s="143"/>
      <c r="CE1" s="532" t="s">
        <v>6831</v>
      </c>
      <c r="CF1" s="481"/>
      <c r="CG1" s="480"/>
      <c r="CH1" s="510" t="s">
        <v>6832</v>
      </c>
      <c r="CI1" s="480"/>
      <c r="CJ1" s="143"/>
      <c r="CK1" s="531" t="s">
        <v>16</v>
      </c>
      <c r="CL1" s="481"/>
      <c r="CM1" s="481"/>
      <c r="CN1" s="480"/>
      <c r="CO1" s="505" t="s">
        <v>24</v>
      </c>
      <c r="CP1" s="480"/>
      <c r="CQ1" s="240" t="s">
        <v>25</v>
      </c>
      <c r="CR1" s="143"/>
      <c r="CS1" s="143"/>
      <c r="CT1" s="143" t="s">
        <v>26</v>
      </c>
    </row>
    <row r="2" spans="1:98">
      <c r="A2" s="177"/>
      <c r="B2" s="147"/>
      <c r="C2" s="147"/>
      <c r="D2" s="147"/>
      <c r="E2" s="147"/>
      <c r="F2" s="147"/>
      <c r="G2" s="17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211" t="s">
        <v>15</v>
      </c>
      <c r="BH2" s="147"/>
      <c r="BI2" s="147" t="s">
        <v>5582</v>
      </c>
      <c r="BJ2" s="530" t="s">
        <v>78</v>
      </c>
      <c r="BK2" s="516"/>
      <c r="BL2" s="528" t="s">
        <v>354</v>
      </c>
      <c r="BM2" s="519"/>
      <c r="BN2" s="519"/>
      <c r="BO2" s="516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 t="s">
        <v>893</v>
      </c>
      <c r="CT2" s="147"/>
    </row>
    <row r="3" spans="1:98">
      <c r="A3" s="179" t="s">
        <v>28</v>
      </c>
      <c r="B3" s="180" t="s">
        <v>29</v>
      </c>
      <c r="C3" s="180" t="s">
        <v>30</v>
      </c>
      <c r="D3" s="180" t="s">
        <v>31</v>
      </c>
      <c r="E3" s="180" t="s">
        <v>32</v>
      </c>
      <c r="F3" s="180" t="s">
        <v>33</v>
      </c>
      <c r="G3" s="179" t="s">
        <v>34</v>
      </c>
      <c r="H3" s="180" t="s">
        <v>35</v>
      </c>
      <c r="I3" s="180" t="s">
        <v>36</v>
      </c>
      <c r="J3" s="180" t="s">
        <v>37</v>
      </c>
      <c r="K3" s="180" t="s">
        <v>38</v>
      </c>
      <c r="L3" s="180" t="s">
        <v>39</v>
      </c>
      <c r="M3" s="180" t="s">
        <v>40</v>
      </c>
      <c r="N3" s="180" t="s">
        <v>41</v>
      </c>
      <c r="O3" s="180" t="s">
        <v>42</v>
      </c>
      <c r="P3" s="180" t="s">
        <v>43</v>
      </c>
      <c r="Q3" s="180" t="s">
        <v>44</v>
      </c>
      <c r="R3" s="180" t="s">
        <v>45</v>
      </c>
      <c r="S3" s="180" t="s">
        <v>46</v>
      </c>
      <c r="T3" s="180" t="s">
        <v>47</v>
      </c>
      <c r="U3" s="180" t="s">
        <v>48</v>
      </c>
      <c r="V3" s="180" t="s">
        <v>49</v>
      </c>
      <c r="W3" s="180" t="s">
        <v>50</v>
      </c>
      <c r="X3" s="180" t="s">
        <v>51</v>
      </c>
      <c r="Y3" s="180" t="s">
        <v>52</v>
      </c>
      <c r="Z3" s="180" t="s">
        <v>53</v>
      </c>
      <c r="AA3" s="180" t="s">
        <v>54</v>
      </c>
      <c r="AB3" s="180" t="s">
        <v>55</v>
      </c>
      <c r="AC3" s="180" t="s">
        <v>56</v>
      </c>
      <c r="AD3" s="180" t="s">
        <v>57</v>
      </c>
      <c r="AE3" s="180" t="s">
        <v>58</v>
      </c>
      <c r="AF3" s="180" t="s">
        <v>59</v>
      </c>
      <c r="AG3" s="180" t="s">
        <v>60</v>
      </c>
      <c r="AH3" s="180" t="s">
        <v>61</v>
      </c>
      <c r="AI3" s="180" t="s">
        <v>62</v>
      </c>
      <c r="AJ3" s="180" t="s">
        <v>63</v>
      </c>
      <c r="AK3" s="180" t="s">
        <v>64</v>
      </c>
      <c r="AL3" s="180" t="s">
        <v>65</v>
      </c>
      <c r="AM3" s="180" t="s">
        <v>66</v>
      </c>
      <c r="AN3" s="180" t="s">
        <v>67</v>
      </c>
      <c r="AO3" s="180" t="s">
        <v>68</v>
      </c>
      <c r="AP3" s="180" t="s">
        <v>69</v>
      </c>
      <c r="AQ3" s="180" t="s">
        <v>70</v>
      </c>
      <c r="AR3" s="180" t="s">
        <v>71</v>
      </c>
      <c r="AS3" s="180" t="s">
        <v>72</v>
      </c>
      <c r="AT3" s="180" t="s">
        <v>56</v>
      </c>
      <c r="AU3" s="180" t="s">
        <v>73</v>
      </c>
      <c r="AV3" s="180" t="s">
        <v>46</v>
      </c>
      <c r="AW3" s="180" t="s">
        <v>895</v>
      </c>
      <c r="AX3" s="181" t="s">
        <v>75</v>
      </c>
      <c r="AY3" s="181" t="s">
        <v>76</v>
      </c>
      <c r="AZ3" s="180" t="s">
        <v>77</v>
      </c>
      <c r="BA3" s="180" t="s">
        <v>56</v>
      </c>
      <c r="BB3" s="180" t="s">
        <v>78</v>
      </c>
      <c r="BC3" s="180" t="s">
        <v>5582</v>
      </c>
      <c r="BD3" s="180" t="s">
        <v>79</v>
      </c>
      <c r="BE3" s="180" t="s">
        <v>80</v>
      </c>
      <c r="BF3" s="180" t="s">
        <v>38</v>
      </c>
      <c r="BG3" s="180" t="s">
        <v>81</v>
      </c>
      <c r="BH3" s="180" t="s">
        <v>82</v>
      </c>
      <c r="BI3" s="180" t="s">
        <v>83</v>
      </c>
      <c r="BJ3" s="180" t="s">
        <v>83</v>
      </c>
      <c r="BK3" s="180" t="s">
        <v>81</v>
      </c>
      <c r="BL3" s="180" t="s">
        <v>96</v>
      </c>
      <c r="BM3" s="180" t="s">
        <v>84</v>
      </c>
      <c r="BN3" s="180" t="s">
        <v>85</v>
      </c>
      <c r="BO3" s="180" t="s">
        <v>86</v>
      </c>
      <c r="BP3" s="180" t="s">
        <v>73</v>
      </c>
      <c r="BQ3" s="180" t="s">
        <v>87</v>
      </c>
      <c r="BR3" s="180" t="s">
        <v>56</v>
      </c>
      <c r="BS3" s="180" t="s">
        <v>83</v>
      </c>
      <c r="BT3" s="180" t="s">
        <v>88</v>
      </c>
      <c r="BU3" s="180" t="s">
        <v>89</v>
      </c>
      <c r="BV3" s="147"/>
      <c r="BW3" s="180" t="s">
        <v>90</v>
      </c>
      <c r="BX3" s="180" t="s">
        <v>91</v>
      </c>
      <c r="BY3" s="180" t="s">
        <v>92</v>
      </c>
      <c r="BZ3" s="180" t="s">
        <v>93</v>
      </c>
      <c r="CA3" s="180" t="s">
        <v>94</v>
      </c>
      <c r="CB3" s="180" t="s">
        <v>56</v>
      </c>
      <c r="CC3" s="180" t="s">
        <v>73</v>
      </c>
      <c r="CD3" s="180" t="s">
        <v>22</v>
      </c>
      <c r="CE3" s="180" t="s">
        <v>56</v>
      </c>
      <c r="CF3" s="180" t="s">
        <v>73</v>
      </c>
      <c r="CG3" s="180" t="s">
        <v>1275</v>
      </c>
      <c r="CH3" s="180" t="s">
        <v>83</v>
      </c>
      <c r="CI3" s="180" t="s">
        <v>88</v>
      </c>
      <c r="CJ3" s="180" t="s">
        <v>896</v>
      </c>
      <c r="CK3" s="180" t="s">
        <v>96</v>
      </c>
      <c r="CL3" s="180" t="s">
        <v>97</v>
      </c>
      <c r="CM3" s="180" t="s">
        <v>98</v>
      </c>
      <c r="CN3" s="180" t="s">
        <v>1276</v>
      </c>
      <c r="CO3" s="180" t="s">
        <v>73</v>
      </c>
      <c r="CP3" s="180" t="s">
        <v>56</v>
      </c>
      <c r="CQ3" s="180" t="s">
        <v>99</v>
      </c>
      <c r="CR3" s="180" t="s">
        <v>56</v>
      </c>
      <c r="CS3" s="147"/>
      <c r="CT3" s="180" t="s">
        <v>100</v>
      </c>
    </row>
    <row r="4" spans="1:98" hidden="1">
      <c r="A4" s="46" t="s">
        <v>7889</v>
      </c>
      <c r="B4" s="46" t="s">
        <v>7890</v>
      </c>
      <c r="C4" s="46">
        <v>27</v>
      </c>
      <c r="D4" s="46" t="s">
        <v>1248</v>
      </c>
      <c r="E4" s="46" t="s">
        <v>7891</v>
      </c>
      <c r="F4" s="46" t="s">
        <v>2574</v>
      </c>
      <c r="H4" s="46">
        <v>1</v>
      </c>
      <c r="M4" s="46">
        <v>1</v>
      </c>
      <c r="R4" s="46">
        <v>1</v>
      </c>
      <c r="U4" s="46">
        <v>1</v>
      </c>
      <c r="W4" s="46">
        <v>16</v>
      </c>
      <c r="X4" s="46">
        <v>16</v>
      </c>
      <c r="Y4" s="46">
        <v>17</v>
      </c>
      <c r="Z4" s="46">
        <v>3</v>
      </c>
      <c r="AA4" s="46">
        <v>3</v>
      </c>
      <c r="AB4" s="46">
        <v>3</v>
      </c>
      <c r="AD4" s="46">
        <v>1</v>
      </c>
      <c r="AE4" s="46">
        <v>1</v>
      </c>
      <c r="AG4" s="46">
        <v>1</v>
      </c>
      <c r="AH4" s="46">
        <v>1</v>
      </c>
      <c r="AJ4" s="46">
        <v>1</v>
      </c>
      <c r="AK4" s="46">
        <v>1</v>
      </c>
      <c r="AT4" s="46">
        <v>1</v>
      </c>
      <c r="AW4" s="46">
        <v>1</v>
      </c>
      <c r="BA4" s="46">
        <v>1</v>
      </c>
      <c r="BO4" s="46" t="s">
        <v>5277</v>
      </c>
      <c r="BY4" s="46">
        <v>1</v>
      </c>
      <c r="CB4" s="46">
        <v>1</v>
      </c>
      <c r="CE4" s="46">
        <v>1</v>
      </c>
      <c r="CR4" s="46">
        <v>1</v>
      </c>
      <c r="CT4" s="134">
        <v>46661</v>
      </c>
    </row>
    <row r="5" spans="1:98" hidden="1">
      <c r="A5" s="46" t="s">
        <v>7892</v>
      </c>
      <c r="B5" s="46" t="s">
        <v>7893</v>
      </c>
      <c r="C5" s="46">
        <v>26</v>
      </c>
      <c r="D5" s="46" t="s">
        <v>7894</v>
      </c>
      <c r="E5" s="46" t="s">
        <v>7895</v>
      </c>
      <c r="F5" s="46" t="s">
        <v>514</v>
      </c>
      <c r="I5" s="46">
        <v>1</v>
      </c>
      <c r="M5" s="46">
        <v>1</v>
      </c>
      <c r="R5" s="46">
        <v>1</v>
      </c>
      <c r="T5" s="46">
        <v>1</v>
      </c>
      <c r="W5" s="46">
        <v>15</v>
      </c>
      <c r="X5" s="46">
        <v>18</v>
      </c>
      <c r="Y5" s="46">
        <v>19</v>
      </c>
      <c r="Z5" s="46">
        <v>4</v>
      </c>
      <c r="AA5" s="46">
        <v>4</v>
      </c>
      <c r="AB5" s="46">
        <v>2</v>
      </c>
      <c r="AG5" s="46">
        <v>1</v>
      </c>
      <c r="AH5" s="46">
        <v>1</v>
      </c>
      <c r="AJ5" s="46">
        <v>1</v>
      </c>
      <c r="AK5" s="46">
        <v>1</v>
      </c>
      <c r="AT5" s="46">
        <v>1</v>
      </c>
      <c r="AW5" s="46">
        <v>1</v>
      </c>
      <c r="BA5" s="46">
        <v>1</v>
      </c>
      <c r="BK5" s="46">
        <v>1</v>
      </c>
      <c r="BY5" s="46">
        <v>1</v>
      </c>
      <c r="CB5" s="46">
        <v>1</v>
      </c>
      <c r="CE5" s="46">
        <v>1</v>
      </c>
      <c r="CR5" s="46">
        <v>1</v>
      </c>
      <c r="CT5" s="134">
        <v>46661</v>
      </c>
    </row>
    <row r="6" spans="1:98" hidden="1">
      <c r="A6" s="46" t="s">
        <v>7896</v>
      </c>
      <c r="B6" s="46" t="s">
        <v>7897</v>
      </c>
      <c r="C6" s="46">
        <v>40</v>
      </c>
      <c r="D6" s="46" t="s">
        <v>7898</v>
      </c>
      <c r="E6" s="46" t="s">
        <v>7899</v>
      </c>
      <c r="F6" s="46" t="s">
        <v>2574</v>
      </c>
      <c r="J6" s="46">
        <v>1</v>
      </c>
      <c r="M6" s="46">
        <v>1</v>
      </c>
      <c r="Q6" s="46">
        <v>1</v>
      </c>
      <c r="U6" s="46">
        <v>1</v>
      </c>
      <c r="W6" s="46">
        <v>19</v>
      </c>
      <c r="X6" s="46">
        <v>20</v>
      </c>
      <c r="Y6" s="46">
        <v>22</v>
      </c>
      <c r="Z6" s="46">
        <v>4</v>
      </c>
      <c r="AA6" s="46">
        <v>4</v>
      </c>
      <c r="AB6" s="46">
        <v>4</v>
      </c>
      <c r="AH6" s="46">
        <v>1</v>
      </c>
      <c r="AI6" s="46">
        <v>1</v>
      </c>
      <c r="AM6" s="46">
        <v>1</v>
      </c>
      <c r="AT6" s="46">
        <v>1</v>
      </c>
      <c r="AW6" s="46">
        <v>1</v>
      </c>
      <c r="BB6" s="46">
        <v>1</v>
      </c>
      <c r="BG6" s="46">
        <v>1</v>
      </c>
      <c r="BK6" s="46">
        <v>1</v>
      </c>
      <c r="BY6" s="46">
        <v>1</v>
      </c>
      <c r="CB6" s="46">
        <v>1</v>
      </c>
      <c r="CE6" s="46">
        <v>1</v>
      </c>
      <c r="CR6" s="46">
        <v>1</v>
      </c>
      <c r="CT6" s="134">
        <v>46661</v>
      </c>
    </row>
    <row r="7" spans="1:98" hidden="1">
      <c r="A7" s="46" t="s">
        <v>7900</v>
      </c>
      <c r="B7" s="46" t="s">
        <v>7901</v>
      </c>
      <c r="C7" s="46">
        <v>39</v>
      </c>
      <c r="D7" s="46" t="s">
        <v>7902</v>
      </c>
      <c r="E7" s="46" t="s">
        <v>7903</v>
      </c>
      <c r="F7" s="46" t="s">
        <v>2574</v>
      </c>
      <c r="H7" s="46">
        <v>1</v>
      </c>
      <c r="M7" s="46">
        <v>1</v>
      </c>
      <c r="U7" s="46">
        <v>1</v>
      </c>
      <c r="W7" s="46">
        <v>17</v>
      </c>
      <c r="X7" s="46">
        <v>20</v>
      </c>
      <c r="Y7" s="46">
        <v>21</v>
      </c>
      <c r="Z7" s="46">
        <v>5</v>
      </c>
      <c r="AA7" s="46">
        <v>5</v>
      </c>
      <c r="AB7" s="46">
        <v>5</v>
      </c>
      <c r="AE7" s="46">
        <v>1</v>
      </c>
      <c r="AG7" s="46">
        <v>1</v>
      </c>
      <c r="AH7" s="46">
        <v>1</v>
      </c>
      <c r="AJ7" s="46">
        <v>1</v>
      </c>
      <c r="AK7" s="46">
        <v>1</v>
      </c>
      <c r="AT7" s="46">
        <v>1</v>
      </c>
      <c r="AW7" s="46">
        <v>1</v>
      </c>
      <c r="BB7" s="46">
        <v>1</v>
      </c>
      <c r="BG7" s="46">
        <v>1</v>
      </c>
      <c r="BK7" s="46">
        <v>1</v>
      </c>
      <c r="BY7" s="46">
        <v>1</v>
      </c>
      <c r="CB7" s="46">
        <v>1</v>
      </c>
      <c r="CE7" s="46">
        <v>1</v>
      </c>
      <c r="CR7" s="46">
        <v>1</v>
      </c>
      <c r="CT7" s="134">
        <v>46661</v>
      </c>
    </row>
    <row r="8" spans="1:98" hidden="1">
      <c r="A8" s="46" t="s">
        <v>7904</v>
      </c>
      <c r="B8" s="46" t="s">
        <v>7905</v>
      </c>
      <c r="C8" s="46">
        <v>32</v>
      </c>
      <c r="D8" s="46" t="s">
        <v>7894</v>
      </c>
      <c r="E8" s="46" t="s">
        <v>7906</v>
      </c>
      <c r="F8" s="46" t="s">
        <v>2472</v>
      </c>
      <c r="I8" s="46">
        <v>1</v>
      </c>
      <c r="M8" s="46">
        <v>1</v>
      </c>
      <c r="R8" s="46">
        <v>1</v>
      </c>
      <c r="V8" s="46">
        <v>1</v>
      </c>
      <c r="W8" s="46">
        <v>16</v>
      </c>
      <c r="X8" s="46">
        <v>20</v>
      </c>
      <c r="Y8" s="46">
        <v>22</v>
      </c>
      <c r="Z8" s="46">
        <v>2</v>
      </c>
      <c r="AA8" s="46">
        <v>2</v>
      </c>
      <c r="AB8" s="46">
        <v>2</v>
      </c>
      <c r="AH8" s="46">
        <v>1</v>
      </c>
      <c r="AJ8" s="46">
        <v>1</v>
      </c>
      <c r="AK8" s="46">
        <v>1</v>
      </c>
      <c r="AT8" s="46">
        <v>1</v>
      </c>
      <c r="AW8" s="46">
        <v>1</v>
      </c>
      <c r="BA8" s="46">
        <v>1</v>
      </c>
      <c r="BK8" s="46">
        <v>1</v>
      </c>
      <c r="BY8" s="46">
        <v>1</v>
      </c>
      <c r="CB8" s="46">
        <v>1</v>
      </c>
      <c r="CE8" s="46">
        <v>1</v>
      </c>
      <c r="CR8" s="46">
        <v>1</v>
      </c>
      <c r="CT8" s="134">
        <v>46661</v>
      </c>
    </row>
    <row r="9" spans="1:98" hidden="1">
      <c r="A9" s="46" t="s">
        <v>7907</v>
      </c>
      <c r="B9" s="46" t="s">
        <v>7908</v>
      </c>
      <c r="C9" s="46">
        <v>26</v>
      </c>
      <c r="D9" s="46" t="s">
        <v>7909</v>
      </c>
      <c r="E9" s="46" t="s">
        <v>7910</v>
      </c>
      <c r="F9" s="46" t="s">
        <v>145</v>
      </c>
      <c r="J9" s="46">
        <v>1</v>
      </c>
      <c r="M9" s="46">
        <v>1</v>
      </c>
      <c r="Q9" s="46">
        <v>1</v>
      </c>
      <c r="T9" s="46">
        <v>1</v>
      </c>
      <c r="W9" s="46">
        <v>15</v>
      </c>
      <c r="X9" s="46">
        <v>20</v>
      </c>
      <c r="Y9" s="46">
        <v>20</v>
      </c>
      <c r="Z9" s="46">
        <v>3</v>
      </c>
      <c r="AA9" s="46">
        <v>3</v>
      </c>
      <c r="AB9" s="46">
        <v>3</v>
      </c>
      <c r="AE9" s="46">
        <v>1</v>
      </c>
      <c r="AH9" s="46">
        <v>1</v>
      </c>
      <c r="AI9" s="46">
        <v>1</v>
      </c>
      <c r="AK9" s="46">
        <v>1</v>
      </c>
      <c r="AT9" s="46">
        <v>1</v>
      </c>
      <c r="AW9" s="46">
        <v>1</v>
      </c>
      <c r="BA9" s="46">
        <v>1</v>
      </c>
      <c r="BK9" s="46">
        <v>1</v>
      </c>
      <c r="BY9" s="46">
        <v>1</v>
      </c>
      <c r="CB9" s="46">
        <v>1</v>
      </c>
      <c r="CE9" s="46">
        <v>1</v>
      </c>
      <c r="CR9" s="46">
        <v>1</v>
      </c>
      <c r="CT9" s="134">
        <v>46661</v>
      </c>
    </row>
    <row r="10" spans="1:98" hidden="1">
      <c r="A10" s="46" t="s">
        <v>7911</v>
      </c>
      <c r="B10" s="46" t="s">
        <v>7912</v>
      </c>
      <c r="C10" s="46">
        <v>38</v>
      </c>
      <c r="D10" s="46" t="s">
        <v>7913</v>
      </c>
      <c r="E10" s="46" t="s">
        <v>7914</v>
      </c>
      <c r="F10" s="46" t="s">
        <v>2574</v>
      </c>
      <c r="J10" s="46">
        <v>1</v>
      </c>
      <c r="M10" s="46">
        <v>1</v>
      </c>
      <c r="R10" s="46">
        <v>1</v>
      </c>
      <c r="U10" s="46">
        <v>1</v>
      </c>
      <c r="W10" s="46">
        <v>14</v>
      </c>
      <c r="X10" s="46">
        <v>18</v>
      </c>
      <c r="Y10" s="46">
        <v>19</v>
      </c>
      <c r="Z10" s="46">
        <v>4</v>
      </c>
      <c r="AA10" s="46">
        <v>4</v>
      </c>
      <c r="AB10" s="46">
        <v>4</v>
      </c>
      <c r="AH10" s="46">
        <v>1</v>
      </c>
      <c r="AJ10" s="46">
        <v>1</v>
      </c>
      <c r="AK10" s="46">
        <v>1</v>
      </c>
      <c r="AT10" s="46">
        <v>1</v>
      </c>
      <c r="AW10" s="46">
        <v>1</v>
      </c>
      <c r="BB10" s="46">
        <v>1</v>
      </c>
      <c r="BG10" s="46">
        <v>1</v>
      </c>
      <c r="BK10" s="46">
        <v>1</v>
      </c>
      <c r="BY10" s="46">
        <v>1</v>
      </c>
      <c r="CB10" s="46">
        <v>1</v>
      </c>
      <c r="CE10" s="46">
        <v>1</v>
      </c>
      <c r="CR10" s="46">
        <v>1</v>
      </c>
      <c r="CT10" s="134">
        <v>46661</v>
      </c>
    </row>
    <row r="11" spans="1:98" hidden="1">
      <c r="A11" s="46" t="s">
        <v>7915</v>
      </c>
      <c r="B11" s="46" t="s">
        <v>7916</v>
      </c>
      <c r="C11" s="46">
        <v>35</v>
      </c>
      <c r="D11" s="46" t="s">
        <v>7917</v>
      </c>
      <c r="E11" s="46" t="s">
        <v>7918</v>
      </c>
      <c r="F11" s="46" t="s">
        <v>2675</v>
      </c>
      <c r="I11" s="46">
        <v>1</v>
      </c>
      <c r="M11" s="46">
        <v>1</v>
      </c>
      <c r="Q11" s="46">
        <v>1</v>
      </c>
      <c r="U11" s="46">
        <v>1</v>
      </c>
      <c r="W11" s="46">
        <v>15</v>
      </c>
      <c r="X11" s="46">
        <v>17</v>
      </c>
      <c r="Y11" s="46">
        <v>21</v>
      </c>
      <c r="Z11" s="46">
        <v>6</v>
      </c>
      <c r="AA11" s="46">
        <v>5</v>
      </c>
      <c r="AB11" s="46">
        <v>5</v>
      </c>
      <c r="AE11" s="46">
        <v>1</v>
      </c>
      <c r="AG11" s="46">
        <v>1</v>
      </c>
      <c r="AH11" s="46">
        <v>1</v>
      </c>
      <c r="AJ11" s="46">
        <v>1</v>
      </c>
      <c r="AK11" s="46">
        <v>1</v>
      </c>
      <c r="AT11" s="46">
        <v>1</v>
      </c>
      <c r="AX11" s="46">
        <v>1</v>
      </c>
      <c r="BA11" s="46">
        <v>1</v>
      </c>
      <c r="BK11" s="46">
        <v>1</v>
      </c>
      <c r="CB11" s="46">
        <v>1</v>
      </c>
      <c r="CE11" s="46">
        <v>1</v>
      </c>
      <c r="CR11" s="46">
        <v>1</v>
      </c>
      <c r="CT11" s="134">
        <v>46661</v>
      </c>
    </row>
    <row r="12" spans="1:98" hidden="1">
      <c r="A12" s="46" t="s">
        <v>7919</v>
      </c>
      <c r="B12" s="46" t="s">
        <v>7920</v>
      </c>
      <c r="C12" s="46">
        <v>23</v>
      </c>
      <c r="D12" s="46" t="s">
        <v>7921</v>
      </c>
      <c r="E12" s="46" t="s">
        <v>7922</v>
      </c>
      <c r="F12" s="46" t="s">
        <v>2574</v>
      </c>
      <c r="H12" s="46">
        <v>1</v>
      </c>
      <c r="O12" s="46">
        <v>1</v>
      </c>
      <c r="R12" s="46">
        <v>1</v>
      </c>
      <c r="T12" s="46">
        <v>1</v>
      </c>
      <c r="W12" s="46">
        <v>14</v>
      </c>
      <c r="X12" s="46">
        <v>16</v>
      </c>
      <c r="Y12" s="46">
        <v>17</v>
      </c>
      <c r="Z12" s="46">
        <v>2</v>
      </c>
      <c r="AA12" s="46">
        <v>2</v>
      </c>
      <c r="AB12" s="46">
        <v>2</v>
      </c>
      <c r="AD12" s="46">
        <v>1</v>
      </c>
      <c r="AE12" s="46">
        <v>1</v>
      </c>
      <c r="AG12" s="46">
        <v>1</v>
      </c>
      <c r="AH12" s="46">
        <v>1</v>
      </c>
      <c r="AJ12" s="46">
        <v>1</v>
      </c>
      <c r="AK12" s="46">
        <v>1</v>
      </c>
      <c r="AT12" s="46">
        <v>1</v>
      </c>
      <c r="AX12" s="46">
        <v>1</v>
      </c>
      <c r="BA12" s="46">
        <v>1</v>
      </c>
      <c r="BK12" s="46">
        <v>1</v>
      </c>
      <c r="BY12" s="46">
        <v>1</v>
      </c>
      <c r="CB12" s="46">
        <v>1</v>
      </c>
      <c r="CE12" s="46">
        <v>1</v>
      </c>
      <c r="CR12" s="46">
        <v>1</v>
      </c>
      <c r="CT12" s="134">
        <v>46661</v>
      </c>
    </row>
    <row r="13" spans="1:98" hidden="1">
      <c r="A13" s="46" t="s">
        <v>7923</v>
      </c>
      <c r="B13" s="46" t="s">
        <v>7924</v>
      </c>
      <c r="C13" s="46">
        <v>39</v>
      </c>
      <c r="D13" s="46" t="s">
        <v>7925</v>
      </c>
      <c r="E13" s="46" t="s">
        <v>7926</v>
      </c>
      <c r="F13" s="46" t="s">
        <v>2574</v>
      </c>
      <c r="J13" s="46">
        <v>1</v>
      </c>
      <c r="P13" s="46">
        <v>1</v>
      </c>
      <c r="R13" s="46">
        <v>1</v>
      </c>
      <c r="V13" s="46">
        <v>1</v>
      </c>
      <c r="W13" s="46">
        <v>14</v>
      </c>
      <c r="X13" s="46">
        <v>25</v>
      </c>
      <c r="Y13" s="46">
        <v>28</v>
      </c>
      <c r="Z13" s="46">
        <v>4</v>
      </c>
      <c r="AA13" s="46">
        <v>4</v>
      </c>
      <c r="AB13" s="46">
        <v>4</v>
      </c>
      <c r="AE13" s="46">
        <v>1</v>
      </c>
      <c r="AJ13" s="46">
        <v>1</v>
      </c>
      <c r="AK13" s="46">
        <v>1</v>
      </c>
      <c r="AT13" s="46">
        <v>1</v>
      </c>
      <c r="AW13" s="46">
        <v>1</v>
      </c>
      <c r="BA13" s="46">
        <v>1</v>
      </c>
      <c r="BK13" s="46">
        <v>1</v>
      </c>
      <c r="CB13" s="46">
        <v>1</v>
      </c>
      <c r="CE13" s="46">
        <v>1</v>
      </c>
      <c r="CR13" s="46">
        <v>1</v>
      </c>
      <c r="CT13" s="134">
        <v>46661</v>
      </c>
    </row>
    <row r="14" spans="1:98" hidden="1">
      <c r="A14" s="46" t="s">
        <v>7927</v>
      </c>
      <c r="B14" s="46" t="s">
        <v>7928</v>
      </c>
      <c r="C14" s="46">
        <v>23</v>
      </c>
      <c r="D14" s="46" t="s">
        <v>7929</v>
      </c>
      <c r="E14" s="46" t="s">
        <v>7930</v>
      </c>
      <c r="F14" s="46" t="s">
        <v>2574</v>
      </c>
      <c r="H14" s="46">
        <v>1</v>
      </c>
      <c r="M14" s="46">
        <v>1</v>
      </c>
      <c r="Q14" s="46">
        <v>1</v>
      </c>
      <c r="T14" s="46">
        <v>1</v>
      </c>
      <c r="W14" s="46">
        <v>14</v>
      </c>
      <c r="X14" s="46">
        <v>17</v>
      </c>
      <c r="Y14" s="46">
        <v>17</v>
      </c>
      <c r="Z14" s="46">
        <v>3</v>
      </c>
      <c r="AA14" s="46">
        <v>3</v>
      </c>
      <c r="AB14" s="46">
        <v>3</v>
      </c>
      <c r="AG14" s="46">
        <v>1</v>
      </c>
      <c r="AH14" s="46">
        <v>1</v>
      </c>
      <c r="AJ14" s="46">
        <v>1</v>
      </c>
      <c r="AK14" s="46">
        <v>1</v>
      </c>
      <c r="AT14" s="46">
        <v>1</v>
      </c>
      <c r="AW14" s="46">
        <v>1</v>
      </c>
      <c r="BA14" s="46">
        <v>1</v>
      </c>
      <c r="BK14" s="46">
        <v>1</v>
      </c>
      <c r="BY14" s="46">
        <v>1</v>
      </c>
      <c r="CB14" s="46">
        <v>1</v>
      </c>
      <c r="CE14" s="46">
        <v>1</v>
      </c>
      <c r="CR14" s="46">
        <v>1</v>
      </c>
      <c r="CT14" s="134">
        <v>46661</v>
      </c>
    </row>
    <row r="15" spans="1:98" hidden="1">
      <c r="A15" s="46" t="s">
        <v>7931</v>
      </c>
      <c r="B15" s="46" t="s">
        <v>7932</v>
      </c>
      <c r="C15" s="46">
        <v>65</v>
      </c>
      <c r="D15" s="46" t="s">
        <v>7933</v>
      </c>
      <c r="E15" s="46" t="s">
        <v>7934</v>
      </c>
      <c r="F15" s="46" t="s">
        <v>2675</v>
      </c>
      <c r="I15" s="46">
        <v>1</v>
      </c>
      <c r="P15" s="46">
        <v>1</v>
      </c>
      <c r="R15" s="46">
        <v>1</v>
      </c>
      <c r="U15" s="46">
        <v>1</v>
      </c>
      <c r="W15" s="46">
        <v>15</v>
      </c>
      <c r="X15" s="46">
        <v>17</v>
      </c>
      <c r="Y15" s="46">
        <v>20</v>
      </c>
      <c r="Z15" s="46">
        <v>4</v>
      </c>
      <c r="AA15" s="46">
        <v>4</v>
      </c>
      <c r="AB15" s="46">
        <v>3</v>
      </c>
      <c r="AD15" s="46">
        <v>1</v>
      </c>
      <c r="AG15" s="46">
        <v>1</v>
      </c>
      <c r="AH15" s="46">
        <v>1</v>
      </c>
      <c r="AI15" s="46">
        <v>1</v>
      </c>
      <c r="AK15" s="46">
        <v>1</v>
      </c>
      <c r="AT15" s="46">
        <v>1</v>
      </c>
      <c r="AW15" s="46">
        <v>1</v>
      </c>
      <c r="BA15" s="46">
        <v>1</v>
      </c>
      <c r="BL15" s="46">
        <v>1</v>
      </c>
      <c r="BY15" s="46">
        <v>1</v>
      </c>
      <c r="CB15" s="46">
        <v>1</v>
      </c>
      <c r="CE15" s="46">
        <v>1</v>
      </c>
      <c r="CR15" s="46">
        <v>1</v>
      </c>
      <c r="CT15" s="134">
        <v>46661</v>
      </c>
    </row>
    <row r="16" spans="1:98">
      <c r="A16" s="46" t="s">
        <v>7935</v>
      </c>
      <c r="B16" s="46" t="s">
        <v>7936</v>
      </c>
      <c r="C16" s="46">
        <v>46</v>
      </c>
      <c r="D16" s="46" t="s">
        <v>1248</v>
      </c>
      <c r="E16" s="46" t="s">
        <v>7937</v>
      </c>
      <c r="F16" s="46" t="s">
        <v>2574</v>
      </c>
      <c r="H16" s="46">
        <v>1</v>
      </c>
      <c r="P16" s="46">
        <v>1</v>
      </c>
      <c r="Q16" s="46">
        <v>1</v>
      </c>
      <c r="T16" s="46">
        <v>1</v>
      </c>
      <c r="W16" s="46">
        <v>16</v>
      </c>
      <c r="X16" s="46">
        <v>16</v>
      </c>
      <c r="Y16" s="46">
        <v>19</v>
      </c>
      <c r="Z16" s="46">
        <v>5</v>
      </c>
      <c r="AA16" s="46">
        <v>5</v>
      </c>
      <c r="AB16" s="46">
        <v>3</v>
      </c>
      <c r="AE16" s="46">
        <v>1</v>
      </c>
      <c r="AJ16" s="46">
        <v>1</v>
      </c>
      <c r="AL16" s="46">
        <v>1</v>
      </c>
      <c r="AP16" s="46">
        <v>1</v>
      </c>
      <c r="AQ16" s="46" t="s">
        <v>251</v>
      </c>
      <c r="AR16" s="46" t="s">
        <v>6263</v>
      </c>
      <c r="AT16" s="46">
        <v>1</v>
      </c>
      <c r="AZ16" s="46">
        <v>1</v>
      </c>
      <c r="BA16" s="46">
        <v>1</v>
      </c>
      <c r="BL16" s="46">
        <v>1</v>
      </c>
      <c r="BY16" s="46">
        <v>1</v>
      </c>
      <c r="CB16" s="46">
        <v>1</v>
      </c>
      <c r="CE16" s="46">
        <v>1</v>
      </c>
      <c r="CN16">
        <v>1</v>
      </c>
      <c r="CR16" s="46">
        <v>1</v>
      </c>
      <c r="CT16" s="134">
        <v>46661</v>
      </c>
    </row>
    <row r="17" spans="1:98">
      <c r="A17" s="46" t="s">
        <v>7938</v>
      </c>
      <c r="B17" s="46" t="s">
        <v>7939</v>
      </c>
      <c r="C17" s="46">
        <v>47</v>
      </c>
      <c r="D17" s="46" t="s">
        <v>7940</v>
      </c>
      <c r="E17" s="46" t="s">
        <v>7941</v>
      </c>
      <c r="F17" s="46" t="s">
        <v>145</v>
      </c>
      <c r="G17" s="46">
        <v>1</v>
      </c>
      <c r="M17" s="46">
        <v>1</v>
      </c>
      <c r="R17" s="46">
        <v>1</v>
      </c>
      <c r="T17" s="46">
        <v>1</v>
      </c>
      <c r="W17" s="46">
        <v>14</v>
      </c>
      <c r="X17" s="46">
        <v>15</v>
      </c>
      <c r="Y17" s="46">
        <v>16</v>
      </c>
      <c r="Z17" s="46">
        <v>7</v>
      </c>
      <c r="AA17" s="46">
        <v>7</v>
      </c>
      <c r="AB17" s="46">
        <v>7</v>
      </c>
      <c r="AE17" s="46">
        <v>1</v>
      </c>
      <c r="AG17" s="46">
        <v>1</v>
      </c>
      <c r="AH17" s="46">
        <v>1</v>
      </c>
      <c r="AJ17" s="46">
        <v>1</v>
      </c>
      <c r="AM17" s="46">
        <v>1</v>
      </c>
      <c r="AT17" s="46">
        <v>1</v>
      </c>
      <c r="AW17" s="46">
        <v>1</v>
      </c>
      <c r="BA17" s="46">
        <v>1</v>
      </c>
      <c r="BK17" s="46">
        <v>1</v>
      </c>
      <c r="BY17" s="46">
        <v>1</v>
      </c>
      <c r="CB17" s="46">
        <v>1</v>
      </c>
      <c r="CE17" s="46">
        <v>1</v>
      </c>
      <c r="CK17" s="46">
        <v>1</v>
      </c>
      <c r="CR17" s="46">
        <v>1</v>
      </c>
      <c r="CT17" s="134">
        <v>46661</v>
      </c>
    </row>
    <row r="18" spans="1:98" hidden="1">
      <c r="A18" s="46" t="s">
        <v>7942</v>
      </c>
      <c r="B18" s="46" t="s">
        <v>7943</v>
      </c>
      <c r="C18" s="46">
        <v>40</v>
      </c>
      <c r="D18" s="46" t="s">
        <v>7944</v>
      </c>
      <c r="E18" s="46" t="s">
        <v>191</v>
      </c>
      <c r="F18" s="46" t="s">
        <v>2574</v>
      </c>
      <c r="J18" s="46">
        <v>1</v>
      </c>
      <c r="M18" s="46">
        <v>1</v>
      </c>
      <c r="Q18" s="46">
        <v>1</v>
      </c>
      <c r="T18" s="46">
        <v>1</v>
      </c>
      <c r="W18" s="46">
        <v>13</v>
      </c>
      <c r="X18" s="46">
        <v>15</v>
      </c>
      <c r="Y18" s="46">
        <v>16</v>
      </c>
      <c r="Z18" s="46">
        <v>8</v>
      </c>
      <c r="AA18" s="46">
        <v>8</v>
      </c>
      <c r="AB18" s="46">
        <v>5</v>
      </c>
      <c r="AE18" s="46">
        <v>1</v>
      </c>
      <c r="AH18" s="46">
        <v>1</v>
      </c>
      <c r="AJ18" s="46">
        <v>1</v>
      </c>
      <c r="AK18" s="46">
        <v>1</v>
      </c>
      <c r="AT18" s="46">
        <v>1</v>
      </c>
      <c r="AX18" s="46">
        <v>1</v>
      </c>
      <c r="BB18" s="46">
        <v>1</v>
      </c>
      <c r="BG18" s="46">
        <v>1</v>
      </c>
      <c r="BK18" s="46">
        <v>1</v>
      </c>
      <c r="BY18" s="46">
        <v>1</v>
      </c>
      <c r="CB18" s="46">
        <v>1</v>
      </c>
      <c r="CE18" s="46">
        <v>1</v>
      </c>
      <c r="CK18" s="46">
        <v>1</v>
      </c>
      <c r="CR18" s="46">
        <v>1</v>
      </c>
      <c r="CT18" s="134">
        <v>46661</v>
      </c>
    </row>
    <row r="19" spans="1:98" hidden="1">
      <c r="A19" s="46" t="s">
        <v>7945</v>
      </c>
      <c r="B19" s="46" t="s">
        <v>1247</v>
      </c>
      <c r="C19" s="46">
        <v>68</v>
      </c>
      <c r="D19" s="46" t="s">
        <v>7894</v>
      </c>
      <c r="E19" s="46" t="s">
        <v>7946</v>
      </c>
      <c r="F19" s="46" t="s">
        <v>2574</v>
      </c>
      <c r="J19" s="46">
        <v>1</v>
      </c>
      <c r="O19" s="46">
        <v>1</v>
      </c>
      <c r="R19" s="46">
        <v>1</v>
      </c>
      <c r="T19" s="46">
        <v>1</v>
      </c>
      <c r="W19" s="46">
        <v>10</v>
      </c>
      <c r="X19" s="46">
        <v>18</v>
      </c>
      <c r="Y19" s="46">
        <v>18</v>
      </c>
      <c r="Z19" s="46">
        <v>5</v>
      </c>
      <c r="AA19" s="46">
        <v>5</v>
      </c>
      <c r="AB19" s="46">
        <v>3</v>
      </c>
      <c r="AE19" s="46">
        <v>1</v>
      </c>
      <c r="AI19" s="46">
        <v>1</v>
      </c>
      <c r="AL19" s="46">
        <v>1</v>
      </c>
      <c r="AP19" s="46">
        <v>1</v>
      </c>
      <c r="AQ19" s="46" t="s">
        <v>251</v>
      </c>
      <c r="AR19" s="50">
        <v>45200</v>
      </c>
      <c r="AT19" s="46">
        <v>1</v>
      </c>
      <c r="AX19" s="46">
        <v>1</v>
      </c>
      <c r="BB19" s="46">
        <v>1</v>
      </c>
      <c r="BG19" s="46">
        <v>1</v>
      </c>
      <c r="BL19" s="46">
        <v>1</v>
      </c>
      <c r="CB19" s="46">
        <v>1</v>
      </c>
      <c r="CE19" s="46">
        <v>1</v>
      </c>
      <c r="CK19" s="46">
        <v>1</v>
      </c>
      <c r="CR19" s="46">
        <v>1</v>
      </c>
      <c r="CT19" s="134">
        <v>46661</v>
      </c>
    </row>
    <row r="20" spans="1:98" hidden="1">
      <c r="A20" s="46" t="s">
        <v>7947</v>
      </c>
      <c r="B20" s="46" t="s">
        <v>7948</v>
      </c>
      <c r="C20" s="46">
        <v>72</v>
      </c>
      <c r="D20" s="46" t="s">
        <v>7949</v>
      </c>
      <c r="E20" s="46" t="s">
        <v>7950</v>
      </c>
      <c r="F20" s="46" t="s">
        <v>2574</v>
      </c>
      <c r="G20" s="46">
        <v>1</v>
      </c>
      <c r="P20" s="46">
        <v>1</v>
      </c>
      <c r="R20" s="46">
        <v>1</v>
      </c>
      <c r="S20" s="46">
        <v>1</v>
      </c>
      <c r="W20" s="46">
        <v>15</v>
      </c>
      <c r="X20" s="46">
        <v>17</v>
      </c>
      <c r="Y20" s="46">
        <v>18</v>
      </c>
      <c r="Z20" s="46">
        <v>1</v>
      </c>
      <c r="AA20" s="46">
        <v>1</v>
      </c>
      <c r="AB20" s="46">
        <v>1</v>
      </c>
      <c r="AG20" s="46">
        <v>1</v>
      </c>
      <c r="AH20" s="46">
        <v>1</v>
      </c>
      <c r="AT20" s="46">
        <v>1</v>
      </c>
      <c r="AW20" s="46">
        <v>1</v>
      </c>
      <c r="BA20" s="46">
        <v>1</v>
      </c>
      <c r="BL20" s="46">
        <v>1</v>
      </c>
      <c r="BY20" s="46">
        <v>1</v>
      </c>
      <c r="CB20" s="46">
        <v>1</v>
      </c>
      <c r="CE20" s="46">
        <v>1</v>
      </c>
      <c r="CK20" s="46">
        <v>1</v>
      </c>
      <c r="CR20" s="46">
        <v>1</v>
      </c>
      <c r="CT20" s="134">
        <v>46661</v>
      </c>
    </row>
    <row r="21" spans="1:98" hidden="1">
      <c r="A21" s="46" t="s">
        <v>7951</v>
      </c>
      <c r="B21" s="46" t="s">
        <v>7952</v>
      </c>
      <c r="C21" s="46">
        <v>60</v>
      </c>
      <c r="D21" s="46" t="s">
        <v>2628</v>
      </c>
      <c r="E21" s="46" t="s">
        <v>191</v>
      </c>
      <c r="F21" s="46" t="s">
        <v>2574</v>
      </c>
      <c r="J21" s="46">
        <v>1</v>
      </c>
      <c r="M21" s="46">
        <v>1</v>
      </c>
      <c r="R21" s="46">
        <v>1</v>
      </c>
      <c r="S21" s="46">
        <v>1</v>
      </c>
      <c r="W21" s="46">
        <v>15</v>
      </c>
      <c r="X21" s="46">
        <v>16</v>
      </c>
      <c r="Y21" s="46">
        <v>20</v>
      </c>
      <c r="Z21" s="46">
        <v>13</v>
      </c>
      <c r="AA21" s="46">
        <v>13</v>
      </c>
      <c r="AB21" s="46">
        <v>5</v>
      </c>
      <c r="AE21" s="46">
        <v>1</v>
      </c>
      <c r="AG21" s="46">
        <v>1</v>
      </c>
      <c r="AH21" s="46">
        <v>1</v>
      </c>
      <c r="AI21" s="46">
        <v>1</v>
      </c>
      <c r="AK21" s="46">
        <v>1</v>
      </c>
      <c r="AT21" s="46">
        <v>1</v>
      </c>
      <c r="AW21" s="46">
        <v>1</v>
      </c>
      <c r="BA21" s="46">
        <v>1</v>
      </c>
      <c r="BL21" s="46">
        <v>1</v>
      </c>
      <c r="CB21" s="46">
        <v>1</v>
      </c>
      <c r="CE21" s="46">
        <v>1</v>
      </c>
      <c r="CK21" s="46">
        <v>1</v>
      </c>
      <c r="CR21" s="46">
        <v>1</v>
      </c>
      <c r="CT21" s="134">
        <v>46661</v>
      </c>
    </row>
    <row r="22" spans="1:98">
      <c r="A22" s="46" t="s">
        <v>7953</v>
      </c>
      <c r="B22" s="46" t="s">
        <v>7954</v>
      </c>
      <c r="C22" s="46">
        <v>45</v>
      </c>
      <c r="D22" s="46" t="s">
        <v>7955</v>
      </c>
      <c r="E22" s="46" t="s">
        <v>7956</v>
      </c>
      <c r="F22" s="46" t="s">
        <v>2574</v>
      </c>
      <c r="J22" s="46">
        <v>1</v>
      </c>
      <c r="M22" s="46">
        <v>1</v>
      </c>
      <c r="R22" s="46">
        <v>1</v>
      </c>
      <c r="T22" s="46">
        <v>1</v>
      </c>
      <c r="W22" s="46">
        <v>15</v>
      </c>
      <c r="X22" s="46">
        <v>19</v>
      </c>
      <c r="Y22" s="46">
        <v>19</v>
      </c>
      <c r="Z22" s="46">
        <v>4</v>
      </c>
      <c r="AA22" s="46">
        <v>4</v>
      </c>
      <c r="AB22" s="46">
        <v>3</v>
      </c>
      <c r="AD22" s="46">
        <v>1</v>
      </c>
      <c r="AH22" s="46">
        <v>1</v>
      </c>
      <c r="AI22" s="46">
        <v>1</v>
      </c>
      <c r="AK22">
        <v>1</v>
      </c>
      <c r="AT22" s="46">
        <v>1</v>
      </c>
      <c r="AX22" s="46">
        <v>1</v>
      </c>
      <c r="BB22" s="46">
        <v>1</v>
      </c>
      <c r="BG22" s="46">
        <v>1</v>
      </c>
      <c r="BM22" s="46">
        <v>1</v>
      </c>
      <c r="BP22" s="46">
        <v>1</v>
      </c>
      <c r="BQ22" s="46" t="s">
        <v>952</v>
      </c>
      <c r="CB22" s="46">
        <v>1</v>
      </c>
      <c r="CE22" s="46">
        <v>1</v>
      </c>
      <c r="CK22" s="46">
        <v>1</v>
      </c>
      <c r="CR22" s="46">
        <v>1</v>
      </c>
      <c r="CT22" s="50">
        <v>45597</v>
      </c>
    </row>
    <row r="23" spans="1:98">
      <c r="A23" s="46" t="s">
        <v>7957</v>
      </c>
      <c r="B23" s="46" t="s">
        <v>7958</v>
      </c>
      <c r="C23" s="46">
        <v>43</v>
      </c>
      <c r="D23" s="46" t="s">
        <v>7949</v>
      </c>
      <c r="E23" s="46" t="s">
        <v>7959</v>
      </c>
      <c r="F23" s="46" t="s">
        <v>2574</v>
      </c>
      <c r="J23" s="46">
        <v>1</v>
      </c>
      <c r="M23" s="46">
        <v>1</v>
      </c>
      <c r="R23" s="46">
        <v>1</v>
      </c>
      <c r="S23" s="46">
        <v>1</v>
      </c>
      <c r="W23" s="46">
        <v>17</v>
      </c>
      <c r="X23" s="46">
        <v>15</v>
      </c>
      <c r="Y23" s="46">
        <v>20</v>
      </c>
      <c r="Z23" s="46">
        <v>5</v>
      </c>
      <c r="AA23" s="46">
        <v>5</v>
      </c>
      <c r="AB23" s="46">
        <v>4</v>
      </c>
      <c r="AE23" s="46">
        <v>1</v>
      </c>
      <c r="AG23" s="46">
        <v>1</v>
      </c>
      <c r="AH23" s="46">
        <v>1</v>
      </c>
      <c r="AI23" s="46">
        <v>1</v>
      </c>
      <c r="AL23" s="46">
        <v>1</v>
      </c>
      <c r="AP23" s="46">
        <v>1</v>
      </c>
      <c r="AQ23" s="46" t="s">
        <v>251</v>
      </c>
      <c r="AR23" s="134">
        <v>45444</v>
      </c>
      <c r="AT23" s="46">
        <v>1</v>
      </c>
      <c r="AX23" s="46">
        <v>1</v>
      </c>
      <c r="BA23" s="46">
        <v>1</v>
      </c>
      <c r="BN23" s="46">
        <v>1</v>
      </c>
      <c r="BP23" s="46">
        <v>1</v>
      </c>
      <c r="CB23" s="46">
        <v>1</v>
      </c>
      <c r="CE23" s="46">
        <v>1</v>
      </c>
      <c r="CK23" s="46">
        <v>1</v>
      </c>
      <c r="CQ23" s="46">
        <v>1</v>
      </c>
      <c r="CT23" s="46" t="s">
        <v>7960</v>
      </c>
    </row>
    <row r="24" spans="1:98" hidden="1">
      <c r="A24" s="46" t="s">
        <v>7961</v>
      </c>
      <c r="B24" s="46" t="s">
        <v>7962</v>
      </c>
      <c r="C24" s="46">
        <v>19</v>
      </c>
      <c r="D24" s="46" t="s">
        <v>7898</v>
      </c>
      <c r="E24" s="46" t="s">
        <v>191</v>
      </c>
      <c r="F24" s="46" t="s">
        <v>2574</v>
      </c>
      <c r="J24" s="46">
        <v>1</v>
      </c>
      <c r="L24" s="46">
        <v>1</v>
      </c>
      <c r="Q24" s="46">
        <v>1</v>
      </c>
      <c r="T24" s="46">
        <v>1</v>
      </c>
      <c r="W24" s="46">
        <v>14</v>
      </c>
      <c r="X24" s="46">
        <v>16</v>
      </c>
      <c r="Y24" s="46">
        <v>0</v>
      </c>
      <c r="Z24" s="46">
        <v>3</v>
      </c>
      <c r="AA24" s="46">
        <v>0</v>
      </c>
      <c r="AB24" s="46">
        <v>0</v>
      </c>
      <c r="AE24" s="46">
        <v>1</v>
      </c>
      <c r="AI24" s="46">
        <v>1</v>
      </c>
      <c r="AK24" s="46">
        <v>1</v>
      </c>
      <c r="AT24" s="46">
        <v>1</v>
      </c>
      <c r="AX24" s="46">
        <v>1</v>
      </c>
      <c r="BA24" s="46">
        <v>1</v>
      </c>
      <c r="BK24" s="46">
        <v>1</v>
      </c>
      <c r="BY24" s="46">
        <v>1</v>
      </c>
      <c r="CC24" s="46">
        <v>1</v>
      </c>
      <c r="CE24" s="46">
        <v>1</v>
      </c>
      <c r="CL24" s="46">
        <v>1</v>
      </c>
      <c r="CR24" s="46">
        <v>1</v>
      </c>
      <c r="CT24" s="134">
        <v>46661</v>
      </c>
    </row>
    <row r="25" spans="1:98">
      <c r="A25" s="46" t="s">
        <v>7963</v>
      </c>
      <c r="B25" s="46" t="s">
        <v>7964</v>
      </c>
      <c r="C25" s="46">
        <v>50</v>
      </c>
      <c r="D25" s="46" t="s">
        <v>7965</v>
      </c>
      <c r="E25" s="46" t="s">
        <v>191</v>
      </c>
      <c r="F25" s="46" t="s">
        <v>2675</v>
      </c>
      <c r="H25" s="46">
        <v>1</v>
      </c>
      <c r="M25" s="46">
        <v>1</v>
      </c>
      <c r="Q25" s="46">
        <v>1</v>
      </c>
      <c r="T25" s="46">
        <v>1</v>
      </c>
      <c r="W25" s="46">
        <v>17</v>
      </c>
      <c r="X25" s="46">
        <v>17</v>
      </c>
      <c r="Y25" s="46">
        <v>19</v>
      </c>
      <c r="Z25" s="46">
        <v>6</v>
      </c>
      <c r="AA25" s="46">
        <v>6</v>
      </c>
      <c r="AB25" s="46">
        <v>5</v>
      </c>
      <c r="AD25" s="46">
        <v>1</v>
      </c>
      <c r="AE25" s="46">
        <v>1</v>
      </c>
      <c r="AG25" s="46">
        <v>1</v>
      </c>
      <c r="AH25" s="46">
        <v>1</v>
      </c>
      <c r="AI25" s="46">
        <v>1</v>
      </c>
      <c r="AK25" s="46">
        <v>1</v>
      </c>
      <c r="AT25" s="46">
        <v>1</v>
      </c>
      <c r="AW25" s="46">
        <v>1</v>
      </c>
      <c r="BA25" s="46">
        <v>1</v>
      </c>
      <c r="BK25" s="46">
        <v>1</v>
      </c>
      <c r="BY25" s="46">
        <v>1</v>
      </c>
      <c r="CB25" s="46">
        <v>1</v>
      </c>
      <c r="CE25" s="46">
        <v>1</v>
      </c>
      <c r="CK25" s="46">
        <v>1</v>
      </c>
      <c r="CR25" s="46">
        <v>1</v>
      </c>
      <c r="CT25" s="134">
        <v>46661</v>
      </c>
    </row>
    <row r="26" spans="1:98" hidden="1">
      <c r="A26" s="46" t="s">
        <v>7966</v>
      </c>
      <c r="B26" s="46" t="s">
        <v>7967</v>
      </c>
      <c r="C26" s="46">
        <v>32</v>
      </c>
      <c r="D26" s="46" t="s">
        <v>7925</v>
      </c>
      <c r="E26" s="46" t="s">
        <v>7968</v>
      </c>
      <c r="F26" s="46" t="s">
        <v>1145</v>
      </c>
      <c r="I26" s="46">
        <v>1</v>
      </c>
      <c r="M26" s="46">
        <v>1</v>
      </c>
      <c r="Q26" s="46">
        <v>1</v>
      </c>
      <c r="U26" s="46">
        <v>1</v>
      </c>
      <c r="W26" s="46">
        <v>17</v>
      </c>
      <c r="X26" s="46">
        <v>19</v>
      </c>
      <c r="Y26" s="46">
        <v>19</v>
      </c>
      <c r="Z26" s="46">
        <v>3</v>
      </c>
      <c r="AA26" s="46">
        <v>3</v>
      </c>
      <c r="AB26" s="46">
        <v>3</v>
      </c>
      <c r="AE26" s="46">
        <v>1</v>
      </c>
      <c r="AH26" s="46">
        <v>1</v>
      </c>
      <c r="AI26" s="46">
        <v>1</v>
      </c>
      <c r="AL26" s="46">
        <v>1</v>
      </c>
      <c r="AP26" s="46">
        <v>1</v>
      </c>
      <c r="AS26" s="46">
        <v>1</v>
      </c>
      <c r="AT26" s="46">
        <v>1</v>
      </c>
      <c r="AW26" s="46">
        <v>1</v>
      </c>
      <c r="BA26" s="46">
        <v>1</v>
      </c>
      <c r="BK26" s="46">
        <v>1</v>
      </c>
      <c r="BY26" s="46">
        <v>1</v>
      </c>
      <c r="CB26" s="46">
        <v>1</v>
      </c>
      <c r="CE26" s="46">
        <v>1</v>
      </c>
      <c r="CK26" s="46">
        <v>1</v>
      </c>
      <c r="CR26" s="46">
        <v>1</v>
      </c>
      <c r="CT26" s="134">
        <v>46661</v>
      </c>
    </row>
    <row r="27" spans="1:98" hidden="1">
      <c r="A27" s="46" t="s">
        <v>7969</v>
      </c>
      <c r="B27" s="46" t="s">
        <v>7970</v>
      </c>
      <c r="C27" s="46">
        <v>20</v>
      </c>
      <c r="D27" s="46" t="s">
        <v>1248</v>
      </c>
      <c r="E27" s="46" t="s">
        <v>7971</v>
      </c>
      <c r="F27" s="46" t="s">
        <v>2574</v>
      </c>
      <c r="H27" s="46">
        <v>1</v>
      </c>
      <c r="M27" s="46">
        <v>1</v>
      </c>
      <c r="Q27" s="46">
        <v>1</v>
      </c>
      <c r="T27" s="46">
        <v>1</v>
      </c>
      <c r="W27" s="46">
        <v>16</v>
      </c>
      <c r="X27" s="46">
        <v>16</v>
      </c>
      <c r="Y27" s="46">
        <v>17</v>
      </c>
      <c r="Z27" s="46">
        <v>1</v>
      </c>
      <c r="AA27" s="46">
        <v>0</v>
      </c>
      <c r="AB27" s="46">
        <v>0</v>
      </c>
      <c r="AD27" s="46">
        <v>1</v>
      </c>
      <c r="AE27" s="46">
        <v>1</v>
      </c>
      <c r="AG27" s="46">
        <v>1</v>
      </c>
      <c r="AH27" s="46">
        <v>1</v>
      </c>
      <c r="AJ27" s="46">
        <v>1</v>
      </c>
      <c r="AK27" s="46">
        <v>1</v>
      </c>
      <c r="AT27" s="46">
        <v>1</v>
      </c>
      <c r="AX27" s="46">
        <v>1</v>
      </c>
      <c r="BA27" s="46">
        <v>1</v>
      </c>
      <c r="BK27" s="46">
        <v>1</v>
      </c>
      <c r="CB27" s="46">
        <v>1</v>
      </c>
      <c r="CE27" s="46">
        <v>1</v>
      </c>
      <c r="CK27" s="46">
        <v>1</v>
      </c>
      <c r="CR27" s="46">
        <v>1</v>
      </c>
      <c r="CT27" s="134">
        <v>46661</v>
      </c>
    </row>
    <row r="28" spans="1:98" hidden="1">
      <c r="A28" s="46" t="s">
        <v>7972</v>
      </c>
      <c r="B28" s="46" t="s">
        <v>7973</v>
      </c>
      <c r="C28" s="46">
        <v>29</v>
      </c>
      <c r="D28" s="46" t="s">
        <v>7974</v>
      </c>
      <c r="E28" s="46" t="s">
        <v>7975</v>
      </c>
      <c r="F28" s="46" t="s">
        <v>2574</v>
      </c>
      <c r="J28" s="46">
        <v>1</v>
      </c>
      <c r="M28" s="46">
        <v>1</v>
      </c>
      <c r="Q28" s="46">
        <v>1</v>
      </c>
      <c r="T28" s="46">
        <v>1</v>
      </c>
      <c r="W28" s="46">
        <v>14</v>
      </c>
      <c r="X28" s="46">
        <v>16</v>
      </c>
      <c r="Y28" s="46">
        <v>18</v>
      </c>
      <c r="Z28" s="46">
        <v>3</v>
      </c>
      <c r="AA28" s="46">
        <v>3</v>
      </c>
      <c r="AB28" s="46">
        <v>3</v>
      </c>
      <c r="AE28" s="46">
        <v>1</v>
      </c>
      <c r="AG28" s="46">
        <v>1</v>
      </c>
      <c r="AH28" s="46">
        <v>1</v>
      </c>
      <c r="AJ28" s="46">
        <v>1</v>
      </c>
      <c r="AK28" s="46">
        <v>1</v>
      </c>
      <c r="AT28" s="46">
        <v>1</v>
      </c>
      <c r="AW28" s="46">
        <v>1</v>
      </c>
      <c r="BA28" s="46">
        <v>1</v>
      </c>
      <c r="BK28" s="46">
        <v>1</v>
      </c>
      <c r="CB28" s="46">
        <v>1</v>
      </c>
      <c r="CE28" s="46">
        <v>1</v>
      </c>
      <c r="CK28" s="46">
        <v>1</v>
      </c>
      <c r="CR28" s="46">
        <v>1</v>
      </c>
      <c r="CT28" s="134">
        <v>46661</v>
      </c>
    </row>
    <row r="29" spans="1:98" hidden="1">
      <c r="A29" s="46" t="s">
        <v>7976</v>
      </c>
      <c r="B29" s="46" t="s">
        <v>7977</v>
      </c>
      <c r="C29" s="46">
        <v>39</v>
      </c>
      <c r="D29" s="46" t="s">
        <v>7898</v>
      </c>
      <c r="E29" s="46" t="s">
        <v>7978</v>
      </c>
      <c r="F29" s="46" t="s">
        <v>145</v>
      </c>
      <c r="J29" s="46">
        <v>1</v>
      </c>
      <c r="M29" s="46">
        <v>1</v>
      </c>
      <c r="R29" s="46">
        <v>1</v>
      </c>
      <c r="U29" s="46">
        <v>1</v>
      </c>
      <c r="W29" s="46">
        <v>15</v>
      </c>
      <c r="X29" s="46">
        <v>25</v>
      </c>
      <c r="Y29" s="46">
        <v>26</v>
      </c>
      <c r="Z29" s="46">
        <v>3</v>
      </c>
      <c r="AA29" s="46">
        <v>3</v>
      </c>
      <c r="AB29" s="46">
        <v>3</v>
      </c>
      <c r="AC29" s="46">
        <v>1</v>
      </c>
      <c r="AI29" s="46">
        <v>1</v>
      </c>
      <c r="AK29" s="46">
        <v>1</v>
      </c>
      <c r="AT29" s="46">
        <v>1</v>
      </c>
      <c r="AW29" s="46">
        <v>1</v>
      </c>
      <c r="BA29" s="46">
        <v>1</v>
      </c>
      <c r="BK29" s="46">
        <v>1</v>
      </c>
      <c r="CB29" s="46">
        <v>1</v>
      </c>
      <c r="CE29" s="46">
        <v>1</v>
      </c>
      <c r="CK29" s="46">
        <v>1</v>
      </c>
      <c r="CR29" s="46">
        <v>1</v>
      </c>
      <c r="CT29" s="134">
        <v>46661</v>
      </c>
    </row>
    <row r="30" spans="1:98" hidden="1">
      <c r="A30" s="46" t="s">
        <v>7979</v>
      </c>
      <c r="B30" s="46" t="s">
        <v>7980</v>
      </c>
      <c r="C30" s="46">
        <v>33</v>
      </c>
      <c r="D30" s="46" t="s">
        <v>7913</v>
      </c>
      <c r="E30" s="46" t="s">
        <v>7981</v>
      </c>
      <c r="F30" s="46" t="s">
        <v>2574</v>
      </c>
      <c r="H30" s="46">
        <v>1</v>
      </c>
      <c r="M30" s="46">
        <v>1</v>
      </c>
      <c r="Q30" s="46">
        <v>1</v>
      </c>
      <c r="T30" s="46">
        <v>1</v>
      </c>
      <c r="W30" s="46">
        <v>14</v>
      </c>
      <c r="X30" s="46">
        <v>14</v>
      </c>
      <c r="Y30" s="46">
        <v>15</v>
      </c>
      <c r="Z30" s="46">
        <v>7</v>
      </c>
      <c r="AA30" s="46">
        <v>7</v>
      </c>
      <c r="AB30" s="46">
        <v>7</v>
      </c>
      <c r="AH30" s="46">
        <v>1</v>
      </c>
      <c r="AJ30" s="46">
        <v>1</v>
      </c>
      <c r="AK30" s="46">
        <v>1</v>
      </c>
      <c r="AT30" s="46">
        <v>1</v>
      </c>
      <c r="AW30" s="46">
        <v>1</v>
      </c>
      <c r="BA30" s="46">
        <v>1</v>
      </c>
      <c r="BK30" s="46">
        <v>1</v>
      </c>
      <c r="CB30" s="46">
        <v>1</v>
      </c>
      <c r="CE30" s="46">
        <v>1</v>
      </c>
      <c r="CK30" s="46">
        <v>1</v>
      </c>
      <c r="CR30" s="46">
        <v>1</v>
      </c>
      <c r="CT30" s="134">
        <v>46661</v>
      </c>
    </row>
    <row r="31" spans="1:98">
      <c r="A31" s="46" t="s">
        <v>7982</v>
      </c>
      <c r="B31" s="46" t="s">
        <v>7983</v>
      </c>
      <c r="C31" s="46">
        <v>42</v>
      </c>
      <c r="D31" s="46" t="s">
        <v>7984</v>
      </c>
      <c r="E31" s="46" t="s">
        <v>191</v>
      </c>
      <c r="F31" s="46" t="s">
        <v>145</v>
      </c>
      <c r="G31" s="46">
        <v>1</v>
      </c>
      <c r="O31" s="46">
        <v>1</v>
      </c>
      <c r="R31" s="46">
        <v>1</v>
      </c>
      <c r="S31" s="46">
        <v>1</v>
      </c>
      <c r="W31" s="46">
        <v>16</v>
      </c>
      <c r="X31" s="46">
        <v>16</v>
      </c>
      <c r="Y31" s="46">
        <v>17</v>
      </c>
      <c r="Z31" s="46">
        <v>8</v>
      </c>
      <c r="AA31" s="46">
        <v>8</v>
      </c>
      <c r="AB31" s="46">
        <v>5</v>
      </c>
      <c r="AD31" s="46">
        <v>1</v>
      </c>
      <c r="AE31" s="46">
        <v>1</v>
      </c>
      <c r="AG31" s="46">
        <v>1</v>
      </c>
      <c r="AH31" s="46">
        <v>1</v>
      </c>
      <c r="AI31" s="46">
        <v>1</v>
      </c>
      <c r="AM31" s="46">
        <v>1</v>
      </c>
      <c r="AT31" s="46">
        <v>1</v>
      </c>
      <c r="AW31" s="46">
        <v>1</v>
      </c>
      <c r="BA31" s="46">
        <v>1</v>
      </c>
      <c r="BK31" s="46">
        <v>1</v>
      </c>
      <c r="BY31" s="46">
        <v>1</v>
      </c>
      <c r="CB31" s="46">
        <v>1</v>
      </c>
      <c r="CE31" s="46">
        <v>1</v>
      </c>
      <c r="CK31" s="46">
        <v>1</v>
      </c>
      <c r="CR31" s="46">
        <v>1</v>
      </c>
      <c r="CT31" s="134">
        <v>46661</v>
      </c>
    </row>
    <row r="32" spans="1:98" hidden="1">
      <c r="A32" s="46" t="s">
        <v>7985</v>
      </c>
      <c r="B32" s="46" t="s">
        <v>7986</v>
      </c>
      <c r="C32" s="46">
        <v>31</v>
      </c>
      <c r="D32" s="46" t="s">
        <v>7894</v>
      </c>
      <c r="E32" s="46" t="s">
        <v>191</v>
      </c>
      <c r="F32" s="46" t="s">
        <v>2472</v>
      </c>
      <c r="I32" s="46">
        <v>1</v>
      </c>
      <c r="M32" s="46">
        <v>1</v>
      </c>
      <c r="R32" s="46">
        <v>1</v>
      </c>
      <c r="T32" s="46">
        <v>1</v>
      </c>
      <c r="W32" s="46">
        <v>14</v>
      </c>
      <c r="X32" s="46">
        <v>16</v>
      </c>
      <c r="Y32" s="46">
        <v>17</v>
      </c>
      <c r="Z32" s="46">
        <v>3</v>
      </c>
      <c r="AA32" s="46">
        <v>3</v>
      </c>
      <c r="AB32" s="46">
        <v>3</v>
      </c>
      <c r="AD32" s="46">
        <v>1</v>
      </c>
      <c r="AE32" s="46">
        <v>1</v>
      </c>
      <c r="AG32" s="46">
        <v>1</v>
      </c>
      <c r="AH32" s="46">
        <v>1</v>
      </c>
      <c r="AJ32" s="46">
        <v>1</v>
      </c>
      <c r="AL32" s="46">
        <v>1</v>
      </c>
      <c r="AP32" s="46">
        <v>1</v>
      </c>
      <c r="AQ32" s="46" t="s">
        <v>251</v>
      </c>
      <c r="AR32" s="46">
        <v>2023</v>
      </c>
      <c r="AT32" s="46">
        <v>1</v>
      </c>
      <c r="AW32" s="46">
        <v>1</v>
      </c>
      <c r="BA32" s="46">
        <v>1</v>
      </c>
      <c r="BK32" s="46">
        <v>1</v>
      </c>
      <c r="BY32" s="46">
        <v>1</v>
      </c>
      <c r="CC32" s="46">
        <v>1</v>
      </c>
      <c r="CD32" s="50">
        <v>45566</v>
      </c>
      <c r="CE32" s="46">
        <v>1</v>
      </c>
      <c r="CK32" s="46">
        <v>1</v>
      </c>
      <c r="CR32" s="46">
        <v>1</v>
      </c>
      <c r="CT32" s="134">
        <v>46661</v>
      </c>
    </row>
    <row r="33" spans="1:98" hidden="1">
      <c r="A33" s="46" t="s">
        <v>7987</v>
      </c>
      <c r="B33" s="46" t="s">
        <v>7988</v>
      </c>
      <c r="C33" s="46">
        <v>35</v>
      </c>
      <c r="D33" s="46" t="s">
        <v>7989</v>
      </c>
      <c r="E33" s="46" t="s">
        <v>7990</v>
      </c>
      <c r="F33" s="46" t="s">
        <v>2574</v>
      </c>
      <c r="H33" s="46">
        <v>1</v>
      </c>
      <c r="O33" s="46">
        <v>1</v>
      </c>
      <c r="R33" s="46">
        <v>1</v>
      </c>
      <c r="U33" s="46">
        <v>1</v>
      </c>
      <c r="W33" s="46">
        <v>18</v>
      </c>
      <c r="X33" s="46">
        <v>20</v>
      </c>
      <c r="Y33" s="46">
        <v>20</v>
      </c>
      <c r="Z33" s="46">
        <v>2</v>
      </c>
      <c r="AA33" s="46">
        <v>2</v>
      </c>
      <c r="AB33" s="46">
        <v>2</v>
      </c>
      <c r="AC33" s="46">
        <v>1</v>
      </c>
      <c r="AJ33" s="46">
        <v>1</v>
      </c>
      <c r="AL33" s="46">
        <v>1</v>
      </c>
      <c r="AP33" s="46">
        <v>1</v>
      </c>
      <c r="AS33" s="46">
        <v>1</v>
      </c>
      <c r="AT33" s="46">
        <v>1</v>
      </c>
      <c r="AX33" s="46">
        <v>1</v>
      </c>
      <c r="BA33" s="46">
        <v>1</v>
      </c>
      <c r="BK33" s="46">
        <v>1</v>
      </c>
      <c r="CB33" s="46">
        <v>1</v>
      </c>
      <c r="CE33" s="46">
        <v>1</v>
      </c>
      <c r="CK33" s="46">
        <v>1</v>
      </c>
      <c r="CR33" s="46">
        <v>1</v>
      </c>
      <c r="CT33" s="134">
        <v>46661</v>
      </c>
    </row>
    <row r="34" spans="1:98" hidden="1">
      <c r="A34" s="46" t="s">
        <v>7991</v>
      </c>
      <c r="B34" s="46" t="s">
        <v>1209</v>
      </c>
      <c r="C34" s="46">
        <v>34</v>
      </c>
      <c r="D34" s="46" t="s">
        <v>7992</v>
      </c>
      <c r="E34" s="46" t="s">
        <v>7993</v>
      </c>
      <c r="F34" s="46" t="s">
        <v>2472</v>
      </c>
      <c r="I34" s="46">
        <v>1</v>
      </c>
      <c r="M34" s="46">
        <v>1</v>
      </c>
      <c r="R34" s="46">
        <v>1</v>
      </c>
      <c r="T34" s="46">
        <v>1</v>
      </c>
      <c r="W34" s="46">
        <v>15</v>
      </c>
      <c r="X34" s="46">
        <v>17</v>
      </c>
      <c r="Y34" s="46">
        <v>19</v>
      </c>
      <c r="Z34" s="46">
        <v>4</v>
      </c>
      <c r="AA34" s="46">
        <v>3</v>
      </c>
      <c r="AB34" s="46">
        <v>3</v>
      </c>
      <c r="AE34" s="46">
        <v>1</v>
      </c>
      <c r="AG34" s="46">
        <v>1</v>
      </c>
      <c r="AH34" s="46">
        <v>1</v>
      </c>
      <c r="AJ34" s="46">
        <v>1</v>
      </c>
      <c r="AK34" s="46">
        <v>1</v>
      </c>
      <c r="AT34" s="46">
        <v>1</v>
      </c>
      <c r="AW34" s="46">
        <v>1</v>
      </c>
      <c r="BA34" s="46">
        <v>1</v>
      </c>
      <c r="BK34" s="46">
        <v>1</v>
      </c>
      <c r="CB34" s="46">
        <v>1</v>
      </c>
      <c r="CE34" s="46">
        <v>1</v>
      </c>
      <c r="CK34" s="46">
        <v>1</v>
      </c>
      <c r="CR34" s="46">
        <v>1</v>
      </c>
      <c r="CT34" s="134">
        <v>46661</v>
      </c>
    </row>
    <row r="35" spans="1:98" hidden="1">
      <c r="A35" s="46" t="s">
        <v>7994</v>
      </c>
      <c r="B35" s="46" t="s">
        <v>7995</v>
      </c>
      <c r="C35" s="46">
        <v>26</v>
      </c>
      <c r="D35" s="46" t="s">
        <v>7996</v>
      </c>
      <c r="E35" s="46" t="s">
        <v>7997</v>
      </c>
      <c r="F35" s="46" t="s">
        <v>2472</v>
      </c>
      <c r="K35" s="46">
        <v>1</v>
      </c>
      <c r="R35" s="46">
        <v>1</v>
      </c>
      <c r="T35" s="46">
        <v>1</v>
      </c>
      <c r="W35" s="46">
        <v>13</v>
      </c>
      <c r="X35" s="46">
        <v>14</v>
      </c>
      <c r="Y35" s="46">
        <v>15</v>
      </c>
      <c r="Z35" s="46">
        <v>3</v>
      </c>
      <c r="AA35" s="46">
        <v>3</v>
      </c>
      <c r="AB35" s="46">
        <v>3</v>
      </c>
      <c r="AH35" s="46">
        <v>1</v>
      </c>
      <c r="AJ35" s="46">
        <v>1</v>
      </c>
      <c r="AK35" s="46">
        <v>1</v>
      </c>
      <c r="AT35" s="46">
        <v>1</v>
      </c>
      <c r="AY35" s="46">
        <v>1</v>
      </c>
      <c r="BA35" s="46">
        <v>1</v>
      </c>
      <c r="BK35" s="46">
        <v>1</v>
      </c>
      <c r="CB35" s="46">
        <v>1</v>
      </c>
      <c r="CE35" s="46">
        <v>1</v>
      </c>
      <c r="CK35" s="46">
        <v>1</v>
      </c>
      <c r="CR35" s="46">
        <v>1</v>
      </c>
      <c r="CT35" s="134">
        <v>46661</v>
      </c>
    </row>
    <row r="36" spans="1:98" hidden="1">
      <c r="A36" s="46" t="s">
        <v>7998</v>
      </c>
      <c r="B36" s="46" t="s">
        <v>7999</v>
      </c>
      <c r="C36" s="46">
        <v>26</v>
      </c>
      <c r="D36" s="46" t="s">
        <v>8000</v>
      </c>
      <c r="E36" s="46" t="s">
        <v>191</v>
      </c>
      <c r="F36" s="46" t="s">
        <v>514</v>
      </c>
      <c r="I36" s="46">
        <v>1</v>
      </c>
      <c r="M36" s="46">
        <v>1</v>
      </c>
      <c r="Q36" s="46">
        <v>1</v>
      </c>
      <c r="T36" s="46">
        <v>1</v>
      </c>
      <c r="W36" s="46">
        <v>13</v>
      </c>
      <c r="X36" s="46">
        <v>15</v>
      </c>
      <c r="Y36" s="46">
        <v>16</v>
      </c>
      <c r="Z36" s="46">
        <v>4</v>
      </c>
      <c r="AA36" s="46">
        <v>4</v>
      </c>
      <c r="AB36" s="46">
        <v>4</v>
      </c>
      <c r="AE36" s="46">
        <v>1</v>
      </c>
      <c r="AG36" s="46">
        <v>1</v>
      </c>
      <c r="AH36" s="46">
        <v>1</v>
      </c>
      <c r="AI36" s="46">
        <v>1</v>
      </c>
      <c r="AK36" s="46">
        <v>1</v>
      </c>
      <c r="AT36" s="46">
        <v>1</v>
      </c>
      <c r="AW36" s="46">
        <v>1</v>
      </c>
      <c r="BA36" s="46">
        <v>1</v>
      </c>
      <c r="BK36" s="46">
        <v>1</v>
      </c>
      <c r="BY36" s="46">
        <v>1</v>
      </c>
      <c r="CB36" s="46">
        <v>1</v>
      </c>
      <c r="CE36" s="46">
        <v>1</v>
      </c>
      <c r="CK36" s="46">
        <v>1</v>
      </c>
      <c r="CR36" s="46">
        <v>1</v>
      </c>
      <c r="CT36" s="134">
        <v>46661</v>
      </c>
    </row>
    <row r="37" spans="1:98" hidden="1">
      <c r="A37" s="46" t="s">
        <v>8001</v>
      </c>
      <c r="B37" s="46" t="s">
        <v>8002</v>
      </c>
      <c r="C37" s="46">
        <v>26</v>
      </c>
      <c r="D37" s="46" t="s">
        <v>7894</v>
      </c>
      <c r="E37" s="46" t="s">
        <v>8003</v>
      </c>
      <c r="F37" s="46" t="s">
        <v>145</v>
      </c>
      <c r="J37" s="46">
        <v>1</v>
      </c>
      <c r="M37" s="46">
        <v>1</v>
      </c>
      <c r="Q37" s="46">
        <v>1</v>
      </c>
      <c r="V37" s="46">
        <v>1</v>
      </c>
      <c r="W37" s="46">
        <v>13</v>
      </c>
      <c r="X37" s="46">
        <v>21</v>
      </c>
      <c r="Y37" s="46">
        <v>22</v>
      </c>
      <c r="Z37" s="46">
        <v>2</v>
      </c>
      <c r="AA37" s="46">
        <v>2</v>
      </c>
      <c r="AB37" s="46">
        <v>2</v>
      </c>
      <c r="AC37" s="46">
        <v>1</v>
      </c>
      <c r="AI37" s="46">
        <v>1</v>
      </c>
      <c r="AK37" s="46">
        <v>1</v>
      </c>
      <c r="AT37" s="46">
        <v>1</v>
      </c>
      <c r="AW37" s="46">
        <v>1</v>
      </c>
      <c r="BA37" s="46">
        <v>1</v>
      </c>
      <c r="CB37" s="46">
        <v>1</v>
      </c>
      <c r="CE37" s="46">
        <v>1</v>
      </c>
      <c r="CK37" s="46">
        <v>1</v>
      </c>
      <c r="CR37" s="46">
        <v>1</v>
      </c>
    </row>
    <row r="38" spans="1:98" hidden="1">
      <c r="A38" s="46" t="s">
        <v>8004</v>
      </c>
      <c r="B38" s="46" t="s">
        <v>8005</v>
      </c>
      <c r="C38" s="46">
        <v>36</v>
      </c>
      <c r="D38" s="46" t="s">
        <v>8006</v>
      </c>
      <c r="E38" s="46" t="s">
        <v>8007</v>
      </c>
      <c r="F38" s="46" t="s">
        <v>2574</v>
      </c>
      <c r="G38" s="46">
        <v>1</v>
      </c>
      <c r="M38" s="46">
        <v>1</v>
      </c>
      <c r="Q38" s="46">
        <v>1</v>
      </c>
      <c r="U38" s="46">
        <v>1</v>
      </c>
      <c r="W38" s="46">
        <v>14</v>
      </c>
      <c r="X38" s="46">
        <v>21</v>
      </c>
      <c r="Y38" s="46">
        <v>26</v>
      </c>
      <c r="Z38" s="46">
        <v>5</v>
      </c>
      <c r="AA38" s="46">
        <v>5</v>
      </c>
      <c r="AB38" s="46">
        <v>5</v>
      </c>
      <c r="AC38" s="46">
        <v>1</v>
      </c>
      <c r="AJ38" s="46">
        <v>1</v>
      </c>
      <c r="AK38" s="46">
        <v>1</v>
      </c>
      <c r="AT38" s="46">
        <v>1</v>
      </c>
      <c r="AW38" s="46">
        <v>1</v>
      </c>
      <c r="BA38" s="46">
        <v>1</v>
      </c>
      <c r="CB38" s="46">
        <v>1</v>
      </c>
      <c r="CE38" s="46">
        <v>1</v>
      </c>
      <c r="CK38" s="46">
        <v>1</v>
      </c>
      <c r="CR38" s="46">
        <v>1</v>
      </c>
    </row>
    <row r="39" spans="1:98">
      <c r="A39" s="46" t="s">
        <v>8008</v>
      </c>
      <c r="B39" s="46" t="s">
        <v>8009</v>
      </c>
      <c r="C39" s="46">
        <v>41</v>
      </c>
      <c r="D39" s="46" t="s">
        <v>8010</v>
      </c>
      <c r="E39" s="46" t="s">
        <v>8011</v>
      </c>
      <c r="F39" s="46" t="s">
        <v>2574</v>
      </c>
      <c r="H39" s="46">
        <v>1</v>
      </c>
      <c r="M39" s="46">
        <v>1</v>
      </c>
      <c r="Q39" s="46">
        <v>1</v>
      </c>
      <c r="U39" s="46">
        <v>1</v>
      </c>
      <c r="W39" s="46">
        <v>14</v>
      </c>
      <c r="X39" s="46">
        <v>21</v>
      </c>
      <c r="Y39" s="46">
        <v>22</v>
      </c>
      <c r="Z39" s="46">
        <v>3</v>
      </c>
      <c r="AA39" s="46">
        <v>3</v>
      </c>
      <c r="AB39" s="46">
        <v>3</v>
      </c>
      <c r="AG39" s="46">
        <v>1</v>
      </c>
      <c r="AJ39" s="46">
        <v>1</v>
      </c>
      <c r="AK39" s="46">
        <v>1</v>
      </c>
      <c r="AT39" s="46">
        <v>1</v>
      </c>
      <c r="AW39" s="46">
        <v>1</v>
      </c>
      <c r="BA39" s="46">
        <v>1</v>
      </c>
      <c r="CB39" s="46">
        <v>1</v>
      </c>
      <c r="CE39" s="46">
        <v>1</v>
      </c>
      <c r="CK39" s="46">
        <v>1</v>
      </c>
      <c r="CR39" s="46">
        <v>1</v>
      </c>
    </row>
  </sheetData>
  <autoFilter ref="A3:CT39">
    <filterColumn colId="2">
      <filters>
        <filter val="41"/>
        <filter val="42"/>
        <filter val="43"/>
        <filter val="45"/>
        <filter val="46"/>
        <filter val="47"/>
        <filter val="50"/>
      </filters>
    </filterColumn>
  </autoFilter>
  <mergeCells count="24">
    <mergeCell ref="G1:K1"/>
    <mergeCell ref="L1:P1"/>
    <mergeCell ref="Q1:R1"/>
    <mergeCell ref="S1:V1"/>
    <mergeCell ref="W1:AB1"/>
    <mergeCell ref="AC1:AH1"/>
    <mergeCell ref="AI1:AJ1"/>
    <mergeCell ref="BI1:BO1"/>
    <mergeCell ref="BP1:BR1"/>
    <mergeCell ref="BS1:BT1"/>
    <mergeCell ref="BW1:CA1"/>
    <mergeCell ref="CE1:CG1"/>
    <mergeCell ref="CH1:CI1"/>
    <mergeCell ref="CK1:CN1"/>
    <mergeCell ref="CO1:CP1"/>
    <mergeCell ref="BJ2:BK2"/>
    <mergeCell ref="BL2:BO2"/>
    <mergeCell ref="AK1:AM1"/>
    <mergeCell ref="AN1:AP1"/>
    <mergeCell ref="AQ1:AS1"/>
    <mergeCell ref="AT1:AU1"/>
    <mergeCell ref="AV1:AZ1"/>
    <mergeCell ref="BA1:BC1"/>
    <mergeCell ref="BD1:BF1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O1" workbookViewId="0">
      <selection activeCell="AK9" sqref="AK9"/>
    </sheetView>
  </sheetViews>
  <sheetFormatPr defaultRowHeight="15"/>
  <cols>
    <col min="1" max="1" width="10.7109375" customWidth="1"/>
  </cols>
  <sheetData>
    <row r="1" spans="1:33">
      <c r="A1" s="486" t="s">
        <v>351</v>
      </c>
      <c r="B1" s="488" t="s">
        <v>352</v>
      </c>
      <c r="C1" s="481"/>
      <c r="D1" s="481"/>
      <c r="E1" s="480"/>
      <c r="F1" s="484" t="s">
        <v>353</v>
      </c>
      <c r="G1" s="481"/>
      <c r="H1" s="480"/>
      <c r="I1" s="61"/>
      <c r="J1" s="61"/>
      <c r="K1" s="484" t="s">
        <v>354</v>
      </c>
      <c r="L1" s="481"/>
      <c r="M1" s="481"/>
      <c r="N1" s="481"/>
      <c r="O1" s="481"/>
      <c r="P1" s="480"/>
      <c r="Q1" s="484" t="s">
        <v>355</v>
      </c>
      <c r="R1" s="481"/>
      <c r="S1" s="481"/>
      <c r="T1" s="480"/>
      <c r="U1" s="484" t="s">
        <v>356</v>
      </c>
      <c r="V1" s="481"/>
      <c r="W1" s="481"/>
      <c r="X1" s="481"/>
      <c r="Y1" s="481"/>
      <c r="Z1" s="480"/>
      <c r="AA1" s="485" t="s">
        <v>357</v>
      </c>
      <c r="AB1" s="481"/>
      <c r="AC1" s="481"/>
      <c r="AD1" s="481"/>
      <c r="AE1" s="480"/>
      <c r="AF1" s="182" t="s">
        <v>356</v>
      </c>
      <c r="AG1" s="183"/>
    </row>
    <row r="2" spans="1:33">
      <c r="A2" s="487"/>
      <c r="B2" s="66" t="s">
        <v>358</v>
      </c>
      <c r="C2" s="66" t="s">
        <v>359</v>
      </c>
      <c r="D2" s="66" t="s">
        <v>360</v>
      </c>
      <c r="E2" s="66" t="s">
        <v>361</v>
      </c>
      <c r="F2" s="64" t="s">
        <v>3106</v>
      </c>
      <c r="G2" s="64" t="s">
        <v>358</v>
      </c>
      <c r="H2" s="184" t="s">
        <v>362</v>
      </c>
      <c r="I2" s="64" t="s">
        <v>3429</v>
      </c>
      <c r="J2" s="65" t="s">
        <v>361</v>
      </c>
      <c r="K2" s="64" t="s">
        <v>96</v>
      </c>
      <c r="L2" s="64" t="s">
        <v>84</v>
      </c>
      <c r="M2" s="64" t="s">
        <v>98</v>
      </c>
      <c r="N2" s="64" t="s">
        <v>38</v>
      </c>
      <c r="O2" s="64" t="s">
        <v>930</v>
      </c>
      <c r="P2" s="65" t="s">
        <v>361</v>
      </c>
      <c r="Q2" s="64" t="s">
        <v>91</v>
      </c>
      <c r="R2" s="64" t="s">
        <v>362</v>
      </c>
      <c r="S2" s="64" t="s">
        <v>363</v>
      </c>
      <c r="T2" s="65" t="s">
        <v>361</v>
      </c>
      <c r="U2" s="64" t="s">
        <v>364</v>
      </c>
      <c r="V2" s="64" t="s">
        <v>91</v>
      </c>
      <c r="W2" s="64" t="s">
        <v>365</v>
      </c>
      <c r="X2" s="64" t="s">
        <v>366</v>
      </c>
      <c r="Y2" s="64" t="s">
        <v>367</v>
      </c>
      <c r="Z2" s="64"/>
      <c r="AA2" s="66" t="s">
        <v>96</v>
      </c>
      <c r="AB2" s="66" t="s">
        <v>97</v>
      </c>
      <c r="AC2" s="66" t="s">
        <v>98</v>
      </c>
      <c r="AD2" s="137" t="s">
        <v>360</v>
      </c>
      <c r="AE2" s="66" t="s">
        <v>369</v>
      </c>
      <c r="AF2" s="64" t="s">
        <v>365</v>
      </c>
      <c r="AG2" s="185" t="s">
        <v>3430</v>
      </c>
    </row>
    <row r="3" spans="1:33">
      <c r="A3" s="68" t="s">
        <v>3370</v>
      </c>
      <c r="B3" s="69">
        <v>0</v>
      </c>
      <c r="C3" s="69">
        <v>0</v>
      </c>
      <c r="D3" s="69">
        <v>1</v>
      </c>
      <c r="E3" s="329">
        <f t="shared" ref="E3:E8" si="0">SUM(B3:D3)</f>
        <v>1</v>
      </c>
      <c r="F3" s="261">
        <v>0</v>
      </c>
      <c r="G3" s="261">
        <v>1</v>
      </c>
      <c r="H3" s="261">
        <v>0</v>
      </c>
      <c r="I3" s="261">
        <v>0</v>
      </c>
      <c r="J3" s="71">
        <f t="shared" ref="J3:J9" si="1">SUM(F3:I3)</f>
        <v>1</v>
      </c>
      <c r="K3" s="261">
        <v>0</v>
      </c>
      <c r="L3" s="261">
        <v>0</v>
      </c>
      <c r="M3" s="261">
        <v>0</v>
      </c>
      <c r="N3" s="261">
        <v>0</v>
      </c>
      <c r="O3" s="261">
        <v>0</v>
      </c>
      <c r="P3" s="71">
        <f t="shared" ref="P3:P8" si="2">SUM(K3:O3)</f>
        <v>0</v>
      </c>
      <c r="Q3" s="261">
        <v>0</v>
      </c>
      <c r="R3" s="261">
        <v>0</v>
      </c>
      <c r="S3" s="261">
        <v>1</v>
      </c>
      <c r="T3" s="71">
        <f t="shared" ref="T3:T8" si="3">SUM(Q3:S3)</f>
        <v>1</v>
      </c>
      <c r="U3" s="261">
        <v>0</v>
      </c>
      <c r="V3" s="261">
        <v>0</v>
      </c>
      <c r="W3" s="261">
        <v>0</v>
      </c>
      <c r="X3" s="261">
        <v>0</v>
      </c>
      <c r="Y3" s="261">
        <v>0</v>
      </c>
      <c r="Z3" s="261"/>
      <c r="AA3" s="183">
        <v>0</v>
      </c>
      <c r="AB3" s="183">
        <v>1</v>
      </c>
      <c r="AC3" s="183">
        <v>0</v>
      </c>
      <c r="AD3" s="183">
        <v>0</v>
      </c>
      <c r="AE3" s="186">
        <f t="shared" ref="AE3:AE8" si="4">SUM(AA3,AB3,AC3,AD3)</f>
        <v>1</v>
      </c>
      <c r="AF3" s="183">
        <v>0</v>
      </c>
      <c r="AG3" s="183">
        <v>1</v>
      </c>
    </row>
    <row r="4" spans="1:33">
      <c r="A4" s="77" t="s">
        <v>8126</v>
      </c>
      <c r="B4" s="69">
        <v>10</v>
      </c>
      <c r="C4" s="69">
        <v>0</v>
      </c>
      <c r="D4" s="69">
        <v>0</v>
      </c>
      <c r="E4" s="329">
        <f t="shared" si="0"/>
        <v>10</v>
      </c>
      <c r="F4" s="261">
        <v>0</v>
      </c>
      <c r="G4" s="261">
        <v>8</v>
      </c>
      <c r="H4" s="261">
        <v>1</v>
      </c>
      <c r="I4" s="261">
        <v>0</v>
      </c>
      <c r="J4" s="71">
        <f t="shared" si="1"/>
        <v>9</v>
      </c>
      <c r="K4" s="261">
        <v>0</v>
      </c>
      <c r="L4" s="261">
        <v>0</v>
      </c>
      <c r="M4" s="261">
        <v>0</v>
      </c>
      <c r="N4" s="261">
        <v>0</v>
      </c>
      <c r="O4" s="261">
        <v>1</v>
      </c>
      <c r="P4" s="71">
        <f t="shared" si="2"/>
        <v>1</v>
      </c>
      <c r="Q4" s="261">
        <v>0</v>
      </c>
      <c r="R4" s="261">
        <v>0</v>
      </c>
      <c r="S4" s="261">
        <v>6</v>
      </c>
      <c r="T4" s="71">
        <f t="shared" si="3"/>
        <v>6</v>
      </c>
      <c r="U4" s="76">
        <v>0</v>
      </c>
      <c r="V4" s="76">
        <v>0</v>
      </c>
      <c r="W4" s="76">
        <v>0</v>
      </c>
      <c r="X4" s="76">
        <v>0</v>
      </c>
      <c r="Y4" s="76">
        <v>0</v>
      </c>
      <c r="Z4" s="76"/>
      <c r="AA4" s="183">
        <v>5</v>
      </c>
      <c r="AB4" s="183">
        <v>0</v>
      </c>
      <c r="AC4" s="183">
        <v>0</v>
      </c>
      <c r="AD4" s="183">
        <v>5</v>
      </c>
      <c r="AE4" s="186">
        <f t="shared" si="4"/>
        <v>10</v>
      </c>
      <c r="AF4" s="183">
        <v>0</v>
      </c>
      <c r="AG4" s="183">
        <v>0</v>
      </c>
    </row>
    <row r="5" spans="1:33">
      <c r="A5" s="77" t="s">
        <v>1823</v>
      </c>
      <c r="B5" s="69">
        <v>10</v>
      </c>
      <c r="C5" s="69">
        <v>3</v>
      </c>
      <c r="D5" s="69">
        <v>1</v>
      </c>
      <c r="E5" s="329">
        <f t="shared" si="0"/>
        <v>14</v>
      </c>
      <c r="F5" s="261">
        <v>0</v>
      </c>
      <c r="G5" s="261">
        <v>13</v>
      </c>
      <c r="H5" s="261">
        <v>1</v>
      </c>
      <c r="I5" s="261">
        <v>0</v>
      </c>
      <c r="J5" s="71">
        <f t="shared" si="1"/>
        <v>14</v>
      </c>
      <c r="K5" s="261">
        <v>0</v>
      </c>
      <c r="L5" s="261">
        <v>0</v>
      </c>
      <c r="M5" s="261">
        <v>0</v>
      </c>
      <c r="N5" s="261">
        <v>0</v>
      </c>
      <c r="O5" s="261">
        <v>0</v>
      </c>
      <c r="P5" s="71">
        <f t="shared" si="2"/>
        <v>0</v>
      </c>
      <c r="Q5" s="261">
        <v>0</v>
      </c>
      <c r="R5" s="261">
        <v>0</v>
      </c>
      <c r="S5" s="261">
        <v>7</v>
      </c>
      <c r="T5" s="71">
        <f t="shared" si="3"/>
        <v>7</v>
      </c>
      <c r="U5" s="76">
        <v>0</v>
      </c>
      <c r="V5" s="76">
        <v>0</v>
      </c>
      <c r="W5" s="76">
        <v>0</v>
      </c>
      <c r="X5" s="76">
        <v>0</v>
      </c>
      <c r="Y5" s="76">
        <v>0</v>
      </c>
      <c r="Z5" s="76"/>
      <c r="AA5" s="183">
        <v>8</v>
      </c>
      <c r="AB5" s="183">
        <v>0</v>
      </c>
      <c r="AC5" s="183">
        <v>0</v>
      </c>
      <c r="AD5" s="183">
        <v>6</v>
      </c>
      <c r="AE5" s="186">
        <f t="shared" si="4"/>
        <v>14</v>
      </c>
      <c r="AF5" s="183">
        <v>0</v>
      </c>
      <c r="AG5" s="183">
        <v>0</v>
      </c>
    </row>
    <row r="6" spans="1:33">
      <c r="A6" s="77" t="s">
        <v>889</v>
      </c>
      <c r="B6" s="69">
        <v>3</v>
      </c>
      <c r="C6" s="69">
        <v>2</v>
      </c>
      <c r="D6" s="69">
        <v>2</v>
      </c>
      <c r="E6" s="329">
        <f t="shared" si="0"/>
        <v>7</v>
      </c>
      <c r="F6" s="261">
        <v>1</v>
      </c>
      <c r="G6" s="261">
        <v>3</v>
      </c>
      <c r="H6" s="261">
        <v>0</v>
      </c>
      <c r="I6" s="261">
        <v>0</v>
      </c>
      <c r="J6" s="71">
        <f t="shared" si="1"/>
        <v>4</v>
      </c>
      <c r="K6" s="261">
        <v>1</v>
      </c>
      <c r="L6" s="261">
        <v>1</v>
      </c>
      <c r="M6" s="261">
        <v>0</v>
      </c>
      <c r="N6" s="261">
        <v>0</v>
      </c>
      <c r="O6" s="261">
        <v>1</v>
      </c>
      <c r="P6" s="71">
        <f t="shared" si="2"/>
        <v>3</v>
      </c>
      <c r="Q6" s="261">
        <v>0</v>
      </c>
      <c r="R6" s="261">
        <v>0</v>
      </c>
      <c r="S6" s="261">
        <v>4</v>
      </c>
      <c r="T6" s="71">
        <f t="shared" si="3"/>
        <v>4</v>
      </c>
      <c r="U6" s="76">
        <v>0</v>
      </c>
      <c r="V6" s="76">
        <v>0</v>
      </c>
      <c r="W6" s="76">
        <v>0</v>
      </c>
      <c r="X6" s="76">
        <v>0</v>
      </c>
      <c r="Y6" s="76">
        <v>0</v>
      </c>
      <c r="Z6" s="76"/>
      <c r="AA6" s="183">
        <v>6</v>
      </c>
      <c r="AB6" s="183">
        <v>0</v>
      </c>
      <c r="AC6" s="183">
        <v>0</v>
      </c>
      <c r="AD6" s="183">
        <v>1</v>
      </c>
      <c r="AE6" s="186">
        <f t="shared" si="4"/>
        <v>7</v>
      </c>
      <c r="AF6" s="183">
        <v>0</v>
      </c>
      <c r="AG6" s="183">
        <v>0</v>
      </c>
    </row>
    <row r="7" spans="1:33">
      <c r="A7" s="243" t="s">
        <v>7607</v>
      </c>
      <c r="B7" s="69">
        <v>1</v>
      </c>
      <c r="C7" s="69">
        <v>0</v>
      </c>
      <c r="D7" s="69">
        <v>0</v>
      </c>
      <c r="E7" s="329">
        <f t="shared" si="0"/>
        <v>1</v>
      </c>
      <c r="F7" s="69">
        <v>0</v>
      </c>
      <c r="G7" s="69">
        <v>0</v>
      </c>
      <c r="H7" s="69">
        <v>0</v>
      </c>
      <c r="I7" s="69">
        <v>0</v>
      </c>
      <c r="J7" s="71">
        <f t="shared" si="1"/>
        <v>0</v>
      </c>
      <c r="K7" s="114">
        <v>1</v>
      </c>
      <c r="L7" s="114">
        <v>0</v>
      </c>
      <c r="M7" s="114">
        <v>0</v>
      </c>
      <c r="N7" s="114">
        <v>0</v>
      </c>
      <c r="O7" s="114">
        <v>0</v>
      </c>
      <c r="P7" s="71">
        <f t="shared" si="2"/>
        <v>1</v>
      </c>
      <c r="Q7" s="114">
        <v>0</v>
      </c>
      <c r="R7" s="114">
        <v>0</v>
      </c>
      <c r="S7" s="114">
        <v>0</v>
      </c>
      <c r="T7" s="71">
        <f t="shared" si="3"/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/>
      <c r="AA7" s="183">
        <v>1</v>
      </c>
      <c r="AB7" s="183">
        <v>0</v>
      </c>
      <c r="AC7" s="183">
        <v>0</v>
      </c>
      <c r="AD7" s="183">
        <v>0</v>
      </c>
      <c r="AE7" s="186">
        <f>SUM(AA7,AB7,AC7,AD7)</f>
        <v>1</v>
      </c>
      <c r="AF7" s="183">
        <v>0</v>
      </c>
      <c r="AG7" s="183">
        <v>0</v>
      </c>
    </row>
    <row r="8" spans="1:33">
      <c r="A8" s="243" t="s">
        <v>4816</v>
      </c>
      <c r="B8" s="69">
        <v>2</v>
      </c>
      <c r="C8" s="69">
        <v>1</v>
      </c>
      <c r="D8" s="69">
        <v>0</v>
      </c>
      <c r="E8" s="329">
        <f t="shared" si="0"/>
        <v>3</v>
      </c>
      <c r="F8" s="69">
        <v>0</v>
      </c>
      <c r="G8" s="69">
        <v>0</v>
      </c>
      <c r="H8" s="69">
        <v>0</v>
      </c>
      <c r="I8" s="69">
        <v>0</v>
      </c>
      <c r="J8" s="71">
        <f t="shared" si="1"/>
        <v>0</v>
      </c>
      <c r="K8" s="114">
        <v>3</v>
      </c>
      <c r="L8" s="114">
        <v>0</v>
      </c>
      <c r="M8" s="114">
        <v>0</v>
      </c>
      <c r="N8" s="114">
        <v>0</v>
      </c>
      <c r="O8" s="114">
        <v>0</v>
      </c>
      <c r="P8" s="71">
        <f t="shared" si="2"/>
        <v>3</v>
      </c>
      <c r="Q8" s="114">
        <v>0</v>
      </c>
      <c r="R8" s="114">
        <v>0</v>
      </c>
      <c r="S8" s="114">
        <v>2</v>
      </c>
      <c r="T8" s="71">
        <f t="shared" si="3"/>
        <v>2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/>
      <c r="AA8" s="183">
        <v>2</v>
      </c>
      <c r="AB8" s="183">
        <v>0</v>
      </c>
      <c r="AC8" s="183">
        <v>0</v>
      </c>
      <c r="AD8" s="183">
        <v>1</v>
      </c>
      <c r="AE8" s="186">
        <f t="shared" si="4"/>
        <v>3</v>
      </c>
      <c r="AF8" s="183">
        <v>0</v>
      </c>
      <c r="AG8" s="183">
        <v>0</v>
      </c>
    </row>
    <row r="9" spans="1:33">
      <c r="A9" s="69" t="s">
        <v>376</v>
      </c>
      <c r="B9" s="69">
        <f t="shared" ref="B9:I9" si="5">SUM(B3:B8)</f>
        <v>26</v>
      </c>
      <c r="C9" s="69">
        <f t="shared" si="5"/>
        <v>6</v>
      </c>
      <c r="D9" s="69">
        <f t="shared" si="5"/>
        <v>4</v>
      </c>
      <c r="E9" s="329">
        <f t="shared" si="5"/>
        <v>36</v>
      </c>
      <c r="F9" s="69">
        <f t="shared" si="5"/>
        <v>1</v>
      </c>
      <c r="G9" s="69">
        <f t="shared" si="5"/>
        <v>25</v>
      </c>
      <c r="H9" s="69">
        <f t="shared" si="5"/>
        <v>2</v>
      </c>
      <c r="I9" s="69">
        <f t="shared" si="5"/>
        <v>0</v>
      </c>
      <c r="J9" s="71">
        <f t="shared" si="1"/>
        <v>28</v>
      </c>
      <c r="K9" s="114">
        <f>SUM(K3:K8)</f>
        <v>5</v>
      </c>
      <c r="L9" s="114">
        <f>SUM(L3:L8)</f>
        <v>1</v>
      </c>
      <c r="M9" s="114">
        <f>SUM(M3:M8)</f>
        <v>0</v>
      </c>
      <c r="N9" s="114">
        <f>SUM(N3:N8)</f>
        <v>0</v>
      </c>
      <c r="O9" s="114">
        <f>SUM(O3:O8)</f>
        <v>2</v>
      </c>
      <c r="P9" s="71">
        <f>SUM(K9:N9)</f>
        <v>6</v>
      </c>
      <c r="Q9" s="114">
        <f>SUM(Q3:Q8)</f>
        <v>0</v>
      </c>
      <c r="R9" s="114">
        <f>SUM(R3:R8)</f>
        <v>0</v>
      </c>
      <c r="S9" s="114">
        <f>SUM(S3:S8)</f>
        <v>20</v>
      </c>
      <c r="T9" s="71">
        <f>SUM(T3:T6)</f>
        <v>18</v>
      </c>
      <c r="U9" s="114">
        <f>SUM(U3:U8)</f>
        <v>0</v>
      </c>
      <c r="V9" s="114">
        <f>SUM(V3:V8)</f>
        <v>0</v>
      </c>
      <c r="W9" s="114">
        <f>SUM(W3:W8)</f>
        <v>0</v>
      </c>
      <c r="X9" s="114">
        <f>SUM(X3:X8)</f>
        <v>0</v>
      </c>
      <c r="Y9" s="114">
        <f>SUM(Y3:Y8)</f>
        <v>0</v>
      </c>
      <c r="Z9" s="114">
        <f>SUM(Z3:Z6)</f>
        <v>0</v>
      </c>
      <c r="AA9" s="183">
        <f t="shared" ref="AA9:AG9" si="6">SUM(AA3:AA8)</f>
        <v>22</v>
      </c>
      <c r="AB9" s="183">
        <f t="shared" si="6"/>
        <v>1</v>
      </c>
      <c r="AC9" s="183">
        <f t="shared" si="6"/>
        <v>0</v>
      </c>
      <c r="AD9" s="183">
        <f t="shared" si="6"/>
        <v>13</v>
      </c>
      <c r="AE9" s="183">
        <f t="shared" si="6"/>
        <v>36</v>
      </c>
      <c r="AF9" s="183">
        <f t="shared" si="6"/>
        <v>0</v>
      </c>
      <c r="AG9" s="183">
        <f t="shared" si="6"/>
        <v>1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5"/>
  <sheetViews>
    <sheetView topLeftCell="A4" workbookViewId="0">
      <selection activeCell="A16" sqref="A16"/>
    </sheetView>
  </sheetViews>
  <sheetFormatPr defaultRowHeight="15"/>
  <cols>
    <col min="2" max="2" width="25.140625" customWidth="1"/>
    <col min="4" max="4" width="17.28515625" customWidth="1"/>
    <col min="5" max="5" width="13" customWidth="1"/>
    <col min="23" max="23" width="12.28515625" customWidth="1"/>
    <col min="24" max="24" width="14.7109375" customWidth="1"/>
    <col min="25" max="25" width="12.140625" customWidth="1"/>
    <col min="27" max="27" width="13.5703125" customWidth="1"/>
    <col min="28" max="28" width="13.7109375" customWidth="1"/>
    <col min="39" max="39" width="11.5703125" customWidth="1"/>
    <col min="40" max="40" width="12.28515625" customWidth="1"/>
    <col min="43" max="43" width="13.42578125" customWidth="1"/>
    <col min="44" max="44" width="14.28515625" customWidth="1"/>
    <col min="45" max="45" width="12.7109375" customWidth="1"/>
    <col min="65" max="65" width="11.5703125" customWidth="1"/>
    <col min="66" max="66" width="13" customWidth="1"/>
    <col min="67" max="67" width="18.42578125" customWidth="1"/>
    <col min="70" max="70" width="9" customWidth="1"/>
    <col min="71" max="71" width="21.7109375" customWidth="1"/>
    <col min="72" max="72" width="11.28515625" customWidth="1"/>
    <col min="73" max="73" width="8.7109375" customWidth="1"/>
    <col min="74" max="74" width="9.42578125" customWidth="1"/>
    <col min="75" max="75" width="9.5703125" customWidth="1"/>
    <col min="76" max="76" width="11.28515625" customWidth="1"/>
    <col min="77" max="77" width="13.42578125" customWidth="1"/>
    <col min="78" max="78" width="16.42578125" customWidth="1"/>
    <col min="79" max="79" width="22.85546875" customWidth="1"/>
    <col min="80" max="80" width="14.85546875" customWidth="1"/>
    <col min="81" max="81" width="15.42578125" customWidth="1"/>
    <col min="82" max="82" width="11.7109375" customWidth="1"/>
    <col min="83" max="83" width="12.7109375" customWidth="1"/>
    <col min="84" max="84" width="10.5703125" customWidth="1"/>
    <col min="85" max="85" width="17.85546875" customWidth="1"/>
    <col min="86" max="86" width="10.140625" customWidth="1"/>
    <col min="87" max="87" width="10.5703125" customWidth="1"/>
    <col min="88" max="88" width="12" customWidth="1"/>
    <col min="89" max="89" width="9.42578125" customWidth="1"/>
    <col min="90" max="90" width="16.28515625" customWidth="1"/>
    <col min="91" max="91" width="19.5703125" customWidth="1"/>
    <col min="92" max="92" width="11.5703125" customWidth="1"/>
    <col min="93" max="93" width="7.5703125" customWidth="1"/>
    <col min="94" max="94" width="8.85546875" customWidth="1"/>
    <col min="95" max="95" width="17.85546875" customWidth="1"/>
    <col min="96" max="96" width="10.85546875" customWidth="1"/>
    <col min="97" max="97" width="12.7109375" customWidth="1"/>
    <col min="98" max="98" width="33.5703125" customWidth="1"/>
  </cols>
  <sheetData>
    <row r="1" spans="1:98" ht="17.25" customHeight="1" thickBot="1">
      <c r="A1" s="283" t="s">
        <v>8127</v>
      </c>
      <c r="B1" s="284"/>
      <c r="C1" s="285" t="s">
        <v>8128</v>
      </c>
      <c r="D1" s="286"/>
      <c r="E1" s="284"/>
      <c r="F1" s="284"/>
      <c r="G1" s="538" t="s">
        <v>2</v>
      </c>
      <c r="H1" s="539"/>
      <c r="I1" s="539"/>
      <c r="J1" s="539"/>
      <c r="K1" s="540"/>
      <c r="L1" s="535" t="s">
        <v>3</v>
      </c>
      <c r="M1" s="536"/>
      <c r="N1" s="536"/>
      <c r="O1" s="536"/>
      <c r="P1" s="537"/>
      <c r="Q1" s="541"/>
      <c r="R1" s="542"/>
      <c r="S1" s="543" t="s">
        <v>5</v>
      </c>
      <c r="T1" s="544"/>
      <c r="U1" s="544"/>
      <c r="V1" s="545"/>
      <c r="W1" s="538" t="s">
        <v>6</v>
      </c>
      <c r="X1" s="539"/>
      <c r="Y1" s="539"/>
      <c r="Z1" s="539"/>
      <c r="AA1" s="539"/>
      <c r="AB1" s="540"/>
      <c r="AC1" s="543" t="s">
        <v>7</v>
      </c>
      <c r="AD1" s="544"/>
      <c r="AE1" s="544"/>
      <c r="AF1" s="544"/>
      <c r="AG1" s="544"/>
      <c r="AH1" s="545"/>
      <c r="AI1" s="546" t="s">
        <v>8</v>
      </c>
      <c r="AJ1" s="547"/>
      <c r="AK1" s="543" t="s">
        <v>9</v>
      </c>
      <c r="AL1" s="544"/>
      <c r="AM1" s="545"/>
      <c r="AN1" s="543" t="s">
        <v>10</v>
      </c>
      <c r="AO1" s="544"/>
      <c r="AP1" s="545"/>
      <c r="AQ1" s="543" t="s">
        <v>11</v>
      </c>
      <c r="AR1" s="544"/>
      <c r="AS1" s="545"/>
      <c r="AT1" s="546" t="s">
        <v>12</v>
      </c>
      <c r="AU1" s="547"/>
      <c r="AV1" s="535" t="s">
        <v>13</v>
      </c>
      <c r="AW1" s="536"/>
      <c r="AX1" s="536"/>
      <c r="AY1" s="536"/>
      <c r="AZ1" s="537"/>
      <c r="BA1" s="538" t="s">
        <v>8129</v>
      </c>
      <c r="BB1" s="539"/>
      <c r="BC1" s="540"/>
      <c r="BD1" s="543" t="s">
        <v>3542</v>
      </c>
      <c r="BE1" s="544"/>
      <c r="BF1" s="545"/>
      <c r="BG1" s="284"/>
      <c r="BH1" s="284"/>
      <c r="BI1" s="546" t="s">
        <v>16</v>
      </c>
      <c r="BJ1" s="548"/>
      <c r="BK1" s="548"/>
      <c r="BL1" s="548"/>
      <c r="BM1" s="548"/>
      <c r="BN1" s="548"/>
      <c r="BO1" s="547"/>
      <c r="BP1" s="543" t="s">
        <v>8130</v>
      </c>
      <c r="BQ1" s="544"/>
      <c r="BR1" s="545"/>
      <c r="BS1" s="535" t="s">
        <v>18</v>
      </c>
      <c r="BT1" s="537"/>
      <c r="BU1" s="284"/>
      <c r="BV1" s="284"/>
      <c r="BW1" s="546" t="s">
        <v>8131</v>
      </c>
      <c r="BX1" s="548"/>
      <c r="BY1" s="548"/>
      <c r="BZ1" s="548"/>
      <c r="CA1" s="547"/>
      <c r="CB1" s="287" t="s">
        <v>8132</v>
      </c>
      <c r="CC1" s="284"/>
      <c r="CD1" s="284"/>
      <c r="CE1" s="538" t="s">
        <v>8133</v>
      </c>
      <c r="CF1" s="539"/>
      <c r="CG1" s="540"/>
      <c r="CH1" s="535" t="s">
        <v>6832</v>
      </c>
      <c r="CI1" s="537"/>
      <c r="CJ1" s="284"/>
      <c r="CK1" s="546" t="s">
        <v>16</v>
      </c>
      <c r="CL1" s="548"/>
      <c r="CM1" s="548"/>
      <c r="CN1" s="547"/>
      <c r="CO1" s="543" t="s">
        <v>24</v>
      </c>
      <c r="CP1" s="545"/>
      <c r="CQ1" s="287" t="s">
        <v>25</v>
      </c>
      <c r="CR1" s="284"/>
      <c r="CS1" s="284"/>
      <c r="CT1" s="284" t="s">
        <v>26</v>
      </c>
    </row>
    <row r="2" spans="1:98" ht="15.75" thickBot="1">
      <c r="A2" s="288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90" t="s">
        <v>15</v>
      </c>
      <c r="BH2" s="289"/>
      <c r="BI2" s="289" t="s">
        <v>5582</v>
      </c>
      <c r="BJ2" s="546" t="s">
        <v>78</v>
      </c>
      <c r="BK2" s="547"/>
      <c r="BL2" s="543" t="s">
        <v>354</v>
      </c>
      <c r="BM2" s="544"/>
      <c r="BN2" s="544"/>
      <c r="BO2" s="545"/>
      <c r="BP2" s="289"/>
      <c r="BQ2" s="289"/>
      <c r="BR2" s="289"/>
      <c r="BS2" s="289"/>
      <c r="BT2" s="289"/>
      <c r="BU2" s="549" t="s">
        <v>89</v>
      </c>
      <c r="BV2" s="550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89"/>
      <c r="CI2" s="289"/>
      <c r="CJ2" s="289"/>
      <c r="CK2" s="289"/>
      <c r="CL2" s="289"/>
      <c r="CM2" s="289"/>
      <c r="CN2" s="289"/>
      <c r="CO2" s="289"/>
      <c r="CP2" s="289"/>
      <c r="CQ2" s="289"/>
      <c r="CR2" s="289"/>
      <c r="CS2" s="289" t="s">
        <v>893</v>
      </c>
      <c r="CT2" s="289"/>
    </row>
    <row r="3" spans="1:98" s="295" customFormat="1" ht="33.75" customHeight="1">
      <c r="A3" s="291" t="s">
        <v>28</v>
      </c>
      <c r="B3" s="292" t="s">
        <v>29</v>
      </c>
      <c r="C3" s="292" t="s">
        <v>30</v>
      </c>
      <c r="D3" s="292" t="s">
        <v>31</v>
      </c>
      <c r="E3" s="292" t="s">
        <v>32</v>
      </c>
      <c r="F3" s="292" t="s">
        <v>33</v>
      </c>
      <c r="G3" s="292" t="s">
        <v>34</v>
      </c>
      <c r="H3" s="292" t="s">
        <v>35</v>
      </c>
      <c r="I3" s="292" t="s">
        <v>36</v>
      </c>
      <c r="J3" s="292" t="s">
        <v>37</v>
      </c>
      <c r="K3" s="292" t="s">
        <v>38</v>
      </c>
      <c r="L3" s="292" t="s">
        <v>39</v>
      </c>
      <c r="M3" s="292" t="s">
        <v>40</v>
      </c>
      <c r="N3" s="292" t="s">
        <v>41</v>
      </c>
      <c r="O3" s="292" t="s">
        <v>42</v>
      </c>
      <c r="P3" s="292" t="s">
        <v>43</v>
      </c>
      <c r="Q3" s="292" t="s">
        <v>44</v>
      </c>
      <c r="R3" s="292" t="s">
        <v>45</v>
      </c>
      <c r="S3" s="292" t="s">
        <v>46</v>
      </c>
      <c r="T3" s="292" t="s">
        <v>47</v>
      </c>
      <c r="U3" s="292" t="s">
        <v>48</v>
      </c>
      <c r="V3" s="292" t="s">
        <v>49</v>
      </c>
      <c r="W3" s="292" t="s">
        <v>50</v>
      </c>
      <c r="X3" s="292" t="s">
        <v>51</v>
      </c>
      <c r="Y3" s="292" t="s">
        <v>52</v>
      </c>
      <c r="Z3" s="292" t="s">
        <v>53</v>
      </c>
      <c r="AA3" s="292" t="s">
        <v>54</v>
      </c>
      <c r="AB3" s="292" t="s">
        <v>55</v>
      </c>
      <c r="AC3" s="292" t="s">
        <v>56</v>
      </c>
      <c r="AD3" s="292" t="s">
        <v>57</v>
      </c>
      <c r="AE3" s="292" t="s">
        <v>58</v>
      </c>
      <c r="AF3" s="292" t="s">
        <v>59</v>
      </c>
      <c r="AG3" s="292" t="s">
        <v>60</v>
      </c>
      <c r="AH3" s="292" t="s">
        <v>61</v>
      </c>
      <c r="AI3" s="292" t="s">
        <v>62</v>
      </c>
      <c r="AJ3" s="292" t="s">
        <v>63</v>
      </c>
      <c r="AK3" s="292" t="s">
        <v>64</v>
      </c>
      <c r="AL3" s="292" t="s">
        <v>65</v>
      </c>
      <c r="AM3" s="292" t="s">
        <v>66</v>
      </c>
      <c r="AN3" s="292" t="s">
        <v>67</v>
      </c>
      <c r="AO3" s="292" t="s">
        <v>68</v>
      </c>
      <c r="AP3" s="292" t="s">
        <v>69</v>
      </c>
      <c r="AQ3" s="292" t="s">
        <v>70</v>
      </c>
      <c r="AR3" s="292" t="s">
        <v>71</v>
      </c>
      <c r="AS3" s="292" t="s">
        <v>72</v>
      </c>
      <c r="AT3" s="292" t="s">
        <v>56</v>
      </c>
      <c r="AU3" s="292" t="s">
        <v>73</v>
      </c>
      <c r="AV3" s="292" t="s">
        <v>46</v>
      </c>
      <c r="AW3" s="292" t="s">
        <v>895</v>
      </c>
      <c r="AX3" s="292" t="s">
        <v>75</v>
      </c>
      <c r="AY3" s="292" t="s">
        <v>76</v>
      </c>
      <c r="AZ3" s="292" t="s">
        <v>77</v>
      </c>
      <c r="BA3" s="292" t="s">
        <v>56</v>
      </c>
      <c r="BB3" s="292" t="s">
        <v>78</v>
      </c>
      <c r="BC3" s="292" t="s">
        <v>5582</v>
      </c>
      <c r="BD3" s="292" t="s">
        <v>79</v>
      </c>
      <c r="BE3" s="292" t="s">
        <v>80</v>
      </c>
      <c r="BF3" s="292" t="s">
        <v>38</v>
      </c>
      <c r="BG3" s="292" t="s">
        <v>81</v>
      </c>
      <c r="BH3" s="292" t="s">
        <v>82</v>
      </c>
      <c r="BI3" s="292" t="s">
        <v>83</v>
      </c>
      <c r="BJ3" s="292" t="s">
        <v>83</v>
      </c>
      <c r="BK3" s="292" t="s">
        <v>81</v>
      </c>
      <c r="BL3" s="292" t="s">
        <v>96</v>
      </c>
      <c r="BM3" s="292" t="s">
        <v>84</v>
      </c>
      <c r="BN3" s="292" t="s">
        <v>85</v>
      </c>
      <c r="BO3" s="292" t="s">
        <v>86</v>
      </c>
      <c r="BP3" s="292" t="s">
        <v>73</v>
      </c>
      <c r="BQ3" s="292" t="s">
        <v>87</v>
      </c>
      <c r="BR3" s="292" t="s">
        <v>56</v>
      </c>
      <c r="BS3" s="292" t="s">
        <v>83</v>
      </c>
      <c r="BT3" s="292" t="s">
        <v>88</v>
      </c>
      <c r="BU3" s="293" t="s">
        <v>8227</v>
      </c>
      <c r="BV3" s="294" t="s">
        <v>8226</v>
      </c>
      <c r="BW3" s="292" t="s">
        <v>90</v>
      </c>
      <c r="BX3" s="292" t="s">
        <v>91</v>
      </c>
      <c r="BY3" s="292" t="s">
        <v>92</v>
      </c>
      <c r="BZ3" s="292" t="s">
        <v>93</v>
      </c>
      <c r="CA3" s="292" t="s">
        <v>94</v>
      </c>
      <c r="CB3" s="292" t="s">
        <v>56</v>
      </c>
      <c r="CC3" s="292" t="s">
        <v>73</v>
      </c>
      <c r="CD3" s="292" t="s">
        <v>22</v>
      </c>
      <c r="CE3" s="292" t="s">
        <v>56</v>
      </c>
      <c r="CF3" s="292" t="s">
        <v>73</v>
      </c>
      <c r="CG3" s="292" t="s">
        <v>1275</v>
      </c>
      <c r="CH3" s="292" t="s">
        <v>83</v>
      </c>
      <c r="CI3" s="292" t="s">
        <v>88</v>
      </c>
      <c r="CJ3" s="292" t="s">
        <v>896</v>
      </c>
      <c r="CK3" s="292" t="s">
        <v>96</v>
      </c>
      <c r="CL3" s="292" t="s">
        <v>97</v>
      </c>
      <c r="CM3" s="292" t="s">
        <v>98</v>
      </c>
      <c r="CN3" s="292" t="s">
        <v>1276</v>
      </c>
      <c r="CO3" s="292" t="s">
        <v>73</v>
      </c>
      <c r="CP3" s="292" t="s">
        <v>56</v>
      </c>
      <c r="CQ3" s="292" t="s">
        <v>99</v>
      </c>
      <c r="CR3" s="292" t="s">
        <v>56</v>
      </c>
      <c r="CS3" s="294"/>
      <c r="CT3" s="292" t="s">
        <v>100</v>
      </c>
    </row>
    <row r="4" spans="1:98" s="295" customFormat="1" ht="19.5" customHeight="1">
      <c r="A4" s="296" t="s">
        <v>8134</v>
      </c>
      <c r="B4" s="296" t="s">
        <v>8135</v>
      </c>
      <c r="C4" s="297">
        <v>26</v>
      </c>
      <c r="D4" s="296" t="s">
        <v>1539</v>
      </c>
      <c r="E4" s="296" t="s">
        <v>8136</v>
      </c>
      <c r="F4" s="296" t="s">
        <v>2472</v>
      </c>
      <c r="G4" s="297">
        <v>1</v>
      </c>
      <c r="H4" s="296"/>
      <c r="I4" s="296"/>
      <c r="J4" s="296"/>
      <c r="K4" s="296"/>
      <c r="L4" s="296"/>
      <c r="M4" s="297">
        <v>1</v>
      </c>
      <c r="N4" s="296"/>
      <c r="O4" s="296"/>
      <c r="P4" s="296"/>
      <c r="Q4" s="297">
        <v>1</v>
      </c>
      <c r="R4" s="296"/>
      <c r="S4" s="296"/>
      <c r="T4" s="296"/>
      <c r="U4" s="296"/>
      <c r="V4" s="297">
        <v>1</v>
      </c>
      <c r="W4" s="297">
        <v>12</v>
      </c>
      <c r="X4" s="297">
        <v>20</v>
      </c>
      <c r="Y4" s="297">
        <v>22</v>
      </c>
      <c r="Z4" s="297">
        <v>3</v>
      </c>
      <c r="AA4" s="297">
        <v>2</v>
      </c>
      <c r="AB4" s="297">
        <v>1</v>
      </c>
      <c r="AC4" s="296"/>
      <c r="AD4" s="296"/>
      <c r="AE4" s="296"/>
      <c r="AF4" s="296"/>
      <c r="AG4" s="296"/>
      <c r="AH4" s="297">
        <v>1</v>
      </c>
      <c r="AI4" s="296"/>
      <c r="AJ4" s="297">
        <v>1</v>
      </c>
      <c r="AK4" s="297">
        <v>1</v>
      </c>
      <c r="AL4" s="296"/>
      <c r="AM4" s="296"/>
      <c r="AN4" s="296"/>
      <c r="AO4" s="296"/>
      <c r="AP4" s="296"/>
      <c r="AQ4" s="296"/>
      <c r="AR4" s="296"/>
      <c r="AS4" s="296"/>
      <c r="AT4" s="297">
        <v>1</v>
      </c>
      <c r="AU4" s="296"/>
      <c r="AV4" s="296"/>
      <c r="AW4" s="297">
        <v>1</v>
      </c>
      <c r="AX4" s="296"/>
      <c r="AY4" s="296"/>
      <c r="AZ4" s="296"/>
      <c r="BA4" s="297">
        <v>1</v>
      </c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 t="s">
        <v>5277</v>
      </c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6"/>
      <c r="CB4" s="297">
        <v>1</v>
      </c>
      <c r="CC4" s="296"/>
      <c r="CD4" s="296"/>
      <c r="CE4" s="297">
        <v>1</v>
      </c>
      <c r="CF4" s="296"/>
      <c r="CG4" s="296"/>
      <c r="CH4" s="296"/>
      <c r="CI4" s="296"/>
      <c r="CJ4" s="296"/>
      <c r="CK4" s="296"/>
      <c r="CL4" s="296"/>
      <c r="CM4" s="296"/>
      <c r="CN4" s="296"/>
      <c r="CO4" s="296"/>
      <c r="CP4" s="296"/>
      <c r="CQ4" s="296"/>
      <c r="CR4" s="297">
        <v>1</v>
      </c>
      <c r="CS4" s="296"/>
      <c r="CT4" s="296" t="s">
        <v>2257</v>
      </c>
    </row>
    <row r="5" spans="1:98" s="295" customFormat="1" ht="18" customHeight="1">
      <c r="A5" s="296" t="s">
        <v>8137</v>
      </c>
      <c r="B5" s="296" t="s">
        <v>8138</v>
      </c>
      <c r="C5" s="297">
        <v>19</v>
      </c>
      <c r="D5" s="296" t="s">
        <v>8139</v>
      </c>
      <c r="E5" s="296" t="s">
        <v>8140</v>
      </c>
      <c r="F5" s="296" t="s">
        <v>2472</v>
      </c>
      <c r="G5" s="296"/>
      <c r="H5" s="296"/>
      <c r="I5" s="297">
        <v>1</v>
      </c>
      <c r="J5" s="296"/>
      <c r="K5" s="296"/>
      <c r="L5" s="297">
        <v>1</v>
      </c>
      <c r="M5" s="296"/>
      <c r="N5" s="296"/>
      <c r="O5" s="296"/>
      <c r="P5" s="296"/>
      <c r="Q5" s="297">
        <v>1</v>
      </c>
      <c r="R5" s="296"/>
      <c r="S5" s="296"/>
      <c r="T5" s="296"/>
      <c r="U5" s="297">
        <v>1</v>
      </c>
      <c r="V5" s="296"/>
      <c r="W5" s="297">
        <v>12</v>
      </c>
      <c r="X5" s="297">
        <v>13</v>
      </c>
      <c r="Y5" s="297">
        <v>15</v>
      </c>
      <c r="Z5" s="297">
        <v>2</v>
      </c>
      <c r="AA5" s="297">
        <v>1</v>
      </c>
      <c r="AB5" s="297">
        <v>1</v>
      </c>
      <c r="AC5" s="296"/>
      <c r="AD5" s="296"/>
      <c r="AE5" s="297">
        <v>1</v>
      </c>
      <c r="AF5" s="296"/>
      <c r="AG5" s="297">
        <v>1</v>
      </c>
      <c r="AH5" s="297">
        <v>1</v>
      </c>
      <c r="AI5" s="297">
        <v>1</v>
      </c>
      <c r="AJ5" s="296"/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6"/>
      <c r="AX5" s="297">
        <v>1</v>
      </c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 t="s">
        <v>5277</v>
      </c>
      <c r="BP5" s="296"/>
      <c r="BQ5" s="296"/>
      <c r="BR5" s="296"/>
      <c r="BS5" s="296"/>
      <c r="BT5" s="296"/>
      <c r="BU5" s="296"/>
      <c r="BV5" s="296"/>
      <c r="BW5" s="296"/>
      <c r="BX5" s="296"/>
      <c r="BY5" s="297">
        <v>1</v>
      </c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7">
        <v>1</v>
      </c>
      <c r="CS5" s="296"/>
      <c r="CT5" s="296" t="s">
        <v>2257</v>
      </c>
    </row>
    <row r="6" spans="1:98" s="295" customFormat="1" ht="24" customHeight="1">
      <c r="A6" s="296" t="s">
        <v>8141</v>
      </c>
      <c r="B6" s="296" t="s">
        <v>8142</v>
      </c>
      <c r="C6" s="297">
        <v>24</v>
      </c>
      <c r="D6" s="296" t="s">
        <v>8143</v>
      </c>
      <c r="E6" s="296" t="s">
        <v>8144</v>
      </c>
      <c r="F6" s="296" t="s">
        <v>2523</v>
      </c>
      <c r="G6" s="296"/>
      <c r="H6" s="296"/>
      <c r="I6" s="297">
        <v>1</v>
      </c>
      <c r="J6" s="296"/>
      <c r="K6" s="296"/>
      <c r="L6" s="296"/>
      <c r="M6" s="297">
        <v>1</v>
      </c>
      <c r="N6" s="296"/>
      <c r="O6" s="296"/>
      <c r="P6" s="296"/>
      <c r="Q6" s="297">
        <v>1</v>
      </c>
      <c r="R6" s="296"/>
      <c r="S6" s="296"/>
      <c r="T6" s="297">
        <v>1</v>
      </c>
      <c r="U6" s="296"/>
      <c r="V6" s="296"/>
      <c r="W6" s="297">
        <v>14</v>
      </c>
      <c r="X6" s="297">
        <v>13</v>
      </c>
      <c r="Y6" s="297">
        <v>15</v>
      </c>
      <c r="Z6" s="297">
        <v>4</v>
      </c>
      <c r="AA6" s="297">
        <v>4</v>
      </c>
      <c r="AB6" s="297">
        <v>4</v>
      </c>
      <c r="AC6" s="296"/>
      <c r="AD6" s="296"/>
      <c r="AE6" s="297">
        <v>1</v>
      </c>
      <c r="AF6" s="296"/>
      <c r="AG6" s="296"/>
      <c r="AH6" s="297">
        <v>1</v>
      </c>
      <c r="AI6" s="296"/>
      <c r="AJ6" s="297">
        <v>1</v>
      </c>
      <c r="AK6" s="297">
        <v>1</v>
      </c>
      <c r="AL6" s="296"/>
      <c r="AM6" s="296"/>
      <c r="AN6" s="296"/>
      <c r="AO6" s="296"/>
      <c r="AP6" s="296"/>
      <c r="AQ6" s="296"/>
      <c r="AR6" s="296"/>
      <c r="AS6" s="296"/>
      <c r="AT6" s="297">
        <v>1</v>
      </c>
      <c r="AU6" s="296"/>
      <c r="AV6" s="296"/>
      <c r="AW6" s="296"/>
      <c r="AX6" s="297">
        <v>1</v>
      </c>
      <c r="AY6" s="296"/>
      <c r="AZ6" s="296"/>
      <c r="BA6" s="297">
        <v>1</v>
      </c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 t="s">
        <v>5277</v>
      </c>
      <c r="BP6" s="296"/>
      <c r="BQ6" s="296"/>
      <c r="BR6" s="296"/>
      <c r="BS6" s="296"/>
      <c r="BT6" s="296"/>
      <c r="BU6" s="296"/>
      <c r="BV6" s="296"/>
      <c r="BW6" s="296"/>
      <c r="BX6" s="296"/>
      <c r="BY6" s="297">
        <v>1</v>
      </c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6"/>
      <c r="CL6" s="296"/>
      <c r="CM6" s="296"/>
      <c r="CN6" s="296"/>
      <c r="CO6" s="296"/>
      <c r="CP6" s="296"/>
      <c r="CQ6" s="296"/>
      <c r="CR6" s="297">
        <v>1</v>
      </c>
      <c r="CS6" s="296"/>
      <c r="CT6" s="296" t="s">
        <v>2257</v>
      </c>
    </row>
    <row r="7" spans="1:98" s="295" customFormat="1" ht="15.75" customHeight="1">
      <c r="A7" s="296" t="s">
        <v>8145</v>
      </c>
      <c r="B7" s="296" t="s">
        <v>8146</v>
      </c>
      <c r="C7" s="297">
        <v>20</v>
      </c>
      <c r="D7" s="296" t="s">
        <v>8147</v>
      </c>
      <c r="E7" s="296" t="s">
        <v>8148</v>
      </c>
      <c r="F7" s="296" t="s">
        <v>2472</v>
      </c>
      <c r="G7" s="296"/>
      <c r="H7" s="296"/>
      <c r="I7" s="297">
        <v>1</v>
      </c>
      <c r="J7" s="296"/>
      <c r="K7" s="296"/>
      <c r="L7" s="297">
        <v>1</v>
      </c>
      <c r="M7" s="296"/>
      <c r="N7" s="296"/>
      <c r="O7" s="296"/>
      <c r="P7" s="296"/>
      <c r="Q7" s="297">
        <v>1</v>
      </c>
      <c r="R7" s="296"/>
      <c r="S7" s="296"/>
      <c r="T7" s="297">
        <v>1</v>
      </c>
      <c r="U7" s="296"/>
      <c r="V7" s="296"/>
      <c r="W7" s="297">
        <v>17</v>
      </c>
      <c r="X7" s="297">
        <v>18</v>
      </c>
      <c r="Y7" s="297">
        <v>0</v>
      </c>
      <c r="Z7" s="297">
        <v>0</v>
      </c>
      <c r="AA7" s="297">
        <v>0</v>
      </c>
      <c r="AB7" s="297">
        <v>0</v>
      </c>
      <c r="AC7" s="297">
        <v>1</v>
      </c>
      <c r="AD7" s="296"/>
      <c r="AE7" s="296"/>
      <c r="AF7" s="296"/>
      <c r="AG7" s="296"/>
      <c r="AH7" s="296"/>
      <c r="AI7" s="297">
        <v>1</v>
      </c>
      <c r="AJ7" s="296"/>
      <c r="AK7" s="296"/>
      <c r="AL7" s="296"/>
      <c r="AM7" s="297">
        <v>1</v>
      </c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 t="s">
        <v>8149</v>
      </c>
      <c r="BP7" s="296"/>
      <c r="BQ7" s="296"/>
      <c r="BR7" s="296"/>
      <c r="BS7" s="296"/>
      <c r="BT7" s="296"/>
      <c r="BU7" s="296"/>
      <c r="BV7" s="296"/>
      <c r="BW7" s="296"/>
      <c r="BX7" s="296"/>
      <c r="BY7" s="297">
        <v>1</v>
      </c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6"/>
      <c r="CL7" s="296"/>
      <c r="CM7" s="296"/>
      <c r="CN7" s="296"/>
      <c r="CO7" s="296"/>
      <c r="CP7" s="296"/>
      <c r="CQ7" s="296"/>
      <c r="CR7" s="297">
        <v>1</v>
      </c>
      <c r="CS7" s="296"/>
      <c r="CT7" s="298">
        <v>45597</v>
      </c>
    </row>
    <row r="8" spans="1:98" s="295" customFormat="1">
      <c r="A8" s="296" t="s">
        <v>8150</v>
      </c>
      <c r="B8" s="296" t="s">
        <v>8151</v>
      </c>
      <c r="C8" s="297">
        <v>30</v>
      </c>
      <c r="D8" s="296" t="s">
        <v>8143</v>
      </c>
      <c r="E8" s="296" t="s">
        <v>191</v>
      </c>
      <c r="F8" s="296" t="s">
        <v>2574</v>
      </c>
      <c r="G8" s="296"/>
      <c r="H8" s="296"/>
      <c r="I8" s="297">
        <v>1</v>
      </c>
      <c r="J8" s="296"/>
      <c r="K8" s="296"/>
      <c r="L8" s="296"/>
      <c r="M8" s="297">
        <v>1</v>
      </c>
      <c r="N8" s="296"/>
      <c r="O8" s="296"/>
      <c r="P8" s="296"/>
      <c r="Q8" s="297">
        <v>1</v>
      </c>
      <c r="R8" s="296"/>
      <c r="S8" s="296"/>
      <c r="T8" s="297">
        <v>1</v>
      </c>
      <c r="U8" s="296"/>
      <c r="V8" s="296"/>
      <c r="W8" s="297">
        <v>16</v>
      </c>
      <c r="X8" s="297">
        <v>18</v>
      </c>
      <c r="Y8" s="297">
        <v>19</v>
      </c>
      <c r="Z8" s="297">
        <v>4</v>
      </c>
      <c r="AA8" s="297">
        <v>4</v>
      </c>
      <c r="AB8" s="297">
        <v>4</v>
      </c>
      <c r="AC8" s="296"/>
      <c r="AD8" s="296"/>
      <c r="AE8" s="297">
        <v>1</v>
      </c>
      <c r="AF8" s="296"/>
      <c r="AG8" s="297">
        <v>1</v>
      </c>
      <c r="AH8" s="297">
        <v>1</v>
      </c>
      <c r="AI8" s="296"/>
      <c r="AJ8" s="297">
        <v>1</v>
      </c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7">
        <v>1</v>
      </c>
      <c r="BB8" s="296"/>
      <c r="BC8" s="296"/>
      <c r="BD8" s="296"/>
      <c r="BE8" s="296"/>
      <c r="BF8" s="296"/>
      <c r="BG8" s="296"/>
      <c r="BH8" s="296"/>
      <c r="BI8" s="296"/>
      <c r="BJ8" s="296"/>
      <c r="BK8" s="297">
        <v>1</v>
      </c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7">
        <v>1</v>
      </c>
      <c r="CC8" s="296"/>
      <c r="CD8" s="296"/>
      <c r="CE8" s="297">
        <v>1</v>
      </c>
      <c r="CF8" s="296"/>
      <c r="CG8" s="296"/>
      <c r="CH8" s="296"/>
      <c r="CI8" s="296"/>
      <c r="CJ8" s="296"/>
      <c r="CK8" s="296"/>
      <c r="CL8" s="296"/>
      <c r="CM8" s="296"/>
      <c r="CN8" s="296"/>
      <c r="CO8" s="296"/>
      <c r="CP8" s="296"/>
      <c r="CQ8" s="296"/>
      <c r="CR8" s="297">
        <v>1</v>
      </c>
      <c r="CS8" s="296"/>
      <c r="CT8" s="298">
        <v>46661</v>
      </c>
    </row>
    <row r="9" spans="1:98" s="295" customFormat="1">
      <c r="A9" s="296" t="s">
        <v>8152</v>
      </c>
      <c r="B9" s="296" t="s">
        <v>8153</v>
      </c>
      <c r="C9" s="297">
        <v>30</v>
      </c>
      <c r="D9" s="296" t="s">
        <v>8147</v>
      </c>
      <c r="E9" s="296" t="s">
        <v>8154</v>
      </c>
      <c r="F9" s="296" t="s">
        <v>2472</v>
      </c>
      <c r="G9" s="296"/>
      <c r="H9" s="296"/>
      <c r="I9" s="297">
        <v>1</v>
      </c>
      <c r="J9" s="296"/>
      <c r="K9" s="296"/>
      <c r="L9" s="296"/>
      <c r="M9" s="297">
        <v>1</v>
      </c>
      <c r="N9" s="296"/>
      <c r="O9" s="296"/>
      <c r="P9" s="296"/>
      <c r="Q9" s="297">
        <v>1</v>
      </c>
      <c r="R9" s="296"/>
      <c r="S9" s="296"/>
      <c r="T9" s="297">
        <v>1</v>
      </c>
      <c r="U9" s="296"/>
      <c r="V9" s="296"/>
      <c r="W9" s="297">
        <v>15</v>
      </c>
      <c r="X9" s="297">
        <v>21</v>
      </c>
      <c r="Y9" s="297">
        <v>25</v>
      </c>
      <c r="Z9" s="297">
        <v>3</v>
      </c>
      <c r="AA9" s="297">
        <v>3</v>
      </c>
      <c r="AB9" s="297">
        <v>3</v>
      </c>
      <c r="AC9" s="296"/>
      <c r="AD9" s="297">
        <v>1</v>
      </c>
      <c r="AE9" s="297">
        <v>1</v>
      </c>
      <c r="AF9" s="296"/>
      <c r="AG9" s="297">
        <v>1</v>
      </c>
      <c r="AH9" s="297">
        <v>1</v>
      </c>
      <c r="AI9" s="296"/>
      <c r="AJ9" s="297">
        <v>1</v>
      </c>
      <c r="AK9" s="297">
        <v>1</v>
      </c>
      <c r="AL9" s="296"/>
      <c r="AM9" s="296"/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6"/>
      <c r="AX9" s="297">
        <v>1</v>
      </c>
      <c r="AY9" s="296"/>
      <c r="AZ9" s="296"/>
      <c r="BA9" s="297">
        <v>1</v>
      </c>
      <c r="BB9" s="296"/>
      <c r="BC9" s="296"/>
      <c r="BD9" s="296"/>
      <c r="BE9" s="296"/>
      <c r="BF9" s="296"/>
      <c r="BG9" s="296"/>
      <c r="BH9" s="296"/>
      <c r="BI9" s="296"/>
      <c r="BJ9" s="296"/>
      <c r="BK9" s="297">
        <v>1</v>
      </c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7">
        <v>1</v>
      </c>
      <c r="CC9" s="296"/>
      <c r="CD9" s="296"/>
      <c r="CE9" s="297">
        <v>1</v>
      </c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7">
        <v>1</v>
      </c>
      <c r="CS9" s="296"/>
      <c r="CT9" s="298">
        <v>46661</v>
      </c>
    </row>
    <row r="10" spans="1:98" s="295" customFormat="1">
      <c r="A10" s="296" t="s">
        <v>8155</v>
      </c>
      <c r="B10" s="296" t="s">
        <v>8156</v>
      </c>
      <c r="C10" s="297">
        <v>33</v>
      </c>
      <c r="D10" s="296" t="s">
        <v>8143</v>
      </c>
      <c r="E10" s="296" t="s">
        <v>191</v>
      </c>
      <c r="F10" s="296" t="s">
        <v>2472</v>
      </c>
      <c r="G10" s="296"/>
      <c r="H10" s="296"/>
      <c r="I10" s="297">
        <v>1</v>
      </c>
      <c r="J10" s="296"/>
      <c r="K10" s="296"/>
      <c r="L10" s="296"/>
      <c r="M10" s="297">
        <v>1</v>
      </c>
      <c r="N10" s="296"/>
      <c r="O10" s="296"/>
      <c r="P10" s="296"/>
      <c r="Q10" s="297">
        <v>1</v>
      </c>
      <c r="R10" s="296"/>
      <c r="S10" s="296"/>
      <c r="T10" s="297">
        <v>1</v>
      </c>
      <c r="U10" s="296"/>
      <c r="V10" s="296"/>
      <c r="W10" s="297">
        <v>13</v>
      </c>
      <c r="X10" s="297">
        <v>14</v>
      </c>
      <c r="Y10" s="297">
        <v>16</v>
      </c>
      <c r="Z10" s="297">
        <v>6</v>
      </c>
      <c r="AA10" s="297">
        <v>6</v>
      </c>
      <c r="AB10" s="297">
        <v>5</v>
      </c>
      <c r="AC10" s="296"/>
      <c r="AD10" s="296"/>
      <c r="AE10" s="297">
        <v>1</v>
      </c>
      <c r="AF10" s="296"/>
      <c r="AG10" s="297">
        <v>1</v>
      </c>
      <c r="AH10" s="297">
        <v>1</v>
      </c>
      <c r="AI10" s="296"/>
      <c r="AJ10" s="297">
        <v>1</v>
      </c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6"/>
      <c r="AX10" s="297">
        <v>1</v>
      </c>
      <c r="AY10" s="296"/>
      <c r="AZ10" s="296"/>
      <c r="BA10" s="297">
        <v>1</v>
      </c>
      <c r="BB10" s="296"/>
      <c r="BC10" s="296"/>
      <c r="BD10" s="296"/>
      <c r="BE10" s="296"/>
      <c r="BF10" s="296"/>
      <c r="BG10" s="296"/>
      <c r="BH10" s="296"/>
      <c r="BI10" s="296"/>
      <c r="BJ10" s="296"/>
      <c r="BK10" s="297">
        <v>1</v>
      </c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7">
        <v>1</v>
      </c>
      <c r="CS10" s="296"/>
      <c r="CT10" s="298">
        <v>46661</v>
      </c>
    </row>
    <row r="11" spans="1:98" s="295" customFormat="1">
      <c r="A11" s="296" t="s">
        <v>8157</v>
      </c>
      <c r="B11" s="296" t="s">
        <v>8158</v>
      </c>
      <c r="C11" s="297">
        <v>80</v>
      </c>
      <c r="D11" s="296" t="s">
        <v>8159</v>
      </c>
      <c r="E11" s="296" t="s">
        <v>8160</v>
      </c>
      <c r="F11" s="296" t="s">
        <v>2472</v>
      </c>
      <c r="G11" s="296"/>
      <c r="H11" s="296"/>
      <c r="I11" s="297">
        <v>1</v>
      </c>
      <c r="J11" s="296"/>
      <c r="K11" s="296"/>
      <c r="L11" s="296"/>
      <c r="M11" s="296"/>
      <c r="N11" s="296"/>
      <c r="O11" s="296"/>
      <c r="P11" s="297">
        <v>1</v>
      </c>
      <c r="Q11" s="297">
        <v>1</v>
      </c>
      <c r="R11" s="296"/>
      <c r="S11" s="297">
        <v>1</v>
      </c>
      <c r="T11" s="296"/>
      <c r="U11" s="296"/>
      <c r="V11" s="296"/>
      <c r="W11" s="297">
        <v>14</v>
      </c>
      <c r="X11" s="297">
        <v>18</v>
      </c>
      <c r="Y11" s="297">
        <v>0</v>
      </c>
      <c r="Z11" s="297">
        <v>9</v>
      </c>
      <c r="AA11" s="297">
        <v>9</v>
      </c>
      <c r="AB11" s="297">
        <v>8</v>
      </c>
      <c r="AC11" s="296"/>
      <c r="AD11" s="296"/>
      <c r="AE11" s="297">
        <v>1</v>
      </c>
      <c r="AF11" s="296"/>
      <c r="AG11" s="296"/>
      <c r="AH11" s="296"/>
      <c r="AI11" s="297">
        <v>1</v>
      </c>
      <c r="AJ11" s="296"/>
      <c r="AK11" s="296"/>
      <c r="AL11" s="296"/>
      <c r="AM11" s="297">
        <v>1</v>
      </c>
      <c r="AN11" s="296"/>
      <c r="AO11" s="296"/>
      <c r="AP11" s="296"/>
      <c r="AQ11" s="296"/>
      <c r="AR11" s="296"/>
      <c r="AS11" s="296"/>
      <c r="AT11" s="297">
        <v>1</v>
      </c>
      <c r="AU11" s="296"/>
      <c r="AV11" s="296"/>
      <c r="AW11" s="297">
        <v>1</v>
      </c>
      <c r="AX11" s="296"/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7">
        <v>1</v>
      </c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7">
        <v>1</v>
      </c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7">
        <v>1</v>
      </c>
      <c r="CS11" s="296"/>
      <c r="CT11" s="298">
        <v>46661</v>
      </c>
    </row>
    <row r="12" spans="1:98" s="295" customFormat="1">
      <c r="A12" s="296" t="s">
        <v>8161</v>
      </c>
      <c r="B12" s="296" t="s">
        <v>4325</v>
      </c>
      <c r="C12" s="297">
        <v>45</v>
      </c>
      <c r="D12" s="296" t="s">
        <v>8162</v>
      </c>
      <c r="E12" s="296" t="s">
        <v>8163</v>
      </c>
      <c r="F12" s="296" t="s">
        <v>2472</v>
      </c>
      <c r="G12" s="296"/>
      <c r="H12" s="296"/>
      <c r="I12" s="297">
        <v>1</v>
      </c>
      <c r="J12" s="296"/>
      <c r="K12" s="296"/>
      <c r="L12" s="296"/>
      <c r="M12" s="297">
        <v>1</v>
      </c>
      <c r="N12" s="296"/>
      <c r="O12" s="296"/>
      <c r="P12" s="296"/>
      <c r="Q12" s="297">
        <v>1</v>
      </c>
      <c r="R12" s="296"/>
      <c r="S12" s="297">
        <v>1</v>
      </c>
      <c r="T12" s="296"/>
      <c r="U12" s="296"/>
      <c r="V12" s="296"/>
      <c r="W12" s="297">
        <v>16</v>
      </c>
      <c r="X12" s="297">
        <v>17</v>
      </c>
      <c r="Y12" s="297">
        <v>18</v>
      </c>
      <c r="Z12" s="297">
        <v>14</v>
      </c>
      <c r="AA12" s="297">
        <v>7</v>
      </c>
      <c r="AB12" s="297">
        <v>5</v>
      </c>
      <c r="AC12" s="296"/>
      <c r="AD12" s="296"/>
      <c r="AE12" s="296"/>
      <c r="AF12" s="296"/>
      <c r="AG12" s="296"/>
      <c r="AH12" s="297">
        <v>1</v>
      </c>
      <c r="AI12" s="296"/>
      <c r="AJ12" s="297">
        <v>1</v>
      </c>
      <c r="AK12" s="297">
        <v>1</v>
      </c>
      <c r="AL12" s="296"/>
      <c r="AM12" s="296"/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7">
        <v>1</v>
      </c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7">
        <v>1</v>
      </c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7">
        <v>1</v>
      </c>
      <c r="CS12" s="296"/>
      <c r="CT12" s="298">
        <v>46661</v>
      </c>
    </row>
    <row r="13" spans="1:98" s="295" customFormat="1">
      <c r="A13" s="296" t="s">
        <v>8164</v>
      </c>
      <c r="B13" s="296" t="s">
        <v>8165</v>
      </c>
      <c r="C13" s="297">
        <v>48</v>
      </c>
      <c r="D13" s="296" t="s">
        <v>8147</v>
      </c>
      <c r="E13" s="296" t="s">
        <v>8166</v>
      </c>
      <c r="F13" s="296" t="s">
        <v>2523</v>
      </c>
      <c r="G13" s="296"/>
      <c r="H13" s="296"/>
      <c r="I13" s="297">
        <v>1</v>
      </c>
      <c r="J13" s="296"/>
      <c r="K13" s="296"/>
      <c r="L13" s="296"/>
      <c r="M13" s="297">
        <v>1</v>
      </c>
      <c r="N13" s="296"/>
      <c r="O13" s="296"/>
      <c r="P13" s="296"/>
      <c r="Q13" s="296"/>
      <c r="R13" s="297">
        <v>1</v>
      </c>
      <c r="S13" s="297">
        <v>1</v>
      </c>
      <c r="T13" s="296"/>
      <c r="U13" s="296"/>
      <c r="V13" s="296"/>
      <c r="W13" s="297">
        <v>14</v>
      </c>
      <c r="X13" s="297">
        <v>18</v>
      </c>
      <c r="Y13" s="297">
        <v>20</v>
      </c>
      <c r="Z13" s="297">
        <v>7</v>
      </c>
      <c r="AA13" s="297">
        <v>7</v>
      </c>
      <c r="AB13" s="297">
        <v>7</v>
      </c>
      <c r="AC13" s="296"/>
      <c r="AD13" s="296"/>
      <c r="AE13" s="297">
        <v>1</v>
      </c>
      <c r="AF13" s="296"/>
      <c r="AG13" s="297">
        <v>1</v>
      </c>
      <c r="AH13" s="297">
        <v>1</v>
      </c>
      <c r="AI13" s="296"/>
      <c r="AJ13" s="297">
        <v>1</v>
      </c>
      <c r="AK13" s="297">
        <v>1</v>
      </c>
      <c r="AL13" s="296"/>
      <c r="AM13" s="296"/>
      <c r="AN13" s="296"/>
      <c r="AO13" s="296"/>
      <c r="AP13" s="296"/>
      <c r="AQ13" s="296"/>
      <c r="AR13" s="296"/>
      <c r="AS13" s="296"/>
      <c r="AT13" s="297">
        <v>1</v>
      </c>
      <c r="AU13" s="296"/>
      <c r="AV13" s="296"/>
      <c r="AW13" s="297">
        <v>1</v>
      </c>
      <c r="AX13" s="296"/>
      <c r="AY13" s="296"/>
      <c r="AZ13" s="296"/>
      <c r="BA13" s="297">
        <v>1</v>
      </c>
      <c r="BB13" s="296"/>
      <c r="BC13" s="296"/>
      <c r="BD13" s="296"/>
      <c r="BE13" s="296"/>
      <c r="BF13" s="296"/>
      <c r="BG13" s="296"/>
      <c r="BH13" s="296"/>
      <c r="BI13" s="296"/>
      <c r="BJ13" s="296"/>
      <c r="BK13" s="297">
        <v>1</v>
      </c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7">
        <v>1</v>
      </c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7">
        <v>1</v>
      </c>
      <c r="CS13" s="296"/>
      <c r="CT13" s="298">
        <v>46661</v>
      </c>
    </row>
    <row r="14" spans="1:98" s="295" customFormat="1">
      <c r="A14" s="296" t="s">
        <v>8167</v>
      </c>
      <c r="B14" s="296" t="s">
        <v>8168</v>
      </c>
      <c r="C14" s="297">
        <v>37</v>
      </c>
      <c r="D14" s="296" t="s">
        <v>8169</v>
      </c>
      <c r="E14" s="296" t="s">
        <v>8170</v>
      </c>
      <c r="F14" s="296" t="s">
        <v>2472</v>
      </c>
      <c r="G14" s="296"/>
      <c r="H14" s="297">
        <v>1</v>
      </c>
      <c r="I14" s="296"/>
      <c r="J14" s="296"/>
      <c r="K14" s="296"/>
      <c r="L14" s="296"/>
      <c r="M14" s="296"/>
      <c r="N14" s="296"/>
      <c r="O14" s="297">
        <v>1</v>
      </c>
      <c r="P14" s="296"/>
      <c r="Q14" s="296"/>
      <c r="R14" s="297">
        <v>1</v>
      </c>
      <c r="S14" s="296"/>
      <c r="T14" s="297">
        <v>1</v>
      </c>
      <c r="U14" s="296"/>
      <c r="V14" s="296"/>
      <c r="W14" s="297">
        <v>15</v>
      </c>
      <c r="X14" s="297">
        <v>17</v>
      </c>
      <c r="Y14" s="297">
        <v>20</v>
      </c>
      <c r="Z14" s="297">
        <v>2</v>
      </c>
      <c r="AA14" s="297">
        <v>2</v>
      </c>
      <c r="AB14" s="297">
        <v>2</v>
      </c>
      <c r="AC14" s="296"/>
      <c r="AD14" s="296"/>
      <c r="AE14" s="297">
        <v>1</v>
      </c>
      <c r="AF14" s="296"/>
      <c r="AG14" s="296"/>
      <c r="AH14" s="297">
        <v>1</v>
      </c>
      <c r="AI14" s="296"/>
      <c r="AJ14" s="297">
        <v>1</v>
      </c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7">
        <v>1</v>
      </c>
      <c r="AX14" s="296"/>
      <c r="AY14" s="296"/>
      <c r="AZ14" s="296"/>
      <c r="BA14" s="297">
        <v>1</v>
      </c>
      <c r="BB14" s="296"/>
      <c r="BC14" s="296"/>
      <c r="BD14" s="296"/>
      <c r="BE14" s="296"/>
      <c r="BF14" s="296"/>
      <c r="BG14" s="296"/>
      <c r="BH14" s="296"/>
      <c r="BI14" s="296"/>
      <c r="BJ14" s="296"/>
      <c r="BK14" s="297">
        <v>1</v>
      </c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7">
        <v>1</v>
      </c>
      <c r="CC14" s="296"/>
      <c r="CD14" s="296"/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7">
        <v>1</v>
      </c>
      <c r="CS14" s="296"/>
      <c r="CT14" s="298">
        <v>46661</v>
      </c>
    </row>
    <row r="15" spans="1:98" s="295" customFormat="1">
      <c r="A15" s="296" t="s">
        <v>8171</v>
      </c>
      <c r="B15" s="296" t="s">
        <v>8172</v>
      </c>
      <c r="C15" s="297">
        <v>45</v>
      </c>
      <c r="D15" s="296" t="s">
        <v>8169</v>
      </c>
      <c r="E15" s="296" t="s">
        <v>8173</v>
      </c>
      <c r="F15" s="296" t="s">
        <v>2472</v>
      </c>
      <c r="G15" s="296"/>
      <c r="H15" s="296"/>
      <c r="I15" s="296"/>
      <c r="J15" s="297">
        <v>1</v>
      </c>
      <c r="K15" s="296"/>
      <c r="L15" s="296"/>
      <c r="M15" s="297">
        <v>1</v>
      </c>
      <c r="N15" s="296"/>
      <c r="O15" s="296"/>
      <c r="P15" s="296"/>
      <c r="Q15" s="296"/>
      <c r="R15" s="297">
        <v>1</v>
      </c>
      <c r="S15" s="297">
        <v>1</v>
      </c>
      <c r="T15" s="296"/>
      <c r="U15" s="296"/>
      <c r="V15" s="296"/>
      <c r="W15" s="297">
        <v>16</v>
      </c>
      <c r="X15" s="297">
        <v>18</v>
      </c>
      <c r="Y15" s="297">
        <v>19</v>
      </c>
      <c r="Z15" s="297">
        <v>9</v>
      </c>
      <c r="AA15" s="297">
        <v>9</v>
      </c>
      <c r="AB15" s="297">
        <v>9</v>
      </c>
      <c r="AC15" s="296"/>
      <c r="AD15" s="296"/>
      <c r="AE15" s="297">
        <v>1</v>
      </c>
      <c r="AF15" s="296"/>
      <c r="AG15" s="296"/>
      <c r="AH15" s="296"/>
      <c r="AI15" s="296"/>
      <c r="AJ15" s="297">
        <v>1</v>
      </c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7">
        <v>1</v>
      </c>
      <c r="AX15" s="296"/>
      <c r="AY15" s="296"/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7">
        <v>1</v>
      </c>
      <c r="CS15" s="296"/>
      <c r="CT15" s="296"/>
    </row>
    <row r="16" spans="1:98" s="295" customFormat="1">
      <c r="A16" s="296" t="s">
        <v>8174</v>
      </c>
      <c r="B16" s="296" t="s">
        <v>8175</v>
      </c>
      <c r="C16" s="297">
        <v>55</v>
      </c>
      <c r="D16" s="296" t="s">
        <v>8139</v>
      </c>
      <c r="E16" s="296" t="s">
        <v>8176</v>
      </c>
      <c r="F16" s="296" t="s">
        <v>2985</v>
      </c>
      <c r="G16" s="296"/>
      <c r="H16" s="296"/>
      <c r="I16" s="297">
        <v>1</v>
      </c>
      <c r="J16" s="296"/>
      <c r="K16" s="296"/>
      <c r="L16" s="296"/>
      <c r="M16" s="297">
        <v>1</v>
      </c>
      <c r="N16" s="296"/>
      <c r="O16" s="296"/>
      <c r="P16" s="296"/>
      <c r="Q16" s="296"/>
      <c r="R16" s="297">
        <v>1</v>
      </c>
      <c r="S16" s="296"/>
      <c r="T16" s="297">
        <v>1</v>
      </c>
      <c r="U16" s="296"/>
      <c r="V16" s="296"/>
      <c r="W16" s="297">
        <v>0</v>
      </c>
      <c r="X16" s="297">
        <v>18</v>
      </c>
      <c r="Y16" s="297">
        <v>0</v>
      </c>
      <c r="Z16" s="297">
        <v>9</v>
      </c>
      <c r="AA16" s="297">
        <v>9</v>
      </c>
      <c r="AB16" s="297">
        <v>7</v>
      </c>
      <c r="AC16" s="296"/>
      <c r="AD16" s="296"/>
      <c r="AE16" s="296"/>
      <c r="AF16" s="296"/>
      <c r="AG16" s="296"/>
      <c r="AH16" s="297">
        <v>1</v>
      </c>
      <c r="AI16" s="297">
        <v>1</v>
      </c>
      <c r="AJ16" s="296"/>
      <c r="AK16" s="297">
        <v>1</v>
      </c>
      <c r="AL16" s="296"/>
      <c r="AM16" s="296"/>
      <c r="AN16" s="296"/>
      <c r="AO16" s="296"/>
      <c r="AP16" s="296"/>
      <c r="AQ16" s="296"/>
      <c r="AR16" s="296"/>
      <c r="AS16" s="296"/>
      <c r="AT16" s="297">
        <v>1</v>
      </c>
      <c r="AU16" s="296"/>
      <c r="AV16" s="296"/>
      <c r="AW16" s="297">
        <v>1</v>
      </c>
      <c r="AX16" s="296"/>
      <c r="AY16" s="296"/>
      <c r="AZ16" s="296"/>
      <c r="BA16" s="297">
        <v>1</v>
      </c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7">
        <v>1</v>
      </c>
      <c r="CC16" s="296"/>
      <c r="CD16" s="296"/>
      <c r="CE16" s="297">
        <v>1</v>
      </c>
      <c r="CF16" s="296"/>
      <c r="CG16" s="296"/>
      <c r="CH16" s="296"/>
      <c r="CI16" s="296"/>
      <c r="CJ16" s="296"/>
      <c r="CK16" s="297">
        <v>1</v>
      </c>
      <c r="CL16" s="296"/>
      <c r="CM16" s="296"/>
      <c r="CN16" s="296"/>
      <c r="CO16" s="296"/>
      <c r="CP16" s="296"/>
      <c r="CQ16" s="296"/>
      <c r="CR16" s="297">
        <v>1</v>
      </c>
      <c r="CS16" s="296"/>
      <c r="CT16" s="296"/>
    </row>
    <row r="17" spans="1:98" s="295" customFormat="1">
      <c r="A17" s="296" t="s">
        <v>8177</v>
      </c>
      <c r="B17" s="296" t="s">
        <v>8178</v>
      </c>
      <c r="C17" s="297">
        <v>45</v>
      </c>
      <c r="D17" s="296" t="s">
        <v>8169</v>
      </c>
      <c r="E17" s="296" t="s">
        <v>8179</v>
      </c>
      <c r="F17" s="296" t="s">
        <v>2472</v>
      </c>
      <c r="G17" s="296"/>
      <c r="H17" s="296"/>
      <c r="I17" s="297">
        <v>1</v>
      </c>
      <c r="J17" s="296"/>
      <c r="K17" s="296"/>
      <c r="L17" s="296"/>
      <c r="M17" s="296"/>
      <c r="N17" s="296"/>
      <c r="O17" s="296"/>
      <c r="P17" s="297">
        <v>1</v>
      </c>
      <c r="Q17" s="297">
        <v>1</v>
      </c>
      <c r="R17" s="296"/>
      <c r="S17" s="297">
        <v>1</v>
      </c>
      <c r="T17" s="296"/>
      <c r="U17" s="296"/>
      <c r="V17" s="296"/>
      <c r="W17" s="297">
        <v>13</v>
      </c>
      <c r="X17" s="297">
        <v>15</v>
      </c>
      <c r="Y17" s="297">
        <v>17</v>
      </c>
      <c r="Z17" s="297">
        <v>5</v>
      </c>
      <c r="AA17" s="297">
        <v>5</v>
      </c>
      <c r="AB17" s="297">
        <v>5</v>
      </c>
      <c r="AC17" s="297">
        <v>1</v>
      </c>
      <c r="AD17" s="296"/>
      <c r="AE17" s="296"/>
      <c r="AF17" s="296"/>
      <c r="AG17" s="296"/>
      <c r="AH17" s="296"/>
      <c r="AI17" s="296"/>
      <c r="AJ17" s="297">
        <v>1</v>
      </c>
      <c r="AK17" s="297">
        <v>1</v>
      </c>
      <c r="AL17" s="296"/>
      <c r="AM17" s="296"/>
      <c r="AN17" s="296"/>
      <c r="AO17" s="296"/>
      <c r="AP17" s="296"/>
      <c r="AQ17" s="296"/>
      <c r="AR17" s="296"/>
      <c r="AS17" s="296"/>
      <c r="AT17" s="297">
        <v>1</v>
      </c>
      <c r="AU17" s="296"/>
      <c r="AV17" s="296"/>
      <c r="AW17" s="297">
        <v>1</v>
      </c>
      <c r="AX17" s="296"/>
      <c r="AY17" s="296"/>
      <c r="AZ17" s="296"/>
      <c r="BA17" s="297">
        <v>1</v>
      </c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7">
        <v>1</v>
      </c>
      <c r="CC17" s="296"/>
      <c r="CD17" s="296"/>
      <c r="CE17" s="297">
        <v>1</v>
      </c>
      <c r="CF17" s="296"/>
      <c r="CG17" s="296"/>
      <c r="CH17" s="296"/>
      <c r="CI17" s="296"/>
      <c r="CJ17" s="296"/>
      <c r="CK17" s="297">
        <v>1</v>
      </c>
      <c r="CL17" s="296"/>
      <c r="CM17" s="296"/>
      <c r="CN17" s="296"/>
      <c r="CO17" s="296"/>
      <c r="CP17" s="296"/>
      <c r="CQ17" s="296"/>
      <c r="CR17" s="297">
        <v>1</v>
      </c>
      <c r="CS17" s="296"/>
      <c r="CT17" s="296"/>
    </row>
    <row r="18" spans="1:98" s="295" customFormat="1">
      <c r="A18" s="296" t="s">
        <v>8180</v>
      </c>
      <c r="B18" s="296" t="s">
        <v>8181</v>
      </c>
      <c r="C18" s="297">
        <v>48</v>
      </c>
      <c r="D18" s="296" t="s">
        <v>8169</v>
      </c>
      <c r="E18" s="296" t="s">
        <v>191</v>
      </c>
      <c r="F18" s="296" t="s">
        <v>2472</v>
      </c>
      <c r="G18" s="296"/>
      <c r="H18" s="296"/>
      <c r="I18" s="297">
        <v>1</v>
      </c>
      <c r="J18" s="296"/>
      <c r="K18" s="296"/>
      <c r="L18" s="296"/>
      <c r="M18" s="297">
        <v>1</v>
      </c>
      <c r="N18" s="296"/>
      <c r="O18" s="296"/>
      <c r="P18" s="296"/>
      <c r="Q18" s="296"/>
      <c r="R18" s="297">
        <v>1</v>
      </c>
      <c r="S18" s="297">
        <v>1</v>
      </c>
      <c r="T18" s="296"/>
      <c r="U18" s="296"/>
      <c r="V18" s="296"/>
      <c r="W18" s="297">
        <v>11</v>
      </c>
      <c r="X18" s="297">
        <v>20</v>
      </c>
      <c r="Y18" s="297">
        <v>20</v>
      </c>
      <c r="Z18" s="297">
        <v>18</v>
      </c>
      <c r="AA18" s="297">
        <v>14</v>
      </c>
      <c r="AB18" s="297">
        <v>10</v>
      </c>
      <c r="AC18" s="296"/>
      <c r="AD18" s="296"/>
      <c r="AE18" s="296"/>
      <c r="AF18" s="296"/>
      <c r="AG18" s="297">
        <v>1</v>
      </c>
      <c r="AH18" s="297">
        <v>1</v>
      </c>
      <c r="AI18" s="297">
        <v>1</v>
      </c>
      <c r="AJ18" s="296"/>
      <c r="AK18" s="296"/>
      <c r="AL18" s="296"/>
      <c r="AM18" s="297">
        <v>1</v>
      </c>
      <c r="AN18" s="296"/>
      <c r="AO18" s="296"/>
      <c r="AP18" s="296"/>
      <c r="AQ18" s="296"/>
      <c r="AR18" s="296"/>
      <c r="AS18" s="296"/>
      <c r="AT18" s="297">
        <v>1</v>
      </c>
      <c r="AU18" s="296"/>
      <c r="AV18" s="296"/>
      <c r="AW18" s="297">
        <v>1</v>
      </c>
      <c r="AX18" s="296"/>
      <c r="AY18" s="296"/>
      <c r="AZ18" s="296"/>
      <c r="BA18" s="297">
        <v>1</v>
      </c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7">
        <v>1</v>
      </c>
      <c r="CC18" s="296"/>
      <c r="CD18" s="296"/>
      <c r="CE18" s="297">
        <v>1</v>
      </c>
      <c r="CF18" s="296"/>
      <c r="CG18" s="296"/>
      <c r="CH18" s="296"/>
      <c r="CI18" s="296"/>
      <c r="CJ18" s="296"/>
      <c r="CK18" s="297">
        <v>1</v>
      </c>
      <c r="CL18" s="296"/>
      <c r="CM18" s="296"/>
      <c r="CN18" s="296"/>
      <c r="CO18" s="296"/>
      <c r="CP18" s="296"/>
      <c r="CQ18" s="296"/>
      <c r="CR18" s="297">
        <v>1</v>
      </c>
      <c r="CS18" s="296"/>
      <c r="CT18" s="296"/>
    </row>
    <row r="19" spans="1:98" s="295" customFormat="1">
      <c r="A19" s="296" t="s">
        <v>8182</v>
      </c>
      <c r="B19" s="296" t="s">
        <v>8183</v>
      </c>
      <c r="C19" s="297">
        <v>54</v>
      </c>
      <c r="D19" s="296" t="s">
        <v>8143</v>
      </c>
      <c r="E19" s="296" t="s">
        <v>191</v>
      </c>
      <c r="F19" s="296" t="s">
        <v>1509</v>
      </c>
      <c r="G19" s="296"/>
      <c r="H19" s="296"/>
      <c r="I19" s="297">
        <v>1</v>
      </c>
      <c r="J19" s="296"/>
      <c r="K19" s="296"/>
      <c r="L19" s="296"/>
      <c r="M19" s="297">
        <v>1</v>
      </c>
      <c r="N19" s="296"/>
      <c r="O19" s="296"/>
      <c r="P19" s="296"/>
      <c r="Q19" s="297">
        <v>1</v>
      </c>
      <c r="R19" s="296"/>
      <c r="S19" s="296"/>
      <c r="T19" s="297">
        <v>1</v>
      </c>
      <c r="U19" s="296"/>
      <c r="V19" s="296"/>
      <c r="W19" s="297">
        <v>20</v>
      </c>
      <c r="X19" s="297">
        <v>20</v>
      </c>
      <c r="Y19" s="297">
        <v>20</v>
      </c>
      <c r="Z19" s="297">
        <v>8</v>
      </c>
      <c r="AA19" s="297">
        <v>8</v>
      </c>
      <c r="AB19" s="297">
        <v>8</v>
      </c>
      <c r="AC19" s="296"/>
      <c r="AD19" s="296"/>
      <c r="AE19" s="297">
        <v>1</v>
      </c>
      <c r="AF19" s="296"/>
      <c r="AG19" s="297">
        <v>1</v>
      </c>
      <c r="AH19" s="297">
        <v>1</v>
      </c>
      <c r="AI19" s="297">
        <v>1</v>
      </c>
      <c r="AJ19" s="296"/>
      <c r="AK19" s="297">
        <v>1</v>
      </c>
      <c r="AL19" s="296"/>
      <c r="AM19" s="296"/>
      <c r="AN19" s="296"/>
      <c r="AO19" s="296"/>
      <c r="AP19" s="296"/>
      <c r="AQ19" s="296"/>
      <c r="AR19" s="296"/>
      <c r="AS19" s="296"/>
      <c r="AT19" s="297">
        <v>1</v>
      </c>
      <c r="AU19" s="296"/>
      <c r="AV19" s="296"/>
      <c r="AW19" s="297">
        <v>1</v>
      </c>
      <c r="AX19" s="296"/>
      <c r="AY19" s="296"/>
      <c r="AZ19" s="296"/>
      <c r="BA19" s="297">
        <v>1</v>
      </c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7">
        <v>1</v>
      </c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7">
        <v>1</v>
      </c>
      <c r="BZ19" s="296"/>
      <c r="CA19" s="296"/>
      <c r="CB19" s="297">
        <v>1</v>
      </c>
      <c r="CC19" s="296"/>
      <c r="CD19" s="296"/>
      <c r="CE19" s="297">
        <v>1</v>
      </c>
      <c r="CF19" s="296"/>
      <c r="CG19" s="296"/>
      <c r="CH19" s="296"/>
      <c r="CI19" s="296"/>
      <c r="CJ19" s="296"/>
      <c r="CK19" s="297">
        <v>1</v>
      </c>
      <c r="CL19" s="296"/>
      <c r="CM19" s="296"/>
      <c r="CN19" s="296"/>
      <c r="CO19" s="296"/>
      <c r="CP19" s="296"/>
      <c r="CQ19" s="296"/>
      <c r="CR19" s="297">
        <v>1</v>
      </c>
      <c r="CS19" s="296"/>
      <c r="CT19" s="298">
        <v>46661</v>
      </c>
    </row>
    <row r="20" spans="1:98" s="295" customFormat="1">
      <c r="A20" s="296" t="s">
        <v>8184</v>
      </c>
      <c r="B20" s="296" t="s">
        <v>8185</v>
      </c>
      <c r="C20" s="297">
        <v>87</v>
      </c>
      <c r="D20" s="296" t="s">
        <v>8169</v>
      </c>
      <c r="E20" s="296" t="s">
        <v>191</v>
      </c>
      <c r="F20" s="296" t="s">
        <v>2472</v>
      </c>
      <c r="G20" s="296"/>
      <c r="H20" s="297">
        <v>1</v>
      </c>
      <c r="I20" s="296"/>
      <c r="J20" s="296"/>
      <c r="K20" s="296"/>
      <c r="L20" s="296"/>
      <c r="M20" s="296"/>
      <c r="N20" s="296"/>
      <c r="O20" s="296"/>
      <c r="P20" s="297">
        <v>1</v>
      </c>
      <c r="Q20" s="297">
        <v>1</v>
      </c>
      <c r="R20" s="296"/>
      <c r="S20" s="296"/>
      <c r="T20" s="297">
        <v>1</v>
      </c>
      <c r="U20" s="296"/>
      <c r="V20" s="296"/>
      <c r="W20" s="297">
        <v>0</v>
      </c>
      <c r="X20" s="297">
        <v>0</v>
      </c>
      <c r="Y20" s="297">
        <v>0</v>
      </c>
      <c r="Z20" s="297">
        <v>11</v>
      </c>
      <c r="AA20" s="297">
        <v>11</v>
      </c>
      <c r="AB20" s="297">
        <v>10</v>
      </c>
      <c r="AC20" s="296"/>
      <c r="AD20" s="296"/>
      <c r="AE20" s="297">
        <v>1</v>
      </c>
      <c r="AF20" s="296"/>
      <c r="AG20" s="297">
        <v>1</v>
      </c>
      <c r="AH20" s="297">
        <v>1</v>
      </c>
      <c r="AI20" s="297">
        <v>1</v>
      </c>
      <c r="AJ20" s="296"/>
      <c r="AK20" s="296"/>
      <c r="AL20" s="296"/>
      <c r="AM20" s="297">
        <v>1</v>
      </c>
      <c r="AN20" s="296"/>
      <c r="AO20" s="296"/>
      <c r="AP20" s="296"/>
      <c r="AQ20" s="296"/>
      <c r="AR20" s="296"/>
      <c r="AS20" s="296"/>
      <c r="AT20" s="297">
        <v>1</v>
      </c>
      <c r="AU20" s="296"/>
      <c r="AV20" s="296"/>
      <c r="AW20" s="297">
        <v>1</v>
      </c>
      <c r="AX20" s="296"/>
      <c r="AY20" s="296"/>
      <c r="AZ20" s="296"/>
      <c r="BA20" s="297">
        <v>1</v>
      </c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7">
        <v>1</v>
      </c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7">
        <v>1</v>
      </c>
      <c r="BZ20" s="296"/>
      <c r="CA20" s="296"/>
      <c r="CB20" s="297">
        <v>1</v>
      </c>
      <c r="CC20" s="296"/>
      <c r="CD20" s="296"/>
      <c r="CE20" s="297">
        <v>1</v>
      </c>
      <c r="CF20" s="296"/>
      <c r="CG20" s="296"/>
      <c r="CH20" s="296"/>
      <c r="CI20" s="296"/>
      <c r="CJ20" s="296"/>
      <c r="CK20" s="297">
        <v>1</v>
      </c>
      <c r="CL20" s="296"/>
      <c r="CM20" s="296"/>
      <c r="CN20" s="296"/>
      <c r="CO20" s="296"/>
      <c r="CP20" s="296"/>
      <c r="CQ20" s="296"/>
      <c r="CR20" s="297">
        <v>1</v>
      </c>
      <c r="CS20" s="296"/>
      <c r="CT20" s="298">
        <v>46661</v>
      </c>
    </row>
    <row r="21" spans="1:98" s="295" customFormat="1">
      <c r="A21" s="296" t="s">
        <v>8186</v>
      </c>
      <c r="B21" s="296" t="s">
        <v>8187</v>
      </c>
      <c r="C21" s="297">
        <v>50</v>
      </c>
      <c r="D21" s="296" t="s">
        <v>8169</v>
      </c>
      <c r="E21" s="296" t="s">
        <v>8188</v>
      </c>
      <c r="F21" s="296" t="s">
        <v>2472</v>
      </c>
      <c r="G21" s="296"/>
      <c r="H21" s="296"/>
      <c r="I21" s="297">
        <v>1</v>
      </c>
      <c r="J21" s="296"/>
      <c r="K21" s="296"/>
      <c r="L21" s="296"/>
      <c r="M21" s="297">
        <v>1</v>
      </c>
      <c r="N21" s="296"/>
      <c r="O21" s="296"/>
      <c r="P21" s="296"/>
      <c r="Q21" s="296"/>
      <c r="R21" s="297">
        <v>1</v>
      </c>
      <c r="S21" s="296"/>
      <c r="T21" s="297">
        <v>1</v>
      </c>
      <c r="U21" s="296"/>
      <c r="V21" s="296"/>
      <c r="W21" s="297">
        <v>14</v>
      </c>
      <c r="X21" s="297">
        <v>18</v>
      </c>
      <c r="Y21" s="297">
        <v>20</v>
      </c>
      <c r="Z21" s="297">
        <v>10</v>
      </c>
      <c r="AA21" s="297">
        <v>10</v>
      </c>
      <c r="AB21" s="297">
        <v>9</v>
      </c>
      <c r="AC21" s="296"/>
      <c r="AD21" s="296"/>
      <c r="AE21" s="297">
        <v>1</v>
      </c>
      <c r="AF21" s="296"/>
      <c r="AG21" s="296"/>
      <c r="AH21" s="296"/>
      <c r="AI21" s="296"/>
      <c r="AJ21" s="297">
        <v>1</v>
      </c>
      <c r="AK21" s="296"/>
      <c r="AL21" s="296"/>
      <c r="AM21" s="297">
        <v>1</v>
      </c>
      <c r="AN21" s="296"/>
      <c r="AO21" s="296"/>
      <c r="AP21" s="296"/>
      <c r="AQ21" s="296"/>
      <c r="AR21" s="296"/>
      <c r="AS21" s="296"/>
      <c r="AT21" s="297">
        <v>1</v>
      </c>
      <c r="AU21" s="296"/>
      <c r="AV21" s="296"/>
      <c r="AW21" s="297">
        <v>1</v>
      </c>
      <c r="AX21" s="296"/>
      <c r="AY21" s="296"/>
      <c r="AZ21" s="296"/>
      <c r="BA21" s="297">
        <v>1</v>
      </c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7">
        <v>1</v>
      </c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7">
        <v>1</v>
      </c>
      <c r="CC21" s="296"/>
      <c r="CD21" s="296"/>
      <c r="CE21" s="297">
        <v>1</v>
      </c>
      <c r="CF21" s="296"/>
      <c r="CG21" s="296"/>
      <c r="CH21" s="296"/>
      <c r="CI21" s="296"/>
      <c r="CJ21" s="296"/>
      <c r="CK21" s="296"/>
      <c r="CL21" s="296"/>
      <c r="CM21" s="296"/>
      <c r="CN21" s="296"/>
      <c r="CO21" s="296"/>
      <c r="CP21" s="296"/>
      <c r="CQ21" s="296"/>
      <c r="CR21" s="297">
        <v>1</v>
      </c>
      <c r="CS21" s="296"/>
      <c r="CT21" s="298">
        <v>46661</v>
      </c>
    </row>
    <row r="22" spans="1:98" s="295" customFormat="1">
      <c r="A22" s="296" t="s">
        <v>8189</v>
      </c>
      <c r="B22" s="296" t="s">
        <v>2273</v>
      </c>
      <c r="C22" s="297">
        <v>55</v>
      </c>
      <c r="D22" s="296" t="s">
        <v>8143</v>
      </c>
      <c r="E22" s="296" t="s">
        <v>8190</v>
      </c>
      <c r="F22" s="296" t="s">
        <v>2472</v>
      </c>
      <c r="G22" s="296"/>
      <c r="H22" s="296"/>
      <c r="I22" s="296"/>
      <c r="J22" s="297">
        <v>1</v>
      </c>
      <c r="K22" s="296"/>
      <c r="L22" s="296"/>
      <c r="M22" s="296"/>
      <c r="N22" s="296"/>
      <c r="O22" s="297">
        <v>1</v>
      </c>
      <c r="P22" s="296"/>
      <c r="Q22" s="296"/>
      <c r="R22" s="297">
        <v>1</v>
      </c>
      <c r="S22" s="296"/>
      <c r="T22" s="297">
        <v>1</v>
      </c>
      <c r="U22" s="296"/>
      <c r="V22" s="296"/>
      <c r="W22" s="297">
        <v>14</v>
      </c>
      <c r="X22" s="297">
        <v>19</v>
      </c>
      <c r="Y22" s="297">
        <v>22</v>
      </c>
      <c r="Z22" s="297">
        <v>3</v>
      </c>
      <c r="AA22" s="297">
        <v>3</v>
      </c>
      <c r="AB22" s="297">
        <v>2</v>
      </c>
      <c r="AC22" s="296"/>
      <c r="AD22" s="296"/>
      <c r="AE22" s="296"/>
      <c r="AF22" s="296"/>
      <c r="AG22" s="296"/>
      <c r="AH22" s="297">
        <v>1</v>
      </c>
      <c r="AI22" s="296"/>
      <c r="AJ22" s="297">
        <v>1</v>
      </c>
      <c r="AK22" s="297">
        <v>1</v>
      </c>
      <c r="AL22" s="296"/>
      <c r="AM22" s="296"/>
      <c r="AN22" s="296"/>
      <c r="AO22" s="296"/>
      <c r="AP22" s="296"/>
      <c r="AQ22" s="296"/>
      <c r="AR22" s="296"/>
      <c r="AS22" s="296"/>
      <c r="AT22" s="297">
        <v>1</v>
      </c>
      <c r="AU22" s="296"/>
      <c r="AV22" s="296"/>
      <c r="AW22" s="297">
        <v>1</v>
      </c>
      <c r="AX22" s="296"/>
      <c r="AY22" s="296"/>
      <c r="AZ22" s="296"/>
      <c r="BA22" s="296"/>
      <c r="BB22" s="297">
        <v>1</v>
      </c>
      <c r="BC22" s="296"/>
      <c r="BD22" s="296"/>
      <c r="BE22" s="296"/>
      <c r="BF22" s="296"/>
      <c r="BG22" s="297">
        <v>1</v>
      </c>
      <c r="BH22" s="296"/>
      <c r="BI22" s="296"/>
      <c r="BJ22" s="296"/>
      <c r="BK22" s="296"/>
      <c r="BL22" s="297">
        <v>1</v>
      </c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7">
        <v>1</v>
      </c>
      <c r="CC22" s="296"/>
      <c r="CD22" s="296"/>
      <c r="CE22" s="297">
        <v>1</v>
      </c>
      <c r="CF22" s="296"/>
      <c r="CG22" s="296"/>
      <c r="CH22" s="296"/>
      <c r="CI22" s="296"/>
      <c r="CJ22" s="296"/>
      <c r="CK22" s="296"/>
      <c r="CL22" s="296"/>
      <c r="CM22" s="296"/>
      <c r="CN22" s="296"/>
      <c r="CO22" s="296"/>
      <c r="CP22" s="296"/>
      <c r="CQ22" s="296"/>
      <c r="CR22" s="297">
        <v>1</v>
      </c>
      <c r="CS22" s="296"/>
      <c r="CT22" s="298">
        <v>46661</v>
      </c>
    </row>
    <row r="23" spans="1:98" s="295" customFormat="1">
      <c r="A23" s="296" t="s">
        <v>8191</v>
      </c>
      <c r="B23" s="296" t="s">
        <v>8192</v>
      </c>
      <c r="C23" s="297">
        <v>30</v>
      </c>
      <c r="D23" s="296" t="s">
        <v>8159</v>
      </c>
      <c r="E23" s="296" t="s">
        <v>191</v>
      </c>
      <c r="F23" s="296" t="s">
        <v>2472</v>
      </c>
      <c r="G23" s="296"/>
      <c r="H23" s="296"/>
      <c r="I23" s="297">
        <v>1</v>
      </c>
      <c r="J23" s="296"/>
      <c r="K23" s="296"/>
      <c r="L23" s="296"/>
      <c r="M23" s="297">
        <v>1</v>
      </c>
      <c r="N23" s="296"/>
      <c r="O23" s="296"/>
      <c r="P23" s="296"/>
      <c r="Q23" s="297">
        <v>1</v>
      </c>
      <c r="R23" s="296"/>
      <c r="S23" s="296"/>
      <c r="T23" s="297">
        <v>1</v>
      </c>
      <c r="U23" s="296"/>
      <c r="V23" s="296"/>
      <c r="W23" s="297">
        <v>15</v>
      </c>
      <c r="X23" s="297">
        <v>18</v>
      </c>
      <c r="Y23" s="297">
        <v>18</v>
      </c>
      <c r="Z23" s="297">
        <v>5</v>
      </c>
      <c r="AA23" s="297">
        <v>4</v>
      </c>
      <c r="AB23" s="297">
        <v>3</v>
      </c>
      <c r="AC23" s="296"/>
      <c r="AD23" s="296"/>
      <c r="AE23" s="297">
        <v>1</v>
      </c>
      <c r="AF23" s="296"/>
      <c r="AG23" s="296"/>
      <c r="AH23" s="297">
        <v>1</v>
      </c>
      <c r="AI23" s="297">
        <v>1</v>
      </c>
      <c r="AJ23" s="296"/>
      <c r="AK23" s="297">
        <v>1</v>
      </c>
      <c r="AL23" s="296"/>
      <c r="AM23" s="296"/>
      <c r="AN23" s="296"/>
      <c r="AO23" s="296"/>
      <c r="AP23" s="296"/>
      <c r="AQ23" s="296"/>
      <c r="AR23" s="296"/>
      <c r="AS23" s="296"/>
      <c r="AT23" s="297">
        <v>1</v>
      </c>
      <c r="AU23" s="296"/>
      <c r="AV23" s="296"/>
      <c r="AW23" s="296"/>
      <c r="AX23" s="297">
        <v>1</v>
      </c>
      <c r="AY23" s="296"/>
      <c r="AZ23" s="296"/>
      <c r="BA23" s="297">
        <v>1</v>
      </c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7">
        <v>1</v>
      </c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7">
        <v>1</v>
      </c>
      <c r="CC23" s="296"/>
      <c r="CD23" s="296"/>
      <c r="CE23" s="297">
        <v>1</v>
      </c>
      <c r="CF23" s="296"/>
      <c r="CG23" s="296"/>
      <c r="CH23" s="296"/>
      <c r="CI23" s="296"/>
      <c r="CJ23" s="296"/>
      <c r="CK23" s="296"/>
      <c r="CL23" s="296"/>
      <c r="CM23" s="296"/>
      <c r="CN23" s="296"/>
      <c r="CO23" s="296"/>
      <c r="CP23" s="296"/>
      <c r="CQ23" s="296"/>
      <c r="CR23" s="297">
        <v>1</v>
      </c>
      <c r="CS23" s="296"/>
      <c r="CT23" s="298">
        <v>46661</v>
      </c>
    </row>
    <row r="24" spans="1:98" s="295" customFormat="1" ht="17.25" customHeight="1">
      <c r="A24" s="296" t="s">
        <v>8193</v>
      </c>
      <c r="B24" s="296" t="s">
        <v>8194</v>
      </c>
      <c r="C24" s="297">
        <v>55</v>
      </c>
      <c r="D24" s="296" t="s">
        <v>8143</v>
      </c>
      <c r="E24" s="296" t="s">
        <v>191</v>
      </c>
      <c r="F24" s="296" t="s">
        <v>8195</v>
      </c>
      <c r="G24" s="296"/>
      <c r="H24" s="296"/>
      <c r="I24" s="297">
        <v>1</v>
      </c>
      <c r="J24" s="296"/>
      <c r="K24" s="296"/>
      <c r="L24" s="296"/>
      <c r="M24" s="297">
        <v>1</v>
      </c>
      <c r="N24" s="296"/>
      <c r="O24" s="296"/>
      <c r="P24" s="296"/>
      <c r="Q24" s="297">
        <v>1</v>
      </c>
      <c r="R24" s="296"/>
      <c r="S24" s="296"/>
      <c r="T24" s="296"/>
      <c r="U24" s="297">
        <v>1</v>
      </c>
      <c r="V24" s="296"/>
      <c r="W24" s="297">
        <v>15</v>
      </c>
      <c r="X24" s="297">
        <v>0</v>
      </c>
      <c r="Y24" s="297">
        <v>18</v>
      </c>
      <c r="Z24" s="297">
        <v>7</v>
      </c>
      <c r="AA24" s="297">
        <v>7</v>
      </c>
      <c r="AB24" s="297">
        <v>5</v>
      </c>
      <c r="AC24" s="296"/>
      <c r="AD24" s="296"/>
      <c r="AE24" s="297">
        <v>1</v>
      </c>
      <c r="AF24" s="296"/>
      <c r="AG24" s="297">
        <v>1</v>
      </c>
      <c r="AH24" s="297">
        <v>1</v>
      </c>
      <c r="AI24" s="297">
        <v>1</v>
      </c>
      <c r="AJ24" s="296"/>
      <c r="AK24" s="297">
        <v>1</v>
      </c>
      <c r="AL24" s="296"/>
      <c r="AM24" s="296"/>
      <c r="AN24" s="296"/>
      <c r="AO24" s="296"/>
      <c r="AP24" s="296"/>
      <c r="AQ24" s="296"/>
      <c r="AR24" s="296"/>
      <c r="AS24" s="296"/>
      <c r="AT24" s="297">
        <v>1</v>
      </c>
      <c r="AU24" s="296"/>
      <c r="AV24" s="296"/>
      <c r="AW24" s="296"/>
      <c r="AX24" s="297">
        <v>1</v>
      </c>
      <c r="AY24" s="296"/>
      <c r="AZ24" s="296"/>
      <c r="BA24" s="297">
        <v>1</v>
      </c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7">
        <v>1</v>
      </c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7">
        <v>1</v>
      </c>
      <c r="CC24" s="296"/>
      <c r="CD24" s="296"/>
      <c r="CE24" s="297">
        <v>1</v>
      </c>
      <c r="CF24" s="296"/>
      <c r="CG24" s="296"/>
      <c r="CH24" s="296"/>
      <c r="CI24" s="296"/>
      <c r="CJ24" s="296"/>
      <c r="CK24" s="296"/>
      <c r="CL24" s="296"/>
      <c r="CM24" s="296"/>
      <c r="CN24" s="296"/>
      <c r="CO24" s="296"/>
      <c r="CP24" s="296"/>
      <c r="CQ24" s="296"/>
      <c r="CR24" s="297">
        <v>1</v>
      </c>
      <c r="CS24" s="296"/>
      <c r="CT24" s="298">
        <v>46661</v>
      </c>
    </row>
    <row r="25" spans="1:98" s="295" customFormat="1">
      <c r="A25" s="296" t="s">
        <v>8196</v>
      </c>
      <c r="B25" s="296" t="s">
        <v>8197</v>
      </c>
      <c r="C25" s="297">
        <v>50</v>
      </c>
      <c r="D25" s="296" t="s">
        <v>8198</v>
      </c>
      <c r="E25" s="296" t="s">
        <v>8199</v>
      </c>
      <c r="F25" s="296" t="s">
        <v>2484</v>
      </c>
      <c r="G25" s="297">
        <v>1</v>
      </c>
      <c r="H25" s="296"/>
      <c r="I25" s="296"/>
      <c r="J25" s="296"/>
      <c r="K25" s="296"/>
      <c r="L25" s="296"/>
      <c r="M25" s="297">
        <v>1</v>
      </c>
      <c r="N25" s="296"/>
      <c r="O25" s="296"/>
      <c r="P25" s="296"/>
      <c r="Q25" s="297">
        <v>1</v>
      </c>
      <c r="R25" s="296"/>
      <c r="S25" s="296"/>
      <c r="T25" s="296"/>
      <c r="U25" s="297">
        <v>1</v>
      </c>
      <c r="V25" s="296"/>
      <c r="W25" s="297">
        <v>15</v>
      </c>
      <c r="X25" s="297">
        <v>20</v>
      </c>
      <c r="Y25" s="297">
        <v>21</v>
      </c>
      <c r="Z25" s="297">
        <v>9</v>
      </c>
      <c r="AA25" s="297">
        <v>7</v>
      </c>
      <c r="AB25" s="297">
        <v>7</v>
      </c>
      <c r="AC25" s="297">
        <v>1</v>
      </c>
      <c r="AD25" s="296"/>
      <c r="AE25" s="296"/>
      <c r="AF25" s="296"/>
      <c r="AG25" s="296"/>
      <c r="AH25" s="296"/>
      <c r="AI25" s="296"/>
      <c r="AJ25" s="297">
        <v>1</v>
      </c>
      <c r="AK25" s="297">
        <v>1</v>
      </c>
      <c r="AL25" s="296"/>
      <c r="AM25" s="296"/>
      <c r="AN25" s="296"/>
      <c r="AO25" s="296"/>
      <c r="AP25" s="296"/>
      <c r="AQ25" s="296"/>
      <c r="AR25" s="296"/>
      <c r="AS25" s="296"/>
      <c r="AT25" s="297">
        <v>1</v>
      </c>
      <c r="AU25" s="296"/>
      <c r="AV25" s="296"/>
      <c r="AW25" s="297">
        <v>1</v>
      </c>
      <c r="AX25" s="296"/>
      <c r="AY25" s="296"/>
      <c r="AZ25" s="296"/>
      <c r="BA25" s="297">
        <v>1</v>
      </c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7">
        <v>1</v>
      </c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7">
        <v>1</v>
      </c>
      <c r="CC25" s="296"/>
      <c r="CD25" s="296"/>
      <c r="CE25" s="297">
        <v>1</v>
      </c>
      <c r="CF25" s="296"/>
      <c r="CG25" s="296"/>
      <c r="CH25" s="296"/>
      <c r="CI25" s="296"/>
      <c r="CJ25" s="296"/>
      <c r="CK25" s="296"/>
      <c r="CL25" s="296"/>
      <c r="CM25" s="296"/>
      <c r="CN25" s="296"/>
      <c r="CO25" s="296"/>
      <c r="CP25" s="296"/>
      <c r="CQ25" s="296"/>
      <c r="CR25" s="297">
        <v>1</v>
      </c>
      <c r="CS25" s="296"/>
      <c r="CT25" s="298">
        <v>46661</v>
      </c>
    </row>
    <row r="26" spans="1:98" s="295" customFormat="1">
      <c r="A26" s="296" t="s">
        <v>8200</v>
      </c>
      <c r="B26" s="296" t="s">
        <v>2676</v>
      </c>
      <c r="C26" s="297">
        <v>45</v>
      </c>
      <c r="D26" s="296" t="s">
        <v>8143</v>
      </c>
      <c r="E26" s="296" t="s">
        <v>8201</v>
      </c>
      <c r="F26" s="296" t="s">
        <v>2484</v>
      </c>
      <c r="G26" s="296"/>
      <c r="H26" s="296"/>
      <c r="I26" s="297">
        <v>1</v>
      </c>
      <c r="J26" s="296"/>
      <c r="K26" s="296"/>
      <c r="L26" s="296"/>
      <c r="M26" s="296"/>
      <c r="N26" s="296"/>
      <c r="O26" s="296"/>
      <c r="P26" s="297">
        <v>1</v>
      </c>
      <c r="Q26" s="297">
        <v>1</v>
      </c>
      <c r="R26" s="296"/>
      <c r="S26" s="296"/>
      <c r="T26" s="296"/>
      <c r="U26" s="297">
        <v>1</v>
      </c>
      <c r="V26" s="296"/>
      <c r="W26" s="297">
        <v>20</v>
      </c>
      <c r="X26" s="297">
        <v>25</v>
      </c>
      <c r="Y26" s="297">
        <v>30</v>
      </c>
      <c r="Z26" s="297">
        <v>5</v>
      </c>
      <c r="AA26" s="297">
        <v>5</v>
      </c>
      <c r="AB26" s="297">
        <v>5</v>
      </c>
      <c r="AC26" s="296"/>
      <c r="AD26" s="296"/>
      <c r="AE26" s="296"/>
      <c r="AF26" s="296"/>
      <c r="AG26" s="296"/>
      <c r="AH26" s="297">
        <v>1</v>
      </c>
      <c r="AI26" s="296"/>
      <c r="AJ26" s="297">
        <v>1</v>
      </c>
      <c r="AK26" s="297">
        <v>1</v>
      </c>
      <c r="AL26" s="296"/>
      <c r="AM26" s="296"/>
      <c r="AN26" s="296"/>
      <c r="AO26" s="296"/>
      <c r="AP26" s="296"/>
      <c r="AQ26" s="296"/>
      <c r="AR26" s="296"/>
      <c r="AS26" s="296"/>
      <c r="AT26" s="297">
        <v>1</v>
      </c>
      <c r="AU26" s="296"/>
      <c r="AV26" s="296"/>
      <c r="AW26" s="297">
        <v>1</v>
      </c>
      <c r="AX26" s="296"/>
      <c r="AY26" s="296"/>
      <c r="AZ26" s="296"/>
      <c r="BA26" s="297">
        <v>1</v>
      </c>
      <c r="BB26" s="296"/>
      <c r="BC26" s="296"/>
      <c r="BD26" s="296"/>
      <c r="BE26" s="296"/>
      <c r="BF26" s="296"/>
      <c r="BG26" s="296"/>
      <c r="BH26" s="296"/>
      <c r="BI26" s="296"/>
      <c r="BJ26" s="296"/>
      <c r="BK26" s="297">
        <v>1</v>
      </c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7">
        <v>1</v>
      </c>
      <c r="CC26" s="296"/>
      <c r="CD26" s="296"/>
      <c r="CE26" s="297">
        <v>1</v>
      </c>
      <c r="CF26" s="296"/>
      <c r="CG26" s="296"/>
      <c r="CH26" s="296"/>
      <c r="CI26" s="296"/>
      <c r="CJ26" s="296"/>
      <c r="CK26" s="296"/>
      <c r="CL26" s="296"/>
      <c r="CM26" s="296"/>
      <c r="CN26" s="296"/>
      <c r="CO26" s="296"/>
      <c r="CP26" s="296"/>
      <c r="CQ26" s="296"/>
      <c r="CR26" s="297">
        <v>1</v>
      </c>
      <c r="CS26" s="296"/>
      <c r="CT26" s="298">
        <v>46661</v>
      </c>
    </row>
    <row r="27" spans="1:98" s="295" customFormat="1">
      <c r="A27" s="296" t="s">
        <v>8202</v>
      </c>
      <c r="B27" s="296" t="s">
        <v>8203</v>
      </c>
      <c r="C27" s="297">
        <v>45</v>
      </c>
      <c r="D27" s="296" t="s">
        <v>8169</v>
      </c>
      <c r="E27" s="296" t="s">
        <v>8204</v>
      </c>
      <c r="F27" s="296" t="s">
        <v>2484</v>
      </c>
      <c r="G27" s="296"/>
      <c r="H27" s="297">
        <v>1</v>
      </c>
      <c r="I27" s="296"/>
      <c r="J27" s="296"/>
      <c r="K27" s="296"/>
      <c r="L27" s="296"/>
      <c r="M27" s="296"/>
      <c r="N27" s="296"/>
      <c r="O27" s="297">
        <v>1</v>
      </c>
      <c r="P27" s="296"/>
      <c r="Q27" s="296"/>
      <c r="R27" s="297">
        <v>1</v>
      </c>
      <c r="S27" s="296"/>
      <c r="T27" s="296"/>
      <c r="U27" s="297">
        <v>1</v>
      </c>
      <c r="V27" s="296"/>
      <c r="W27" s="297">
        <v>14</v>
      </c>
      <c r="X27" s="297">
        <v>15</v>
      </c>
      <c r="Y27" s="297">
        <v>17</v>
      </c>
      <c r="Z27" s="297">
        <v>5</v>
      </c>
      <c r="AA27" s="297">
        <v>5</v>
      </c>
      <c r="AB27" s="297">
        <v>5</v>
      </c>
      <c r="AC27" s="296"/>
      <c r="AD27" s="296"/>
      <c r="AE27" s="297">
        <v>1</v>
      </c>
      <c r="AF27" s="296"/>
      <c r="AG27" s="297">
        <v>1</v>
      </c>
      <c r="AH27" s="297">
        <v>1</v>
      </c>
      <c r="AI27" s="297">
        <v>1</v>
      </c>
      <c r="AJ27" s="296"/>
      <c r="AK27" s="297">
        <v>1</v>
      </c>
      <c r="AL27" s="296"/>
      <c r="AM27" s="296"/>
      <c r="AN27" s="296"/>
      <c r="AO27" s="296"/>
      <c r="AP27" s="296"/>
      <c r="AQ27" s="296"/>
      <c r="AR27" s="296"/>
      <c r="AS27" s="296"/>
      <c r="AT27" s="297">
        <v>1</v>
      </c>
      <c r="AU27" s="296"/>
      <c r="AV27" s="296"/>
      <c r="AW27" s="296"/>
      <c r="AX27" s="296"/>
      <c r="AY27" s="296"/>
      <c r="AZ27" s="297">
        <v>1</v>
      </c>
      <c r="BA27" s="297">
        <v>1</v>
      </c>
      <c r="BB27" s="296"/>
      <c r="BC27" s="296"/>
      <c r="BD27" s="296"/>
      <c r="BE27" s="296"/>
      <c r="BF27" s="296"/>
      <c r="BG27" s="296"/>
      <c r="BH27" s="296"/>
      <c r="BI27" s="296"/>
      <c r="BJ27" s="296"/>
      <c r="BK27" s="297">
        <v>1</v>
      </c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7">
        <v>1</v>
      </c>
      <c r="BZ27" s="296"/>
      <c r="CA27" s="296"/>
      <c r="CB27" s="297">
        <v>1</v>
      </c>
      <c r="CC27" s="296"/>
      <c r="CD27" s="296"/>
      <c r="CE27" s="297">
        <v>1</v>
      </c>
      <c r="CF27" s="296"/>
      <c r="CG27" s="296"/>
      <c r="CH27" s="296"/>
      <c r="CI27" s="296"/>
      <c r="CJ27" s="296"/>
      <c r="CK27" s="296"/>
      <c r="CL27" s="296"/>
      <c r="CM27" s="296"/>
      <c r="CN27" s="296"/>
      <c r="CO27" s="296"/>
      <c r="CP27" s="296"/>
      <c r="CQ27" s="296"/>
      <c r="CR27" s="297">
        <v>1</v>
      </c>
      <c r="CS27" s="296"/>
      <c r="CT27" s="298">
        <v>46661</v>
      </c>
    </row>
    <row r="28" spans="1:98" s="295" customFormat="1">
      <c r="A28" s="296" t="s">
        <v>8205</v>
      </c>
      <c r="B28" s="296" t="s">
        <v>8206</v>
      </c>
      <c r="C28" s="297">
        <v>23</v>
      </c>
      <c r="D28" s="296" t="s">
        <v>8143</v>
      </c>
      <c r="E28" s="296" t="s">
        <v>8207</v>
      </c>
      <c r="F28" s="296" t="s">
        <v>2484</v>
      </c>
      <c r="G28" s="296"/>
      <c r="H28" s="296"/>
      <c r="I28" s="297">
        <v>1</v>
      </c>
      <c r="J28" s="296"/>
      <c r="K28" s="296"/>
      <c r="L28" s="296"/>
      <c r="M28" s="297">
        <v>1</v>
      </c>
      <c r="N28" s="296"/>
      <c r="O28" s="296"/>
      <c r="P28" s="296"/>
      <c r="Q28" s="297">
        <v>1</v>
      </c>
      <c r="R28" s="296"/>
      <c r="S28" s="296"/>
      <c r="T28" s="296"/>
      <c r="U28" s="297">
        <v>1</v>
      </c>
      <c r="V28" s="296"/>
      <c r="W28" s="297">
        <v>18</v>
      </c>
      <c r="X28" s="297">
        <v>14</v>
      </c>
      <c r="Y28" s="297">
        <v>19</v>
      </c>
      <c r="Z28" s="297">
        <v>2</v>
      </c>
      <c r="AA28" s="297">
        <v>2</v>
      </c>
      <c r="AB28" s="297">
        <v>2</v>
      </c>
      <c r="AC28" s="296"/>
      <c r="AD28" s="296"/>
      <c r="AE28" s="297">
        <v>1</v>
      </c>
      <c r="AF28" s="296"/>
      <c r="AG28" s="297">
        <v>1</v>
      </c>
      <c r="AH28" s="297">
        <v>1</v>
      </c>
      <c r="AI28" s="296"/>
      <c r="AJ28" s="297">
        <v>1</v>
      </c>
      <c r="AK28" s="297">
        <v>1</v>
      </c>
      <c r="AL28" s="296"/>
      <c r="AM28" s="296"/>
      <c r="AN28" s="296"/>
      <c r="AO28" s="296"/>
      <c r="AP28" s="296"/>
      <c r="AQ28" s="296"/>
      <c r="AR28" s="296"/>
      <c r="AS28" s="296"/>
      <c r="AT28" s="297">
        <v>1</v>
      </c>
      <c r="AU28" s="296"/>
      <c r="AV28" s="296"/>
      <c r="AW28" s="297">
        <v>1</v>
      </c>
      <c r="AX28" s="296"/>
      <c r="AY28" s="296"/>
      <c r="AZ28" s="296"/>
      <c r="BA28" s="297">
        <v>1</v>
      </c>
      <c r="BB28" s="296"/>
      <c r="BC28" s="296"/>
      <c r="BD28" s="296"/>
      <c r="BE28" s="296"/>
      <c r="BF28" s="296"/>
      <c r="BG28" s="296"/>
      <c r="BH28" s="296"/>
      <c r="BI28" s="296"/>
      <c r="BJ28" s="296"/>
      <c r="BK28" s="297">
        <v>1</v>
      </c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7">
        <v>1</v>
      </c>
      <c r="BZ28" s="296"/>
      <c r="CA28" s="296"/>
      <c r="CB28" s="297">
        <v>1</v>
      </c>
      <c r="CC28" s="296"/>
      <c r="CD28" s="296"/>
      <c r="CE28" s="297">
        <v>1</v>
      </c>
      <c r="CF28" s="296"/>
      <c r="CG28" s="296"/>
      <c r="CH28" s="296"/>
      <c r="CI28" s="296"/>
      <c r="CJ28" s="296"/>
      <c r="CK28" s="296"/>
      <c r="CL28" s="296"/>
      <c r="CM28" s="296"/>
      <c r="CN28" s="296"/>
      <c r="CO28" s="296"/>
      <c r="CP28" s="296"/>
      <c r="CQ28" s="296"/>
      <c r="CR28" s="297">
        <v>1</v>
      </c>
      <c r="CS28" s="296"/>
      <c r="CT28" s="298">
        <v>46661</v>
      </c>
    </row>
    <row r="29" spans="1:98" s="295" customFormat="1">
      <c r="A29" s="296" t="s">
        <v>8208</v>
      </c>
      <c r="B29" s="296" t="s">
        <v>8209</v>
      </c>
      <c r="C29" s="297">
        <v>21</v>
      </c>
      <c r="D29" s="296" t="s">
        <v>8169</v>
      </c>
      <c r="E29" s="296" t="s">
        <v>191</v>
      </c>
      <c r="F29" s="296" t="s">
        <v>2484</v>
      </c>
      <c r="G29" s="296"/>
      <c r="H29" s="297">
        <v>1</v>
      </c>
      <c r="I29" s="296"/>
      <c r="J29" s="296"/>
      <c r="K29" s="296"/>
      <c r="L29" s="296"/>
      <c r="M29" s="297">
        <v>1</v>
      </c>
      <c r="N29" s="296"/>
      <c r="O29" s="296"/>
      <c r="P29" s="296"/>
      <c r="Q29" s="297">
        <v>1</v>
      </c>
      <c r="R29" s="296"/>
      <c r="S29" s="296"/>
      <c r="T29" s="297">
        <v>1</v>
      </c>
      <c r="U29" s="296"/>
      <c r="V29" s="296"/>
      <c r="W29" s="297">
        <v>15</v>
      </c>
      <c r="X29" s="297">
        <v>20</v>
      </c>
      <c r="Y29" s="297">
        <v>21</v>
      </c>
      <c r="Z29" s="297">
        <v>1</v>
      </c>
      <c r="AA29" s="297">
        <v>1</v>
      </c>
      <c r="AB29" s="297">
        <v>1</v>
      </c>
      <c r="AC29" s="296"/>
      <c r="AD29" s="296"/>
      <c r="AE29" s="296"/>
      <c r="AF29" s="296"/>
      <c r="AG29" s="296"/>
      <c r="AH29" s="297">
        <v>1</v>
      </c>
      <c r="AI29" s="296"/>
      <c r="AJ29" s="297">
        <v>1</v>
      </c>
      <c r="AK29" s="297">
        <v>1</v>
      </c>
      <c r="AL29" s="296"/>
      <c r="AM29" s="296"/>
      <c r="AN29" s="296"/>
      <c r="AO29" s="296"/>
      <c r="AP29" s="296"/>
      <c r="AQ29" s="296"/>
      <c r="AR29" s="296"/>
      <c r="AS29" s="296"/>
      <c r="AT29" s="297">
        <v>1</v>
      </c>
      <c r="AU29" s="296"/>
      <c r="AV29" s="296"/>
      <c r="AW29" s="297">
        <v>1</v>
      </c>
      <c r="AX29" s="296"/>
      <c r="AY29" s="296"/>
      <c r="AZ29" s="296"/>
      <c r="BA29" s="297">
        <v>1</v>
      </c>
      <c r="BB29" s="296"/>
      <c r="BC29" s="296"/>
      <c r="BD29" s="296"/>
      <c r="BE29" s="296"/>
      <c r="BF29" s="296"/>
      <c r="BG29" s="296"/>
      <c r="BH29" s="296"/>
      <c r="BI29" s="296"/>
      <c r="BJ29" s="296"/>
      <c r="BK29" s="297">
        <v>1</v>
      </c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7">
        <v>1</v>
      </c>
      <c r="BZ29" s="296"/>
      <c r="CA29" s="296"/>
      <c r="CB29" s="297">
        <v>1</v>
      </c>
      <c r="CC29" s="296"/>
      <c r="CD29" s="296"/>
      <c r="CE29" s="297">
        <v>1</v>
      </c>
      <c r="CF29" s="296"/>
      <c r="CG29" s="296"/>
      <c r="CH29" s="296"/>
      <c r="CI29" s="296"/>
      <c r="CJ29" s="296"/>
      <c r="CK29" s="296"/>
      <c r="CL29" s="296"/>
      <c r="CM29" s="296"/>
      <c r="CN29" s="296"/>
      <c r="CO29" s="296"/>
      <c r="CP29" s="296"/>
      <c r="CQ29" s="296"/>
      <c r="CR29" s="297">
        <v>1</v>
      </c>
      <c r="CS29" s="296"/>
      <c r="CT29" s="298">
        <v>46661</v>
      </c>
    </row>
    <row r="30" spans="1:98" s="295" customFormat="1">
      <c r="A30" s="296" t="s">
        <v>8210</v>
      </c>
      <c r="B30" s="296" t="s">
        <v>8211</v>
      </c>
      <c r="C30" s="297">
        <v>20</v>
      </c>
      <c r="D30" s="296" t="s">
        <v>8143</v>
      </c>
      <c r="E30" s="296" t="s">
        <v>191</v>
      </c>
      <c r="F30" s="296" t="s">
        <v>2484</v>
      </c>
      <c r="G30" s="296"/>
      <c r="H30" s="296"/>
      <c r="I30" s="297">
        <v>1</v>
      </c>
      <c r="J30" s="296"/>
      <c r="K30" s="296"/>
      <c r="L30" s="296"/>
      <c r="M30" s="297">
        <v>1</v>
      </c>
      <c r="N30" s="296"/>
      <c r="O30" s="296"/>
      <c r="P30" s="296"/>
      <c r="Q30" s="296"/>
      <c r="R30" s="297">
        <v>1</v>
      </c>
      <c r="S30" s="296"/>
      <c r="T30" s="297">
        <v>1</v>
      </c>
      <c r="U30" s="296"/>
      <c r="V30" s="296"/>
      <c r="W30" s="297">
        <v>15</v>
      </c>
      <c r="X30" s="297">
        <v>17</v>
      </c>
      <c r="Y30" s="297">
        <v>18</v>
      </c>
      <c r="Z30" s="297">
        <v>2</v>
      </c>
      <c r="AA30" s="297">
        <v>2</v>
      </c>
      <c r="AB30" s="297">
        <v>2</v>
      </c>
      <c r="AC30" s="296"/>
      <c r="AD30" s="296"/>
      <c r="AE30" s="297">
        <v>1</v>
      </c>
      <c r="AF30" s="296"/>
      <c r="AG30" s="297">
        <v>1</v>
      </c>
      <c r="AH30" s="297">
        <v>1</v>
      </c>
      <c r="AI30" s="296"/>
      <c r="AJ30" s="297">
        <v>1</v>
      </c>
      <c r="AK30" s="296"/>
      <c r="AL30" s="296"/>
      <c r="AM30" s="297">
        <v>1</v>
      </c>
      <c r="AN30" s="296"/>
      <c r="AO30" s="296"/>
      <c r="AP30" s="296"/>
      <c r="AQ30" s="296"/>
      <c r="AR30" s="296"/>
      <c r="AS30" s="296"/>
      <c r="AT30" s="297">
        <v>1</v>
      </c>
      <c r="AU30" s="296"/>
      <c r="AV30" s="296"/>
      <c r="AW30" s="296"/>
      <c r="AX30" s="297">
        <v>1</v>
      </c>
      <c r="AY30" s="296"/>
      <c r="AZ30" s="296"/>
      <c r="BA30" s="297">
        <v>1</v>
      </c>
      <c r="BB30" s="296"/>
      <c r="BC30" s="296"/>
      <c r="BD30" s="296"/>
      <c r="BE30" s="296"/>
      <c r="BF30" s="296"/>
      <c r="BG30" s="296"/>
      <c r="BH30" s="296"/>
      <c r="BI30" s="296"/>
      <c r="BJ30" s="296"/>
      <c r="BK30" s="297">
        <v>1</v>
      </c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7">
        <v>1</v>
      </c>
      <c r="BZ30" s="296"/>
      <c r="CA30" s="296"/>
      <c r="CB30" s="297">
        <v>1</v>
      </c>
      <c r="CC30" s="296"/>
      <c r="CD30" s="296"/>
      <c r="CE30" s="297">
        <v>1</v>
      </c>
      <c r="CF30" s="296"/>
      <c r="CG30" s="296"/>
      <c r="CH30" s="296"/>
      <c r="CI30" s="296"/>
      <c r="CJ30" s="296"/>
      <c r="CK30" s="296"/>
      <c r="CL30" s="296"/>
      <c r="CM30" s="296"/>
      <c r="CN30" s="296"/>
      <c r="CO30" s="296"/>
      <c r="CP30" s="296"/>
      <c r="CQ30" s="296"/>
      <c r="CR30" s="297">
        <v>1</v>
      </c>
      <c r="CS30" s="296"/>
      <c r="CT30" s="298">
        <v>46661</v>
      </c>
    </row>
    <row r="31" spans="1:98" s="295" customFormat="1">
      <c r="A31" s="296" t="s">
        <v>8212</v>
      </c>
      <c r="B31" s="296" t="s">
        <v>8213</v>
      </c>
      <c r="C31" s="297">
        <v>40</v>
      </c>
      <c r="D31" s="296" t="s">
        <v>8169</v>
      </c>
      <c r="E31" s="296" t="s">
        <v>8214</v>
      </c>
      <c r="F31" s="296" t="s">
        <v>2484</v>
      </c>
      <c r="G31" s="296"/>
      <c r="H31" s="296"/>
      <c r="I31" s="297">
        <v>1</v>
      </c>
      <c r="J31" s="296"/>
      <c r="K31" s="296"/>
      <c r="L31" s="296"/>
      <c r="M31" s="297">
        <v>1</v>
      </c>
      <c r="N31" s="296"/>
      <c r="O31" s="296"/>
      <c r="P31" s="296"/>
      <c r="Q31" s="296"/>
      <c r="R31" s="297">
        <v>1</v>
      </c>
      <c r="S31" s="297">
        <v>1</v>
      </c>
      <c r="T31" s="296"/>
      <c r="U31" s="296"/>
      <c r="V31" s="296"/>
      <c r="W31" s="297">
        <v>16</v>
      </c>
      <c r="X31" s="297">
        <v>17</v>
      </c>
      <c r="Y31" s="297">
        <v>0</v>
      </c>
      <c r="Z31" s="297">
        <v>2</v>
      </c>
      <c r="AA31" s="297">
        <v>0</v>
      </c>
      <c r="AB31" s="297">
        <v>0</v>
      </c>
      <c r="AC31" s="296"/>
      <c r="AD31" s="297">
        <v>1</v>
      </c>
      <c r="AE31" s="297">
        <v>1</v>
      </c>
      <c r="AF31" s="296"/>
      <c r="AG31" s="296"/>
      <c r="AH31" s="297">
        <v>1</v>
      </c>
      <c r="AI31" s="297">
        <v>1</v>
      </c>
      <c r="AJ31" s="296"/>
      <c r="AK31" s="297">
        <v>1</v>
      </c>
      <c r="AL31" s="296"/>
      <c r="AM31" s="296"/>
      <c r="AN31" s="296"/>
      <c r="AO31" s="296"/>
      <c r="AP31" s="296"/>
      <c r="AQ31" s="296"/>
      <c r="AR31" s="296"/>
      <c r="AS31" s="296"/>
      <c r="AT31" s="297">
        <v>1</v>
      </c>
      <c r="AU31" s="296"/>
      <c r="AV31" s="296"/>
      <c r="AW31" s="297">
        <v>1</v>
      </c>
      <c r="AX31" s="296"/>
      <c r="AY31" s="296"/>
      <c r="AZ31" s="296"/>
      <c r="BA31" s="297">
        <v>1</v>
      </c>
      <c r="BB31" s="296"/>
      <c r="BC31" s="296"/>
      <c r="BD31" s="296"/>
      <c r="BE31" s="296"/>
      <c r="BF31" s="296"/>
      <c r="BG31" s="296"/>
      <c r="BH31" s="296"/>
      <c r="BI31" s="296"/>
      <c r="BJ31" s="296"/>
      <c r="BK31" s="297">
        <v>1</v>
      </c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7">
        <v>1</v>
      </c>
      <c r="CC31" s="296"/>
      <c r="CD31" s="296"/>
      <c r="CE31" s="297">
        <v>1</v>
      </c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7">
        <v>1</v>
      </c>
      <c r="CS31" s="296"/>
      <c r="CT31" s="298">
        <v>46661</v>
      </c>
    </row>
    <row r="32" spans="1:98" s="295" customFormat="1">
      <c r="A32" s="296" t="s">
        <v>8215</v>
      </c>
      <c r="B32" s="296" t="s">
        <v>8216</v>
      </c>
      <c r="C32" s="297">
        <v>40</v>
      </c>
      <c r="D32" s="296" t="s">
        <v>8159</v>
      </c>
      <c r="E32" s="296" t="s">
        <v>8217</v>
      </c>
      <c r="F32" s="296" t="s">
        <v>2484</v>
      </c>
      <c r="G32" s="296"/>
      <c r="H32" s="297">
        <v>1</v>
      </c>
      <c r="I32" s="296"/>
      <c r="J32" s="296"/>
      <c r="K32" s="296"/>
      <c r="L32" s="296"/>
      <c r="M32" s="297">
        <v>1</v>
      </c>
      <c r="N32" s="296"/>
      <c r="O32" s="296"/>
      <c r="P32" s="296"/>
      <c r="Q32" s="297">
        <v>1</v>
      </c>
      <c r="R32" s="296"/>
      <c r="S32" s="296"/>
      <c r="T32" s="297">
        <v>1</v>
      </c>
      <c r="U32" s="296"/>
      <c r="V32" s="296"/>
      <c r="W32" s="297">
        <v>13</v>
      </c>
      <c r="X32" s="297">
        <v>17</v>
      </c>
      <c r="Y32" s="297">
        <v>17</v>
      </c>
      <c r="Z32" s="297">
        <v>10</v>
      </c>
      <c r="AA32" s="297">
        <v>10</v>
      </c>
      <c r="AB32" s="297">
        <v>10</v>
      </c>
      <c r="AC32" s="296"/>
      <c r="AD32" s="297">
        <v>1</v>
      </c>
      <c r="AE32" s="297">
        <v>1</v>
      </c>
      <c r="AF32" s="296"/>
      <c r="AG32" s="297">
        <v>1</v>
      </c>
      <c r="AH32" s="297">
        <v>1</v>
      </c>
      <c r="AI32" s="296"/>
      <c r="AJ32" s="297">
        <v>1</v>
      </c>
      <c r="AK32" s="297">
        <v>1</v>
      </c>
      <c r="AL32" s="296"/>
      <c r="AM32" s="296"/>
      <c r="AN32" s="296"/>
      <c r="AO32" s="296"/>
      <c r="AP32" s="296"/>
      <c r="AQ32" s="296"/>
      <c r="AR32" s="296"/>
      <c r="AS32" s="296"/>
      <c r="AT32" s="297">
        <v>1</v>
      </c>
      <c r="AU32" s="296"/>
      <c r="AV32" s="296"/>
      <c r="AW32" s="296"/>
      <c r="AX32" s="297">
        <v>1</v>
      </c>
      <c r="AY32" s="296"/>
      <c r="AZ32" s="296"/>
      <c r="BA32" s="297">
        <v>1</v>
      </c>
      <c r="BB32" s="296"/>
      <c r="BC32" s="296"/>
      <c r="BD32" s="296"/>
      <c r="BE32" s="296"/>
      <c r="BF32" s="296"/>
      <c r="BG32" s="296"/>
      <c r="BH32" s="296"/>
      <c r="BI32" s="296"/>
      <c r="BJ32" s="296"/>
      <c r="BK32" s="297">
        <v>1</v>
      </c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7">
        <v>1</v>
      </c>
      <c r="BZ32" s="296"/>
      <c r="CA32" s="296"/>
      <c r="CB32" s="297">
        <v>1</v>
      </c>
      <c r="CC32" s="296"/>
      <c r="CD32" s="296"/>
      <c r="CE32" s="297">
        <v>1</v>
      </c>
      <c r="CF32" s="296"/>
      <c r="CG32" s="296"/>
      <c r="CH32" s="296"/>
      <c r="CI32" s="296"/>
      <c r="CJ32" s="296"/>
      <c r="CK32" s="296"/>
      <c r="CL32" s="296"/>
      <c r="CM32" s="296"/>
      <c r="CN32" s="296"/>
      <c r="CO32" s="296"/>
      <c r="CP32" s="296"/>
      <c r="CQ32" s="296"/>
      <c r="CR32" s="297">
        <v>1</v>
      </c>
      <c r="CS32" s="296"/>
      <c r="CT32" s="298">
        <v>46661</v>
      </c>
    </row>
    <row r="33" spans="1:98" s="295" customFormat="1">
      <c r="A33" s="296" t="s">
        <v>8218</v>
      </c>
      <c r="B33" s="296" t="s">
        <v>8219</v>
      </c>
      <c r="C33" s="297">
        <v>40</v>
      </c>
      <c r="D33" s="296" t="s">
        <v>8143</v>
      </c>
      <c r="E33" s="296" t="s">
        <v>8220</v>
      </c>
      <c r="F33" s="296" t="s">
        <v>2484</v>
      </c>
      <c r="G33" s="296"/>
      <c r="H33" s="296"/>
      <c r="I33" s="297">
        <v>1</v>
      </c>
      <c r="J33" s="296"/>
      <c r="K33" s="296"/>
      <c r="L33" s="296"/>
      <c r="M33" s="297">
        <v>1</v>
      </c>
      <c r="N33" s="296"/>
      <c r="O33" s="296"/>
      <c r="P33" s="296"/>
      <c r="Q33" s="296"/>
      <c r="R33" s="297">
        <v>1</v>
      </c>
      <c r="S33" s="296"/>
      <c r="T33" s="297">
        <v>1</v>
      </c>
      <c r="U33" s="296"/>
      <c r="V33" s="296"/>
      <c r="W33" s="297">
        <v>16</v>
      </c>
      <c r="X33" s="297">
        <v>18</v>
      </c>
      <c r="Y33" s="297">
        <v>18</v>
      </c>
      <c r="Z33" s="297">
        <v>6</v>
      </c>
      <c r="AA33" s="297">
        <v>6</v>
      </c>
      <c r="AB33" s="297">
        <v>6</v>
      </c>
      <c r="AC33" s="296"/>
      <c r="AD33" s="297">
        <v>1</v>
      </c>
      <c r="AE33" s="297">
        <v>1</v>
      </c>
      <c r="AF33" s="296"/>
      <c r="AG33" s="297">
        <v>1</v>
      </c>
      <c r="AH33" s="297">
        <v>1</v>
      </c>
      <c r="AI33" s="297">
        <v>1</v>
      </c>
      <c r="AJ33" s="296"/>
      <c r="AK33" s="297">
        <v>1</v>
      </c>
      <c r="AL33" s="296"/>
      <c r="AM33" s="296"/>
      <c r="AN33" s="296"/>
      <c r="AO33" s="296"/>
      <c r="AP33" s="296"/>
      <c r="AQ33" s="296"/>
      <c r="AR33" s="296"/>
      <c r="AS33" s="296"/>
      <c r="AT33" s="297">
        <v>1</v>
      </c>
      <c r="AU33" s="296"/>
      <c r="AV33" s="296"/>
      <c r="AW33" s="297">
        <v>1</v>
      </c>
      <c r="AX33" s="296"/>
      <c r="AY33" s="296"/>
      <c r="AZ33" s="296"/>
      <c r="BA33" s="297">
        <v>1</v>
      </c>
      <c r="BB33" s="296"/>
      <c r="BC33" s="296"/>
      <c r="BD33" s="296"/>
      <c r="BE33" s="296"/>
      <c r="BF33" s="296"/>
      <c r="BG33" s="296"/>
      <c r="BH33" s="296"/>
      <c r="BI33" s="296"/>
      <c r="BJ33" s="296"/>
      <c r="BK33" s="297">
        <v>1</v>
      </c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7">
        <v>1</v>
      </c>
      <c r="BZ33" s="296"/>
      <c r="CA33" s="296"/>
      <c r="CB33" s="297">
        <v>1</v>
      </c>
      <c r="CC33" s="296"/>
      <c r="CD33" s="296"/>
      <c r="CE33" s="297">
        <v>1</v>
      </c>
      <c r="CF33" s="296"/>
      <c r="CG33" s="296"/>
      <c r="CH33" s="296"/>
      <c r="CI33" s="296"/>
      <c r="CJ33" s="296"/>
      <c r="CK33" s="296"/>
      <c r="CL33" s="296"/>
      <c r="CM33" s="296"/>
      <c r="CN33" s="296"/>
      <c r="CO33" s="296"/>
      <c r="CP33" s="296"/>
      <c r="CQ33" s="296"/>
      <c r="CR33" s="297">
        <v>1</v>
      </c>
      <c r="CS33" s="296"/>
      <c r="CT33" s="298">
        <v>46661</v>
      </c>
    </row>
    <row r="34" spans="1:98" s="295" customFormat="1">
      <c r="A34" s="296" t="s">
        <v>8221</v>
      </c>
      <c r="B34" s="296" t="s">
        <v>8222</v>
      </c>
      <c r="C34" s="297">
        <v>45</v>
      </c>
      <c r="D34" s="296" t="s">
        <v>8143</v>
      </c>
      <c r="E34" s="296" t="s">
        <v>191</v>
      </c>
      <c r="F34" s="296" t="s">
        <v>2484</v>
      </c>
      <c r="G34" s="296"/>
      <c r="H34" s="297">
        <v>1</v>
      </c>
      <c r="I34" s="296"/>
      <c r="J34" s="296"/>
      <c r="K34" s="296"/>
      <c r="L34" s="296"/>
      <c r="M34" s="297">
        <v>1</v>
      </c>
      <c r="N34" s="296"/>
      <c r="O34" s="296"/>
      <c r="P34" s="296"/>
      <c r="Q34" s="297">
        <v>1</v>
      </c>
      <c r="R34" s="296"/>
      <c r="S34" s="297">
        <v>1</v>
      </c>
      <c r="T34" s="296"/>
      <c r="U34" s="296"/>
      <c r="V34" s="296"/>
      <c r="W34" s="297">
        <v>16</v>
      </c>
      <c r="X34" s="297">
        <v>16</v>
      </c>
      <c r="Y34" s="297">
        <v>17</v>
      </c>
      <c r="Z34" s="297">
        <v>12</v>
      </c>
      <c r="AA34" s="297">
        <v>12</v>
      </c>
      <c r="AB34" s="297">
        <v>10</v>
      </c>
      <c r="AC34" s="296"/>
      <c r="AD34" s="296"/>
      <c r="AE34" s="297">
        <v>1</v>
      </c>
      <c r="AF34" s="296"/>
      <c r="AG34" s="296"/>
      <c r="AH34" s="296"/>
      <c r="AI34" s="296"/>
      <c r="AJ34" s="297">
        <v>1</v>
      </c>
      <c r="AK34" s="297">
        <v>1</v>
      </c>
      <c r="AL34" s="296"/>
      <c r="AM34" s="296"/>
      <c r="AN34" s="296"/>
      <c r="AO34" s="296"/>
      <c r="AP34" s="296"/>
      <c r="AQ34" s="296"/>
      <c r="AR34" s="296"/>
      <c r="AS34" s="296"/>
      <c r="AT34" s="297">
        <v>1</v>
      </c>
      <c r="AU34" s="296"/>
      <c r="AV34" s="296"/>
      <c r="AW34" s="297">
        <v>1</v>
      </c>
      <c r="AX34" s="296"/>
      <c r="AY34" s="296"/>
      <c r="AZ34" s="296"/>
      <c r="BA34" s="297">
        <v>1</v>
      </c>
      <c r="BB34" s="296"/>
      <c r="BC34" s="296"/>
      <c r="BD34" s="296"/>
      <c r="BE34" s="296"/>
      <c r="BF34" s="296"/>
      <c r="BG34" s="296"/>
      <c r="BH34" s="296"/>
      <c r="BI34" s="296"/>
      <c r="BJ34" s="296"/>
      <c r="BK34" s="297">
        <v>1</v>
      </c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7">
        <v>1</v>
      </c>
      <c r="BZ34" s="296"/>
      <c r="CA34" s="296"/>
      <c r="CB34" s="297">
        <v>1</v>
      </c>
      <c r="CC34" s="296"/>
      <c r="CD34" s="296"/>
      <c r="CE34" s="297">
        <v>1</v>
      </c>
      <c r="CF34" s="296"/>
      <c r="CG34" s="296"/>
      <c r="CH34" s="296"/>
      <c r="CI34" s="296"/>
      <c r="CJ34" s="296"/>
      <c r="CK34" s="296"/>
      <c r="CL34" s="296"/>
      <c r="CM34" s="296"/>
      <c r="CN34" s="296"/>
      <c r="CO34" s="296"/>
      <c r="CP34" s="296"/>
      <c r="CQ34" s="296"/>
      <c r="CR34" s="297">
        <v>1</v>
      </c>
      <c r="CS34" s="296"/>
      <c r="CT34" s="298">
        <v>46661</v>
      </c>
    </row>
    <row r="35" spans="1:98" s="295" customFormat="1">
      <c r="A35" s="296" t="s">
        <v>8223</v>
      </c>
      <c r="B35" s="296" t="s">
        <v>8224</v>
      </c>
      <c r="C35" s="297">
        <v>21</v>
      </c>
      <c r="D35" s="296" t="s">
        <v>8169</v>
      </c>
      <c r="E35" s="296" t="s">
        <v>8225</v>
      </c>
      <c r="F35" s="296" t="s">
        <v>2484</v>
      </c>
      <c r="G35" s="296"/>
      <c r="H35" s="296"/>
      <c r="I35" s="297">
        <v>1</v>
      </c>
      <c r="J35" s="296"/>
      <c r="K35" s="296"/>
      <c r="L35" s="296"/>
      <c r="M35" s="296"/>
      <c r="N35" s="296"/>
      <c r="O35" s="297">
        <v>1</v>
      </c>
      <c r="P35" s="296"/>
      <c r="Q35" s="297">
        <v>1</v>
      </c>
      <c r="R35" s="296"/>
      <c r="S35" s="296"/>
      <c r="T35" s="297">
        <v>1</v>
      </c>
      <c r="U35" s="296"/>
      <c r="V35" s="296"/>
      <c r="W35" s="297">
        <v>13</v>
      </c>
      <c r="X35" s="297">
        <v>17</v>
      </c>
      <c r="Y35" s="297">
        <v>19</v>
      </c>
      <c r="Z35" s="297">
        <v>2</v>
      </c>
      <c r="AA35" s="297">
        <v>2</v>
      </c>
      <c r="AB35" s="297">
        <v>2</v>
      </c>
      <c r="AC35" s="296"/>
      <c r="AD35" s="297">
        <v>1</v>
      </c>
      <c r="AE35" s="297">
        <v>1</v>
      </c>
      <c r="AF35" s="296"/>
      <c r="AG35" s="297">
        <v>1</v>
      </c>
      <c r="AH35" s="297">
        <v>1</v>
      </c>
      <c r="AI35" s="296"/>
      <c r="AJ35" s="297">
        <v>1</v>
      </c>
      <c r="AK35" s="297">
        <v>1</v>
      </c>
      <c r="AL35" s="296"/>
      <c r="AM35" s="296"/>
      <c r="AN35" s="296"/>
      <c r="AO35" s="296"/>
      <c r="AP35" s="296"/>
      <c r="AQ35" s="296"/>
      <c r="AR35" s="296"/>
      <c r="AS35" s="296"/>
      <c r="AT35" s="297">
        <v>1</v>
      </c>
      <c r="AU35" s="296"/>
      <c r="AV35" s="296"/>
      <c r="AW35" s="296"/>
      <c r="AX35" s="297">
        <v>1</v>
      </c>
      <c r="AY35" s="296"/>
      <c r="AZ35" s="296"/>
      <c r="BA35" s="297">
        <v>1</v>
      </c>
      <c r="BB35" s="296"/>
      <c r="BC35" s="296"/>
      <c r="BD35" s="296"/>
      <c r="BE35" s="296"/>
      <c r="BF35" s="296"/>
      <c r="BG35" s="296"/>
      <c r="BH35" s="296"/>
      <c r="BI35" s="296"/>
      <c r="BJ35" s="296"/>
      <c r="BK35" s="297">
        <v>1</v>
      </c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7">
        <v>1</v>
      </c>
      <c r="CC35" s="296"/>
      <c r="CD35" s="296"/>
      <c r="CE35" s="297">
        <v>1</v>
      </c>
      <c r="CF35" s="296"/>
      <c r="CG35" s="296"/>
      <c r="CH35" s="296"/>
      <c r="CI35" s="296"/>
      <c r="CJ35" s="296"/>
      <c r="CK35" s="296"/>
      <c r="CL35" s="296"/>
      <c r="CM35" s="296"/>
      <c r="CN35" s="296"/>
      <c r="CO35" s="296"/>
      <c r="CP35" s="296"/>
      <c r="CQ35" s="296"/>
      <c r="CR35" s="297">
        <v>1</v>
      </c>
      <c r="CS35" s="296"/>
      <c r="CT35" s="298">
        <v>46661</v>
      </c>
    </row>
  </sheetData>
  <mergeCells count="25">
    <mergeCell ref="CE1:CG1"/>
    <mergeCell ref="CH1:CI1"/>
    <mergeCell ref="CK1:CN1"/>
    <mergeCell ref="CO1:CP1"/>
    <mergeCell ref="BJ2:BK2"/>
    <mergeCell ref="BL2:BO2"/>
    <mergeCell ref="BU2:BV2"/>
    <mergeCell ref="BW1:CA1"/>
    <mergeCell ref="BA1:BC1"/>
    <mergeCell ref="BD1:BF1"/>
    <mergeCell ref="BI1:BO1"/>
    <mergeCell ref="BP1:BR1"/>
    <mergeCell ref="BS1:BT1"/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</mergeCells>
  <pageMargins left="0.7" right="0.7" top="0.75" bottom="0.75" header="0.3" footer="0.3"/>
  <pageSetup orientation="portrait" horizontalDpi="300" verticalDpi="300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N1" workbookViewId="0">
      <selection activeCell="AI9" sqref="AI9"/>
    </sheetView>
  </sheetViews>
  <sheetFormatPr defaultRowHeight="15"/>
  <cols>
    <col min="1" max="1" width="16.28515625" customWidth="1"/>
    <col min="19" max="19" width="10.5703125" customWidth="1"/>
    <col min="29" max="29" width="10.85546875" customWidth="1"/>
    <col min="30" max="30" width="10.42578125" customWidth="1"/>
    <col min="33" max="33" width="13" customWidth="1"/>
  </cols>
  <sheetData>
    <row r="1" spans="1:33" ht="26.25" customHeight="1" thickBot="1">
      <c r="A1" s="551" t="s">
        <v>351</v>
      </c>
      <c r="B1" s="553" t="s">
        <v>352</v>
      </c>
      <c r="C1" s="554"/>
      <c r="D1" s="554"/>
      <c r="E1" s="555"/>
      <c r="F1" s="543" t="s">
        <v>353</v>
      </c>
      <c r="G1" s="544"/>
      <c r="H1" s="545"/>
      <c r="I1" s="284"/>
      <c r="J1" s="284"/>
      <c r="K1" s="543" t="s">
        <v>354</v>
      </c>
      <c r="L1" s="544"/>
      <c r="M1" s="544"/>
      <c r="N1" s="544"/>
      <c r="O1" s="544"/>
      <c r="P1" s="545"/>
      <c r="Q1" s="543" t="s">
        <v>355</v>
      </c>
      <c r="R1" s="544"/>
      <c r="S1" s="544"/>
      <c r="T1" s="545"/>
      <c r="U1" s="543" t="s">
        <v>356</v>
      </c>
      <c r="V1" s="544"/>
      <c r="W1" s="544"/>
      <c r="X1" s="544"/>
      <c r="Y1" s="544"/>
      <c r="Z1" s="545"/>
      <c r="AA1" s="543" t="s">
        <v>357</v>
      </c>
      <c r="AB1" s="544"/>
      <c r="AC1" s="544"/>
      <c r="AD1" s="544"/>
      <c r="AE1" s="545"/>
      <c r="AF1" s="299" t="s">
        <v>356</v>
      </c>
      <c r="AG1" s="284"/>
    </row>
    <row r="2" spans="1:33" ht="30.75" thickBot="1">
      <c r="A2" s="552"/>
      <c r="B2" s="300" t="s">
        <v>358</v>
      </c>
      <c r="C2" s="300" t="s">
        <v>359</v>
      </c>
      <c r="D2" s="300" t="s">
        <v>360</v>
      </c>
      <c r="E2" s="300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01" t="s">
        <v>365</v>
      </c>
      <c r="AG2" s="305" t="s">
        <v>3430</v>
      </c>
    </row>
    <row r="3" spans="1:33" ht="15.75" thickBot="1">
      <c r="A3" s="306" t="s">
        <v>1361</v>
      </c>
      <c r="B3" s="307">
        <v>1</v>
      </c>
      <c r="C3" s="289">
        <v>0</v>
      </c>
      <c r="D3" s="289">
        <v>0</v>
      </c>
      <c r="E3" s="330">
        <f>SUM(B3:D3)</f>
        <v>1</v>
      </c>
      <c r="F3" s="289">
        <v>0</v>
      </c>
      <c r="G3" s="289">
        <v>0</v>
      </c>
      <c r="H3" s="289">
        <v>0</v>
      </c>
      <c r="I3" s="289">
        <v>0</v>
      </c>
      <c r="J3" s="308">
        <f>SUM(F3:I3)</f>
        <v>0</v>
      </c>
      <c r="K3" s="289">
        <v>0</v>
      </c>
      <c r="L3" s="289">
        <v>0</v>
      </c>
      <c r="M3" s="289">
        <v>0</v>
      </c>
      <c r="N3" s="289">
        <v>0</v>
      </c>
      <c r="O3" s="309">
        <v>1</v>
      </c>
      <c r="P3" s="308">
        <f>SUM(K3:O3)</f>
        <v>1</v>
      </c>
      <c r="Q3" s="289">
        <v>0</v>
      </c>
      <c r="R3" s="289">
        <v>0</v>
      </c>
      <c r="S3" s="309">
        <v>1</v>
      </c>
      <c r="T3" s="308">
        <f>SUM(Q3:S3)</f>
        <v>1</v>
      </c>
      <c r="U3" s="289">
        <v>0</v>
      </c>
      <c r="V3" s="289">
        <v>0</v>
      </c>
      <c r="W3" s="289">
        <v>0</v>
      </c>
      <c r="X3" s="289">
        <v>0</v>
      </c>
      <c r="Y3" s="289">
        <v>0</v>
      </c>
      <c r="Z3" s="289"/>
      <c r="AA3" s="289">
        <v>0</v>
      </c>
      <c r="AB3" s="289">
        <v>0</v>
      </c>
      <c r="AC3" s="289">
        <v>0</v>
      </c>
      <c r="AD3" s="310">
        <v>1</v>
      </c>
      <c r="AE3" s="311">
        <f>SUM(AA3:AD3)</f>
        <v>1</v>
      </c>
      <c r="AF3" s="289">
        <v>0</v>
      </c>
      <c r="AG3" s="289">
        <v>0</v>
      </c>
    </row>
    <row r="4" spans="1:33" ht="20.25" customHeight="1" thickBot="1">
      <c r="A4" s="306" t="s">
        <v>8228</v>
      </c>
      <c r="B4" s="307">
        <v>8</v>
      </c>
      <c r="C4" s="289">
        <v>0</v>
      </c>
      <c r="D4" s="307">
        <v>2</v>
      </c>
      <c r="E4" s="330">
        <f t="shared" ref="E4:E8" si="0">SUM(B4:D4)</f>
        <v>10</v>
      </c>
      <c r="F4" s="289">
        <v>0</v>
      </c>
      <c r="G4" s="309">
        <v>6</v>
      </c>
      <c r="H4" s="289">
        <v>0</v>
      </c>
      <c r="I4" s="289">
        <v>0</v>
      </c>
      <c r="J4" s="308">
        <f t="shared" ref="J4:J8" si="1">SUM(F4:I4)</f>
        <v>6</v>
      </c>
      <c r="K4" s="309">
        <v>1</v>
      </c>
      <c r="L4" s="289">
        <v>0</v>
      </c>
      <c r="M4" s="289">
        <v>0</v>
      </c>
      <c r="N4" s="289">
        <v>0</v>
      </c>
      <c r="O4" s="309">
        <v>3</v>
      </c>
      <c r="P4" s="308">
        <f t="shared" ref="P4:P8" si="2">SUM(K4:O4)</f>
        <v>4</v>
      </c>
      <c r="Q4" s="289">
        <v>0</v>
      </c>
      <c r="R4" s="289">
        <v>0</v>
      </c>
      <c r="S4" s="289">
        <v>0</v>
      </c>
      <c r="T4" s="308">
        <f t="shared" ref="T4:T8" si="3">SUM(Q4:S4)</f>
        <v>0</v>
      </c>
      <c r="U4" s="289">
        <v>0</v>
      </c>
      <c r="V4" s="289">
        <v>0</v>
      </c>
      <c r="W4" s="289">
        <v>0</v>
      </c>
      <c r="X4" s="289">
        <v>0</v>
      </c>
      <c r="Y4" s="289">
        <v>0</v>
      </c>
      <c r="Z4" s="289"/>
      <c r="AA4" s="289">
        <v>0</v>
      </c>
      <c r="AB4" s="289">
        <v>0</v>
      </c>
      <c r="AC4" s="289">
        <v>0</v>
      </c>
      <c r="AD4" s="310">
        <v>10</v>
      </c>
      <c r="AE4" s="311">
        <f t="shared" ref="AE4:AE8" si="4">SUM(AA4:AD4)</f>
        <v>10</v>
      </c>
      <c r="AF4" s="289">
        <v>0</v>
      </c>
      <c r="AG4" s="289">
        <v>0</v>
      </c>
    </row>
    <row r="5" spans="1:33" ht="21" customHeight="1" thickBot="1">
      <c r="A5" s="306" t="s">
        <v>1270</v>
      </c>
      <c r="B5" s="307">
        <v>5</v>
      </c>
      <c r="C5" s="289">
        <v>0</v>
      </c>
      <c r="D5" s="289">
        <v>0</v>
      </c>
      <c r="E5" s="330">
        <f t="shared" si="0"/>
        <v>5</v>
      </c>
      <c r="F5" s="289">
        <v>0</v>
      </c>
      <c r="G5" s="309">
        <v>5</v>
      </c>
      <c r="H5" s="289">
        <v>0</v>
      </c>
      <c r="I5" s="289">
        <v>0</v>
      </c>
      <c r="J5" s="308">
        <f t="shared" si="1"/>
        <v>5</v>
      </c>
      <c r="K5" s="289">
        <v>0</v>
      </c>
      <c r="L5" s="289">
        <v>0</v>
      </c>
      <c r="M5" s="289">
        <v>0</v>
      </c>
      <c r="N5" s="289">
        <v>0</v>
      </c>
      <c r="O5" s="289">
        <v>0</v>
      </c>
      <c r="P5" s="308">
        <f t="shared" si="2"/>
        <v>0</v>
      </c>
      <c r="Q5" s="289">
        <v>0</v>
      </c>
      <c r="R5" s="289">
        <v>0</v>
      </c>
      <c r="S5" s="309">
        <v>2</v>
      </c>
      <c r="T5" s="308">
        <f t="shared" si="3"/>
        <v>2</v>
      </c>
      <c r="U5" s="289">
        <v>0</v>
      </c>
      <c r="V5" s="289">
        <v>0</v>
      </c>
      <c r="W5" s="289">
        <v>0</v>
      </c>
      <c r="X5" s="289">
        <v>0</v>
      </c>
      <c r="Y5" s="289">
        <v>0</v>
      </c>
      <c r="Z5" s="289"/>
      <c r="AA5" s="310">
        <v>1</v>
      </c>
      <c r="AB5" s="289">
        <v>0</v>
      </c>
      <c r="AC5" s="289">
        <v>0</v>
      </c>
      <c r="AD5" s="310">
        <v>4</v>
      </c>
      <c r="AE5" s="311">
        <f t="shared" si="4"/>
        <v>5</v>
      </c>
      <c r="AF5" s="289">
        <v>0</v>
      </c>
      <c r="AG5" s="289">
        <v>0</v>
      </c>
    </row>
    <row r="6" spans="1:33" ht="19.5" customHeight="1" thickBot="1">
      <c r="A6" s="306" t="s">
        <v>1637</v>
      </c>
      <c r="B6" s="307">
        <v>8</v>
      </c>
      <c r="C6" s="289">
        <v>0</v>
      </c>
      <c r="D6" s="307">
        <v>2</v>
      </c>
      <c r="E6" s="330">
        <f t="shared" si="0"/>
        <v>10</v>
      </c>
      <c r="F6" s="289">
        <v>0</v>
      </c>
      <c r="G6" s="309">
        <v>4</v>
      </c>
      <c r="H6" s="289">
        <v>0</v>
      </c>
      <c r="I6" s="289">
        <v>0</v>
      </c>
      <c r="J6" s="308">
        <f t="shared" si="1"/>
        <v>4</v>
      </c>
      <c r="K6" s="309">
        <v>3</v>
      </c>
      <c r="L6" s="289">
        <v>0</v>
      </c>
      <c r="M6" s="289">
        <v>0</v>
      </c>
      <c r="N6" s="289">
        <v>0</v>
      </c>
      <c r="O6" s="309">
        <v>3</v>
      </c>
      <c r="P6" s="308">
        <f t="shared" si="2"/>
        <v>6</v>
      </c>
      <c r="Q6" s="289">
        <v>0</v>
      </c>
      <c r="R6" s="289">
        <v>0</v>
      </c>
      <c r="S6" s="309">
        <v>4</v>
      </c>
      <c r="T6" s="308">
        <f t="shared" si="3"/>
        <v>4</v>
      </c>
      <c r="U6" s="289">
        <v>0</v>
      </c>
      <c r="V6" s="289">
        <v>0</v>
      </c>
      <c r="W6" s="289">
        <v>0</v>
      </c>
      <c r="X6" s="289">
        <v>0</v>
      </c>
      <c r="Y6" s="289">
        <v>0</v>
      </c>
      <c r="Z6" s="289"/>
      <c r="AA6" s="310">
        <v>5</v>
      </c>
      <c r="AB6" s="289">
        <v>0</v>
      </c>
      <c r="AC6" s="289">
        <v>0</v>
      </c>
      <c r="AD6" s="310">
        <v>5</v>
      </c>
      <c r="AE6" s="311">
        <f t="shared" si="4"/>
        <v>10</v>
      </c>
      <c r="AF6" s="289">
        <v>0</v>
      </c>
      <c r="AG6" s="289">
        <v>0</v>
      </c>
    </row>
    <row r="7" spans="1:33" ht="19.5" customHeight="1" thickBot="1">
      <c r="A7" s="312" t="s">
        <v>8229</v>
      </c>
      <c r="B7" s="307">
        <v>4</v>
      </c>
      <c r="C7" s="289">
        <v>0</v>
      </c>
      <c r="D7" s="289">
        <v>0</v>
      </c>
      <c r="E7" s="330">
        <f t="shared" si="0"/>
        <v>4</v>
      </c>
      <c r="F7" s="289">
        <v>0</v>
      </c>
      <c r="G7" s="289">
        <v>0</v>
      </c>
      <c r="H7" s="289">
        <v>0</v>
      </c>
      <c r="I7" s="289">
        <v>0</v>
      </c>
      <c r="J7" s="308">
        <f t="shared" si="1"/>
        <v>0</v>
      </c>
      <c r="K7" s="313">
        <v>3</v>
      </c>
      <c r="L7" s="314">
        <v>0</v>
      </c>
      <c r="M7" s="314">
        <v>0</v>
      </c>
      <c r="N7" s="314">
        <v>0</v>
      </c>
      <c r="O7" s="313">
        <v>1</v>
      </c>
      <c r="P7" s="308">
        <f t="shared" si="2"/>
        <v>4</v>
      </c>
      <c r="Q7" s="314">
        <v>0</v>
      </c>
      <c r="R7" s="314">
        <v>0</v>
      </c>
      <c r="S7" s="313">
        <v>1</v>
      </c>
      <c r="T7" s="308">
        <f t="shared" si="3"/>
        <v>1</v>
      </c>
      <c r="U7" s="314">
        <v>0</v>
      </c>
      <c r="V7" s="314">
        <v>0</v>
      </c>
      <c r="W7" s="314">
        <v>0</v>
      </c>
      <c r="X7" s="314">
        <v>0</v>
      </c>
      <c r="Y7" s="314">
        <v>0</v>
      </c>
      <c r="Z7" s="314"/>
      <c r="AA7" s="310">
        <v>2</v>
      </c>
      <c r="AB7" s="289">
        <v>0</v>
      </c>
      <c r="AC7" s="289">
        <v>0</v>
      </c>
      <c r="AD7" s="310">
        <v>2</v>
      </c>
      <c r="AE7" s="311">
        <f t="shared" si="4"/>
        <v>4</v>
      </c>
      <c r="AF7" s="289">
        <v>0</v>
      </c>
      <c r="AG7" s="289">
        <v>0</v>
      </c>
    </row>
    <row r="8" spans="1:33" ht="15.75" thickBot="1">
      <c r="A8" s="315" t="s">
        <v>1364</v>
      </c>
      <c r="B8" s="289">
        <v>0</v>
      </c>
      <c r="C8" s="289">
        <v>0</v>
      </c>
      <c r="D8" s="307">
        <v>2</v>
      </c>
      <c r="E8" s="330">
        <f t="shared" si="0"/>
        <v>2</v>
      </c>
      <c r="F8" s="289">
        <v>0</v>
      </c>
      <c r="G8" s="289">
        <v>0</v>
      </c>
      <c r="H8" s="289">
        <v>0</v>
      </c>
      <c r="I8" s="289">
        <v>0</v>
      </c>
      <c r="J8" s="308">
        <f t="shared" si="1"/>
        <v>0</v>
      </c>
      <c r="K8" s="313">
        <v>2</v>
      </c>
      <c r="L8" s="314">
        <v>0</v>
      </c>
      <c r="M8" s="314">
        <v>0</v>
      </c>
      <c r="N8" s="314">
        <v>0</v>
      </c>
      <c r="O8" s="314"/>
      <c r="P8" s="308">
        <f t="shared" si="2"/>
        <v>2</v>
      </c>
      <c r="Q8" s="314">
        <v>0</v>
      </c>
      <c r="R8" s="314">
        <v>0</v>
      </c>
      <c r="S8" s="313">
        <v>2</v>
      </c>
      <c r="T8" s="308">
        <f t="shared" si="3"/>
        <v>2</v>
      </c>
      <c r="U8" s="314">
        <v>0</v>
      </c>
      <c r="V8" s="314">
        <v>0</v>
      </c>
      <c r="W8" s="314">
        <v>0</v>
      </c>
      <c r="X8" s="314">
        <v>0</v>
      </c>
      <c r="Y8" s="314">
        <v>0</v>
      </c>
      <c r="Z8" s="314"/>
      <c r="AA8" s="310">
        <v>2</v>
      </c>
      <c r="AB8" s="289">
        <v>0</v>
      </c>
      <c r="AC8" s="289">
        <v>0</v>
      </c>
      <c r="AD8" s="289"/>
      <c r="AE8" s="311">
        <f t="shared" si="4"/>
        <v>2</v>
      </c>
      <c r="AF8" s="289">
        <v>0</v>
      </c>
      <c r="AG8" s="289">
        <v>0</v>
      </c>
    </row>
    <row r="9" spans="1:33" ht="15.75" thickBot="1">
      <c r="A9" s="316" t="s">
        <v>376</v>
      </c>
      <c r="B9" s="307">
        <f>SUM(B3:B8)</f>
        <v>26</v>
      </c>
      <c r="C9" s="307">
        <f t="shared" ref="C9:E9" si="5">SUM(C3:C8)</f>
        <v>0</v>
      </c>
      <c r="D9" s="307">
        <f t="shared" si="5"/>
        <v>6</v>
      </c>
      <c r="E9" s="330">
        <f t="shared" si="5"/>
        <v>32</v>
      </c>
      <c r="F9" s="307">
        <f t="shared" ref="F9" si="6">SUM(F3:F8)</f>
        <v>0</v>
      </c>
      <c r="G9" s="307">
        <f t="shared" ref="G9" si="7">SUM(G3:G8)</f>
        <v>15</v>
      </c>
      <c r="H9" s="307">
        <f t="shared" ref="H9" si="8">SUM(H3:H8)</f>
        <v>0</v>
      </c>
      <c r="I9" s="307">
        <f t="shared" ref="I9" si="9">SUM(I3:I8)</f>
        <v>0</v>
      </c>
      <c r="J9" s="308">
        <f>SUM(J3:J8)</f>
        <v>15</v>
      </c>
      <c r="K9" s="313">
        <f>SUM(K3:K8)</f>
        <v>9</v>
      </c>
      <c r="L9" s="313">
        <f t="shared" ref="L9:O9" si="10">SUM(L3:L8)</f>
        <v>0</v>
      </c>
      <c r="M9" s="313">
        <f t="shared" si="10"/>
        <v>0</v>
      </c>
      <c r="N9" s="313">
        <f t="shared" si="10"/>
        <v>0</v>
      </c>
      <c r="O9" s="313">
        <f t="shared" si="10"/>
        <v>8</v>
      </c>
      <c r="P9" s="308">
        <f>SUM(P3:P8)</f>
        <v>17</v>
      </c>
      <c r="Q9" s="313">
        <f>SUM(Q3:Q8)</f>
        <v>0</v>
      </c>
      <c r="R9" s="313">
        <f t="shared" ref="R9:S9" si="11">SUM(R3:R8)</f>
        <v>0</v>
      </c>
      <c r="S9" s="313">
        <f t="shared" si="11"/>
        <v>10</v>
      </c>
      <c r="T9" s="308">
        <f>SUM(T3:T8)</f>
        <v>10</v>
      </c>
      <c r="U9" s="313">
        <f>SUM(U3:U8)</f>
        <v>0</v>
      </c>
      <c r="V9" s="313">
        <f t="shared" ref="V9:Y9" si="12">SUM(V3:V8)</f>
        <v>0</v>
      </c>
      <c r="W9" s="313">
        <f t="shared" si="12"/>
        <v>0</v>
      </c>
      <c r="X9" s="313">
        <f t="shared" si="12"/>
        <v>0</v>
      </c>
      <c r="Y9" s="313">
        <f t="shared" si="12"/>
        <v>0</v>
      </c>
      <c r="Z9" s="313">
        <v>0</v>
      </c>
      <c r="AA9" s="310">
        <f>SUM(AA3:AA8)</f>
        <v>10</v>
      </c>
      <c r="AB9" s="310">
        <f t="shared" ref="AB9:AE9" si="13">SUM(AB3:AB8)</f>
        <v>0</v>
      </c>
      <c r="AC9" s="310">
        <f t="shared" si="13"/>
        <v>0</v>
      </c>
      <c r="AD9" s="310">
        <f t="shared" si="13"/>
        <v>22</v>
      </c>
      <c r="AE9" s="310">
        <f t="shared" si="13"/>
        <v>32</v>
      </c>
      <c r="AF9" s="310">
        <f>SUM(AF3:AF8)</f>
        <v>0</v>
      </c>
      <c r="AG9" s="310">
        <f>SUM(AG3:AG8)</f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  <pageSetup orientation="portrait" horizontalDpi="300" verticalDpi="300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5"/>
  <sheetViews>
    <sheetView topLeftCell="A46" workbookViewId="0">
      <selection activeCell="A14" sqref="A14"/>
    </sheetView>
  </sheetViews>
  <sheetFormatPr defaultRowHeight="15"/>
  <cols>
    <col min="2" max="2" width="23.5703125" customWidth="1"/>
    <col min="4" max="4" width="15.42578125" customWidth="1"/>
    <col min="5" max="5" width="18.28515625" customWidth="1"/>
    <col min="6" max="6" width="12.42578125" customWidth="1"/>
  </cols>
  <sheetData>
    <row r="1" spans="1:98" ht="30.75" thickBot="1">
      <c r="A1" s="283" t="s">
        <v>8230</v>
      </c>
      <c r="B1" s="284"/>
      <c r="C1" s="285" t="s">
        <v>8231</v>
      </c>
      <c r="D1" s="286"/>
      <c r="E1" s="284"/>
      <c r="F1" s="284"/>
      <c r="G1" s="538" t="s">
        <v>2</v>
      </c>
      <c r="H1" s="539"/>
      <c r="I1" s="539"/>
      <c r="J1" s="539"/>
      <c r="K1" s="540"/>
      <c r="L1" s="535" t="s">
        <v>3</v>
      </c>
      <c r="M1" s="536"/>
      <c r="N1" s="536"/>
      <c r="O1" s="536"/>
      <c r="P1" s="537"/>
      <c r="Q1" s="541"/>
      <c r="R1" s="542"/>
      <c r="S1" s="543" t="s">
        <v>5</v>
      </c>
      <c r="T1" s="544"/>
      <c r="U1" s="544"/>
      <c r="V1" s="545"/>
      <c r="W1" s="538" t="s">
        <v>6</v>
      </c>
      <c r="X1" s="539"/>
      <c r="Y1" s="539"/>
      <c r="Z1" s="539"/>
      <c r="AA1" s="539"/>
      <c r="AB1" s="540"/>
      <c r="AC1" s="543" t="s">
        <v>7</v>
      </c>
      <c r="AD1" s="544"/>
      <c r="AE1" s="544"/>
      <c r="AF1" s="544"/>
      <c r="AG1" s="544"/>
      <c r="AH1" s="545"/>
      <c r="AI1" s="546" t="s">
        <v>8</v>
      </c>
      <c r="AJ1" s="547"/>
      <c r="AK1" s="543" t="s">
        <v>9</v>
      </c>
      <c r="AL1" s="544"/>
      <c r="AM1" s="545"/>
      <c r="AN1" s="543" t="s">
        <v>10</v>
      </c>
      <c r="AO1" s="544"/>
      <c r="AP1" s="545"/>
      <c r="AQ1" s="543" t="s">
        <v>11</v>
      </c>
      <c r="AR1" s="544"/>
      <c r="AS1" s="545"/>
      <c r="AT1" s="546" t="s">
        <v>12</v>
      </c>
      <c r="AU1" s="547"/>
      <c r="AV1" s="535" t="s">
        <v>13</v>
      </c>
      <c r="AW1" s="536"/>
      <c r="AX1" s="536"/>
      <c r="AY1" s="536"/>
      <c r="AZ1" s="537"/>
      <c r="BA1" s="538" t="s">
        <v>8129</v>
      </c>
      <c r="BB1" s="539"/>
      <c r="BC1" s="540"/>
      <c r="BD1" s="543" t="s">
        <v>3542</v>
      </c>
      <c r="BE1" s="544"/>
      <c r="BF1" s="545"/>
      <c r="BG1" s="284"/>
      <c r="BH1" s="284"/>
      <c r="BI1" s="546" t="s">
        <v>16</v>
      </c>
      <c r="BJ1" s="548"/>
      <c r="BK1" s="548"/>
      <c r="BL1" s="548"/>
      <c r="BM1" s="548"/>
      <c r="BN1" s="548"/>
      <c r="BO1" s="547"/>
      <c r="BP1" s="543" t="s">
        <v>8130</v>
      </c>
      <c r="BQ1" s="544"/>
      <c r="BR1" s="545"/>
      <c r="BS1" s="535" t="s">
        <v>18</v>
      </c>
      <c r="BT1" s="537"/>
      <c r="BU1" s="284"/>
      <c r="BV1" s="284"/>
      <c r="BW1" s="546" t="s">
        <v>8131</v>
      </c>
      <c r="BX1" s="548"/>
      <c r="BY1" s="548"/>
      <c r="BZ1" s="548"/>
      <c r="CA1" s="547"/>
      <c r="CB1" s="287" t="s">
        <v>8132</v>
      </c>
      <c r="CC1" s="286"/>
      <c r="CD1" s="284"/>
      <c r="CE1" s="538" t="s">
        <v>8133</v>
      </c>
      <c r="CF1" s="539"/>
      <c r="CG1" s="540"/>
      <c r="CH1" s="535" t="s">
        <v>6832</v>
      </c>
      <c r="CI1" s="537"/>
      <c r="CJ1" s="284"/>
      <c r="CK1" s="546" t="s">
        <v>16</v>
      </c>
      <c r="CL1" s="548"/>
      <c r="CM1" s="548"/>
      <c r="CN1" s="547"/>
      <c r="CO1" s="543" t="s">
        <v>24</v>
      </c>
      <c r="CP1" s="545"/>
      <c r="CQ1" s="287" t="s">
        <v>25</v>
      </c>
      <c r="CR1" s="284"/>
      <c r="CS1" s="284"/>
      <c r="CT1" s="284" t="s">
        <v>26</v>
      </c>
    </row>
    <row r="2" spans="1:98" s="295" customFormat="1">
      <c r="A2" s="331"/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332" t="s">
        <v>15</v>
      </c>
      <c r="BH2" s="294"/>
      <c r="BI2" s="294" t="s">
        <v>5582</v>
      </c>
      <c r="BJ2" s="556" t="s">
        <v>78</v>
      </c>
      <c r="BK2" s="557"/>
      <c r="BL2" s="558" t="s">
        <v>354</v>
      </c>
      <c r="BM2" s="559"/>
      <c r="BN2" s="559"/>
      <c r="BO2" s="560"/>
      <c r="BP2" s="294"/>
      <c r="BQ2" s="294"/>
      <c r="BR2" s="294"/>
      <c r="BS2" s="294"/>
      <c r="BT2" s="294"/>
      <c r="BU2" s="294"/>
      <c r="BV2" s="294"/>
      <c r="BW2" s="294"/>
      <c r="BX2" s="294"/>
      <c r="BY2" s="294"/>
      <c r="BZ2" s="294"/>
      <c r="CA2" s="294"/>
      <c r="CB2" s="294"/>
      <c r="CC2" s="294"/>
      <c r="CD2" s="294"/>
      <c r="CE2" s="294"/>
      <c r="CF2" s="294"/>
      <c r="CG2" s="294"/>
      <c r="CH2" s="294"/>
      <c r="CI2" s="294"/>
      <c r="CJ2" s="294"/>
      <c r="CK2" s="294"/>
      <c r="CL2" s="294"/>
      <c r="CM2" s="294"/>
      <c r="CN2" s="294"/>
      <c r="CO2" s="294"/>
      <c r="CP2" s="294"/>
      <c r="CQ2" s="294"/>
      <c r="CR2" s="294"/>
      <c r="CS2" s="332" t="s">
        <v>893</v>
      </c>
      <c r="CT2" s="294"/>
    </row>
    <row r="3" spans="1:98" s="327" customFormat="1" ht="60">
      <c r="A3" s="328" t="s">
        <v>28</v>
      </c>
      <c r="B3" s="328" t="s">
        <v>29</v>
      </c>
      <c r="C3" s="328" t="s">
        <v>30</v>
      </c>
      <c r="D3" s="328" t="s">
        <v>31</v>
      </c>
      <c r="E3" s="328" t="s">
        <v>32</v>
      </c>
      <c r="F3" s="328" t="s">
        <v>33</v>
      </c>
      <c r="G3" s="328" t="s">
        <v>34</v>
      </c>
      <c r="H3" s="328" t="s">
        <v>35</v>
      </c>
      <c r="I3" s="328" t="s">
        <v>36</v>
      </c>
      <c r="J3" s="328" t="s">
        <v>37</v>
      </c>
      <c r="K3" s="328" t="s">
        <v>38</v>
      </c>
      <c r="L3" s="328" t="s">
        <v>39</v>
      </c>
      <c r="M3" s="328" t="s">
        <v>40</v>
      </c>
      <c r="N3" s="328" t="s">
        <v>41</v>
      </c>
      <c r="O3" s="328" t="s">
        <v>42</v>
      </c>
      <c r="P3" s="328" t="s">
        <v>43</v>
      </c>
      <c r="Q3" s="328" t="s">
        <v>44</v>
      </c>
      <c r="R3" s="328" t="s">
        <v>45</v>
      </c>
      <c r="S3" s="328" t="s">
        <v>46</v>
      </c>
      <c r="T3" s="328" t="s">
        <v>47</v>
      </c>
      <c r="U3" s="328" t="s">
        <v>48</v>
      </c>
      <c r="V3" s="328" t="s">
        <v>49</v>
      </c>
      <c r="W3" s="328" t="s">
        <v>50</v>
      </c>
      <c r="X3" s="328" t="s">
        <v>51</v>
      </c>
      <c r="Y3" s="328" t="s">
        <v>52</v>
      </c>
      <c r="Z3" s="328" t="s">
        <v>53</v>
      </c>
      <c r="AA3" s="328" t="s">
        <v>54</v>
      </c>
      <c r="AB3" s="328" t="s">
        <v>55</v>
      </c>
      <c r="AC3" s="328" t="s">
        <v>56</v>
      </c>
      <c r="AD3" s="328" t="s">
        <v>57</v>
      </c>
      <c r="AE3" s="328" t="s">
        <v>58</v>
      </c>
      <c r="AF3" s="328" t="s">
        <v>59</v>
      </c>
      <c r="AG3" s="328" t="s">
        <v>60</v>
      </c>
      <c r="AH3" s="328" t="s">
        <v>61</v>
      </c>
      <c r="AI3" s="328" t="s">
        <v>62</v>
      </c>
      <c r="AJ3" s="328" t="s">
        <v>63</v>
      </c>
      <c r="AK3" s="328" t="s">
        <v>64</v>
      </c>
      <c r="AL3" s="328" t="s">
        <v>65</v>
      </c>
      <c r="AM3" s="328" t="s">
        <v>66</v>
      </c>
      <c r="AN3" s="328" t="s">
        <v>67</v>
      </c>
      <c r="AO3" s="328" t="s">
        <v>68</v>
      </c>
      <c r="AP3" s="328" t="s">
        <v>69</v>
      </c>
      <c r="AQ3" s="328" t="s">
        <v>70</v>
      </c>
      <c r="AR3" s="328" t="s">
        <v>71</v>
      </c>
      <c r="AS3" s="328" t="s">
        <v>72</v>
      </c>
      <c r="AT3" s="328" t="s">
        <v>56</v>
      </c>
      <c r="AU3" s="328" t="s">
        <v>73</v>
      </c>
      <c r="AV3" s="328" t="s">
        <v>46</v>
      </c>
      <c r="AW3" s="328" t="s">
        <v>895</v>
      </c>
      <c r="AX3" s="328" t="s">
        <v>75</v>
      </c>
      <c r="AY3" s="328" t="s">
        <v>76</v>
      </c>
      <c r="AZ3" s="328" t="s">
        <v>77</v>
      </c>
      <c r="BA3" s="328" t="s">
        <v>56</v>
      </c>
      <c r="BB3" s="328" t="s">
        <v>78</v>
      </c>
      <c r="BC3" s="328" t="s">
        <v>5582</v>
      </c>
      <c r="BD3" s="328" t="s">
        <v>79</v>
      </c>
      <c r="BE3" s="328" t="s">
        <v>80</v>
      </c>
      <c r="BF3" s="328" t="s">
        <v>38</v>
      </c>
      <c r="BG3" s="328" t="s">
        <v>81</v>
      </c>
      <c r="BH3" s="328" t="s">
        <v>82</v>
      </c>
      <c r="BI3" s="328" t="s">
        <v>83</v>
      </c>
      <c r="BJ3" s="328" t="s">
        <v>83</v>
      </c>
      <c r="BK3" s="328" t="s">
        <v>81</v>
      </c>
      <c r="BL3" s="328" t="s">
        <v>96</v>
      </c>
      <c r="BM3" s="328" t="s">
        <v>84</v>
      </c>
      <c r="BN3" s="328" t="s">
        <v>85</v>
      </c>
      <c r="BO3" s="328" t="s">
        <v>86</v>
      </c>
      <c r="BP3" s="328" t="s">
        <v>73</v>
      </c>
      <c r="BQ3" s="328" t="s">
        <v>87</v>
      </c>
      <c r="BR3" s="328" t="s">
        <v>56</v>
      </c>
      <c r="BS3" s="328" t="s">
        <v>83</v>
      </c>
      <c r="BT3" s="328" t="s">
        <v>88</v>
      </c>
      <c r="BU3" s="328" t="s">
        <v>89</v>
      </c>
      <c r="BV3" s="325"/>
      <c r="BW3" s="328" t="s">
        <v>90</v>
      </c>
      <c r="BX3" s="328" t="s">
        <v>91</v>
      </c>
      <c r="BY3" s="328" t="s">
        <v>92</v>
      </c>
      <c r="BZ3" s="328" t="s">
        <v>93</v>
      </c>
      <c r="CA3" s="328" t="s">
        <v>94</v>
      </c>
      <c r="CB3" s="328" t="s">
        <v>56</v>
      </c>
      <c r="CC3" s="328" t="s">
        <v>73</v>
      </c>
      <c r="CD3" s="328" t="s">
        <v>22</v>
      </c>
      <c r="CE3" s="328" t="s">
        <v>56</v>
      </c>
      <c r="CF3" s="328" t="s">
        <v>73</v>
      </c>
      <c r="CG3" s="328" t="s">
        <v>1275</v>
      </c>
      <c r="CH3" s="328" t="s">
        <v>83</v>
      </c>
      <c r="CI3" s="328" t="s">
        <v>88</v>
      </c>
      <c r="CJ3" s="328" t="s">
        <v>896</v>
      </c>
      <c r="CK3" s="328" t="s">
        <v>96</v>
      </c>
      <c r="CL3" s="328" t="s">
        <v>97</v>
      </c>
      <c r="CM3" s="328" t="s">
        <v>98</v>
      </c>
      <c r="CN3" s="328" t="s">
        <v>1276</v>
      </c>
      <c r="CO3" s="328" t="s">
        <v>73</v>
      </c>
      <c r="CP3" s="328" t="s">
        <v>56</v>
      </c>
      <c r="CQ3" s="328" t="s">
        <v>99</v>
      </c>
      <c r="CR3" s="328" t="s">
        <v>56</v>
      </c>
      <c r="CS3" s="325"/>
      <c r="CT3" s="328" t="s">
        <v>100</v>
      </c>
    </row>
    <row r="4" spans="1:98" s="295" customFormat="1" ht="24" customHeight="1">
      <c r="A4" s="296" t="s">
        <v>8232</v>
      </c>
      <c r="B4" s="296" t="s">
        <v>8233</v>
      </c>
      <c r="C4" s="297">
        <v>52</v>
      </c>
      <c r="D4" s="296" t="s">
        <v>8234</v>
      </c>
      <c r="E4" s="296" t="s">
        <v>8235</v>
      </c>
      <c r="F4" s="296" t="s">
        <v>2472</v>
      </c>
      <c r="G4" s="296"/>
      <c r="H4" s="297">
        <v>1</v>
      </c>
      <c r="I4" s="296"/>
      <c r="J4" s="296"/>
      <c r="K4" s="296"/>
      <c r="L4" s="296"/>
      <c r="M4" s="297">
        <v>1</v>
      </c>
      <c r="N4" s="296"/>
      <c r="O4" s="296"/>
      <c r="P4" s="296"/>
      <c r="Q4" s="297">
        <v>1</v>
      </c>
      <c r="R4" s="296"/>
      <c r="S4" s="296"/>
      <c r="T4" s="297">
        <v>1</v>
      </c>
      <c r="U4" s="296"/>
      <c r="V4" s="296"/>
      <c r="W4" s="297">
        <v>14</v>
      </c>
      <c r="X4" s="297">
        <v>18</v>
      </c>
      <c r="Y4" s="297">
        <v>19</v>
      </c>
      <c r="Z4" s="297">
        <v>12</v>
      </c>
      <c r="AA4" s="297">
        <v>12</v>
      </c>
      <c r="AB4" s="297">
        <v>8</v>
      </c>
      <c r="AC4" s="297">
        <v>1</v>
      </c>
      <c r="AD4" s="296"/>
      <c r="AE4" s="296"/>
      <c r="AF4" s="296"/>
      <c r="AG4" s="296"/>
      <c r="AH4" s="296"/>
      <c r="AI4" s="296"/>
      <c r="AJ4" s="297">
        <v>1</v>
      </c>
      <c r="AK4" s="297">
        <v>1</v>
      </c>
      <c r="AL4" s="296"/>
      <c r="AM4" s="296"/>
      <c r="AN4" s="296"/>
      <c r="AO4" s="296"/>
      <c r="AP4" s="296"/>
      <c r="AQ4" s="296"/>
      <c r="AR4" s="296"/>
      <c r="AS4" s="296"/>
      <c r="AT4" s="297">
        <v>1</v>
      </c>
      <c r="AU4" s="296"/>
      <c r="AV4" s="296"/>
      <c r="AW4" s="297">
        <v>1</v>
      </c>
      <c r="AX4" s="296"/>
      <c r="AY4" s="296"/>
      <c r="AZ4" s="296"/>
      <c r="BA4" s="297">
        <v>1</v>
      </c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 t="s">
        <v>8236</v>
      </c>
      <c r="BP4" s="296"/>
      <c r="BQ4" s="296"/>
      <c r="BR4" s="296"/>
      <c r="BS4" s="296"/>
      <c r="BT4" s="296"/>
      <c r="BU4" s="297">
        <v>1</v>
      </c>
      <c r="BV4" s="296"/>
      <c r="BW4" s="296"/>
      <c r="BX4" s="296"/>
      <c r="BY4" s="296"/>
      <c r="BZ4" s="296"/>
      <c r="CA4" s="296"/>
      <c r="CB4" s="297">
        <v>1</v>
      </c>
      <c r="CC4" s="296"/>
      <c r="CD4" s="296"/>
      <c r="CE4" s="297">
        <v>1</v>
      </c>
      <c r="CF4" s="296"/>
      <c r="CG4" s="296"/>
      <c r="CH4" s="296"/>
      <c r="CI4" s="296"/>
      <c r="CJ4" s="296"/>
      <c r="CK4" s="297">
        <v>1</v>
      </c>
      <c r="CL4" s="296"/>
      <c r="CM4" s="296"/>
      <c r="CN4" s="296"/>
      <c r="CO4" s="296"/>
      <c r="CP4" s="296"/>
      <c r="CQ4" s="296"/>
      <c r="CR4" s="297">
        <v>1</v>
      </c>
      <c r="CS4" s="296"/>
      <c r="CT4" s="296" t="s">
        <v>7616</v>
      </c>
    </row>
    <row r="5" spans="1:98" s="295" customFormat="1" ht="17.25" customHeight="1">
      <c r="A5" s="296" t="s">
        <v>8237</v>
      </c>
      <c r="B5" s="296" t="s">
        <v>6190</v>
      </c>
      <c r="C5" s="297">
        <v>58</v>
      </c>
      <c r="D5" s="296" t="s">
        <v>8238</v>
      </c>
      <c r="E5" s="296" t="s">
        <v>191</v>
      </c>
      <c r="F5" s="296" t="s">
        <v>2472</v>
      </c>
      <c r="G5" s="296"/>
      <c r="H5" s="297">
        <v>1</v>
      </c>
      <c r="I5" s="296"/>
      <c r="J5" s="296"/>
      <c r="K5" s="296"/>
      <c r="L5" s="296"/>
      <c r="M5" s="297">
        <v>1</v>
      </c>
      <c r="N5" s="296"/>
      <c r="O5" s="296"/>
      <c r="P5" s="296"/>
      <c r="Q5" s="296"/>
      <c r="R5" s="297">
        <v>1</v>
      </c>
      <c r="S5" s="296"/>
      <c r="T5" s="297">
        <v>1</v>
      </c>
      <c r="U5" s="296"/>
      <c r="V5" s="296"/>
      <c r="W5" s="297">
        <v>14</v>
      </c>
      <c r="X5" s="297">
        <v>18</v>
      </c>
      <c r="Y5" s="297">
        <v>20</v>
      </c>
      <c r="Z5" s="297">
        <v>10</v>
      </c>
      <c r="AA5" s="297">
        <v>10</v>
      </c>
      <c r="AB5" s="297">
        <v>8</v>
      </c>
      <c r="AC5" s="296"/>
      <c r="AD5" s="296"/>
      <c r="AE5" s="296"/>
      <c r="AF5" s="296"/>
      <c r="AG5" s="296"/>
      <c r="AH5" s="297">
        <v>1</v>
      </c>
      <c r="AI5" s="297">
        <v>1</v>
      </c>
      <c r="AJ5" s="296"/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7">
        <v>1</v>
      </c>
      <c r="CL5" s="296"/>
      <c r="CM5" s="296"/>
      <c r="CN5" s="296"/>
      <c r="CO5" s="296"/>
      <c r="CP5" s="296"/>
      <c r="CQ5" s="296"/>
      <c r="CR5" s="297">
        <v>1</v>
      </c>
      <c r="CS5" s="296"/>
      <c r="CT5" s="298">
        <v>46661</v>
      </c>
    </row>
    <row r="6" spans="1:98" s="295" customFormat="1" ht="12.75" customHeight="1">
      <c r="A6" s="296" t="s">
        <v>8239</v>
      </c>
      <c r="B6" s="296" t="s">
        <v>8240</v>
      </c>
      <c r="C6" s="297">
        <v>45</v>
      </c>
      <c r="D6" s="296" t="s">
        <v>8241</v>
      </c>
      <c r="E6" s="296" t="s">
        <v>8242</v>
      </c>
      <c r="F6" s="296" t="s">
        <v>2484</v>
      </c>
      <c r="G6" s="296"/>
      <c r="H6" s="296"/>
      <c r="I6" s="296"/>
      <c r="J6" s="297">
        <v>1</v>
      </c>
      <c r="K6" s="296"/>
      <c r="L6" s="296"/>
      <c r="M6" s="296"/>
      <c r="N6" s="296"/>
      <c r="O6" s="297">
        <v>1</v>
      </c>
      <c r="P6" s="296"/>
      <c r="Q6" s="296"/>
      <c r="R6" s="297">
        <v>1</v>
      </c>
      <c r="S6" s="296"/>
      <c r="T6" s="296"/>
      <c r="U6" s="297">
        <v>1</v>
      </c>
      <c r="V6" s="296"/>
      <c r="W6" s="297">
        <v>14</v>
      </c>
      <c r="X6" s="297">
        <v>18</v>
      </c>
      <c r="Y6" s="297">
        <v>23</v>
      </c>
      <c r="Z6" s="297">
        <v>5</v>
      </c>
      <c r="AA6" s="297">
        <v>5</v>
      </c>
      <c r="AB6" s="297">
        <v>5</v>
      </c>
      <c r="AC6" s="297">
        <v>1</v>
      </c>
      <c r="AD6" s="296"/>
      <c r="AE6" s="296"/>
      <c r="AF6" s="296"/>
      <c r="AG6" s="296"/>
      <c r="AH6" s="296"/>
      <c r="AI6" s="296"/>
      <c r="AJ6" s="297">
        <v>1</v>
      </c>
      <c r="AK6" s="297">
        <v>1</v>
      </c>
      <c r="AL6" s="296"/>
      <c r="AM6" s="296"/>
      <c r="AN6" s="296"/>
      <c r="AO6" s="296"/>
      <c r="AP6" s="296"/>
      <c r="AQ6" s="296"/>
      <c r="AR6" s="296"/>
      <c r="AS6" s="296"/>
      <c r="AT6" s="297">
        <v>1</v>
      </c>
      <c r="AU6" s="296"/>
      <c r="AV6" s="296"/>
      <c r="AW6" s="297">
        <v>1</v>
      </c>
      <c r="AX6" s="296"/>
      <c r="AY6" s="296"/>
      <c r="AZ6" s="296"/>
      <c r="BA6" s="297">
        <v>1</v>
      </c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7">
        <v>1</v>
      </c>
      <c r="CL6" s="296"/>
      <c r="CM6" s="296"/>
      <c r="CN6" s="296"/>
      <c r="CO6" s="296"/>
      <c r="CP6" s="296"/>
      <c r="CQ6" s="296"/>
      <c r="CR6" s="297">
        <v>1</v>
      </c>
      <c r="CS6" s="296"/>
      <c r="CT6" s="298">
        <v>46661</v>
      </c>
    </row>
    <row r="7" spans="1:98" s="295" customFormat="1" ht="15.75" customHeight="1">
      <c r="A7" s="296" t="s">
        <v>8243</v>
      </c>
      <c r="B7" s="296" t="s">
        <v>8244</v>
      </c>
      <c r="C7" s="297">
        <v>40</v>
      </c>
      <c r="D7" s="296" t="s">
        <v>8238</v>
      </c>
      <c r="E7" s="296" t="s">
        <v>8245</v>
      </c>
      <c r="F7" s="296" t="s">
        <v>2484</v>
      </c>
      <c r="G7" s="296"/>
      <c r="H7" s="297">
        <v>1</v>
      </c>
      <c r="I7" s="296"/>
      <c r="J7" s="296"/>
      <c r="K7" s="296"/>
      <c r="L7" s="296"/>
      <c r="M7" s="297">
        <v>1</v>
      </c>
      <c r="N7" s="296"/>
      <c r="O7" s="296"/>
      <c r="P7" s="296"/>
      <c r="Q7" s="297">
        <v>1</v>
      </c>
      <c r="R7" s="296"/>
      <c r="S7" s="296"/>
      <c r="T7" s="297">
        <v>1</v>
      </c>
      <c r="U7" s="296"/>
      <c r="V7" s="296"/>
      <c r="W7" s="297">
        <v>13</v>
      </c>
      <c r="X7" s="297">
        <v>14</v>
      </c>
      <c r="Y7" s="297">
        <v>17</v>
      </c>
      <c r="Z7" s="297">
        <v>11</v>
      </c>
      <c r="AA7" s="297">
        <v>8</v>
      </c>
      <c r="AB7" s="297">
        <v>8</v>
      </c>
      <c r="AC7" s="296"/>
      <c r="AD7" s="297">
        <v>1</v>
      </c>
      <c r="AE7" s="296"/>
      <c r="AF7" s="296"/>
      <c r="AG7" s="296"/>
      <c r="AH7" s="297">
        <v>1</v>
      </c>
      <c r="AI7" s="297">
        <v>1</v>
      </c>
      <c r="AJ7" s="296"/>
      <c r="AK7" s="297">
        <v>1</v>
      </c>
      <c r="AL7" s="296"/>
      <c r="AM7" s="296"/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7">
        <v>1</v>
      </c>
      <c r="CL7" s="296"/>
      <c r="CM7" s="296"/>
      <c r="CN7" s="296"/>
      <c r="CO7" s="296"/>
      <c r="CP7" s="296"/>
      <c r="CQ7" s="296"/>
      <c r="CR7" s="297">
        <v>1</v>
      </c>
      <c r="CS7" s="296"/>
      <c r="CT7" s="296"/>
    </row>
    <row r="8" spans="1:98" s="295" customFormat="1" ht="17.25" customHeight="1">
      <c r="A8" s="296" t="s">
        <v>8246</v>
      </c>
      <c r="B8" s="296" t="s">
        <v>1592</v>
      </c>
      <c r="C8" s="297">
        <v>38</v>
      </c>
      <c r="D8" s="296" t="s">
        <v>1575</v>
      </c>
      <c r="E8" s="296" t="s">
        <v>8247</v>
      </c>
      <c r="F8" s="296" t="s">
        <v>2484</v>
      </c>
      <c r="G8" s="296"/>
      <c r="H8" s="297">
        <v>1</v>
      </c>
      <c r="I8" s="296"/>
      <c r="J8" s="296"/>
      <c r="K8" s="296"/>
      <c r="L8" s="296"/>
      <c r="M8" s="297">
        <v>1</v>
      </c>
      <c r="N8" s="296"/>
      <c r="O8" s="296"/>
      <c r="P8" s="296"/>
      <c r="Q8" s="296"/>
      <c r="R8" s="297">
        <v>1</v>
      </c>
      <c r="S8" s="296"/>
      <c r="T8" s="296"/>
      <c r="U8" s="297">
        <v>1</v>
      </c>
      <c r="V8" s="296"/>
      <c r="W8" s="297">
        <v>16</v>
      </c>
      <c r="X8" s="297">
        <v>18</v>
      </c>
      <c r="Y8" s="297">
        <v>18</v>
      </c>
      <c r="Z8" s="297">
        <v>8</v>
      </c>
      <c r="AA8" s="297">
        <v>8</v>
      </c>
      <c r="AB8" s="297">
        <v>8</v>
      </c>
      <c r="AC8" s="296"/>
      <c r="AD8" s="297">
        <v>1</v>
      </c>
      <c r="AE8" s="297">
        <v>1</v>
      </c>
      <c r="AF8" s="296"/>
      <c r="AG8" s="297">
        <v>1</v>
      </c>
      <c r="AH8" s="297">
        <v>1</v>
      </c>
      <c r="AI8" s="296"/>
      <c r="AJ8" s="297">
        <v>1</v>
      </c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6"/>
      <c r="BB8" s="297">
        <v>1</v>
      </c>
      <c r="BC8" s="296"/>
      <c r="BD8" s="296"/>
      <c r="BE8" s="296"/>
      <c r="BF8" s="296"/>
      <c r="BG8" s="297">
        <v>1</v>
      </c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7">
        <v>1</v>
      </c>
      <c r="CC8" s="296"/>
      <c r="CD8" s="296"/>
      <c r="CE8" s="297">
        <v>1</v>
      </c>
      <c r="CF8" s="296"/>
      <c r="CG8" s="296"/>
      <c r="CH8" s="296"/>
      <c r="CI8" s="296"/>
      <c r="CJ8" s="296"/>
      <c r="CK8" s="297">
        <v>1</v>
      </c>
      <c r="CL8" s="296"/>
      <c r="CM8" s="296"/>
      <c r="CN8" s="296"/>
      <c r="CO8" s="296"/>
      <c r="CP8" s="296"/>
      <c r="CQ8" s="296"/>
      <c r="CR8" s="297">
        <v>1</v>
      </c>
      <c r="CS8" s="296"/>
      <c r="CT8" s="298">
        <v>46661</v>
      </c>
    </row>
    <row r="9" spans="1:98" s="295" customFormat="1" ht="13.5" customHeight="1">
      <c r="A9" s="296" t="s">
        <v>8248</v>
      </c>
      <c r="B9" s="296" t="s">
        <v>6002</v>
      </c>
      <c r="C9" s="297">
        <v>44</v>
      </c>
      <c r="D9" s="296" t="s">
        <v>1484</v>
      </c>
      <c r="E9" s="296" t="s">
        <v>8249</v>
      </c>
      <c r="F9" s="296" t="s">
        <v>2484</v>
      </c>
      <c r="G9" s="296"/>
      <c r="H9" s="297">
        <v>1</v>
      </c>
      <c r="I9" s="296"/>
      <c r="J9" s="296"/>
      <c r="K9" s="296"/>
      <c r="L9" s="296"/>
      <c r="M9" s="297">
        <v>1</v>
      </c>
      <c r="N9" s="296"/>
      <c r="O9" s="296"/>
      <c r="P9" s="296"/>
      <c r="Q9" s="296"/>
      <c r="R9" s="297">
        <v>1</v>
      </c>
      <c r="S9" s="296"/>
      <c r="T9" s="297">
        <v>1</v>
      </c>
      <c r="U9" s="296"/>
      <c r="V9" s="296"/>
      <c r="W9" s="297">
        <v>16</v>
      </c>
      <c r="X9" s="297">
        <v>18</v>
      </c>
      <c r="Y9" s="297">
        <v>19</v>
      </c>
      <c r="Z9" s="297">
        <v>7</v>
      </c>
      <c r="AA9" s="297">
        <v>7</v>
      </c>
      <c r="AB9" s="297">
        <v>5</v>
      </c>
      <c r="AC9" s="296"/>
      <c r="AD9" s="296"/>
      <c r="AE9" s="297">
        <v>1</v>
      </c>
      <c r="AF9" s="296"/>
      <c r="AG9" s="296"/>
      <c r="AH9" s="297">
        <v>1</v>
      </c>
      <c r="AI9" s="297">
        <v>1</v>
      </c>
      <c r="AJ9" s="296"/>
      <c r="AK9" s="297">
        <v>1</v>
      </c>
      <c r="AL9" s="296"/>
      <c r="AM9" s="296"/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7">
        <v>1</v>
      </c>
      <c r="AX9" s="296"/>
      <c r="AY9" s="296"/>
      <c r="AZ9" s="296"/>
      <c r="BA9" s="296"/>
      <c r="BB9" s="297">
        <v>1</v>
      </c>
      <c r="BC9" s="296"/>
      <c r="BD9" s="296"/>
      <c r="BE9" s="296"/>
      <c r="BF9" s="296"/>
      <c r="BG9" s="297">
        <v>1</v>
      </c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7">
        <v>1</v>
      </c>
      <c r="BZ9" s="296"/>
      <c r="CA9" s="296"/>
      <c r="CB9" s="297">
        <v>1</v>
      </c>
      <c r="CC9" s="296"/>
      <c r="CD9" s="296"/>
      <c r="CE9" s="297">
        <v>1</v>
      </c>
      <c r="CF9" s="296"/>
      <c r="CG9" s="296"/>
      <c r="CH9" s="296"/>
      <c r="CI9" s="296"/>
      <c r="CJ9" s="296"/>
      <c r="CK9" s="297">
        <v>1</v>
      </c>
      <c r="CL9" s="296"/>
      <c r="CM9" s="296"/>
      <c r="CN9" s="296"/>
      <c r="CO9" s="296"/>
      <c r="CP9" s="296"/>
      <c r="CQ9" s="296"/>
      <c r="CR9" s="297">
        <v>1</v>
      </c>
      <c r="CS9" s="296"/>
      <c r="CT9" s="298">
        <v>46661</v>
      </c>
    </row>
    <row r="10" spans="1:98" s="295" customFormat="1" ht="15" customHeight="1">
      <c r="A10" s="296" t="s">
        <v>8250</v>
      </c>
      <c r="B10" s="296" t="s">
        <v>8251</v>
      </c>
      <c r="C10" s="297">
        <v>26</v>
      </c>
      <c r="D10" s="296" t="s">
        <v>8238</v>
      </c>
      <c r="E10" s="296" t="s">
        <v>8252</v>
      </c>
      <c r="F10" s="296" t="s">
        <v>2484</v>
      </c>
      <c r="G10" s="296"/>
      <c r="H10" s="297">
        <v>1</v>
      </c>
      <c r="I10" s="296"/>
      <c r="J10" s="296"/>
      <c r="K10" s="296"/>
      <c r="L10" s="296"/>
      <c r="M10" s="297">
        <v>1</v>
      </c>
      <c r="N10" s="296"/>
      <c r="O10" s="296"/>
      <c r="P10" s="296"/>
      <c r="Q10" s="297">
        <v>1</v>
      </c>
      <c r="R10" s="296"/>
      <c r="S10" s="296"/>
      <c r="T10" s="296"/>
      <c r="U10" s="297">
        <v>1</v>
      </c>
      <c r="V10" s="296"/>
      <c r="W10" s="297">
        <v>15</v>
      </c>
      <c r="X10" s="297">
        <v>21</v>
      </c>
      <c r="Y10" s="297">
        <v>25</v>
      </c>
      <c r="Z10" s="297">
        <v>2</v>
      </c>
      <c r="AA10" s="297">
        <v>1</v>
      </c>
      <c r="AB10" s="297">
        <v>1</v>
      </c>
      <c r="AC10" s="296"/>
      <c r="AD10" s="296"/>
      <c r="AE10" s="297">
        <v>1</v>
      </c>
      <c r="AF10" s="296"/>
      <c r="AG10" s="297">
        <v>1</v>
      </c>
      <c r="AH10" s="296"/>
      <c r="AI10" s="296"/>
      <c r="AJ10" s="297">
        <v>1</v>
      </c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6"/>
      <c r="AX10" s="297">
        <v>1</v>
      </c>
      <c r="AY10" s="296"/>
      <c r="AZ10" s="296"/>
      <c r="BA10" s="297">
        <v>1</v>
      </c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 t="s">
        <v>1739</v>
      </c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7">
        <v>1</v>
      </c>
      <c r="CL10" s="296"/>
      <c r="CM10" s="296"/>
      <c r="CN10" s="296"/>
      <c r="CO10" s="296"/>
      <c r="CP10" s="296"/>
      <c r="CQ10" s="296"/>
      <c r="CR10" s="297">
        <v>1</v>
      </c>
      <c r="CS10" s="296"/>
      <c r="CT10" s="298">
        <v>46661</v>
      </c>
    </row>
    <row r="11" spans="1:98" s="295" customFormat="1" ht="17.25" customHeight="1">
      <c r="A11" s="296" t="s">
        <v>8253</v>
      </c>
      <c r="B11" s="296" t="s">
        <v>8254</v>
      </c>
      <c r="C11" s="297">
        <v>47</v>
      </c>
      <c r="D11" s="296" t="s">
        <v>8255</v>
      </c>
      <c r="E11" s="296" t="s">
        <v>8256</v>
      </c>
      <c r="F11" s="296" t="s">
        <v>2484</v>
      </c>
      <c r="G11" s="296"/>
      <c r="H11" s="297">
        <v>1</v>
      </c>
      <c r="I11" s="296"/>
      <c r="J11" s="296"/>
      <c r="K11" s="296"/>
      <c r="L11" s="296"/>
      <c r="M11" s="297">
        <v>1</v>
      </c>
      <c r="N11" s="296"/>
      <c r="O11" s="296"/>
      <c r="P11" s="296"/>
      <c r="Q11" s="297">
        <v>1</v>
      </c>
      <c r="R11" s="296"/>
      <c r="S11" s="297">
        <v>1</v>
      </c>
      <c r="T11" s="296"/>
      <c r="U11" s="296"/>
      <c r="V11" s="296"/>
      <c r="W11" s="297">
        <v>13</v>
      </c>
      <c r="X11" s="297">
        <v>10</v>
      </c>
      <c r="Y11" s="297">
        <v>15</v>
      </c>
      <c r="Z11" s="297">
        <v>12</v>
      </c>
      <c r="AA11" s="297">
        <v>10</v>
      </c>
      <c r="AB11" s="297">
        <v>9</v>
      </c>
      <c r="AC11" s="296"/>
      <c r="AD11" s="296"/>
      <c r="AE11" s="296"/>
      <c r="AF11" s="296"/>
      <c r="AG11" s="296"/>
      <c r="AH11" s="297">
        <v>1</v>
      </c>
      <c r="AI11" s="296"/>
      <c r="AJ11" s="297">
        <v>1</v>
      </c>
      <c r="AK11" s="296"/>
      <c r="AL11" s="297">
        <v>1</v>
      </c>
      <c r="AM11" s="296"/>
      <c r="AN11" s="296"/>
      <c r="AO11" s="296"/>
      <c r="AP11" s="296"/>
      <c r="AQ11" s="296"/>
      <c r="AR11" s="296"/>
      <c r="AS11" s="296"/>
      <c r="AT11" s="297">
        <v>1</v>
      </c>
      <c r="AU11" s="296"/>
      <c r="AV11" s="296"/>
      <c r="AW11" s="296"/>
      <c r="AX11" s="297">
        <v>1</v>
      </c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7">
        <v>1</v>
      </c>
      <c r="CS11" s="296"/>
      <c r="CT11" s="298">
        <v>45931</v>
      </c>
    </row>
    <row r="12" spans="1:98" s="295" customFormat="1" ht="18" customHeight="1">
      <c r="A12" s="296" t="s">
        <v>8257</v>
      </c>
      <c r="B12" s="296" t="s">
        <v>8258</v>
      </c>
      <c r="C12" s="297">
        <v>80</v>
      </c>
      <c r="D12" s="296" t="s">
        <v>8259</v>
      </c>
      <c r="E12" s="296" t="s">
        <v>191</v>
      </c>
      <c r="F12" s="296" t="s">
        <v>127</v>
      </c>
      <c r="G12" s="296"/>
      <c r="H12" s="297">
        <v>1</v>
      </c>
      <c r="I12" s="296"/>
      <c r="J12" s="296"/>
      <c r="K12" s="296"/>
      <c r="L12" s="296"/>
      <c r="M12" s="296"/>
      <c r="N12" s="296"/>
      <c r="O12" s="296"/>
      <c r="P12" s="297">
        <v>1</v>
      </c>
      <c r="Q12" s="297">
        <v>1</v>
      </c>
      <c r="R12" s="296"/>
      <c r="S12" s="296"/>
      <c r="T12" s="297">
        <v>1</v>
      </c>
      <c r="U12" s="296"/>
      <c r="V12" s="296"/>
      <c r="W12" s="297">
        <v>11</v>
      </c>
      <c r="X12" s="297">
        <v>15</v>
      </c>
      <c r="Y12" s="297">
        <v>20</v>
      </c>
      <c r="Z12" s="297">
        <v>5</v>
      </c>
      <c r="AA12" s="297">
        <v>5</v>
      </c>
      <c r="AB12" s="297">
        <v>3</v>
      </c>
      <c r="AC12" s="296"/>
      <c r="AD12" s="296"/>
      <c r="AE12" s="297">
        <v>1</v>
      </c>
      <c r="AF12" s="296"/>
      <c r="AG12" s="296"/>
      <c r="AH12" s="297">
        <v>1</v>
      </c>
      <c r="AI12" s="297">
        <v>1</v>
      </c>
      <c r="AJ12" s="296"/>
      <c r="AK12" s="296"/>
      <c r="AL12" s="296"/>
      <c r="AM12" s="297">
        <v>1</v>
      </c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7">
        <v>1</v>
      </c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7">
        <v>1</v>
      </c>
      <c r="CS12" s="296"/>
      <c r="CT12" s="296"/>
    </row>
    <row r="13" spans="1:98" s="295" customFormat="1" ht="18.75" customHeight="1">
      <c r="A13" s="296" t="s">
        <v>8260</v>
      </c>
      <c r="B13" s="296" t="s">
        <v>8261</v>
      </c>
      <c r="C13" s="297">
        <v>47</v>
      </c>
      <c r="D13" s="296" t="s">
        <v>8262</v>
      </c>
      <c r="E13" s="296" t="s">
        <v>8263</v>
      </c>
      <c r="F13" s="296" t="s">
        <v>3067</v>
      </c>
      <c r="G13" s="296"/>
      <c r="H13" s="297">
        <v>1</v>
      </c>
      <c r="I13" s="296"/>
      <c r="J13" s="296"/>
      <c r="K13" s="296"/>
      <c r="L13" s="296"/>
      <c r="M13" s="297">
        <v>1</v>
      </c>
      <c r="N13" s="296"/>
      <c r="O13" s="296"/>
      <c r="P13" s="296"/>
      <c r="Q13" s="297">
        <v>1</v>
      </c>
      <c r="R13" s="296"/>
      <c r="S13" s="297">
        <v>1</v>
      </c>
      <c r="T13" s="296"/>
      <c r="U13" s="296"/>
      <c r="V13" s="296"/>
      <c r="W13" s="297">
        <v>15</v>
      </c>
      <c r="X13" s="297">
        <v>14</v>
      </c>
      <c r="Y13" s="297">
        <v>18</v>
      </c>
      <c r="Z13" s="297">
        <v>9</v>
      </c>
      <c r="AA13" s="297">
        <v>8</v>
      </c>
      <c r="AB13" s="297">
        <v>8</v>
      </c>
      <c r="AC13" s="296"/>
      <c r="AD13" s="296"/>
      <c r="AE13" s="297">
        <v>1</v>
      </c>
      <c r="AF13" s="296"/>
      <c r="AG13" s="296"/>
      <c r="AH13" s="296"/>
      <c r="AI13" s="296"/>
      <c r="AJ13" s="297">
        <v>1</v>
      </c>
      <c r="AK13" s="297">
        <v>1</v>
      </c>
      <c r="AL13" s="296"/>
      <c r="AM13" s="296"/>
      <c r="AN13" s="296"/>
      <c r="AO13" s="296"/>
      <c r="AP13" s="296"/>
      <c r="AQ13" s="296"/>
      <c r="AR13" s="296"/>
      <c r="AS13" s="296"/>
      <c r="AT13" s="297">
        <v>1</v>
      </c>
      <c r="AU13" s="296"/>
      <c r="AV13" s="296"/>
      <c r="AW13" s="296"/>
      <c r="AX13" s="297">
        <v>1</v>
      </c>
      <c r="AY13" s="296"/>
      <c r="AZ13" s="296"/>
      <c r="BA13" s="296"/>
      <c r="BB13" s="297">
        <v>1</v>
      </c>
      <c r="BC13" s="296"/>
      <c r="BD13" s="296"/>
      <c r="BE13" s="296"/>
      <c r="BF13" s="296"/>
      <c r="BG13" s="297">
        <v>1</v>
      </c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7">
        <v>1</v>
      </c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7">
        <v>1</v>
      </c>
      <c r="CS13" s="296"/>
      <c r="CT13" s="298">
        <v>46661</v>
      </c>
    </row>
    <row r="14" spans="1:98" s="295" customFormat="1" ht="15" customHeight="1">
      <c r="A14" s="296" t="s">
        <v>8264</v>
      </c>
      <c r="B14" s="296" t="s">
        <v>8265</v>
      </c>
      <c r="C14" s="297">
        <v>24</v>
      </c>
      <c r="D14" s="296" t="s">
        <v>8241</v>
      </c>
      <c r="E14" s="296" t="s">
        <v>8266</v>
      </c>
      <c r="F14" s="296" t="s">
        <v>2484</v>
      </c>
      <c r="G14" s="296"/>
      <c r="H14" s="296"/>
      <c r="I14" s="297">
        <v>1</v>
      </c>
      <c r="J14" s="296"/>
      <c r="K14" s="296"/>
      <c r="L14" s="297">
        <v>1</v>
      </c>
      <c r="M14" s="296"/>
      <c r="N14" s="296"/>
      <c r="O14" s="296"/>
      <c r="P14" s="296"/>
      <c r="Q14" s="297">
        <v>1</v>
      </c>
      <c r="R14" s="296"/>
      <c r="S14" s="296"/>
      <c r="T14" s="297">
        <v>1</v>
      </c>
      <c r="U14" s="296"/>
      <c r="V14" s="296"/>
      <c r="W14" s="297">
        <v>11</v>
      </c>
      <c r="X14" s="297">
        <v>12</v>
      </c>
      <c r="Y14" s="297">
        <v>14</v>
      </c>
      <c r="Z14" s="297">
        <v>4</v>
      </c>
      <c r="AA14" s="297">
        <v>4</v>
      </c>
      <c r="AB14" s="297">
        <v>4</v>
      </c>
      <c r="AC14" s="296"/>
      <c r="AD14" s="296"/>
      <c r="AE14" s="296"/>
      <c r="AF14" s="296"/>
      <c r="AG14" s="296"/>
      <c r="AH14" s="297">
        <v>1</v>
      </c>
      <c r="AI14" s="296"/>
      <c r="AJ14" s="297">
        <v>1</v>
      </c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6"/>
      <c r="AX14" s="297">
        <v>1</v>
      </c>
      <c r="AY14" s="296"/>
      <c r="AZ14" s="296"/>
      <c r="BA14" s="297">
        <v>1</v>
      </c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 t="s">
        <v>8267</v>
      </c>
      <c r="BP14" s="296"/>
      <c r="BQ14" s="296"/>
      <c r="BR14" s="296"/>
      <c r="BS14" s="296"/>
      <c r="BT14" s="296"/>
      <c r="BU14" s="296"/>
      <c r="BV14" s="296"/>
      <c r="BW14" s="296"/>
      <c r="BX14" s="296"/>
      <c r="BY14" s="297">
        <v>1</v>
      </c>
      <c r="BZ14" s="296"/>
      <c r="CA14" s="296"/>
      <c r="CB14" s="297">
        <v>1</v>
      </c>
      <c r="CC14" s="296"/>
      <c r="CD14" s="296"/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7">
        <v>1</v>
      </c>
      <c r="CS14" s="296"/>
      <c r="CT14" s="298">
        <v>46661</v>
      </c>
    </row>
    <row r="15" spans="1:98" s="295" customFormat="1">
      <c r="A15" s="296" t="s">
        <v>8268</v>
      </c>
      <c r="B15" s="296" t="s">
        <v>8269</v>
      </c>
      <c r="C15" s="297">
        <v>44</v>
      </c>
      <c r="D15" s="296" t="s">
        <v>1738</v>
      </c>
      <c r="E15" s="296" t="s">
        <v>191</v>
      </c>
      <c r="F15" s="296" t="s">
        <v>2484</v>
      </c>
      <c r="G15" s="296"/>
      <c r="H15" s="297">
        <v>1</v>
      </c>
      <c r="I15" s="296"/>
      <c r="J15" s="296"/>
      <c r="K15" s="296"/>
      <c r="L15" s="296"/>
      <c r="M15" s="297">
        <v>1</v>
      </c>
      <c r="N15" s="296"/>
      <c r="O15" s="296"/>
      <c r="P15" s="296"/>
      <c r="Q15" s="296"/>
      <c r="R15" s="297">
        <v>1</v>
      </c>
      <c r="S15" s="296"/>
      <c r="T15" s="297">
        <v>1</v>
      </c>
      <c r="U15" s="296"/>
      <c r="V15" s="296"/>
      <c r="W15" s="297">
        <v>12</v>
      </c>
      <c r="X15" s="297">
        <v>14</v>
      </c>
      <c r="Y15" s="297">
        <v>15</v>
      </c>
      <c r="Z15" s="297">
        <v>11</v>
      </c>
      <c r="AA15" s="297">
        <v>10</v>
      </c>
      <c r="AB15" s="297">
        <v>10</v>
      </c>
      <c r="AC15" s="296"/>
      <c r="AD15" s="296"/>
      <c r="AE15" s="297">
        <v>1</v>
      </c>
      <c r="AF15" s="296"/>
      <c r="AG15" s="296"/>
      <c r="AH15" s="296"/>
      <c r="AI15" s="296"/>
      <c r="AJ15" s="297">
        <v>1</v>
      </c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6"/>
      <c r="AX15" s="297">
        <v>1</v>
      </c>
      <c r="AY15" s="296"/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7">
        <v>1</v>
      </c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7">
        <v>1</v>
      </c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7">
        <v>1</v>
      </c>
      <c r="CS15" s="296"/>
      <c r="CT15" s="298">
        <v>46661</v>
      </c>
    </row>
    <row r="16" spans="1:98" s="295" customFormat="1" ht="16.5" customHeight="1">
      <c r="A16" s="296" t="s">
        <v>8270</v>
      </c>
      <c r="B16" s="296" t="s">
        <v>6267</v>
      </c>
      <c r="C16" s="297">
        <v>31</v>
      </c>
      <c r="D16" s="296" t="s">
        <v>8255</v>
      </c>
      <c r="E16" s="296" t="s">
        <v>8271</v>
      </c>
      <c r="F16" s="296" t="s">
        <v>2484</v>
      </c>
      <c r="G16" s="296"/>
      <c r="H16" s="297">
        <v>1</v>
      </c>
      <c r="I16" s="296"/>
      <c r="J16" s="296"/>
      <c r="K16" s="296"/>
      <c r="L16" s="296"/>
      <c r="M16" s="297">
        <v>1</v>
      </c>
      <c r="N16" s="296"/>
      <c r="O16" s="296"/>
      <c r="P16" s="296"/>
      <c r="Q16" s="297">
        <v>1</v>
      </c>
      <c r="R16" s="296"/>
      <c r="S16" s="296"/>
      <c r="T16" s="296"/>
      <c r="U16" s="297">
        <v>1</v>
      </c>
      <c r="V16" s="296"/>
      <c r="W16" s="297">
        <v>14</v>
      </c>
      <c r="X16" s="297">
        <v>26</v>
      </c>
      <c r="Y16" s="297">
        <v>28</v>
      </c>
      <c r="Z16" s="297">
        <v>2</v>
      </c>
      <c r="AA16" s="297">
        <v>2</v>
      </c>
      <c r="AB16" s="297">
        <v>2</v>
      </c>
      <c r="AC16" s="296"/>
      <c r="AD16" s="296"/>
      <c r="AE16" s="296"/>
      <c r="AF16" s="296"/>
      <c r="AG16" s="296"/>
      <c r="AH16" s="297">
        <v>1</v>
      </c>
      <c r="AI16" s="297">
        <v>1</v>
      </c>
      <c r="AJ16" s="296"/>
      <c r="AK16" s="297">
        <v>1</v>
      </c>
      <c r="AL16" s="296"/>
      <c r="AM16" s="296"/>
      <c r="AN16" s="296"/>
      <c r="AO16" s="296"/>
      <c r="AP16" s="296"/>
      <c r="AQ16" s="296"/>
      <c r="AR16" s="296"/>
      <c r="AS16" s="296"/>
      <c r="AT16" s="297">
        <v>1</v>
      </c>
      <c r="AU16" s="296"/>
      <c r="AV16" s="296"/>
      <c r="AW16" s="297">
        <v>1</v>
      </c>
      <c r="AX16" s="296"/>
      <c r="AY16" s="296"/>
      <c r="AZ16" s="296"/>
      <c r="BA16" s="297">
        <v>1</v>
      </c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 t="s">
        <v>8272</v>
      </c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7">
        <v>1</v>
      </c>
      <c r="CC16" s="296"/>
      <c r="CD16" s="296"/>
      <c r="CE16" s="297">
        <v>1</v>
      </c>
      <c r="CF16" s="296"/>
      <c r="CG16" s="296"/>
      <c r="CH16" s="296"/>
      <c r="CI16" s="296"/>
      <c r="CJ16" s="296"/>
      <c r="CK16" s="297">
        <v>1</v>
      </c>
      <c r="CL16" s="296"/>
      <c r="CM16" s="296"/>
      <c r="CN16" s="296"/>
      <c r="CO16" s="296"/>
      <c r="CP16" s="296"/>
      <c r="CQ16" s="296"/>
      <c r="CR16" s="297">
        <v>1</v>
      </c>
      <c r="CS16" s="296"/>
      <c r="CT16" s="296" t="s">
        <v>8273</v>
      </c>
    </row>
    <row r="17" spans="1:98" s="295" customFormat="1" ht="21" customHeight="1">
      <c r="A17" s="296" t="s">
        <v>8274</v>
      </c>
      <c r="B17" s="296" t="s">
        <v>8275</v>
      </c>
      <c r="C17" s="297">
        <v>30</v>
      </c>
      <c r="D17" s="296" t="s">
        <v>8276</v>
      </c>
      <c r="E17" s="296" t="s">
        <v>191</v>
      </c>
      <c r="F17" s="296" t="s">
        <v>1509</v>
      </c>
      <c r="G17" s="296"/>
      <c r="H17" s="297">
        <v>1</v>
      </c>
      <c r="I17" s="296"/>
      <c r="J17" s="296"/>
      <c r="K17" s="296"/>
      <c r="L17" s="296"/>
      <c r="M17" s="297">
        <v>1</v>
      </c>
      <c r="N17" s="296"/>
      <c r="O17" s="296"/>
      <c r="P17" s="296"/>
      <c r="Q17" s="297">
        <v>1</v>
      </c>
      <c r="R17" s="296"/>
      <c r="S17" s="296"/>
      <c r="T17" s="297">
        <v>1</v>
      </c>
      <c r="U17" s="296"/>
      <c r="V17" s="296"/>
      <c r="W17" s="297">
        <v>12</v>
      </c>
      <c r="X17" s="297">
        <v>19</v>
      </c>
      <c r="Y17" s="297">
        <v>20</v>
      </c>
      <c r="Z17" s="297">
        <v>5</v>
      </c>
      <c r="AA17" s="297">
        <v>5</v>
      </c>
      <c r="AB17" s="297">
        <v>5</v>
      </c>
      <c r="AC17" s="296"/>
      <c r="AD17" s="297">
        <v>1</v>
      </c>
      <c r="AE17" s="297">
        <v>1</v>
      </c>
      <c r="AF17" s="296"/>
      <c r="AG17" s="297">
        <v>1</v>
      </c>
      <c r="AH17" s="297">
        <v>1</v>
      </c>
      <c r="AI17" s="296"/>
      <c r="AJ17" s="297">
        <v>1</v>
      </c>
      <c r="AK17" s="297">
        <v>1</v>
      </c>
      <c r="AL17" s="296"/>
      <c r="AM17" s="296"/>
      <c r="AN17" s="296"/>
      <c r="AO17" s="296"/>
      <c r="AP17" s="296"/>
      <c r="AQ17" s="296"/>
      <c r="AR17" s="296"/>
      <c r="AS17" s="296"/>
      <c r="AT17" s="297">
        <v>1</v>
      </c>
      <c r="AU17" s="296"/>
      <c r="AV17" s="296"/>
      <c r="AW17" s="297">
        <v>1</v>
      </c>
      <c r="AX17" s="296"/>
      <c r="AY17" s="296"/>
      <c r="AZ17" s="296"/>
      <c r="BA17" s="297">
        <v>1</v>
      </c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 t="s">
        <v>8277</v>
      </c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7">
        <v>1</v>
      </c>
      <c r="CC17" s="296"/>
      <c r="CD17" s="296"/>
      <c r="CE17" s="297">
        <v>1</v>
      </c>
      <c r="CF17" s="296"/>
      <c r="CG17" s="296"/>
      <c r="CH17" s="296"/>
      <c r="CI17" s="296"/>
      <c r="CJ17" s="296"/>
      <c r="CK17" s="297">
        <v>1</v>
      </c>
      <c r="CL17" s="296"/>
      <c r="CM17" s="296"/>
      <c r="CN17" s="296"/>
      <c r="CO17" s="296"/>
      <c r="CP17" s="296"/>
      <c r="CQ17" s="296"/>
      <c r="CR17" s="297">
        <v>1</v>
      </c>
      <c r="CS17" s="296"/>
      <c r="CT17" s="296" t="s">
        <v>8278</v>
      </c>
    </row>
    <row r="18" spans="1:98" s="295" customFormat="1" ht="17.25" customHeight="1">
      <c r="A18" s="296" t="s">
        <v>8279</v>
      </c>
      <c r="B18" s="296" t="s">
        <v>8280</v>
      </c>
      <c r="C18" s="297">
        <v>41</v>
      </c>
      <c r="D18" s="296" t="s">
        <v>1552</v>
      </c>
      <c r="E18" s="296" t="s">
        <v>191</v>
      </c>
      <c r="F18" s="296" t="s">
        <v>2484</v>
      </c>
      <c r="G18" s="296"/>
      <c r="H18" s="297">
        <v>1</v>
      </c>
      <c r="I18" s="296"/>
      <c r="J18" s="296"/>
      <c r="K18" s="296"/>
      <c r="L18" s="296"/>
      <c r="M18" s="297">
        <v>1</v>
      </c>
      <c r="N18" s="296"/>
      <c r="O18" s="296"/>
      <c r="P18" s="296"/>
      <c r="Q18" s="297">
        <v>1</v>
      </c>
      <c r="R18" s="296"/>
      <c r="S18" s="296"/>
      <c r="T18" s="296"/>
      <c r="U18" s="297">
        <v>1</v>
      </c>
      <c r="V18" s="296"/>
      <c r="W18" s="297">
        <v>16</v>
      </c>
      <c r="X18" s="297">
        <v>18</v>
      </c>
      <c r="Y18" s="297">
        <v>20</v>
      </c>
      <c r="Z18" s="297">
        <v>7</v>
      </c>
      <c r="AA18" s="297">
        <v>7</v>
      </c>
      <c r="AB18" s="297">
        <v>7</v>
      </c>
      <c r="AC18" s="297">
        <v>1</v>
      </c>
      <c r="AD18" s="296"/>
      <c r="AE18" s="296"/>
      <c r="AF18" s="296"/>
      <c r="AG18" s="296"/>
      <c r="AH18" s="296"/>
      <c r="AI18" s="296"/>
      <c r="AJ18" s="297">
        <v>1</v>
      </c>
      <c r="AK18" s="297">
        <v>1</v>
      </c>
      <c r="AL18" s="296"/>
      <c r="AM18" s="296"/>
      <c r="AN18" s="296"/>
      <c r="AO18" s="296"/>
      <c r="AP18" s="296"/>
      <c r="AQ18" s="296"/>
      <c r="AR18" s="296"/>
      <c r="AS18" s="296"/>
      <c r="AT18" s="297">
        <v>1</v>
      </c>
      <c r="AU18" s="296"/>
      <c r="AV18" s="296"/>
      <c r="AW18" s="297">
        <v>1</v>
      </c>
      <c r="AX18" s="296"/>
      <c r="AY18" s="296"/>
      <c r="AZ18" s="296"/>
      <c r="BA18" s="297">
        <v>1</v>
      </c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 t="s">
        <v>8281</v>
      </c>
      <c r="BP18" s="296"/>
      <c r="BQ18" s="296"/>
      <c r="BR18" s="296"/>
      <c r="BS18" s="296"/>
      <c r="BT18" s="296"/>
      <c r="BU18" s="297">
        <v>1</v>
      </c>
      <c r="BV18" s="296"/>
      <c r="BW18" s="296"/>
      <c r="BX18" s="296"/>
      <c r="BY18" s="296"/>
      <c r="BZ18" s="296"/>
      <c r="CA18" s="296"/>
      <c r="CB18" s="297">
        <v>1</v>
      </c>
      <c r="CC18" s="296"/>
      <c r="CD18" s="296"/>
      <c r="CE18" s="297">
        <v>1</v>
      </c>
      <c r="CF18" s="296"/>
      <c r="CG18" s="296"/>
      <c r="CH18" s="296"/>
      <c r="CI18" s="296"/>
      <c r="CJ18" s="296"/>
      <c r="CK18" s="297">
        <v>1</v>
      </c>
      <c r="CL18" s="296"/>
      <c r="CM18" s="296"/>
      <c r="CN18" s="296"/>
      <c r="CO18" s="296"/>
      <c r="CP18" s="296"/>
      <c r="CQ18" s="296"/>
      <c r="CR18" s="297">
        <v>1</v>
      </c>
      <c r="CS18" s="296"/>
      <c r="CT18" s="296" t="s">
        <v>3369</v>
      </c>
    </row>
    <row r="19" spans="1:98" s="295" customFormat="1" ht="14.25" customHeight="1">
      <c r="A19" s="296" t="s">
        <v>8282</v>
      </c>
      <c r="B19" s="296" t="s">
        <v>8283</v>
      </c>
      <c r="C19" s="297">
        <v>22</v>
      </c>
      <c r="D19" s="296" t="s">
        <v>8255</v>
      </c>
      <c r="E19" s="296" t="s">
        <v>8284</v>
      </c>
      <c r="F19" s="296" t="s">
        <v>2484</v>
      </c>
      <c r="G19" s="296"/>
      <c r="H19" s="296"/>
      <c r="I19" s="296"/>
      <c r="J19" s="297">
        <v>1</v>
      </c>
      <c r="K19" s="296"/>
      <c r="L19" s="296"/>
      <c r="M19" s="297">
        <v>1</v>
      </c>
      <c r="N19" s="296"/>
      <c r="O19" s="296"/>
      <c r="P19" s="296"/>
      <c r="Q19" s="297">
        <v>1</v>
      </c>
      <c r="R19" s="296"/>
      <c r="S19" s="296"/>
      <c r="T19" s="297">
        <v>1</v>
      </c>
      <c r="U19" s="296"/>
      <c r="V19" s="296"/>
      <c r="W19" s="297">
        <v>16</v>
      </c>
      <c r="X19" s="297">
        <v>0</v>
      </c>
      <c r="Y19" s="297">
        <v>0</v>
      </c>
      <c r="Z19" s="297">
        <v>2</v>
      </c>
      <c r="AA19" s="297">
        <v>0</v>
      </c>
      <c r="AB19" s="297">
        <v>0</v>
      </c>
      <c r="AC19" s="296"/>
      <c r="AD19" s="296"/>
      <c r="AE19" s="297">
        <v>1</v>
      </c>
      <c r="AF19" s="296"/>
      <c r="AG19" s="296"/>
      <c r="AH19" s="297">
        <v>1</v>
      </c>
      <c r="AI19" s="297">
        <v>1</v>
      </c>
      <c r="AJ19" s="296"/>
      <c r="AK19" s="297">
        <v>1</v>
      </c>
      <c r="AL19" s="296"/>
      <c r="AM19" s="296"/>
      <c r="AN19" s="296"/>
      <c r="AO19" s="296"/>
      <c r="AP19" s="296"/>
      <c r="AQ19" s="296"/>
      <c r="AR19" s="296"/>
      <c r="AS19" s="296"/>
      <c r="AT19" s="297">
        <v>1</v>
      </c>
      <c r="AU19" s="296"/>
      <c r="AV19" s="296"/>
      <c r="AW19" s="297">
        <v>1</v>
      </c>
      <c r="AX19" s="296"/>
      <c r="AY19" s="296"/>
      <c r="AZ19" s="296"/>
      <c r="BA19" s="297">
        <v>1</v>
      </c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7">
        <v>1</v>
      </c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7">
        <v>1</v>
      </c>
      <c r="CC19" s="296"/>
      <c r="CD19" s="296"/>
      <c r="CE19" s="297">
        <v>1</v>
      </c>
      <c r="CF19" s="296"/>
      <c r="CG19" s="296"/>
      <c r="CH19" s="296"/>
      <c r="CI19" s="296"/>
      <c r="CJ19" s="296"/>
      <c r="CK19" s="297">
        <v>1</v>
      </c>
      <c r="CL19" s="296"/>
      <c r="CM19" s="296"/>
      <c r="CN19" s="296"/>
      <c r="CO19" s="296"/>
      <c r="CP19" s="296"/>
      <c r="CQ19" s="296"/>
      <c r="CR19" s="297">
        <v>1</v>
      </c>
      <c r="CS19" s="296"/>
      <c r="CT19" s="298">
        <v>46661</v>
      </c>
    </row>
    <row r="20" spans="1:98" s="295" customFormat="1" ht="17.25" customHeight="1">
      <c r="A20" s="296" t="s">
        <v>8285</v>
      </c>
      <c r="B20" s="296" t="s">
        <v>8286</v>
      </c>
      <c r="C20" s="297">
        <v>58</v>
      </c>
      <c r="D20" s="296" t="s">
        <v>8287</v>
      </c>
      <c r="E20" s="296" t="s">
        <v>191</v>
      </c>
      <c r="F20" s="296" t="s">
        <v>127</v>
      </c>
      <c r="G20" s="297">
        <v>1</v>
      </c>
      <c r="H20" s="296"/>
      <c r="I20" s="296"/>
      <c r="J20" s="296"/>
      <c r="K20" s="296"/>
      <c r="L20" s="296"/>
      <c r="M20" s="297">
        <v>1</v>
      </c>
      <c r="N20" s="296"/>
      <c r="O20" s="296"/>
      <c r="P20" s="296"/>
      <c r="Q20" s="297">
        <v>1</v>
      </c>
      <c r="R20" s="296"/>
      <c r="S20" s="296"/>
      <c r="T20" s="296"/>
      <c r="U20" s="297">
        <v>1</v>
      </c>
      <c r="V20" s="296"/>
      <c r="W20" s="297">
        <v>15</v>
      </c>
      <c r="X20" s="297">
        <v>20</v>
      </c>
      <c r="Y20" s="297">
        <v>35</v>
      </c>
      <c r="Z20" s="297">
        <v>6</v>
      </c>
      <c r="AA20" s="297">
        <v>6</v>
      </c>
      <c r="AB20" s="297">
        <v>5</v>
      </c>
      <c r="AC20" s="297">
        <v>1</v>
      </c>
      <c r="AD20" s="296"/>
      <c r="AE20" s="296"/>
      <c r="AF20" s="296"/>
      <c r="AG20" s="296"/>
      <c r="AH20" s="296"/>
      <c r="AI20" s="296"/>
      <c r="AJ20" s="297">
        <v>1</v>
      </c>
      <c r="AK20" s="297">
        <v>1</v>
      </c>
      <c r="AL20" s="296"/>
      <c r="AM20" s="296"/>
      <c r="AN20" s="296"/>
      <c r="AO20" s="296"/>
      <c r="AP20" s="296"/>
      <c r="AQ20" s="296"/>
      <c r="AR20" s="296"/>
      <c r="AS20" s="296"/>
      <c r="AT20" s="297">
        <v>1</v>
      </c>
      <c r="AU20" s="296"/>
      <c r="AV20" s="296"/>
      <c r="AW20" s="297">
        <v>1</v>
      </c>
      <c r="AX20" s="296"/>
      <c r="AY20" s="296"/>
      <c r="AZ20" s="296"/>
      <c r="BA20" s="297">
        <v>1</v>
      </c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7">
        <v>1</v>
      </c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7">
        <v>1</v>
      </c>
      <c r="CC20" s="296"/>
      <c r="CD20" s="296"/>
      <c r="CE20" s="297">
        <v>1</v>
      </c>
      <c r="CF20" s="296"/>
      <c r="CG20" s="296"/>
      <c r="CH20" s="296"/>
      <c r="CI20" s="296"/>
      <c r="CJ20" s="296"/>
      <c r="CK20" s="297">
        <v>1</v>
      </c>
      <c r="CL20" s="296"/>
      <c r="CM20" s="296"/>
      <c r="CN20" s="296"/>
      <c r="CO20" s="296"/>
      <c r="CP20" s="296"/>
      <c r="CQ20" s="296"/>
      <c r="CR20" s="297">
        <v>1</v>
      </c>
      <c r="CS20" s="296"/>
      <c r="CT20" s="298">
        <v>46661</v>
      </c>
    </row>
    <row r="21" spans="1:98" s="295" customFormat="1" ht="18.75" customHeight="1">
      <c r="A21" s="296" t="s">
        <v>8288</v>
      </c>
      <c r="B21" s="296" t="s">
        <v>8289</v>
      </c>
      <c r="C21" s="297">
        <v>59</v>
      </c>
      <c r="D21" s="296" t="s">
        <v>8241</v>
      </c>
      <c r="E21" s="296" t="s">
        <v>8290</v>
      </c>
      <c r="F21" s="296" t="s">
        <v>2484</v>
      </c>
      <c r="G21" s="296"/>
      <c r="H21" s="296"/>
      <c r="I21" s="297">
        <v>1</v>
      </c>
      <c r="J21" s="296"/>
      <c r="K21" s="296"/>
      <c r="L21" s="296"/>
      <c r="M21" s="296"/>
      <c r="N21" s="296"/>
      <c r="O21" s="297">
        <v>1</v>
      </c>
      <c r="P21" s="296"/>
      <c r="Q21" s="296"/>
      <c r="R21" s="297">
        <v>1</v>
      </c>
      <c r="S21" s="296"/>
      <c r="T21" s="297">
        <v>1</v>
      </c>
      <c r="U21" s="296"/>
      <c r="V21" s="296"/>
      <c r="W21" s="297">
        <v>17</v>
      </c>
      <c r="X21" s="297">
        <v>18</v>
      </c>
      <c r="Y21" s="297">
        <v>18</v>
      </c>
      <c r="Z21" s="297">
        <v>12</v>
      </c>
      <c r="AA21" s="297">
        <v>12</v>
      </c>
      <c r="AB21" s="297">
        <v>8</v>
      </c>
      <c r="AC21" s="296"/>
      <c r="AD21" s="297">
        <v>1</v>
      </c>
      <c r="AE21" s="296"/>
      <c r="AF21" s="296"/>
      <c r="AG21" s="297">
        <v>1</v>
      </c>
      <c r="AH21" s="297">
        <v>1</v>
      </c>
      <c r="AI21" s="297">
        <v>1</v>
      </c>
      <c r="AJ21" s="296"/>
      <c r="AK21" s="297">
        <v>1</v>
      </c>
      <c r="AL21" s="296"/>
      <c r="AM21" s="296"/>
      <c r="AN21" s="296"/>
      <c r="AO21" s="296"/>
      <c r="AP21" s="296"/>
      <c r="AQ21" s="296"/>
      <c r="AR21" s="296"/>
      <c r="AS21" s="296"/>
      <c r="AT21" s="297">
        <v>1</v>
      </c>
      <c r="AU21" s="296"/>
      <c r="AV21" s="296"/>
      <c r="AW21" s="296"/>
      <c r="AX21" s="297">
        <v>1</v>
      </c>
      <c r="AY21" s="296"/>
      <c r="AZ21" s="296"/>
      <c r="BA21" s="297">
        <v>1</v>
      </c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7">
        <v>1</v>
      </c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7">
        <v>1</v>
      </c>
      <c r="CC21" s="296"/>
      <c r="CD21" s="296"/>
      <c r="CE21" s="297">
        <v>1</v>
      </c>
      <c r="CF21" s="296"/>
      <c r="CG21" s="296"/>
      <c r="CH21" s="296"/>
      <c r="CI21" s="296"/>
      <c r="CJ21" s="296"/>
      <c r="CK21" s="297">
        <v>1</v>
      </c>
      <c r="CL21" s="296"/>
      <c r="CM21" s="296"/>
      <c r="CN21" s="296"/>
      <c r="CO21" s="296"/>
      <c r="CP21" s="296"/>
      <c r="CQ21" s="296"/>
      <c r="CR21" s="297">
        <v>1</v>
      </c>
      <c r="CS21" s="296"/>
      <c r="CT21" s="298">
        <v>46661</v>
      </c>
    </row>
    <row r="22" spans="1:98" s="295" customFormat="1" ht="14.25" customHeight="1">
      <c r="A22" s="296" t="s">
        <v>8291</v>
      </c>
      <c r="B22" s="296" t="s">
        <v>2326</v>
      </c>
      <c r="C22" s="297">
        <v>28</v>
      </c>
      <c r="D22" s="296" t="s">
        <v>1552</v>
      </c>
      <c r="E22" s="296" t="s">
        <v>191</v>
      </c>
      <c r="F22" s="296" t="s">
        <v>2484</v>
      </c>
      <c r="G22" s="296"/>
      <c r="H22" s="297">
        <v>1</v>
      </c>
      <c r="I22" s="296"/>
      <c r="J22" s="296"/>
      <c r="K22" s="296"/>
      <c r="L22" s="297">
        <v>1</v>
      </c>
      <c r="M22" s="296"/>
      <c r="N22" s="296"/>
      <c r="O22" s="296"/>
      <c r="P22" s="296"/>
      <c r="Q22" s="297">
        <v>1</v>
      </c>
      <c r="R22" s="296"/>
      <c r="S22" s="296"/>
      <c r="T22" s="297">
        <v>1</v>
      </c>
      <c r="U22" s="296"/>
      <c r="V22" s="296"/>
      <c r="W22" s="297">
        <v>14</v>
      </c>
      <c r="X22" s="297">
        <v>15</v>
      </c>
      <c r="Y22" s="297">
        <v>0</v>
      </c>
      <c r="Z22" s="297">
        <v>0</v>
      </c>
      <c r="AA22" s="297">
        <v>0</v>
      </c>
      <c r="AB22" s="297">
        <v>0</v>
      </c>
      <c r="AC22" s="296"/>
      <c r="AD22" s="296"/>
      <c r="AE22" s="297">
        <v>1</v>
      </c>
      <c r="AF22" s="296"/>
      <c r="AG22" s="297">
        <v>1</v>
      </c>
      <c r="AH22" s="297">
        <v>1</v>
      </c>
      <c r="AI22" s="297">
        <v>1</v>
      </c>
      <c r="AJ22" s="296"/>
      <c r="AK22" s="297">
        <v>1</v>
      </c>
      <c r="AL22" s="296"/>
      <c r="AM22" s="296"/>
      <c r="AN22" s="296"/>
      <c r="AO22" s="296"/>
      <c r="AP22" s="296"/>
      <c r="AQ22" s="296"/>
      <c r="AR22" s="296"/>
      <c r="AS22" s="296"/>
      <c r="AT22" s="297">
        <v>1</v>
      </c>
      <c r="AU22" s="296"/>
      <c r="AV22" s="296"/>
      <c r="AW22" s="297">
        <v>1</v>
      </c>
      <c r="AX22" s="296"/>
      <c r="AY22" s="296"/>
      <c r="AZ22" s="296"/>
      <c r="BA22" s="297">
        <v>1</v>
      </c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7">
        <v>1</v>
      </c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7">
        <v>1</v>
      </c>
      <c r="CC22" s="296"/>
      <c r="CD22" s="296"/>
      <c r="CE22" s="297">
        <v>1</v>
      </c>
      <c r="CF22" s="296"/>
      <c r="CG22" s="296"/>
      <c r="CH22" s="296"/>
      <c r="CI22" s="296"/>
      <c r="CJ22" s="296"/>
      <c r="CK22" s="297">
        <v>1</v>
      </c>
      <c r="CL22" s="296"/>
      <c r="CM22" s="296"/>
      <c r="CN22" s="296"/>
      <c r="CO22" s="296"/>
      <c r="CP22" s="296"/>
      <c r="CQ22" s="296"/>
      <c r="CR22" s="297">
        <v>1</v>
      </c>
      <c r="CS22" s="296"/>
      <c r="CT22" s="298">
        <v>46661</v>
      </c>
    </row>
    <row r="23" spans="1:98" s="295" customFormat="1" ht="15.75" customHeight="1">
      <c r="A23" s="296" t="s">
        <v>8292</v>
      </c>
      <c r="B23" s="296" t="s">
        <v>8293</v>
      </c>
      <c r="C23" s="297">
        <v>50</v>
      </c>
      <c r="D23" s="296" t="s">
        <v>8234</v>
      </c>
      <c r="E23" s="296" t="s">
        <v>191</v>
      </c>
      <c r="F23" s="296" t="s">
        <v>2484</v>
      </c>
      <c r="G23" s="296"/>
      <c r="H23" s="297">
        <v>1</v>
      </c>
      <c r="I23" s="296"/>
      <c r="J23" s="296"/>
      <c r="K23" s="296"/>
      <c r="L23" s="296"/>
      <c r="M23" s="297">
        <v>1</v>
      </c>
      <c r="N23" s="296"/>
      <c r="O23" s="296"/>
      <c r="P23" s="296"/>
      <c r="Q23" s="297">
        <v>1</v>
      </c>
      <c r="R23" s="296"/>
      <c r="S23" s="296"/>
      <c r="T23" s="297">
        <v>1</v>
      </c>
      <c r="U23" s="296"/>
      <c r="V23" s="296"/>
      <c r="W23" s="297">
        <v>16</v>
      </c>
      <c r="X23" s="297">
        <v>17</v>
      </c>
      <c r="Y23" s="297">
        <v>17</v>
      </c>
      <c r="Z23" s="297">
        <v>10</v>
      </c>
      <c r="AA23" s="297">
        <v>10</v>
      </c>
      <c r="AB23" s="297">
        <v>6</v>
      </c>
      <c r="AC23" s="297">
        <v>1</v>
      </c>
      <c r="AD23" s="296"/>
      <c r="AE23" s="296"/>
      <c r="AF23" s="296"/>
      <c r="AG23" s="296"/>
      <c r="AH23" s="296"/>
      <c r="AI23" s="297">
        <v>1</v>
      </c>
      <c r="AJ23" s="296"/>
      <c r="AK23" s="297">
        <v>1</v>
      </c>
      <c r="AL23" s="296"/>
      <c r="AM23" s="296"/>
      <c r="AN23" s="296"/>
      <c r="AO23" s="296"/>
      <c r="AP23" s="296"/>
      <c r="AQ23" s="296"/>
      <c r="AR23" s="296"/>
      <c r="AS23" s="296"/>
      <c r="AT23" s="297">
        <v>1</v>
      </c>
      <c r="AU23" s="296"/>
      <c r="AV23" s="296"/>
      <c r="AW23" s="297">
        <v>1</v>
      </c>
      <c r="AX23" s="296"/>
      <c r="AY23" s="296"/>
      <c r="AZ23" s="296"/>
      <c r="BA23" s="297">
        <v>1</v>
      </c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7">
        <v>1</v>
      </c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7">
        <v>1</v>
      </c>
      <c r="CC23" s="296"/>
      <c r="CD23" s="296"/>
      <c r="CE23" s="297">
        <v>1</v>
      </c>
      <c r="CF23" s="296"/>
      <c r="CG23" s="296"/>
      <c r="CH23" s="296"/>
      <c r="CI23" s="296"/>
      <c r="CJ23" s="296"/>
      <c r="CK23" s="297">
        <v>1</v>
      </c>
      <c r="CL23" s="296"/>
      <c r="CM23" s="296"/>
      <c r="CN23" s="296"/>
      <c r="CO23" s="296"/>
      <c r="CP23" s="296"/>
      <c r="CQ23" s="296"/>
      <c r="CR23" s="297">
        <v>1</v>
      </c>
      <c r="CS23" s="296"/>
      <c r="CT23" s="298">
        <v>46661</v>
      </c>
    </row>
    <row r="24" spans="1:98" s="295" customFormat="1" ht="15.75" customHeight="1">
      <c r="A24" s="296" t="s">
        <v>8294</v>
      </c>
      <c r="B24" s="296" t="s">
        <v>2496</v>
      </c>
      <c r="C24" s="297">
        <v>50</v>
      </c>
      <c r="D24" s="296" t="s">
        <v>8234</v>
      </c>
      <c r="E24" s="296" t="s">
        <v>191</v>
      </c>
      <c r="F24" s="296" t="s">
        <v>2484</v>
      </c>
      <c r="G24" s="296"/>
      <c r="H24" s="297">
        <v>1</v>
      </c>
      <c r="I24" s="296"/>
      <c r="J24" s="296"/>
      <c r="K24" s="296"/>
      <c r="L24" s="296"/>
      <c r="M24" s="297">
        <v>1</v>
      </c>
      <c r="N24" s="296"/>
      <c r="O24" s="296"/>
      <c r="P24" s="296"/>
      <c r="Q24" s="296"/>
      <c r="R24" s="297">
        <v>1</v>
      </c>
      <c r="S24" s="297">
        <v>1</v>
      </c>
      <c r="T24" s="296"/>
      <c r="U24" s="296"/>
      <c r="V24" s="296"/>
      <c r="W24" s="297">
        <v>14</v>
      </c>
      <c r="X24" s="297">
        <v>16</v>
      </c>
      <c r="Y24" s="297">
        <v>17</v>
      </c>
      <c r="Z24" s="297">
        <v>13</v>
      </c>
      <c r="AA24" s="297">
        <v>12</v>
      </c>
      <c r="AB24" s="297">
        <v>12</v>
      </c>
      <c r="AC24" s="296"/>
      <c r="AD24" s="296"/>
      <c r="AE24" s="296"/>
      <c r="AF24" s="296"/>
      <c r="AG24" s="296"/>
      <c r="AH24" s="297">
        <v>1</v>
      </c>
      <c r="AI24" s="297">
        <v>1</v>
      </c>
      <c r="AJ24" s="296"/>
      <c r="AK24" s="297">
        <v>1</v>
      </c>
      <c r="AL24" s="296"/>
      <c r="AM24" s="296"/>
      <c r="AN24" s="296"/>
      <c r="AO24" s="296"/>
      <c r="AP24" s="296"/>
      <c r="AQ24" s="296"/>
      <c r="AR24" s="296"/>
      <c r="AS24" s="296"/>
      <c r="AT24" s="297">
        <v>1</v>
      </c>
      <c r="AU24" s="296"/>
      <c r="AV24" s="296"/>
      <c r="AW24" s="297">
        <v>1</v>
      </c>
      <c r="AX24" s="296"/>
      <c r="AY24" s="296"/>
      <c r="AZ24" s="296"/>
      <c r="BA24" s="297">
        <v>1</v>
      </c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7">
        <v>1</v>
      </c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7">
        <v>1</v>
      </c>
      <c r="CC24" s="296"/>
      <c r="CD24" s="296"/>
      <c r="CE24" s="297">
        <v>1</v>
      </c>
      <c r="CF24" s="296"/>
      <c r="CG24" s="296"/>
      <c r="CH24" s="296"/>
      <c r="CI24" s="296"/>
      <c r="CJ24" s="296"/>
      <c r="CK24" s="297">
        <v>1</v>
      </c>
      <c r="CL24" s="296"/>
      <c r="CM24" s="296"/>
      <c r="CN24" s="296"/>
      <c r="CO24" s="296"/>
      <c r="CP24" s="296"/>
      <c r="CQ24" s="296"/>
      <c r="CR24" s="297">
        <v>1</v>
      </c>
      <c r="CS24" s="296"/>
      <c r="CT24" s="298">
        <v>46661</v>
      </c>
    </row>
    <row r="25" spans="1:98" s="295" customFormat="1" ht="16.5" customHeight="1">
      <c r="A25" s="296" t="s">
        <v>8295</v>
      </c>
      <c r="B25" s="296" t="s">
        <v>8296</v>
      </c>
      <c r="C25" s="297">
        <v>46</v>
      </c>
      <c r="D25" s="296" t="s">
        <v>8297</v>
      </c>
      <c r="E25" s="296" t="s">
        <v>8298</v>
      </c>
      <c r="F25" s="296" t="s">
        <v>2484</v>
      </c>
      <c r="G25" s="297">
        <v>1</v>
      </c>
      <c r="H25" s="296"/>
      <c r="I25" s="296"/>
      <c r="J25" s="296"/>
      <c r="K25" s="296"/>
      <c r="L25" s="296"/>
      <c r="M25" s="297">
        <v>1</v>
      </c>
      <c r="N25" s="296"/>
      <c r="O25" s="296"/>
      <c r="P25" s="296"/>
      <c r="Q25" s="297">
        <v>1</v>
      </c>
      <c r="R25" s="296"/>
      <c r="S25" s="296"/>
      <c r="T25" s="297">
        <v>1</v>
      </c>
      <c r="U25" s="296"/>
      <c r="V25" s="296"/>
      <c r="W25" s="297">
        <v>14</v>
      </c>
      <c r="X25" s="297">
        <v>17</v>
      </c>
      <c r="Y25" s="297">
        <v>18</v>
      </c>
      <c r="Z25" s="297">
        <v>10</v>
      </c>
      <c r="AA25" s="297">
        <v>10</v>
      </c>
      <c r="AB25" s="297">
        <v>10</v>
      </c>
      <c r="AC25" s="296"/>
      <c r="AD25" s="296"/>
      <c r="AE25" s="297">
        <v>1</v>
      </c>
      <c r="AF25" s="296"/>
      <c r="AG25" s="296"/>
      <c r="AH25" s="297">
        <v>1</v>
      </c>
      <c r="AI25" s="297">
        <v>1</v>
      </c>
      <c r="AJ25" s="296"/>
      <c r="AK25" s="297">
        <v>1</v>
      </c>
      <c r="AL25" s="296"/>
      <c r="AM25" s="296"/>
      <c r="AN25" s="296"/>
      <c r="AO25" s="296"/>
      <c r="AP25" s="296"/>
      <c r="AQ25" s="296"/>
      <c r="AR25" s="296"/>
      <c r="AS25" s="296"/>
      <c r="AT25" s="297">
        <v>1</v>
      </c>
      <c r="AU25" s="296"/>
      <c r="AV25" s="296"/>
      <c r="AW25" s="297">
        <v>1</v>
      </c>
      <c r="AX25" s="296"/>
      <c r="AY25" s="296"/>
      <c r="AZ25" s="296"/>
      <c r="BA25" s="297">
        <v>1</v>
      </c>
      <c r="BB25" s="296"/>
      <c r="BC25" s="296"/>
      <c r="BD25" s="296"/>
      <c r="BE25" s="296"/>
      <c r="BF25" s="296"/>
      <c r="BG25" s="296"/>
      <c r="BH25" s="296"/>
      <c r="BI25" s="296"/>
      <c r="BJ25" s="297">
        <v>1</v>
      </c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7">
        <v>1</v>
      </c>
      <c r="BY25" s="297">
        <v>1</v>
      </c>
      <c r="BZ25" s="296"/>
      <c r="CA25" s="296"/>
      <c r="CB25" s="297">
        <v>1</v>
      </c>
      <c r="CC25" s="296"/>
      <c r="CD25" s="296"/>
      <c r="CE25" s="297">
        <v>1</v>
      </c>
      <c r="CF25" s="296"/>
      <c r="CG25" s="296"/>
      <c r="CH25" s="296"/>
      <c r="CI25" s="296"/>
      <c r="CJ25" s="296"/>
      <c r="CK25" s="297">
        <v>1</v>
      </c>
      <c r="CL25" s="296"/>
      <c r="CM25" s="296"/>
      <c r="CN25" s="296"/>
      <c r="CO25" s="296"/>
      <c r="CP25" s="296"/>
      <c r="CQ25" s="296"/>
      <c r="CR25" s="297">
        <v>1</v>
      </c>
      <c r="CS25" s="296"/>
      <c r="CT25" s="296" t="s">
        <v>8299</v>
      </c>
    </row>
    <row r="26" spans="1:98" s="295" customFormat="1" ht="18.75" customHeight="1">
      <c r="A26" s="296" t="s">
        <v>8300</v>
      </c>
      <c r="B26" s="296" t="s">
        <v>8301</v>
      </c>
      <c r="C26" s="297">
        <v>23</v>
      </c>
      <c r="D26" s="296" t="s">
        <v>8238</v>
      </c>
      <c r="E26" s="296" t="s">
        <v>8302</v>
      </c>
      <c r="F26" s="296" t="s">
        <v>2484</v>
      </c>
      <c r="G26" s="296"/>
      <c r="H26" s="297">
        <v>1</v>
      </c>
      <c r="I26" s="296"/>
      <c r="J26" s="296"/>
      <c r="K26" s="296"/>
      <c r="L26" s="296"/>
      <c r="M26" s="296"/>
      <c r="N26" s="296"/>
      <c r="O26" s="297">
        <v>1</v>
      </c>
      <c r="P26" s="296"/>
      <c r="Q26" s="296"/>
      <c r="R26" s="297">
        <v>1</v>
      </c>
      <c r="S26" s="296"/>
      <c r="T26" s="297">
        <v>1</v>
      </c>
      <c r="U26" s="296"/>
      <c r="V26" s="296"/>
      <c r="W26" s="297">
        <v>17</v>
      </c>
      <c r="X26" s="297">
        <v>21</v>
      </c>
      <c r="Y26" s="297">
        <v>22</v>
      </c>
      <c r="Z26" s="297">
        <v>1</v>
      </c>
      <c r="AA26" s="297">
        <v>1</v>
      </c>
      <c r="AB26" s="297">
        <v>1</v>
      </c>
      <c r="AC26" s="297">
        <v>1</v>
      </c>
      <c r="AD26" s="296"/>
      <c r="AE26" s="296"/>
      <c r="AF26" s="296"/>
      <c r="AG26" s="296"/>
      <c r="AH26" s="296"/>
      <c r="AI26" s="297">
        <v>1</v>
      </c>
      <c r="AJ26" s="296"/>
      <c r="AK26" s="297">
        <v>1</v>
      </c>
      <c r="AL26" s="296"/>
      <c r="AM26" s="296"/>
      <c r="AN26" s="296"/>
      <c r="AO26" s="296"/>
      <c r="AP26" s="296"/>
      <c r="AQ26" s="296"/>
      <c r="AR26" s="296"/>
      <c r="AS26" s="296"/>
      <c r="AT26" s="297">
        <v>1</v>
      </c>
      <c r="AU26" s="296"/>
      <c r="AV26" s="296"/>
      <c r="AW26" s="297">
        <v>1</v>
      </c>
      <c r="AX26" s="296"/>
      <c r="AY26" s="296"/>
      <c r="AZ26" s="296"/>
      <c r="BA26" s="297">
        <v>1</v>
      </c>
      <c r="BB26" s="296"/>
      <c r="BC26" s="296"/>
      <c r="BD26" s="296"/>
      <c r="BE26" s="296"/>
      <c r="BF26" s="296"/>
      <c r="BG26" s="296"/>
      <c r="BH26" s="296"/>
      <c r="BI26" s="296"/>
      <c r="BJ26" s="297">
        <v>1</v>
      </c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7">
        <v>1</v>
      </c>
      <c r="BY26" s="297">
        <v>1</v>
      </c>
      <c r="BZ26" s="296"/>
      <c r="CA26" s="296"/>
      <c r="CB26" s="297">
        <v>1</v>
      </c>
      <c r="CC26" s="296"/>
      <c r="CD26" s="296"/>
      <c r="CE26" s="297">
        <v>1</v>
      </c>
      <c r="CF26" s="296"/>
      <c r="CG26" s="296"/>
      <c r="CH26" s="296"/>
      <c r="CI26" s="296"/>
      <c r="CJ26" s="296"/>
      <c r="CK26" s="297">
        <v>1</v>
      </c>
      <c r="CL26" s="296"/>
      <c r="CM26" s="296"/>
      <c r="CN26" s="296"/>
      <c r="CO26" s="296"/>
      <c r="CP26" s="296"/>
      <c r="CQ26" s="296"/>
      <c r="CR26" s="297">
        <v>1</v>
      </c>
      <c r="CS26" s="296"/>
      <c r="CT26" s="296" t="s">
        <v>8299</v>
      </c>
    </row>
    <row r="27" spans="1:98" s="295" customFormat="1" ht="15.75" customHeight="1">
      <c r="A27" s="296" t="s">
        <v>8303</v>
      </c>
      <c r="B27" s="296" t="s">
        <v>8304</v>
      </c>
      <c r="C27" s="297">
        <v>35</v>
      </c>
      <c r="D27" s="296" t="s">
        <v>8305</v>
      </c>
      <c r="E27" s="296" t="s">
        <v>8306</v>
      </c>
      <c r="F27" s="296" t="s">
        <v>2523</v>
      </c>
      <c r="G27" s="297">
        <v>1</v>
      </c>
      <c r="H27" s="296"/>
      <c r="I27" s="296"/>
      <c r="J27" s="296"/>
      <c r="K27" s="296"/>
      <c r="L27" s="296"/>
      <c r="M27" s="297">
        <v>1</v>
      </c>
      <c r="N27" s="296"/>
      <c r="O27" s="296"/>
      <c r="P27" s="296"/>
      <c r="Q27" s="297">
        <v>1</v>
      </c>
      <c r="R27" s="296"/>
      <c r="S27" s="296"/>
      <c r="T27" s="297">
        <v>1</v>
      </c>
      <c r="U27" s="296"/>
      <c r="V27" s="296"/>
      <c r="W27" s="297">
        <v>12</v>
      </c>
      <c r="X27" s="297">
        <v>14</v>
      </c>
      <c r="Y27" s="297">
        <v>18</v>
      </c>
      <c r="Z27" s="297">
        <v>6</v>
      </c>
      <c r="AA27" s="297">
        <v>6</v>
      </c>
      <c r="AB27" s="297">
        <v>6</v>
      </c>
      <c r="AC27" s="296"/>
      <c r="AD27" s="296"/>
      <c r="AE27" s="296"/>
      <c r="AF27" s="296"/>
      <c r="AG27" s="296"/>
      <c r="AH27" s="297">
        <v>1</v>
      </c>
      <c r="AI27" s="296"/>
      <c r="AJ27" s="297">
        <v>1</v>
      </c>
      <c r="AK27" s="297">
        <v>1</v>
      </c>
      <c r="AL27" s="296"/>
      <c r="AM27" s="296"/>
      <c r="AN27" s="296"/>
      <c r="AO27" s="296"/>
      <c r="AP27" s="296"/>
      <c r="AQ27" s="296"/>
      <c r="AR27" s="296"/>
      <c r="AS27" s="296"/>
      <c r="AT27" s="297">
        <v>1</v>
      </c>
      <c r="AU27" s="296"/>
      <c r="AV27" s="296"/>
      <c r="AW27" s="296"/>
      <c r="AX27" s="296"/>
      <c r="AY27" s="297">
        <v>1</v>
      </c>
      <c r="AZ27" s="296"/>
      <c r="BA27" s="297">
        <v>1</v>
      </c>
      <c r="BB27" s="296"/>
      <c r="BC27" s="296"/>
      <c r="BD27" s="296"/>
      <c r="BE27" s="296"/>
      <c r="BF27" s="296"/>
      <c r="BG27" s="296"/>
      <c r="BH27" s="296"/>
      <c r="BI27" s="296"/>
      <c r="BJ27" s="297">
        <v>1</v>
      </c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7">
        <v>1</v>
      </c>
      <c r="BY27" s="297">
        <v>1</v>
      </c>
      <c r="BZ27" s="296"/>
      <c r="CA27" s="296"/>
      <c r="CB27" s="297">
        <v>1</v>
      </c>
      <c r="CC27" s="296"/>
      <c r="CD27" s="296"/>
      <c r="CE27" s="297">
        <v>1</v>
      </c>
      <c r="CF27" s="296"/>
      <c r="CG27" s="296"/>
      <c r="CH27" s="296"/>
      <c r="CI27" s="296"/>
      <c r="CJ27" s="296"/>
      <c r="CK27" s="297">
        <v>1</v>
      </c>
      <c r="CL27" s="296"/>
      <c r="CM27" s="296"/>
      <c r="CN27" s="296"/>
      <c r="CO27" s="296"/>
      <c r="CP27" s="296"/>
      <c r="CQ27" s="296"/>
      <c r="CR27" s="297">
        <v>1</v>
      </c>
      <c r="CS27" s="296"/>
      <c r="CT27" s="296" t="s">
        <v>8307</v>
      </c>
    </row>
    <row r="28" spans="1:98" s="295" customFormat="1" ht="15.75" customHeight="1">
      <c r="A28" s="296" t="s">
        <v>8308</v>
      </c>
      <c r="B28" s="296" t="s">
        <v>8309</v>
      </c>
      <c r="C28" s="297">
        <v>22</v>
      </c>
      <c r="D28" s="296" t="s">
        <v>8310</v>
      </c>
      <c r="E28" s="296" t="s">
        <v>191</v>
      </c>
      <c r="F28" s="296" t="s">
        <v>2484</v>
      </c>
      <c r="G28" s="296"/>
      <c r="H28" s="296"/>
      <c r="I28" s="297">
        <v>1</v>
      </c>
      <c r="J28" s="296"/>
      <c r="K28" s="296"/>
      <c r="L28" s="296"/>
      <c r="M28" s="296"/>
      <c r="N28" s="296"/>
      <c r="O28" s="297">
        <v>1</v>
      </c>
      <c r="P28" s="296"/>
      <c r="Q28" s="296"/>
      <c r="R28" s="297">
        <v>1</v>
      </c>
      <c r="S28" s="296"/>
      <c r="T28" s="297">
        <v>1</v>
      </c>
      <c r="U28" s="296"/>
      <c r="V28" s="296"/>
      <c r="W28" s="297">
        <v>10</v>
      </c>
      <c r="X28" s="297">
        <v>20</v>
      </c>
      <c r="Y28" s="297">
        <v>20</v>
      </c>
      <c r="Z28" s="297">
        <v>2</v>
      </c>
      <c r="AA28" s="297">
        <v>2</v>
      </c>
      <c r="AB28" s="297">
        <v>2</v>
      </c>
      <c r="AC28" s="296"/>
      <c r="AD28" s="296"/>
      <c r="AE28" s="297">
        <v>1</v>
      </c>
      <c r="AF28" s="296"/>
      <c r="AG28" s="297">
        <v>1</v>
      </c>
      <c r="AH28" s="297">
        <v>1</v>
      </c>
      <c r="AI28" s="296"/>
      <c r="AJ28" s="297">
        <v>1</v>
      </c>
      <c r="AK28" s="296"/>
      <c r="AL28" s="296"/>
      <c r="AM28" s="297">
        <v>1</v>
      </c>
      <c r="AN28" s="296"/>
      <c r="AO28" s="296"/>
      <c r="AP28" s="296"/>
      <c r="AQ28" s="296"/>
      <c r="AR28" s="296"/>
      <c r="AS28" s="296"/>
      <c r="AT28" s="297">
        <v>1</v>
      </c>
      <c r="AU28" s="296"/>
      <c r="AV28" s="296"/>
      <c r="AW28" s="297">
        <v>1</v>
      </c>
      <c r="AX28" s="296"/>
      <c r="AY28" s="296"/>
      <c r="AZ28" s="296"/>
      <c r="BA28" s="297">
        <v>1</v>
      </c>
      <c r="BB28" s="296"/>
      <c r="BC28" s="296"/>
      <c r="BD28" s="296"/>
      <c r="BE28" s="296"/>
      <c r="BF28" s="296"/>
      <c r="BG28" s="296"/>
      <c r="BH28" s="296"/>
      <c r="BI28" s="296"/>
      <c r="BJ28" s="296"/>
      <c r="BK28" s="297">
        <v>1</v>
      </c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7">
        <v>1</v>
      </c>
      <c r="BZ28" s="296"/>
      <c r="CA28" s="296"/>
      <c r="CB28" s="297">
        <v>1</v>
      </c>
      <c r="CC28" s="296"/>
      <c r="CD28" s="296"/>
      <c r="CE28" s="297">
        <v>1</v>
      </c>
      <c r="CF28" s="296"/>
      <c r="CG28" s="296"/>
      <c r="CH28" s="296"/>
      <c r="CI28" s="296"/>
      <c r="CJ28" s="296"/>
      <c r="CK28" s="297">
        <v>1</v>
      </c>
      <c r="CL28" s="296"/>
      <c r="CM28" s="296"/>
      <c r="CN28" s="296"/>
      <c r="CO28" s="296"/>
      <c r="CP28" s="296"/>
      <c r="CQ28" s="296"/>
      <c r="CR28" s="297">
        <v>1</v>
      </c>
      <c r="CS28" s="296"/>
      <c r="CT28" s="298">
        <v>46661</v>
      </c>
    </row>
    <row r="29" spans="1:98" s="295" customFormat="1" ht="13.5" customHeight="1">
      <c r="A29" s="296" t="s">
        <v>8311</v>
      </c>
      <c r="B29" s="296" t="s">
        <v>8312</v>
      </c>
      <c r="C29" s="297">
        <v>30</v>
      </c>
      <c r="D29" s="296" t="s">
        <v>8313</v>
      </c>
      <c r="E29" s="296" t="s">
        <v>8314</v>
      </c>
      <c r="F29" s="296" t="s">
        <v>2484</v>
      </c>
      <c r="G29" s="296"/>
      <c r="H29" s="297">
        <v>1</v>
      </c>
      <c r="I29" s="296"/>
      <c r="J29" s="296"/>
      <c r="K29" s="296"/>
      <c r="L29" s="296"/>
      <c r="M29" s="297">
        <v>1</v>
      </c>
      <c r="N29" s="296"/>
      <c r="O29" s="296"/>
      <c r="P29" s="296"/>
      <c r="Q29" s="297">
        <v>1</v>
      </c>
      <c r="R29" s="296"/>
      <c r="S29" s="296"/>
      <c r="T29" s="296"/>
      <c r="U29" s="297">
        <v>1</v>
      </c>
      <c r="V29" s="296"/>
      <c r="W29" s="297">
        <v>14</v>
      </c>
      <c r="X29" s="297">
        <v>16</v>
      </c>
      <c r="Y29" s="297">
        <v>18</v>
      </c>
      <c r="Z29" s="297">
        <v>6</v>
      </c>
      <c r="AA29" s="297">
        <v>6</v>
      </c>
      <c r="AB29" s="297">
        <v>6</v>
      </c>
      <c r="AC29" s="296"/>
      <c r="AD29" s="296"/>
      <c r="AE29" s="296"/>
      <c r="AF29" s="296"/>
      <c r="AG29" s="296"/>
      <c r="AH29" s="297">
        <v>1</v>
      </c>
      <c r="AI29" s="296"/>
      <c r="AJ29" s="297">
        <v>1</v>
      </c>
      <c r="AK29" s="297">
        <v>1</v>
      </c>
      <c r="AL29" s="296"/>
      <c r="AM29" s="296"/>
      <c r="AN29" s="296"/>
      <c r="AO29" s="296"/>
      <c r="AP29" s="296"/>
      <c r="AQ29" s="296"/>
      <c r="AR29" s="296"/>
      <c r="AS29" s="296"/>
      <c r="AT29" s="297">
        <v>1</v>
      </c>
      <c r="AU29" s="296"/>
      <c r="AV29" s="296"/>
      <c r="AW29" s="297">
        <v>1</v>
      </c>
      <c r="AX29" s="296"/>
      <c r="AY29" s="296"/>
      <c r="AZ29" s="296"/>
      <c r="BA29" s="297">
        <v>1</v>
      </c>
      <c r="BB29" s="296"/>
      <c r="BC29" s="296"/>
      <c r="BD29" s="296"/>
      <c r="BE29" s="296"/>
      <c r="BF29" s="296"/>
      <c r="BG29" s="296"/>
      <c r="BH29" s="296"/>
      <c r="BI29" s="296"/>
      <c r="BJ29" s="296"/>
      <c r="BK29" s="297">
        <v>1</v>
      </c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7">
        <v>1</v>
      </c>
      <c r="CC29" s="296"/>
      <c r="CD29" s="296"/>
      <c r="CE29" s="297">
        <v>1</v>
      </c>
      <c r="CF29" s="296"/>
      <c r="CG29" s="296"/>
      <c r="CH29" s="296"/>
      <c r="CI29" s="296"/>
      <c r="CJ29" s="296"/>
      <c r="CK29" s="297">
        <v>1</v>
      </c>
      <c r="CL29" s="296"/>
      <c r="CM29" s="296"/>
      <c r="CN29" s="296"/>
      <c r="CO29" s="296"/>
      <c r="CP29" s="296"/>
      <c r="CQ29" s="296"/>
      <c r="CR29" s="297">
        <v>1</v>
      </c>
      <c r="CS29" s="296"/>
      <c r="CT29" s="298">
        <v>46661</v>
      </c>
    </row>
    <row r="30" spans="1:98" s="295" customFormat="1" ht="14.25" customHeight="1">
      <c r="A30" s="296" t="s">
        <v>8315</v>
      </c>
      <c r="B30" s="296" t="s">
        <v>8316</v>
      </c>
      <c r="C30" s="297">
        <v>34</v>
      </c>
      <c r="D30" s="296" t="s">
        <v>8241</v>
      </c>
      <c r="E30" s="296" t="s">
        <v>8317</v>
      </c>
      <c r="F30" s="296" t="s">
        <v>2484</v>
      </c>
      <c r="G30" s="297">
        <v>1</v>
      </c>
      <c r="H30" s="296"/>
      <c r="I30" s="296"/>
      <c r="J30" s="296"/>
      <c r="K30" s="296"/>
      <c r="L30" s="296"/>
      <c r="M30" s="296"/>
      <c r="N30" s="296"/>
      <c r="O30" s="297">
        <v>1</v>
      </c>
      <c r="P30" s="296"/>
      <c r="Q30" s="296"/>
      <c r="R30" s="297">
        <v>1</v>
      </c>
      <c r="S30" s="296"/>
      <c r="T30" s="297">
        <v>1</v>
      </c>
      <c r="U30" s="296"/>
      <c r="V30" s="296"/>
      <c r="W30" s="297">
        <v>14</v>
      </c>
      <c r="X30" s="297">
        <v>16</v>
      </c>
      <c r="Y30" s="297">
        <v>18</v>
      </c>
      <c r="Z30" s="297">
        <v>4</v>
      </c>
      <c r="AA30" s="297">
        <v>4</v>
      </c>
      <c r="AB30" s="297">
        <v>3</v>
      </c>
      <c r="AC30" s="296"/>
      <c r="AD30" s="296"/>
      <c r="AE30" s="297">
        <v>1</v>
      </c>
      <c r="AF30" s="296"/>
      <c r="AG30" s="297">
        <v>1</v>
      </c>
      <c r="AH30" s="297">
        <v>1</v>
      </c>
      <c r="AI30" s="297">
        <v>1</v>
      </c>
      <c r="AJ30" s="296"/>
      <c r="AK30" s="297">
        <v>1</v>
      </c>
      <c r="AL30" s="296"/>
      <c r="AM30" s="296"/>
      <c r="AN30" s="296"/>
      <c r="AO30" s="296"/>
      <c r="AP30" s="296"/>
      <c r="AQ30" s="296"/>
      <c r="AR30" s="296"/>
      <c r="AS30" s="296"/>
      <c r="AT30" s="297">
        <v>1</v>
      </c>
      <c r="AU30" s="296"/>
      <c r="AV30" s="296"/>
      <c r="AW30" s="296"/>
      <c r="AX30" s="296"/>
      <c r="AY30" s="296"/>
      <c r="AZ30" s="297">
        <v>1</v>
      </c>
      <c r="BA30" s="297">
        <v>1</v>
      </c>
      <c r="BB30" s="296"/>
      <c r="BC30" s="296"/>
      <c r="BD30" s="296"/>
      <c r="BE30" s="296"/>
      <c r="BF30" s="296"/>
      <c r="BG30" s="296"/>
      <c r="BH30" s="296"/>
      <c r="BI30" s="296"/>
      <c r="BJ30" s="296"/>
      <c r="BK30" s="297">
        <v>1</v>
      </c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7">
        <v>1</v>
      </c>
      <c r="BZ30" s="296"/>
      <c r="CA30" s="296"/>
      <c r="CB30" s="297">
        <v>1</v>
      </c>
      <c r="CC30" s="296"/>
      <c r="CD30" s="296"/>
      <c r="CE30" s="297">
        <v>1</v>
      </c>
      <c r="CF30" s="296"/>
      <c r="CG30" s="296"/>
      <c r="CH30" s="296"/>
      <c r="CI30" s="296"/>
      <c r="CJ30" s="296"/>
      <c r="CK30" s="297">
        <v>1</v>
      </c>
      <c r="CL30" s="296"/>
      <c r="CM30" s="296"/>
      <c r="CN30" s="296"/>
      <c r="CO30" s="296"/>
      <c r="CP30" s="296"/>
      <c r="CQ30" s="296"/>
      <c r="CR30" s="297">
        <v>1</v>
      </c>
      <c r="CS30" s="296"/>
      <c r="CT30" s="298">
        <v>46661</v>
      </c>
    </row>
    <row r="31" spans="1:98" s="295" customFormat="1" ht="12" customHeight="1">
      <c r="A31" s="296" t="s">
        <v>8318</v>
      </c>
      <c r="B31" s="296" t="s">
        <v>8319</v>
      </c>
      <c r="C31" s="297">
        <v>26</v>
      </c>
      <c r="D31" s="296" t="s">
        <v>8241</v>
      </c>
      <c r="E31" s="296" t="s">
        <v>8320</v>
      </c>
      <c r="F31" s="296" t="s">
        <v>2484</v>
      </c>
      <c r="G31" s="296"/>
      <c r="H31" s="297">
        <v>1</v>
      </c>
      <c r="I31" s="296"/>
      <c r="J31" s="296"/>
      <c r="K31" s="296"/>
      <c r="L31" s="296"/>
      <c r="M31" s="297">
        <v>1</v>
      </c>
      <c r="N31" s="296"/>
      <c r="O31" s="296"/>
      <c r="P31" s="296"/>
      <c r="Q31" s="296"/>
      <c r="R31" s="297">
        <v>1</v>
      </c>
      <c r="S31" s="296"/>
      <c r="T31" s="297">
        <v>1</v>
      </c>
      <c r="U31" s="296"/>
      <c r="V31" s="296"/>
      <c r="W31" s="297">
        <v>13</v>
      </c>
      <c r="X31" s="297">
        <v>15</v>
      </c>
      <c r="Y31" s="297">
        <v>19</v>
      </c>
      <c r="Z31" s="297">
        <v>4</v>
      </c>
      <c r="AA31" s="297">
        <v>4</v>
      </c>
      <c r="AB31" s="297">
        <v>3</v>
      </c>
      <c r="AC31" s="297">
        <v>1</v>
      </c>
      <c r="AD31" s="296"/>
      <c r="AE31" s="296"/>
      <c r="AF31" s="296"/>
      <c r="AG31" s="296"/>
      <c r="AH31" s="296"/>
      <c r="AI31" s="296"/>
      <c r="AJ31" s="297">
        <v>1</v>
      </c>
      <c r="AK31" s="297">
        <v>1</v>
      </c>
      <c r="AL31" s="296"/>
      <c r="AM31" s="296"/>
      <c r="AN31" s="296"/>
      <c r="AO31" s="296"/>
      <c r="AP31" s="296"/>
      <c r="AQ31" s="296"/>
      <c r="AR31" s="296"/>
      <c r="AS31" s="296"/>
      <c r="AT31" s="297">
        <v>1</v>
      </c>
      <c r="AU31" s="296"/>
      <c r="AV31" s="296"/>
      <c r="AW31" s="297">
        <v>1</v>
      </c>
      <c r="AX31" s="296"/>
      <c r="AY31" s="296"/>
      <c r="AZ31" s="296"/>
      <c r="BA31" s="297">
        <v>1</v>
      </c>
      <c r="BB31" s="296"/>
      <c r="BC31" s="296"/>
      <c r="BD31" s="296"/>
      <c r="BE31" s="296"/>
      <c r="BF31" s="296"/>
      <c r="BG31" s="296"/>
      <c r="BH31" s="296"/>
      <c r="BI31" s="296"/>
      <c r="BJ31" s="296"/>
      <c r="BK31" s="297">
        <v>1</v>
      </c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7">
        <v>1</v>
      </c>
      <c r="BZ31" s="296"/>
      <c r="CA31" s="296"/>
      <c r="CB31" s="297">
        <v>1</v>
      </c>
      <c r="CC31" s="296"/>
      <c r="CD31" s="296"/>
      <c r="CE31" s="297">
        <v>1</v>
      </c>
      <c r="CF31" s="296"/>
      <c r="CG31" s="296"/>
      <c r="CH31" s="296"/>
      <c r="CI31" s="296"/>
      <c r="CJ31" s="296"/>
      <c r="CK31" s="297">
        <v>1</v>
      </c>
      <c r="CL31" s="296"/>
      <c r="CM31" s="296"/>
      <c r="CN31" s="296"/>
      <c r="CO31" s="296"/>
      <c r="CP31" s="296"/>
      <c r="CQ31" s="296"/>
      <c r="CR31" s="297">
        <v>1</v>
      </c>
      <c r="CS31" s="296"/>
      <c r="CT31" s="298">
        <v>46661</v>
      </c>
    </row>
    <row r="32" spans="1:98" s="295" customFormat="1" ht="13.5" customHeight="1">
      <c r="A32" s="296" t="s">
        <v>8321</v>
      </c>
      <c r="B32" s="296" t="s">
        <v>8322</v>
      </c>
      <c r="C32" s="297">
        <v>22</v>
      </c>
      <c r="D32" s="296" t="s">
        <v>1552</v>
      </c>
      <c r="E32" s="296" t="s">
        <v>8323</v>
      </c>
      <c r="F32" s="296" t="s">
        <v>2484</v>
      </c>
      <c r="G32" s="296"/>
      <c r="H32" s="297">
        <v>1</v>
      </c>
      <c r="I32" s="296"/>
      <c r="J32" s="296"/>
      <c r="K32" s="296"/>
      <c r="L32" s="296"/>
      <c r="M32" s="297">
        <v>1</v>
      </c>
      <c r="N32" s="296"/>
      <c r="O32" s="296"/>
      <c r="P32" s="296"/>
      <c r="Q32" s="297">
        <v>1</v>
      </c>
      <c r="R32" s="296"/>
      <c r="S32" s="296"/>
      <c r="T32" s="297">
        <v>1</v>
      </c>
      <c r="U32" s="296"/>
      <c r="V32" s="296"/>
      <c r="W32" s="297">
        <v>15</v>
      </c>
      <c r="X32" s="297">
        <v>17</v>
      </c>
      <c r="Y32" s="297">
        <v>18</v>
      </c>
      <c r="Z32" s="297">
        <v>4</v>
      </c>
      <c r="AA32" s="297">
        <v>4</v>
      </c>
      <c r="AB32" s="297">
        <v>4</v>
      </c>
      <c r="AC32" s="296"/>
      <c r="AD32" s="296"/>
      <c r="AE32" s="296"/>
      <c r="AF32" s="296"/>
      <c r="AG32" s="297">
        <v>1</v>
      </c>
      <c r="AH32" s="297">
        <v>1</v>
      </c>
      <c r="AI32" s="296"/>
      <c r="AJ32" s="297">
        <v>1</v>
      </c>
      <c r="AK32" s="297">
        <v>1</v>
      </c>
      <c r="AL32" s="296"/>
      <c r="AM32" s="296"/>
      <c r="AN32" s="296"/>
      <c r="AO32" s="296"/>
      <c r="AP32" s="296"/>
      <c r="AQ32" s="296"/>
      <c r="AR32" s="296"/>
      <c r="AS32" s="296"/>
      <c r="AT32" s="297">
        <v>1</v>
      </c>
      <c r="AU32" s="296"/>
      <c r="AV32" s="296"/>
      <c r="AW32" s="297">
        <v>1</v>
      </c>
      <c r="AX32" s="296"/>
      <c r="AY32" s="296"/>
      <c r="AZ32" s="296"/>
      <c r="BA32" s="297">
        <v>1</v>
      </c>
      <c r="BB32" s="296"/>
      <c r="BC32" s="296"/>
      <c r="BD32" s="296"/>
      <c r="BE32" s="296"/>
      <c r="BF32" s="296"/>
      <c r="BG32" s="296"/>
      <c r="BH32" s="296"/>
      <c r="BI32" s="296"/>
      <c r="BJ32" s="296"/>
      <c r="BK32" s="297">
        <v>1</v>
      </c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7">
        <v>1</v>
      </c>
      <c r="BZ32" s="296"/>
      <c r="CA32" s="296"/>
      <c r="CB32" s="297">
        <v>1</v>
      </c>
      <c r="CC32" s="296"/>
      <c r="CD32" s="296"/>
      <c r="CE32" s="297">
        <v>1</v>
      </c>
      <c r="CF32" s="296"/>
      <c r="CG32" s="296"/>
      <c r="CH32" s="296"/>
      <c r="CI32" s="296"/>
      <c r="CJ32" s="296"/>
      <c r="CK32" s="297">
        <v>1</v>
      </c>
      <c r="CL32" s="296"/>
      <c r="CM32" s="296"/>
      <c r="CN32" s="296"/>
      <c r="CO32" s="296"/>
      <c r="CP32" s="296"/>
      <c r="CQ32" s="296"/>
      <c r="CR32" s="297">
        <v>1</v>
      </c>
      <c r="CS32" s="296"/>
      <c r="CT32" s="298">
        <v>46661</v>
      </c>
    </row>
    <row r="33" spans="1:98" s="295" customFormat="1" ht="15.75" customHeight="1">
      <c r="A33" s="296" t="s">
        <v>8324</v>
      </c>
      <c r="B33" s="296" t="s">
        <v>8325</v>
      </c>
      <c r="C33" s="297">
        <v>50</v>
      </c>
      <c r="D33" s="296" t="s">
        <v>8262</v>
      </c>
      <c r="E33" s="296" t="s">
        <v>191</v>
      </c>
      <c r="F33" s="296" t="s">
        <v>2484</v>
      </c>
      <c r="G33" s="297">
        <v>1</v>
      </c>
      <c r="H33" s="296"/>
      <c r="I33" s="296"/>
      <c r="J33" s="296"/>
      <c r="K33" s="296"/>
      <c r="L33" s="296"/>
      <c r="M33" s="296"/>
      <c r="N33" s="296"/>
      <c r="O33" s="297">
        <v>1</v>
      </c>
      <c r="P33" s="296"/>
      <c r="Q33" s="296"/>
      <c r="R33" s="297">
        <v>1</v>
      </c>
      <c r="S33" s="297">
        <v>1</v>
      </c>
      <c r="T33" s="296"/>
      <c r="U33" s="296"/>
      <c r="V33" s="296"/>
      <c r="W33" s="297">
        <v>15</v>
      </c>
      <c r="X33" s="297">
        <v>20</v>
      </c>
      <c r="Y33" s="297">
        <v>25</v>
      </c>
      <c r="Z33" s="297">
        <v>3</v>
      </c>
      <c r="AA33" s="297">
        <v>1</v>
      </c>
      <c r="AB33" s="297">
        <v>1</v>
      </c>
      <c r="AC33" s="297">
        <v>1</v>
      </c>
      <c r="AD33" s="296"/>
      <c r="AE33" s="296"/>
      <c r="AF33" s="296"/>
      <c r="AG33" s="296"/>
      <c r="AH33" s="296"/>
      <c r="AI33" s="297">
        <v>1</v>
      </c>
      <c r="AJ33" s="296"/>
      <c r="AK33" s="296"/>
      <c r="AL33" s="297">
        <v>1</v>
      </c>
      <c r="AM33" s="296"/>
      <c r="AN33" s="296"/>
      <c r="AO33" s="296"/>
      <c r="AP33" s="297">
        <v>1</v>
      </c>
      <c r="AQ33" s="296" t="s">
        <v>251</v>
      </c>
      <c r="AR33" s="298">
        <v>45444</v>
      </c>
      <c r="AS33" s="296"/>
      <c r="AT33" s="297">
        <v>1</v>
      </c>
      <c r="AU33" s="296"/>
      <c r="AV33" s="296"/>
      <c r="AW33" s="297">
        <v>1</v>
      </c>
      <c r="AX33" s="296"/>
      <c r="AY33" s="296"/>
      <c r="AZ33" s="296"/>
      <c r="BA33" s="297">
        <v>1</v>
      </c>
      <c r="BB33" s="296"/>
      <c r="BC33" s="296"/>
      <c r="BD33" s="296"/>
      <c r="BE33" s="296"/>
      <c r="BF33" s="296"/>
      <c r="BG33" s="296"/>
      <c r="BH33" s="296"/>
      <c r="BI33" s="296"/>
      <c r="BJ33" s="296"/>
      <c r="BK33" s="297">
        <v>1</v>
      </c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7">
        <v>1</v>
      </c>
      <c r="CC33" s="296"/>
      <c r="CD33" s="296"/>
      <c r="CE33" s="297">
        <v>1</v>
      </c>
      <c r="CF33" s="296"/>
      <c r="CG33" s="296"/>
      <c r="CH33" s="296"/>
      <c r="CI33" s="296"/>
      <c r="CJ33" s="296"/>
      <c r="CK33" s="297">
        <v>1</v>
      </c>
      <c r="CL33" s="296"/>
      <c r="CM33" s="296"/>
      <c r="CN33" s="296"/>
      <c r="CO33" s="296"/>
      <c r="CP33" s="296"/>
      <c r="CQ33" s="296"/>
      <c r="CR33" s="297">
        <v>1</v>
      </c>
      <c r="CS33" s="296"/>
      <c r="CT33" s="298">
        <v>46661</v>
      </c>
    </row>
    <row r="34" spans="1:98" s="295" customFormat="1" ht="12.75" customHeight="1">
      <c r="A34" s="296" t="s">
        <v>8326</v>
      </c>
      <c r="B34" s="296" t="s">
        <v>8327</v>
      </c>
      <c r="C34" s="297">
        <v>36</v>
      </c>
      <c r="D34" s="296" t="s">
        <v>8305</v>
      </c>
      <c r="E34" s="296" t="s">
        <v>8328</v>
      </c>
      <c r="F34" s="296" t="s">
        <v>2484</v>
      </c>
      <c r="G34" s="296"/>
      <c r="H34" s="296"/>
      <c r="I34" s="296"/>
      <c r="J34" s="297">
        <v>1</v>
      </c>
      <c r="K34" s="296"/>
      <c r="L34" s="296"/>
      <c r="M34" s="297">
        <v>1</v>
      </c>
      <c r="N34" s="296"/>
      <c r="O34" s="296"/>
      <c r="P34" s="296"/>
      <c r="Q34" s="296"/>
      <c r="R34" s="297">
        <v>1</v>
      </c>
      <c r="S34" s="296"/>
      <c r="T34" s="297">
        <v>1</v>
      </c>
      <c r="U34" s="296"/>
      <c r="V34" s="296"/>
      <c r="W34" s="297">
        <v>13</v>
      </c>
      <c r="X34" s="297">
        <v>14</v>
      </c>
      <c r="Y34" s="297">
        <v>15</v>
      </c>
      <c r="Z34" s="297">
        <v>15</v>
      </c>
      <c r="AA34" s="297">
        <v>7</v>
      </c>
      <c r="AB34" s="297">
        <v>7</v>
      </c>
      <c r="AC34" s="296"/>
      <c r="AD34" s="296"/>
      <c r="AE34" s="297">
        <v>1</v>
      </c>
      <c r="AF34" s="296"/>
      <c r="AG34" s="296"/>
      <c r="AH34" s="296"/>
      <c r="AI34" s="296"/>
      <c r="AJ34" s="297">
        <v>1</v>
      </c>
      <c r="AK34" s="297">
        <v>1</v>
      </c>
      <c r="AL34" s="296"/>
      <c r="AM34" s="296"/>
      <c r="AN34" s="296"/>
      <c r="AO34" s="296"/>
      <c r="AP34" s="296"/>
      <c r="AQ34" s="296"/>
      <c r="AR34" s="296"/>
      <c r="AS34" s="296"/>
      <c r="AT34" s="297">
        <v>1</v>
      </c>
      <c r="AU34" s="296"/>
      <c r="AV34" s="296"/>
      <c r="AW34" s="297">
        <v>1</v>
      </c>
      <c r="AX34" s="296"/>
      <c r="AY34" s="296"/>
      <c r="AZ34" s="296"/>
      <c r="BA34" s="297">
        <v>1</v>
      </c>
      <c r="BB34" s="296"/>
      <c r="BC34" s="296"/>
      <c r="BD34" s="296"/>
      <c r="BE34" s="296"/>
      <c r="BF34" s="296"/>
      <c r="BG34" s="296"/>
      <c r="BH34" s="296"/>
      <c r="BI34" s="296"/>
      <c r="BJ34" s="296"/>
      <c r="BK34" s="297">
        <v>1</v>
      </c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7">
        <v>1</v>
      </c>
      <c r="BZ34" s="296"/>
      <c r="CA34" s="296"/>
      <c r="CB34" s="296"/>
      <c r="CC34" s="297">
        <v>1</v>
      </c>
      <c r="CD34" s="296"/>
      <c r="CE34" s="297">
        <v>1</v>
      </c>
      <c r="CF34" s="296"/>
      <c r="CG34" s="296"/>
      <c r="CH34" s="296"/>
      <c r="CI34" s="296"/>
      <c r="CJ34" s="296"/>
      <c r="CK34" s="297">
        <v>1</v>
      </c>
      <c r="CL34" s="296"/>
      <c r="CM34" s="296"/>
      <c r="CN34" s="296"/>
      <c r="CO34" s="296"/>
      <c r="CP34" s="296"/>
      <c r="CQ34" s="296"/>
      <c r="CR34" s="297">
        <v>1</v>
      </c>
      <c r="CS34" s="296"/>
      <c r="CT34" s="298">
        <v>46661</v>
      </c>
    </row>
    <row r="35" spans="1:98" s="295" customFormat="1" ht="13.5" customHeight="1">
      <c r="A35" s="296" t="s">
        <v>8329</v>
      </c>
      <c r="B35" s="296" t="s">
        <v>2732</v>
      </c>
      <c r="C35" s="297">
        <v>28</v>
      </c>
      <c r="D35" s="296" t="s">
        <v>1484</v>
      </c>
      <c r="E35" s="296" t="s">
        <v>8330</v>
      </c>
      <c r="F35" s="296" t="s">
        <v>2523</v>
      </c>
      <c r="G35" s="296"/>
      <c r="H35" s="297">
        <v>1</v>
      </c>
      <c r="I35" s="296"/>
      <c r="J35" s="296"/>
      <c r="K35" s="296"/>
      <c r="L35" s="296"/>
      <c r="M35" s="296"/>
      <c r="N35" s="296"/>
      <c r="O35" s="297">
        <v>1</v>
      </c>
      <c r="P35" s="296"/>
      <c r="Q35" s="297">
        <v>1</v>
      </c>
      <c r="R35" s="296"/>
      <c r="S35" s="296"/>
      <c r="T35" s="297">
        <v>1</v>
      </c>
      <c r="U35" s="296"/>
      <c r="V35" s="296"/>
      <c r="W35" s="297">
        <v>14</v>
      </c>
      <c r="X35" s="297">
        <v>20</v>
      </c>
      <c r="Y35" s="297">
        <v>21</v>
      </c>
      <c r="Z35" s="297">
        <v>4</v>
      </c>
      <c r="AA35" s="297">
        <v>3</v>
      </c>
      <c r="AB35" s="297">
        <v>3</v>
      </c>
      <c r="AC35" s="296"/>
      <c r="AD35" s="296"/>
      <c r="AE35" s="296"/>
      <c r="AF35" s="296"/>
      <c r="AG35" s="296"/>
      <c r="AH35" s="297">
        <v>1</v>
      </c>
      <c r="AI35" s="296"/>
      <c r="AJ35" s="297">
        <v>1</v>
      </c>
      <c r="AK35" s="297">
        <v>1</v>
      </c>
      <c r="AL35" s="296"/>
      <c r="AM35" s="296"/>
      <c r="AN35" s="296"/>
      <c r="AO35" s="296"/>
      <c r="AP35" s="296"/>
      <c r="AQ35" s="296"/>
      <c r="AR35" s="296"/>
      <c r="AS35" s="296"/>
      <c r="AT35" s="297">
        <v>1</v>
      </c>
      <c r="AU35" s="296"/>
      <c r="AV35" s="296"/>
      <c r="AW35" s="297">
        <v>1</v>
      </c>
      <c r="AX35" s="296"/>
      <c r="AY35" s="296"/>
      <c r="AZ35" s="296"/>
      <c r="BA35" s="297">
        <v>1</v>
      </c>
      <c r="BB35" s="296"/>
      <c r="BC35" s="296"/>
      <c r="BD35" s="296"/>
      <c r="BE35" s="296"/>
      <c r="BF35" s="296"/>
      <c r="BG35" s="296"/>
      <c r="BH35" s="296"/>
      <c r="BI35" s="296"/>
      <c r="BJ35" s="296"/>
      <c r="BK35" s="297">
        <v>1</v>
      </c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296"/>
      <c r="BZ35" s="296"/>
      <c r="CA35" s="296"/>
      <c r="CB35" s="297">
        <v>1</v>
      </c>
      <c r="CC35" s="296"/>
      <c r="CD35" s="296"/>
      <c r="CE35" s="297">
        <v>1</v>
      </c>
      <c r="CF35" s="296"/>
      <c r="CG35" s="296"/>
      <c r="CH35" s="296"/>
      <c r="CI35" s="296"/>
      <c r="CJ35" s="296"/>
      <c r="CK35" s="297">
        <v>1</v>
      </c>
      <c r="CL35" s="296"/>
      <c r="CM35" s="296"/>
      <c r="CN35" s="296"/>
      <c r="CO35" s="296"/>
      <c r="CP35" s="296"/>
      <c r="CQ35" s="296"/>
      <c r="CR35" s="297">
        <v>1</v>
      </c>
      <c r="CS35" s="296"/>
      <c r="CT35" s="298">
        <v>46661</v>
      </c>
    </row>
    <row r="36" spans="1:98" s="295" customFormat="1" ht="14.25" customHeight="1">
      <c r="A36" s="296" t="s">
        <v>8331</v>
      </c>
      <c r="B36" s="296" t="s">
        <v>8332</v>
      </c>
      <c r="C36" s="297">
        <v>27</v>
      </c>
      <c r="D36" s="296" t="s">
        <v>1484</v>
      </c>
      <c r="E36" s="296" t="s">
        <v>8333</v>
      </c>
      <c r="F36" s="296" t="s">
        <v>662</v>
      </c>
      <c r="G36" s="296"/>
      <c r="H36" s="297">
        <v>1</v>
      </c>
      <c r="I36" s="296"/>
      <c r="J36" s="296"/>
      <c r="K36" s="296"/>
      <c r="L36" s="296"/>
      <c r="M36" s="296"/>
      <c r="N36" s="296"/>
      <c r="O36" s="297">
        <v>1</v>
      </c>
      <c r="P36" s="296"/>
      <c r="Q36" s="296"/>
      <c r="R36" s="297">
        <v>1</v>
      </c>
      <c r="S36" s="296"/>
      <c r="T36" s="296"/>
      <c r="U36" s="297">
        <v>1</v>
      </c>
      <c r="V36" s="296"/>
      <c r="W36" s="297">
        <v>15</v>
      </c>
      <c r="X36" s="297">
        <v>20</v>
      </c>
      <c r="Y36" s="297">
        <v>25</v>
      </c>
      <c r="Z36" s="297">
        <v>1</v>
      </c>
      <c r="AA36" s="297">
        <v>1</v>
      </c>
      <c r="AB36" s="297">
        <v>1</v>
      </c>
      <c r="AC36" s="296"/>
      <c r="AD36" s="296"/>
      <c r="AE36" s="296"/>
      <c r="AF36" s="296"/>
      <c r="AG36" s="296"/>
      <c r="AH36" s="297">
        <v>1</v>
      </c>
      <c r="AI36" s="297">
        <v>1</v>
      </c>
      <c r="AJ36" s="296"/>
      <c r="AK36" s="297">
        <v>1</v>
      </c>
      <c r="AL36" s="296"/>
      <c r="AM36" s="296"/>
      <c r="AN36" s="296"/>
      <c r="AO36" s="296"/>
      <c r="AP36" s="296"/>
      <c r="AQ36" s="296"/>
      <c r="AR36" s="296"/>
      <c r="AS36" s="296"/>
      <c r="AT36" s="297">
        <v>1</v>
      </c>
      <c r="AU36" s="296"/>
      <c r="AV36" s="296"/>
      <c r="AW36" s="297">
        <v>1</v>
      </c>
      <c r="AX36" s="296"/>
      <c r="AY36" s="296"/>
      <c r="AZ36" s="296"/>
      <c r="BA36" s="297">
        <v>1</v>
      </c>
      <c r="BB36" s="296"/>
      <c r="BC36" s="296"/>
      <c r="BD36" s="296"/>
      <c r="BE36" s="296"/>
      <c r="BF36" s="296"/>
      <c r="BG36" s="296"/>
      <c r="BH36" s="296"/>
      <c r="BI36" s="296"/>
      <c r="BJ36" s="296"/>
      <c r="BK36" s="297">
        <v>1</v>
      </c>
      <c r="BL36" s="296"/>
      <c r="BM36" s="296"/>
      <c r="BN36" s="296"/>
      <c r="BO36" s="296"/>
      <c r="BP36" s="296"/>
      <c r="BQ36" s="296"/>
      <c r="BR36" s="296"/>
      <c r="BS36" s="296"/>
      <c r="BT36" s="296"/>
      <c r="BU36" s="296"/>
      <c r="BV36" s="296"/>
      <c r="BW36" s="296"/>
      <c r="BX36" s="296"/>
      <c r="BY36" s="296"/>
      <c r="BZ36" s="296"/>
      <c r="CA36" s="296"/>
      <c r="CB36" s="297">
        <v>1</v>
      </c>
      <c r="CC36" s="296"/>
      <c r="CD36" s="296"/>
      <c r="CE36" s="297">
        <v>1</v>
      </c>
      <c r="CF36" s="296"/>
      <c r="CG36" s="296"/>
      <c r="CH36" s="296"/>
      <c r="CI36" s="296"/>
      <c r="CJ36" s="296"/>
      <c r="CK36" s="297">
        <v>1</v>
      </c>
      <c r="CL36" s="296"/>
      <c r="CM36" s="296"/>
      <c r="CN36" s="296"/>
      <c r="CO36" s="296"/>
      <c r="CP36" s="296"/>
      <c r="CQ36" s="296"/>
      <c r="CR36" s="297">
        <v>1</v>
      </c>
      <c r="CS36" s="296"/>
      <c r="CT36" s="298">
        <v>46661</v>
      </c>
    </row>
    <row r="37" spans="1:98" s="295" customFormat="1" ht="13.5" customHeight="1">
      <c r="A37" s="296" t="s">
        <v>8334</v>
      </c>
      <c r="B37" s="296" t="s">
        <v>8335</v>
      </c>
      <c r="C37" s="297">
        <v>37</v>
      </c>
      <c r="D37" s="296" t="s">
        <v>2014</v>
      </c>
      <c r="E37" s="296" t="s">
        <v>8336</v>
      </c>
      <c r="F37" s="296" t="s">
        <v>1509</v>
      </c>
      <c r="G37" s="296"/>
      <c r="H37" s="296"/>
      <c r="I37" s="296"/>
      <c r="J37" s="297">
        <v>1</v>
      </c>
      <c r="K37" s="296"/>
      <c r="L37" s="296"/>
      <c r="M37" s="296"/>
      <c r="N37" s="296"/>
      <c r="O37" s="297">
        <v>1</v>
      </c>
      <c r="P37" s="296"/>
      <c r="Q37" s="297">
        <v>1</v>
      </c>
      <c r="R37" s="296"/>
      <c r="S37" s="296"/>
      <c r="T37" s="296"/>
      <c r="U37" s="297">
        <v>1</v>
      </c>
      <c r="V37" s="296"/>
      <c r="W37" s="297">
        <v>14</v>
      </c>
      <c r="X37" s="297">
        <v>19</v>
      </c>
      <c r="Y37" s="297">
        <v>20</v>
      </c>
      <c r="Z37" s="297">
        <v>4</v>
      </c>
      <c r="AA37" s="297">
        <v>4</v>
      </c>
      <c r="AB37" s="297">
        <v>4</v>
      </c>
      <c r="AC37" s="297">
        <v>1</v>
      </c>
      <c r="AD37" s="296"/>
      <c r="AE37" s="296"/>
      <c r="AF37" s="296"/>
      <c r="AG37" s="296"/>
      <c r="AH37" s="296"/>
      <c r="AI37" s="296"/>
      <c r="AJ37" s="297">
        <v>1</v>
      </c>
      <c r="AK37" s="296"/>
      <c r="AL37" s="296"/>
      <c r="AM37" s="296"/>
      <c r="AN37" s="296"/>
      <c r="AO37" s="296"/>
      <c r="AP37" s="296"/>
      <c r="AQ37" s="296"/>
      <c r="AR37" s="296"/>
      <c r="AS37" s="296"/>
      <c r="AT37" s="297">
        <v>1</v>
      </c>
      <c r="AU37" s="296"/>
      <c r="AV37" s="296"/>
      <c r="AW37" s="297">
        <v>1</v>
      </c>
      <c r="AX37" s="296"/>
      <c r="AY37" s="296"/>
      <c r="AZ37" s="296"/>
      <c r="BA37" s="296"/>
      <c r="BB37" s="297">
        <v>1</v>
      </c>
      <c r="BC37" s="296"/>
      <c r="BD37" s="296"/>
      <c r="BE37" s="296"/>
      <c r="BF37" s="296"/>
      <c r="BG37" s="297">
        <v>1</v>
      </c>
      <c r="BH37" s="296"/>
      <c r="BI37" s="296"/>
      <c r="BJ37" s="296"/>
      <c r="BK37" s="297">
        <v>1</v>
      </c>
      <c r="BL37" s="296"/>
      <c r="BM37" s="296"/>
      <c r="BN37" s="296"/>
      <c r="BO37" s="296"/>
      <c r="BP37" s="296"/>
      <c r="BQ37" s="296"/>
      <c r="BR37" s="296"/>
      <c r="BS37" s="296"/>
      <c r="BT37" s="296"/>
      <c r="BU37" s="296"/>
      <c r="BV37" s="296"/>
      <c r="BW37" s="296"/>
      <c r="BX37" s="296"/>
      <c r="BY37" s="296"/>
      <c r="BZ37" s="296"/>
      <c r="CA37" s="296"/>
      <c r="CB37" s="297">
        <v>1</v>
      </c>
      <c r="CC37" s="296"/>
      <c r="CD37" s="296"/>
      <c r="CE37" s="297">
        <v>1</v>
      </c>
      <c r="CF37" s="296"/>
      <c r="CG37" s="296"/>
      <c r="CH37" s="296"/>
      <c r="CI37" s="296"/>
      <c r="CJ37" s="296"/>
      <c r="CK37" s="297">
        <v>1</v>
      </c>
      <c r="CL37" s="296"/>
      <c r="CM37" s="296"/>
      <c r="CN37" s="296"/>
      <c r="CO37" s="296"/>
      <c r="CP37" s="296"/>
      <c r="CQ37" s="296"/>
      <c r="CR37" s="297">
        <v>1</v>
      </c>
      <c r="CS37" s="296"/>
      <c r="CT37" s="298">
        <v>46661</v>
      </c>
    </row>
    <row r="38" spans="1:98" s="295" customFormat="1" ht="10.5" customHeight="1">
      <c r="A38" s="296" t="s">
        <v>8337</v>
      </c>
      <c r="B38" s="296" t="s">
        <v>8338</v>
      </c>
      <c r="C38" s="297">
        <v>39</v>
      </c>
      <c r="D38" s="296" t="s">
        <v>8313</v>
      </c>
      <c r="E38" s="296" t="s">
        <v>8339</v>
      </c>
      <c r="F38" s="296" t="s">
        <v>2484</v>
      </c>
      <c r="G38" s="296"/>
      <c r="H38" s="297">
        <v>1</v>
      </c>
      <c r="I38" s="296"/>
      <c r="J38" s="296"/>
      <c r="K38" s="296"/>
      <c r="L38" s="296"/>
      <c r="M38" s="297">
        <v>1</v>
      </c>
      <c r="N38" s="296"/>
      <c r="O38" s="296"/>
      <c r="P38" s="296"/>
      <c r="Q38" s="297">
        <v>1</v>
      </c>
      <c r="R38" s="296"/>
      <c r="S38" s="296"/>
      <c r="T38" s="296"/>
      <c r="U38" s="297">
        <v>1</v>
      </c>
      <c r="V38" s="296"/>
      <c r="W38" s="297">
        <v>13</v>
      </c>
      <c r="X38" s="297">
        <v>15</v>
      </c>
      <c r="Y38" s="297">
        <v>16</v>
      </c>
      <c r="Z38" s="297">
        <v>8</v>
      </c>
      <c r="AA38" s="297">
        <v>6</v>
      </c>
      <c r="AB38" s="297">
        <v>6</v>
      </c>
      <c r="AC38" s="296"/>
      <c r="AD38" s="297">
        <v>1</v>
      </c>
      <c r="AE38" s="296"/>
      <c r="AF38" s="296"/>
      <c r="AG38" s="296"/>
      <c r="AH38" s="296"/>
      <c r="AI38" s="296"/>
      <c r="AJ38" s="297">
        <v>1</v>
      </c>
      <c r="AK38" s="297">
        <v>1</v>
      </c>
      <c r="AL38" s="296"/>
      <c r="AM38" s="296"/>
      <c r="AN38" s="296"/>
      <c r="AO38" s="296"/>
      <c r="AP38" s="296"/>
      <c r="AQ38" s="296"/>
      <c r="AR38" s="296"/>
      <c r="AS38" s="296"/>
      <c r="AT38" s="297">
        <v>1</v>
      </c>
      <c r="AU38" s="296"/>
      <c r="AV38" s="296"/>
      <c r="AW38" s="297">
        <v>1</v>
      </c>
      <c r="AX38" s="296"/>
      <c r="AY38" s="296"/>
      <c r="AZ38" s="296"/>
      <c r="BA38" s="297">
        <v>1</v>
      </c>
      <c r="BB38" s="296"/>
      <c r="BC38" s="296"/>
      <c r="BD38" s="296"/>
      <c r="BE38" s="296"/>
      <c r="BF38" s="296"/>
      <c r="BG38" s="296"/>
      <c r="BH38" s="296"/>
      <c r="BI38" s="296"/>
      <c r="BJ38" s="296"/>
      <c r="BK38" s="297">
        <v>1</v>
      </c>
      <c r="BL38" s="296"/>
      <c r="BM38" s="296"/>
      <c r="BN38" s="296"/>
      <c r="BO38" s="296"/>
      <c r="BP38" s="296"/>
      <c r="BQ38" s="296"/>
      <c r="BR38" s="296"/>
      <c r="BS38" s="296"/>
      <c r="BT38" s="296"/>
      <c r="BU38" s="296"/>
      <c r="BV38" s="296"/>
      <c r="BW38" s="296"/>
      <c r="BX38" s="296"/>
      <c r="BY38" s="297">
        <v>1</v>
      </c>
      <c r="BZ38" s="296"/>
      <c r="CA38" s="296"/>
      <c r="CB38" s="297">
        <v>1</v>
      </c>
      <c r="CC38" s="296"/>
      <c r="CD38" s="296"/>
      <c r="CE38" s="297">
        <v>1</v>
      </c>
      <c r="CF38" s="296"/>
      <c r="CG38" s="296"/>
      <c r="CH38" s="296"/>
      <c r="CI38" s="296"/>
      <c r="CJ38" s="296"/>
      <c r="CK38" s="297">
        <v>1</v>
      </c>
      <c r="CL38" s="296"/>
      <c r="CM38" s="296"/>
      <c r="CN38" s="296"/>
      <c r="CO38" s="296"/>
      <c r="CP38" s="296"/>
      <c r="CQ38" s="296"/>
      <c r="CR38" s="297">
        <v>1</v>
      </c>
      <c r="CS38" s="296"/>
      <c r="CT38" s="298">
        <v>46661</v>
      </c>
    </row>
    <row r="39" spans="1:98" s="295" customFormat="1">
      <c r="A39" s="296" t="s">
        <v>8340</v>
      </c>
      <c r="B39" s="296" t="s">
        <v>8341</v>
      </c>
      <c r="C39" s="297">
        <v>43</v>
      </c>
      <c r="D39" s="296" t="s">
        <v>4902</v>
      </c>
      <c r="E39" s="296" t="s">
        <v>191</v>
      </c>
      <c r="F39" s="296" t="s">
        <v>127</v>
      </c>
      <c r="G39" s="296"/>
      <c r="H39" s="296"/>
      <c r="I39" s="297">
        <v>1</v>
      </c>
      <c r="J39" s="296"/>
      <c r="K39" s="296"/>
      <c r="L39" s="296"/>
      <c r="M39" s="297">
        <v>1</v>
      </c>
      <c r="N39" s="296"/>
      <c r="O39" s="296"/>
      <c r="P39" s="296"/>
      <c r="Q39" s="296"/>
      <c r="R39" s="297">
        <v>1</v>
      </c>
      <c r="S39" s="296"/>
      <c r="T39" s="297">
        <v>1</v>
      </c>
      <c r="U39" s="296"/>
      <c r="V39" s="296"/>
      <c r="W39" s="297">
        <v>14</v>
      </c>
      <c r="X39" s="297">
        <v>18</v>
      </c>
      <c r="Y39" s="297">
        <v>0</v>
      </c>
      <c r="Z39" s="297">
        <v>6</v>
      </c>
      <c r="AA39" s="297">
        <v>6</v>
      </c>
      <c r="AB39" s="297">
        <v>5</v>
      </c>
      <c r="AC39" s="296"/>
      <c r="AD39" s="297">
        <v>1</v>
      </c>
      <c r="AE39" s="297">
        <v>1</v>
      </c>
      <c r="AF39" s="296"/>
      <c r="AG39" s="297">
        <v>1</v>
      </c>
      <c r="AH39" s="297">
        <v>1</v>
      </c>
      <c r="AI39" s="297">
        <v>1</v>
      </c>
      <c r="AJ39" s="296"/>
      <c r="AK39" s="297">
        <v>1</v>
      </c>
      <c r="AL39" s="296"/>
      <c r="AM39" s="296"/>
      <c r="AN39" s="296"/>
      <c r="AO39" s="296"/>
      <c r="AP39" s="296"/>
      <c r="AQ39" s="296"/>
      <c r="AR39" s="296"/>
      <c r="AS39" s="296"/>
      <c r="AT39" s="297">
        <v>1</v>
      </c>
      <c r="AU39" s="296"/>
      <c r="AV39" s="296"/>
      <c r="AW39" s="296"/>
      <c r="AX39" s="297">
        <v>1</v>
      </c>
      <c r="AY39" s="296"/>
      <c r="AZ39" s="296"/>
      <c r="BA39" s="297">
        <v>1</v>
      </c>
      <c r="BB39" s="296"/>
      <c r="BC39" s="296"/>
      <c r="BD39" s="296"/>
      <c r="BE39" s="296"/>
      <c r="BF39" s="296"/>
      <c r="BG39" s="296"/>
      <c r="BH39" s="296"/>
      <c r="BI39" s="296"/>
      <c r="BJ39" s="296"/>
      <c r="BK39" s="297">
        <v>1</v>
      </c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7">
        <v>1</v>
      </c>
      <c r="CC39" s="296"/>
      <c r="CD39" s="296"/>
      <c r="CE39" s="297">
        <v>1</v>
      </c>
      <c r="CF39" s="296"/>
      <c r="CG39" s="296"/>
      <c r="CH39" s="296"/>
      <c r="CI39" s="296"/>
      <c r="CJ39" s="296"/>
      <c r="CK39" s="297">
        <v>1</v>
      </c>
      <c r="CL39" s="296"/>
      <c r="CM39" s="296"/>
      <c r="CN39" s="296"/>
      <c r="CO39" s="296"/>
      <c r="CP39" s="296"/>
      <c r="CQ39" s="296"/>
      <c r="CR39" s="297">
        <v>1</v>
      </c>
      <c r="CS39" s="296"/>
      <c r="CT39" s="298">
        <v>46661</v>
      </c>
    </row>
    <row r="40" spans="1:98" s="295" customFormat="1" ht="15" customHeight="1">
      <c r="A40" s="296" t="s">
        <v>8342</v>
      </c>
      <c r="B40" s="296" t="s">
        <v>8343</v>
      </c>
      <c r="C40" s="297">
        <v>35</v>
      </c>
      <c r="D40" s="296" t="s">
        <v>8241</v>
      </c>
      <c r="E40" s="296" t="s">
        <v>8344</v>
      </c>
      <c r="F40" s="296" t="s">
        <v>127</v>
      </c>
      <c r="G40" s="296"/>
      <c r="H40" s="296"/>
      <c r="I40" s="297">
        <v>1</v>
      </c>
      <c r="J40" s="296"/>
      <c r="K40" s="296"/>
      <c r="L40" s="296"/>
      <c r="M40" s="297">
        <v>1</v>
      </c>
      <c r="N40" s="296"/>
      <c r="O40" s="296"/>
      <c r="P40" s="296"/>
      <c r="Q40" s="296"/>
      <c r="R40" s="297">
        <v>1</v>
      </c>
      <c r="S40" s="296"/>
      <c r="T40" s="296"/>
      <c r="U40" s="297">
        <v>1</v>
      </c>
      <c r="V40" s="296"/>
      <c r="W40" s="297">
        <v>17</v>
      </c>
      <c r="X40" s="297">
        <v>17</v>
      </c>
      <c r="Y40" s="297">
        <v>21</v>
      </c>
      <c r="Z40" s="297">
        <v>6</v>
      </c>
      <c r="AA40" s="297">
        <v>6</v>
      </c>
      <c r="AB40" s="297">
        <v>5</v>
      </c>
      <c r="AC40" s="296"/>
      <c r="AD40" s="296"/>
      <c r="AE40" s="296"/>
      <c r="AF40" s="296"/>
      <c r="AG40" s="297">
        <v>1</v>
      </c>
      <c r="AH40" s="297">
        <v>1</v>
      </c>
      <c r="AI40" s="297">
        <v>1</v>
      </c>
      <c r="AJ40" s="296"/>
      <c r="AK40" s="297">
        <v>1</v>
      </c>
      <c r="AL40" s="296"/>
      <c r="AM40" s="296"/>
      <c r="AN40" s="296"/>
      <c r="AO40" s="296"/>
      <c r="AP40" s="296"/>
      <c r="AQ40" s="296"/>
      <c r="AR40" s="296"/>
      <c r="AS40" s="296"/>
      <c r="AT40" s="297">
        <v>1</v>
      </c>
      <c r="AU40" s="296"/>
      <c r="AV40" s="296"/>
      <c r="AW40" s="297">
        <v>1</v>
      </c>
      <c r="AX40" s="296"/>
      <c r="AY40" s="296"/>
      <c r="AZ40" s="296"/>
      <c r="BA40" s="297">
        <v>1</v>
      </c>
      <c r="BB40" s="296"/>
      <c r="BC40" s="296"/>
      <c r="BD40" s="296"/>
      <c r="BE40" s="296"/>
      <c r="BF40" s="296"/>
      <c r="BG40" s="296"/>
      <c r="BH40" s="296"/>
      <c r="BI40" s="296"/>
      <c r="BJ40" s="296"/>
      <c r="BK40" s="297">
        <v>1</v>
      </c>
      <c r="BL40" s="296"/>
      <c r="BM40" s="296"/>
      <c r="BN40" s="296"/>
      <c r="BO40" s="296"/>
      <c r="BP40" s="296"/>
      <c r="BQ40" s="296"/>
      <c r="BR40" s="296"/>
      <c r="BS40" s="296"/>
      <c r="BT40" s="296"/>
      <c r="BU40" s="296"/>
      <c r="BV40" s="296"/>
      <c r="BW40" s="296"/>
      <c r="BX40" s="296"/>
      <c r="BY40" s="296"/>
      <c r="BZ40" s="296"/>
      <c r="CA40" s="296"/>
      <c r="CB40" s="297">
        <v>1</v>
      </c>
      <c r="CC40" s="296"/>
      <c r="CD40" s="296"/>
      <c r="CE40" s="297">
        <v>1</v>
      </c>
      <c r="CF40" s="296"/>
      <c r="CG40" s="296"/>
      <c r="CH40" s="296"/>
      <c r="CI40" s="296"/>
      <c r="CJ40" s="296"/>
      <c r="CK40" s="297">
        <v>1</v>
      </c>
      <c r="CL40" s="296"/>
      <c r="CM40" s="296"/>
      <c r="CN40" s="296"/>
      <c r="CO40" s="296"/>
      <c r="CP40" s="296"/>
      <c r="CQ40" s="296"/>
      <c r="CR40" s="297">
        <v>1</v>
      </c>
      <c r="CS40" s="296"/>
      <c r="CT40" s="298">
        <v>46661</v>
      </c>
    </row>
    <row r="41" spans="1:98" s="295" customFormat="1" ht="13.5" customHeight="1">
      <c r="A41" s="296" t="s">
        <v>8345</v>
      </c>
      <c r="B41" s="296" t="s">
        <v>8346</v>
      </c>
      <c r="C41" s="297">
        <v>38</v>
      </c>
      <c r="D41" s="296" t="s">
        <v>8255</v>
      </c>
      <c r="E41" s="296" t="s">
        <v>8347</v>
      </c>
      <c r="F41" s="296" t="s">
        <v>2484</v>
      </c>
      <c r="G41" s="296"/>
      <c r="H41" s="297">
        <v>1</v>
      </c>
      <c r="I41" s="296"/>
      <c r="J41" s="296"/>
      <c r="K41" s="296"/>
      <c r="L41" s="296"/>
      <c r="M41" s="296"/>
      <c r="N41" s="296"/>
      <c r="O41" s="297">
        <v>1</v>
      </c>
      <c r="P41" s="296"/>
      <c r="Q41" s="296"/>
      <c r="R41" s="297">
        <v>1</v>
      </c>
      <c r="S41" s="296"/>
      <c r="T41" s="297">
        <v>1</v>
      </c>
      <c r="U41" s="296"/>
      <c r="V41" s="296"/>
      <c r="W41" s="297">
        <v>15</v>
      </c>
      <c r="X41" s="297">
        <v>18</v>
      </c>
      <c r="Y41" s="297">
        <v>18</v>
      </c>
      <c r="Z41" s="297">
        <v>4</v>
      </c>
      <c r="AA41" s="297">
        <v>4</v>
      </c>
      <c r="AB41" s="297">
        <v>4</v>
      </c>
      <c r="AC41" s="297">
        <v>1</v>
      </c>
      <c r="AD41" s="296"/>
      <c r="AE41" s="296"/>
      <c r="AF41" s="296"/>
      <c r="AG41" s="296"/>
      <c r="AH41" s="296"/>
      <c r="AI41" s="296"/>
      <c r="AJ41" s="297">
        <v>1</v>
      </c>
      <c r="AK41" s="297">
        <v>1</v>
      </c>
      <c r="AL41" s="296"/>
      <c r="AM41" s="296"/>
      <c r="AN41" s="296"/>
      <c r="AO41" s="296"/>
      <c r="AP41" s="296"/>
      <c r="AQ41" s="296"/>
      <c r="AR41" s="296"/>
      <c r="AS41" s="296"/>
      <c r="AT41" s="297">
        <v>1</v>
      </c>
      <c r="AU41" s="296"/>
      <c r="AV41" s="296"/>
      <c r="AW41" s="297">
        <v>1</v>
      </c>
      <c r="AX41" s="296"/>
      <c r="AY41" s="296"/>
      <c r="AZ41" s="296"/>
      <c r="BA41" s="297">
        <v>1</v>
      </c>
      <c r="BB41" s="296"/>
      <c r="BC41" s="296"/>
      <c r="BD41" s="296"/>
      <c r="BE41" s="296"/>
      <c r="BF41" s="296"/>
      <c r="BG41" s="296"/>
      <c r="BH41" s="296"/>
      <c r="BI41" s="296"/>
      <c r="BJ41" s="296"/>
      <c r="BK41" s="297">
        <v>1</v>
      </c>
      <c r="BL41" s="296"/>
      <c r="BM41" s="296"/>
      <c r="BN41" s="296"/>
      <c r="BO41" s="296"/>
      <c r="BP41" s="296"/>
      <c r="BQ41" s="296"/>
      <c r="BR41" s="296"/>
      <c r="BS41" s="296"/>
      <c r="BT41" s="296"/>
      <c r="BU41" s="296"/>
      <c r="BV41" s="296"/>
      <c r="BW41" s="296"/>
      <c r="BX41" s="296"/>
      <c r="BY41" s="297">
        <v>1</v>
      </c>
      <c r="BZ41" s="296"/>
      <c r="CA41" s="296"/>
      <c r="CB41" s="297">
        <v>1</v>
      </c>
      <c r="CC41" s="296"/>
      <c r="CD41" s="296"/>
      <c r="CE41" s="297">
        <v>1</v>
      </c>
      <c r="CF41" s="296"/>
      <c r="CG41" s="296"/>
      <c r="CH41" s="296"/>
      <c r="CI41" s="296"/>
      <c r="CJ41" s="296"/>
      <c r="CK41" s="297">
        <v>1</v>
      </c>
      <c r="CL41" s="296"/>
      <c r="CM41" s="296"/>
      <c r="CN41" s="296"/>
      <c r="CO41" s="296"/>
      <c r="CP41" s="296"/>
      <c r="CQ41" s="296"/>
      <c r="CR41" s="297">
        <v>1</v>
      </c>
      <c r="CS41" s="296"/>
      <c r="CT41" s="298">
        <v>46661</v>
      </c>
    </row>
    <row r="42" spans="1:98" s="295" customFormat="1" ht="16.5" customHeight="1">
      <c r="A42" s="296" t="s">
        <v>8348</v>
      </c>
      <c r="B42" s="296" t="s">
        <v>8349</v>
      </c>
      <c r="C42" s="297">
        <v>50</v>
      </c>
      <c r="D42" s="296" t="s">
        <v>1575</v>
      </c>
      <c r="E42" s="296" t="s">
        <v>8350</v>
      </c>
      <c r="F42" s="296" t="s">
        <v>127</v>
      </c>
      <c r="G42" s="296"/>
      <c r="H42" s="296"/>
      <c r="I42" s="297">
        <v>1</v>
      </c>
      <c r="J42" s="296"/>
      <c r="K42" s="296"/>
      <c r="L42" s="296"/>
      <c r="M42" s="296"/>
      <c r="N42" s="296"/>
      <c r="O42" s="296"/>
      <c r="P42" s="297">
        <v>1</v>
      </c>
      <c r="Q42" s="296"/>
      <c r="R42" s="297">
        <v>1</v>
      </c>
      <c r="S42" s="296"/>
      <c r="T42" s="297">
        <v>1</v>
      </c>
      <c r="U42" s="296"/>
      <c r="V42" s="296"/>
      <c r="W42" s="297">
        <v>0</v>
      </c>
      <c r="X42" s="297">
        <v>0</v>
      </c>
      <c r="Y42" s="297">
        <v>0</v>
      </c>
      <c r="Z42" s="297">
        <v>12</v>
      </c>
      <c r="AA42" s="297">
        <v>10</v>
      </c>
      <c r="AB42" s="297">
        <v>7</v>
      </c>
      <c r="AC42" s="296"/>
      <c r="AD42" s="296"/>
      <c r="AE42" s="296"/>
      <c r="AF42" s="296"/>
      <c r="AG42" s="296"/>
      <c r="AH42" s="297">
        <v>1</v>
      </c>
      <c r="AI42" s="296"/>
      <c r="AJ42" s="297">
        <v>1</v>
      </c>
      <c r="AK42" s="297">
        <v>1</v>
      </c>
      <c r="AL42" s="296"/>
      <c r="AM42" s="296"/>
      <c r="AN42" s="296"/>
      <c r="AO42" s="296"/>
      <c r="AP42" s="296"/>
      <c r="AQ42" s="296"/>
      <c r="AR42" s="296"/>
      <c r="AS42" s="296"/>
      <c r="AT42" s="297">
        <v>1</v>
      </c>
      <c r="AU42" s="296"/>
      <c r="AV42" s="296"/>
      <c r="AW42" s="296"/>
      <c r="AX42" s="297">
        <v>1</v>
      </c>
      <c r="AY42" s="296"/>
      <c r="AZ42" s="296"/>
      <c r="BA42" s="297">
        <v>1</v>
      </c>
      <c r="BB42" s="296"/>
      <c r="BC42" s="296"/>
      <c r="BD42" s="296"/>
      <c r="BE42" s="296"/>
      <c r="BF42" s="296"/>
      <c r="BG42" s="296"/>
      <c r="BH42" s="296"/>
      <c r="BI42" s="296"/>
      <c r="BJ42" s="296"/>
      <c r="BK42" s="297">
        <v>1</v>
      </c>
      <c r="BL42" s="296"/>
      <c r="BM42" s="296"/>
      <c r="BN42" s="296"/>
      <c r="BO42" s="296"/>
      <c r="BP42" s="296"/>
      <c r="BQ42" s="296"/>
      <c r="BR42" s="296"/>
      <c r="BS42" s="296"/>
      <c r="BT42" s="296"/>
      <c r="BU42" s="296"/>
      <c r="BV42" s="296"/>
      <c r="BW42" s="296"/>
      <c r="BX42" s="296"/>
      <c r="BY42" s="297">
        <v>1</v>
      </c>
      <c r="BZ42" s="296"/>
      <c r="CA42" s="296"/>
      <c r="CB42" s="297">
        <v>1</v>
      </c>
      <c r="CC42" s="296"/>
      <c r="CD42" s="296"/>
      <c r="CE42" s="297">
        <v>1</v>
      </c>
      <c r="CF42" s="296"/>
      <c r="CG42" s="296"/>
      <c r="CH42" s="296"/>
      <c r="CI42" s="296"/>
      <c r="CJ42" s="296"/>
      <c r="CK42" s="297">
        <v>1</v>
      </c>
      <c r="CL42" s="296"/>
      <c r="CM42" s="296"/>
      <c r="CN42" s="296"/>
      <c r="CO42" s="296"/>
      <c r="CP42" s="296"/>
      <c r="CQ42" s="296"/>
      <c r="CR42" s="297">
        <v>1</v>
      </c>
      <c r="CS42" s="296"/>
      <c r="CT42" s="298">
        <v>46661</v>
      </c>
    </row>
    <row r="43" spans="1:98" s="295" customFormat="1" ht="12.75" customHeight="1">
      <c r="A43" s="296" t="s">
        <v>8351</v>
      </c>
      <c r="B43" s="296" t="s">
        <v>8352</v>
      </c>
      <c r="C43" s="297">
        <v>36</v>
      </c>
      <c r="D43" s="296" t="s">
        <v>8241</v>
      </c>
      <c r="E43" s="296" t="s">
        <v>8353</v>
      </c>
      <c r="F43" s="296" t="s">
        <v>1509</v>
      </c>
      <c r="G43" s="297">
        <v>1</v>
      </c>
      <c r="H43" s="296"/>
      <c r="I43" s="296"/>
      <c r="J43" s="296"/>
      <c r="K43" s="296"/>
      <c r="L43" s="296"/>
      <c r="M43" s="297">
        <v>1</v>
      </c>
      <c r="N43" s="296"/>
      <c r="O43" s="296"/>
      <c r="P43" s="296"/>
      <c r="Q43" s="296"/>
      <c r="R43" s="297">
        <v>1</v>
      </c>
      <c r="S43" s="296"/>
      <c r="T43" s="297">
        <v>1</v>
      </c>
      <c r="U43" s="296"/>
      <c r="V43" s="296"/>
      <c r="W43" s="297">
        <v>16</v>
      </c>
      <c r="X43" s="297">
        <v>18</v>
      </c>
      <c r="Y43" s="297">
        <v>19</v>
      </c>
      <c r="Z43" s="297">
        <v>7</v>
      </c>
      <c r="AA43" s="297">
        <v>7</v>
      </c>
      <c r="AB43" s="297">
        <v>7</v>
      </c>
      <c r="AC43" s="296"/>
      <c r="AD43" s="296"/>
      <c r="AE43" s="297">
        <v>1</v>
      </c>
      <c r="AF43" s="296"/>
      <c r="AG43" s="297">
        <v>1</v>
      </c>
      <c r="AH43" s="297">
        <v>1</v>
      </c>
      <c r="AI43" s="296"/>
      <c r="AJ43" s="297">
        <v>1</v>
      </c>
      <c r="AK43" s="297">
        <v>1</v>
      </c>
      <c r="AL43" s="296"/>
      <c r="AM43" s="296"/>
      <c r="AN43" s="296"/>
      <c r="AO43" s="296"/>
      <c r="AP43" s="296"/>
      <c r="AQ43" s="296"/>
      <c r="AR43" s="296"/>
      <c r="AS43" s="296"/>
      <c r="AT43" s="297">
        <v>1</v>
      </c>
      <c r="AU43" s="296"/>
      <c r="AV43" s="296"/>
      <c r="AW43" s="297">
        <v>1</v>
      </c>
      <c r="AX43" s="296"/>
      <c r="AY43" s="296"/>
      <c r="AZ43" s="296"/>
      <c r="BA43" s="297">
        <v>1</v>
      </c>
      <c r="BB43" s="296"/>
      <c r="BC43" s="296"/>
      <c r="BD43" s="296"/>
      <c r="BE43" s="296"/>
      <c r="BF43" s="296"/>
      <c r="BG43" s="296"/>
      <c r="BH43" s="296"/>
      <c r="BI43" s="296"/>
      <c r="BJ43" s="296"/>
      <c r="BK43" s="297">
        <v>1</v>
      </c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7">
        <v>1</v>
      </c>
      <c r="CC43" s="296"/>
      <c r="CD43" s="296"/>
      <c r="CE43" s="297">
        <v>1</v>
      </c>
      <c r="CF43" s="296"/>
      <c r="CG43" s="296"/>
      <c r="CH43" s="296"/>
      <c r="CI43" s="296"/>
      <c r="CJ43" s="296"/>
      <c r="CK43" s="297">
        <v>1</v>
      </c>
      <c r="CL43" s="296"/>
      <c r="CM43" s="296"/>
      <c r="CN43" s="296"/>
      <c r="CO43" s="296"/>
      <c r="CP43" s="296"/>
      <c r="CQ43" s="296"/>
      <c r="CR43" s="297">
        <v>1</v>
      </c>
      <c r="CS43" s="296"/>
      <c r="CT43" s="298">
        <v>46661</v>
      </c>
    </row>
    <row r="44" spans="1:98" s="295" customFormat="1" ht="16.5" customHeight="1">
      <c r="A44" s="296" t="s">
        <v>8354</v>
      </c>
      <c r="B44" s="296" t="s">
        <v>8355</v>
      </c>
      <c r="C44" s="297">
        <v>35</v>
      </c>
      <c r="D44" s="296" t="s">
        <v>1552</v>
      </c>
      <c r="E44" s="296" t="s">
        <v>8356</v>
      </c>
      <c r="F44" s="296" t="s">
        <v>2484</v>
      </c>
      <c r="G44" s="296"/>
      <c r="H44" s="297">
        <v>1</v>
      </c>
      <c r="I44" s="296"/>
      <c r="J44" s="296"/>
      <c r="K44" s="296"/>
      <c r="L44" s="296"/>
      <c r="M44" s="297">
        <v>1</v>
      </c>
      <c r="N44" s="296"/>
      <c r="O44" s="296"/>
      <c r="P44" s="296"/>
      <c r="Q44" s="297">
        <v>1</v>
      </c>
      <c r="R44" s="296"/>
      <c r="S44" s="296"/>
      <c r="T44" s="297">
        <v>1</v>
      </c>
      <c r="U44" s="296"/>
      <c r="V44" s="296"/>
      <c r="W44" s="297">
        <v>12</v>
      </c>
      <c r="X44" s="297">
        <v>0</v>
      </c>
      <c r="Y44" s="297">
        <v>17</v>
      </c>
      <c r="Z44" s="297">
        <v>7</v>
      </c>
      <c r="AA44" s="297">
        <v>6</v>
      </c>
      <c r="AB44" s="297">
        <v>6</v>
      </c>
      <c r="AC44" s="296"/>
      <c r="AD44" s="296"/>
      <c r="AE44" s="297">
        <v>1</v>
      </c>
      <c r="AF44" s="296"/>
      <c r="AG44" s="297">
        <v>1</v>
      </c>
      <c r="AH44" s="297">
        <v>1</v>
      </c>
      <c r="AI44" s="296"/>
      <c r="AJ44" s="297">
        <v>1</v>
      </c>
      <c r="AK44" s="297">
        <v>1</v>
      </c>
      <c r="AL44" s="296"/>
      <c r="AM44" s="296"/>
      <c r="AN44" s="296"/>
      <c r="AO44" s="296"/>
      <c r="AP44" s="296"/>
      <c r="AQ44" s="296"/>
      <c r="AR44" s="296"/>
      <c r="AS44" s="296"/>
      <c r="AT44" s="297">
        <v>1</v>
      </c>
      <c r="AU44" s="296"/>
      <c r="AV44" s="296"/>
      <c r="AW44" s="297">
        <v>1</v>
      </c>
      <c r="AX44" s="296"/>
      <c r="AY44" s="296"/>
      <c r="AZ44" s="296"/>
      <c r="BA44" s="297">
        <v>1</v>
      </c>
      <c r="BB44" s="296"/>
      <c r="BC44" s="296"/>
      <c r="BD44" s="296"/>
      <c r="BE44" s="296"/>
      <c r="BF44" s="296"/>
      <c r="BG44" s="296"/>
      <c r="BH44" s="296"/>
      <c r="BI44" s="296"/>
      <c r="BJ44" s="296"/>
      <c r="BK44" s="297">
        <v>1</v>
      </c>
      <c r="BL44" s="296"/>
      <c r="BM44" s="296"/>
      <c r="BN44" s="296"/>
      <c r="BO44" s="296"/>
      <c r="BP44" s="296"/>
      <c r="BQ44" s="296"/>
      <c r="BR44" s="296"/>
      <c r="BS44" s="296"/>
      <c r="BT44" s="296"/>
      <c r="BU44" s="296"/>
      <c r="BV44" s="296"/>
      <c r="BW44" s="296"/>
      <c r="BX44" s="296"/>
      <c r="BY44" s="297">
        <v>1</v>
      </c>
      <c r="BZ44" s="296"/>
      <c r="CA44" s="296"/>
      <c r="CB44" s="297">
        <v>1</v>
      </c>
      <c r="CC44" s="296"/>
      <c r="CD44" s="296"/>
      <c r="CE44" s="297">
        <v>1</v>
      </c>
      <c r="CF44" s="296"/>
      <c r="CG44" s="296"/>
      <c r="CH44" s="296"/>
      <c r="CI44" s="296"/>
      <c r="CJ44" s="296"/>
      <c r="CK44" s="297">
        <v>1</v>
      </c>
      <c r="CL44" s="296"/>
      <c r="CM44" s="296"/>
      <c r="CN44" s="296"/>
      <c r="CO44" s="296"/>
      <c r="CP44" s="296"/>
      <c r="CQ44" s="296"/>
      <c r="CR44" s="297">
        <v>1</v>
      </c>
      <c r="CS44" s="296"/>
      <c r="CT44" s="298">
        <v>46661</v>
      </c>
    </row>
    <row r="45" spans="1:98" s="295" customFormat="1" ht="18" customHeight="1">
      <c r="A45" s="296" t="s">
        <v>8357</v>
      </c>
      <c r="B45" s="296" t="s">
        <v>8358</v>
      </c>
      <c r="C45" s="297">
        <v>50</v>
      </c>
      <c r="D45" s="296" t="s">
        <v>8313</v>
      </c>
      <c r="E45" s="296" t="s">
        <v>191</v>
      </c>
      <c r="F45" s="296" t="s">
        <v>2484</v>
      </c>
      <c r="G45" s="296"/>
      <c r="H45" s="296"/>
      <c r="I45" s="297">
        <v>1</v>
      </c>
      <c r="J45" s="296"/>
      <c r="K45" s="296"/>
      <c r="L45" s="296"/>
      <c r="M45" s="297">
        <v>1</v>
      </c>
      <c r="N45" s="296"/>
      <c r="O45" s="296"/>
      <c r="P45" s="296"/>
      <c r="Q45" s="297">
        <v>1</v>
      </c>
      <c r="R45" s="296"/>
      <c r="S45" s="296"/>
      <c r="T45" s="297">
        <v>1</v>
      </c>
      <c r="U45" s="296"/>
      <c r="V45" s="296"/>
      <c r="W45" s="297">
        <v>17</v>
      </c>
      <c r="X45" s="297">
        <v>19</v>
      </c>
      <c r="Y45" s="297">
        <v>19</v>
      </c>
      <c r="Z45" s="297">
        <v>12</v>
      </c>
      <c r="AA45" s="297">
        <v>12</v>
      </c>
      <c r="AB45" s="297">
        <v>7</v>
      </c>
      <c r="AC45" s="297">
        <v>1</v>
      </c>
      <c r="AD45" s="296"/>
      <c r="AE45" s="296"/>
      <c r="AF45" s="296"/>
      <c r="AG45" s="296"/>
      <c r="AH45" s="296"/>
      <c r="AI45" s="297">
        <v>1</v>
      </c>
      <c r="AJ45" s="296"/>
      <c r="AK45" s="297">
        <v>1</v>
      </c>
      <c r="AL45" s="296"/>
      <c r="AM45" s="296"/>
      <c r="AN45" s="296"/>
      <c r="AO45" s="296"/>
      <c r="AP45" s="296"/>
      <c r="AQ45" s="296"/>
      <c r="AR45" s="296"/>
      <c r="AS45" s="296"/>
      <c r="AT45" s="297">
        <v>1</v>
      </c>
      <c r="AU45" s="296"/>
      <c r="AV45" s="296"/>
      <c r="AW45" s="297">
        <v>1</v>
      </c>
      <c r="AX45" s="296"/>
      <c r="AY45" s="296"/>
      <c r="AZ45" s="296"/>
      <c r="BA45" s="297">
        <v>1</v>
      </c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7">
        <v>1</v>
      </c>
      <c r="BM45" s="296"/>
      <c r="BN45" s="296"/>
      <c r="BO45" s="296"/>
      <c r="BP45" s="296"/>
      <c r="BQ45" s="296"/>
      <c r="BR45" s="296"/>
      <c r="BS45" s="296"/>
      <c r="BT45" s="296"/>
      <c r="BU45" s="296"/>
      <c r="BV45" s="296"/>
      <c r="BW45" s="296"/>
      <c r="BX45" s="296"/>
      <c r="BY45" s="296"/>
      <c r="BZ45" s="296"/>
      <c r="CA45" s="296"/>
      <c r="CB45" s="297">
        <v>1</v>
      </c>
      <c r="CC45" s="296"/>
      <c r="CD45" s="296"/>
      <c r="CE45" s="297">
        <v>1</v>
      </c>
      <c r="CF45" s="296"/>
      <c r="CG45" s="296"/>
      <c r="CH45" s="296"/>
      <c r="CI45" s="296"/>
      <c r="CJ45" s="296"/>
      <c r="CK45" s="296"/>
      <c r="CL45" s="296"/>
      <c r="CM45" s="296"/>
      <c r="CN45" s="296"/>
      <c r="CO45" s="296"/>
      <c r="CP45" s="296"/>
      <c r="CQ45" s="296"/>
      <c r="CR45" s="297">
        <v>1</v>
      </c>
      <c r="CS45" s="296"/>
      <c r="CT45" s="298">
        <v>46661</v>
      </c>
    </row>
    <row r="46" spans="1:98" s="295" customFormat="1" ht="15.75" customHeight="1">
      <c r="A46" s="296" t="s">
        <v>8359</v>
      </c>
      <c r="B46" s="296" t="s">
        <v>8360</v>
      </c>
      <c r="C46" s="297">
        <v>60</v>
      </c>
      <c r="D46" s="296" t="s">
        <v>1552</v>
      </c>
      <c r="E46" s="296" t="s">
        <v>191</v>
      </c>
      <c r="F46" s="296" t="s">
        <v>2484</v>
      </c>
      <c r="G46" s="297">
        <v>1</v>
      </c>
      <c r="H46" s="296"/>
      <c r="I46" s="296"/>
      <c r="J46" s="296"/>
      <c r="K46" s="296"/>
      <c r="L46" s="296"/>
      <c r="M46" s="297">
        <v>1</v>
      </c>
      <c r="N46" s="296"/>
      <c r="O46" s="296"/>
      <c r="P46" s="296"/>
      <c r="Q46" s="296"/>
      <c r="R46" s="297">
        <v>1</v>
      </c>
      <c r="S46" s="297">
        <v>1</v>
      </c>
      <c r="T46" s="296"/>
      <c r="U46" s="296"/>
      <c r="V46" s="296"/>
      <c r="W46" s="297">
        <v>13</v>
      </c>
      <c r="X46" s="297">
        <v>17</v>
      </c>
      <c r="Y46" s="297">
        <v>18</v>
      </c>
      <c r="Z46" s="297">
        <v>12</v>
      </c>
      <c r="AA46" s="297">
        <v>12</v>
      </c>
      <c r="AB46" s="297">
        <v>10</v>
      </c>
      <c r="AC46" s="297">
        <v>1</v>
      </c>
      <c r="AD46" s="296"/>
      <c r="AE46" s="296"/>
      <c r="AF46" s="296"/>
      <c r="AG46" s="296"/>
      <c r="AH46" s="296"/>
      <c r="AI46" s="297">
        <v>1</v>
      </c>
      <c r="AJ46" s="296"/>
      <c r="AK46" s="296"/>
      <c r="AL46" s="296"/>
      <c r="AM46" s="297">
        <v>1</v>
      </c>
      <c r="AN46" s="296"/>
      <c r="AO46" s="296"/>
      <c r="AP46" s="296"/>
      <c r="AQ46" s="296"/>
      <c r="AR46" s="296"/>
      <c r="AS46" s="296"/>
      <c r="AT46" s="297">
        <v>1</v>
      </c>
      <c r="AU46" s="296"/>
      <c r="AV46" s="296"/>
      <c r="AW46" s="297">
        <v>1</v>
      </c>
      <c r="AX46" s="296"/>
      <c r="AY46" s="296"/>
      <c r="AZ46" s="296"/>
      <c r="BA46" s="297">
        <v>1</v>
      </c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7">
        <v>1</v>
      </c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7">
        <v>1</v>
      </c>
      <c r="BZ46" s="296"/>
      <c r="CA46" s="296"/>
      <c r="CB46" s="297">
        <v>1</v>
      </c>
      <c r="CC46" s="296"/>
      <c r="CD46" s="296"/>
      <c r="CE46" s="297">
        <v>1</v>
      </c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7">
        <v>1</v>
      </c>
      <c r="CS46" s="296"/>
      <c r="CT46" s="298">
        <v>46661</v>
      </c>
    </row>
    <row r="47" spans="1:98" s="295" customFormat="1" ht="13.5" customHeight="1">
      <c r="A47" s="296" t="s">
        <v>8361</v>
      </c>
      <c r="B47" s="296" t="s">
        <v>8362</v>
      </c>
      <c r="C47" s="297">
        <v>39</v>
      </c>
      <c r="D47" s="296" t="s">
        <v>8241</v>
      </c>
      <c r="E47" s="296" t="s">
        <v>8363</v>
      </c>
      <c r="F47" s="296" t="s">
        <v>2484</v>
      </c>
      <c r="G47" s="297">
        <v>1</v>
      </c>
      <c r="H47" s="296"/>
      <c r="I47" s="296"/>
      <c r="J47" s="296"/>
      <c r="K47" s="296"/>
      <c r="L47" s="296"/>
      <c r="M47" s="297">
        <v>1</v>
      </c>
      <c r="N47" s="296"/>
      <c r="O47" s="296"/>
      <c r="P47" s="296"/>
      <c r="Q47" s="297">
        <v>1</v>
      </c>
      <c r="R47" s="296"/>
      <c r="S47" s="296"/>
      <c r="T47" s="297">
        <v>1</v>
      </c>
      <c r="U47" s="296"/>
      <c r="V47" s="296"/>
      <c r="W47" s="297">
        <v>12</v>
      </c>
      <c r="X47" s="297">
        <v>12</v>
      </c>
      <c r="Y47" s="297">
        <v>16</v>
      </c>
      <c r="Z47" s="297">
        <v>11</v>
      </c>
      <c r="AA47" s="297">
        <v>11</v>
      </c>
      <c r="AB47" s="297">
        <v>9</v>
      </c>
      <c r="AC47" s="296"/>
      <c r="AD47" s="296"/>
      <c r="AE47" s="296"/>
      <c r="AF47" s="296"/>
      <c r="AG47" s="296"/>
      <c r="AH47" s="297">
        <v>1</v>
      </c>
      <c r="AI47" s="296"/>
      <c r="AJ47" s="297">
        <v>1</v>
      </c>
      <c r="AK47" s="297">
        <v>1</v>
      </c>
      <c r="AL47" s="296"/>
      <c r="AM47" s="296"/>
      <c r="AN47" s="296"/>
      <c r="AO47" s="296"/>
      <c r="AP47" s="296"/>
      <c r="AQ47" s="296"/>
      <c r="AR47" s="296"/>
      <c r="AS47" s="296"/>
      <c r="AT47" s="297">
        <v>1</v>
      </c>
      <c r="AU47" s="296"/>
      <c r="AV47" s="296"/>
      <c r="AW47" s="297">
        <v>1</v>
      </c>
      <c r="AX47" s="296"/>
      <c r="AY47" s="296"/>
      <c r="AZ47" s="296"/>
      <c r="BA47" s="297">
        <v>1</v>
      </c>
      <c r="BB47" s="296"/>
      <c r="BC47" s="296"/>
      <c r="BD47" s="296"/>
      <c r="BE47" s="296"/>
      <c r="BF47" s="296"/>
      <c r="BG47" s="296"/>
      <c r="BH47" s="296"/>
      <c r="BI47" s="296"/>
      <c r="BJ47" s="296"/>
      <c r="BK47" s="297">
        <v>1</v>
      </c>
      <c r="BL47" s="296"/>
      <c r="BM47" s="296"/>
      <c r="BN47" s="296"/>
      <c r="BO47" s="296"/>
      <c r="BP47" s="296"/>
      <c r="BQ47" s="296"/>
      <c r="BR47" s="296"/>
      <c r="BS47" s="296"/>
      <c r="BT47" s="296"/>
      <c r="BU47" s="296"/>
      <c r="BV47" s="296"/>
      <c r="BW47" s="296"/>
      <c r="BX47" s="296"/>
      <c r="BY47" s="297">
        <v>1</v>
      </c>
      <c r="BZ47" s="296"/>
      <c r="CA47" s="296"/>
      <c r="CB47" s="297">
        <v>1</v>
      </c>
      <c r="CC47" s="296"/>
      <c r="CD47" s="296"/>
      <c r="CE47" s="297">
        <v>1</v>
      </c>
      <c r="CF47" s="296"/>
      <c r="CG47" s="296"/>
      <c r="CH47" s="296"/>
      <c r="CI47" s="296"/>
      <c r="CJ47" s="296"/>
      <c r="CK47" s="296"/>
      <c r="CL47" s="296"/>
      <c r="CM47" s="296"/>
      <c r="CN47" s="296"/>
      <c r="CO47" s="296"/>
      <c r="CP47" s="296"/>
      <c r="CQ47" s="296"/>
      <c r="CR47" s="297">
        <v>1</v>
      </c>
      <c r="CS47" s="296"/>
      <c r="CT47" s="298">
        <v>46661</v>
      </c>
    </row>
    <row r="48" spans="1:98" s="295" customFormat="1" ht="13.5" customHeight="1">
      <c r="A48" s="296" t="s">
        <v>8364</v>
      </c>
      <c r="B48" s="296" t="s">
        <v>8365</v>
      </c>
      <c r="C48" s="297">
        <v>35</v>
      </c>
      <c r="D48" s="296" t="s">
        <v>1575</v>
      </c>
      <c r="E48" s="296" t="s">
        <v>8366</v>
      </c>
      <c r="F48" s="296" t="s">
        <v>127</v>
      </c>
      <c r="G48" s="296"/>
      <c r="H48" s="296"/>
      <c r="I48" s="297">
        <v>1</v>
      </c>
      <c r="J48" s="296"/>
      <c r="K48" s="296"/>
      <c r="L48" s="296"/>
      <c r="M48" s="297">
        <v>1</v>
      </c>
      <c r="N48" s="296"/>
      <c r="O48" s="296"/>
      <c r="P48" s="296"/>
      <c r="Q48" s="296"/>
      <c r="R48" s="297">
        <v>1</v>
      </c>
      <c r="S48" s="296"/>
      <c r="T48" s="296"/>
      <c r="U48" s="297">
        <v>1</v>
      </c>
      <c r="V48" s="296"/>
      <c r="W48" s="297">
        <v>14</v>
      </c>
      <c r="X48" s="297">
        <v>20</v>
      </c>
      <c r="Y48" s="297">
        <v>24</v>
      </c>
      <c r="Z48" s="297">
        <v>5</v>
      </c>
      <c r="AA48" s="297">
        <v>5</v>
      </c>
      <c r="AB48" s="297">
        <v>5</v>
      </c>
      <c r="AC48" s="296"/>
      <c r="AD48" s="297">
        <v>1</v>
      </c>
      <c r="AE48" s="297">
        <v>1</v>
      </c>
      <c r="AF48" s="296"/>
      <c r="AG48" s="297">
        <v>1</v>
      </c>
      <c r="AH48" s="297">
        <v>1</v>
      </c>
      <c r="AI48" s="297">
        <v>1</v>
      </c>
      <c r="AJ48" s="296"/>
      <c r="AK48" s="297">
        <v>1</v>
      </c>
      <c r="AL48" s="296"/>
      <c r="AM48" s="296"/>
      <c r="AN48" s="296"/>
      <c r="AO48" s="296"/>
      <c r="AP48" s="296"/>
      <c r="AQ48" s="296"/>
      <c r="AR48" s="296"/>
      <c r="AS48" s="296"/>
      <c r="AT48" s="297">
        <v>1</v>
      </c>
      <c r="AU48" s="296"/>
      <c r="AV48" s="296"/>
      <c r="AW48" s="297">
        <v>1</v>
      </c>
      <c r="AX48" s="296"/>
      <c r="AY48" s="296"/>
      <c r="AZ48" s="296"/>
      <c r="BA48" s="297">
        <v>1</v>
      </c>
      <c r="BB48" s="296"/>
      <c r="BC48" s="296"/>
      <c r="BD48" s="296"/>
      <c r="BE48" s="296"/>
      <c r="BF48" s="296"/>
      <c r="BG48" s="296"/>
      <c r="BH48" s="296"/>
      <c r="BI48" s="296"/>
      <c r="BJ48" s="296"/>
      <c r="BK48" s="297">
        <v>1</v>
      </c>
      <c r="BL48" s="296"/>
      <c r="BM48" s="296"/>
      <c r="BN48" s="296"/>
      <c r="BO48" s="296"/>
      <c r="BP48" s="296"/>
      <c r="BQ48" s="296"/>
      <c r="BR48" s="296"/>
      <c r="BS48" s="296"/>
      <c r="BT48" s="296"/>
      <c r="BU48" s="296"/>
      <c r="BV48" s="296"/>
      <c r="BW48" s="296"/>
      <c r="BX48" s="296"/>
      <c r="BY48" s="297">
        <v>1</v>
      </c>
      <c r="BZ48" s="296"/>
      <c r="CA48" s="296"/>
      <c r="CB48" s="297">
        <v>1</v>
      </c>
      <c r="CC48" s="296"/>
      <c r="CD48" s="296"/>
      <c r="CE48" s="297">
        <v>1</v>
      </c>
      <c r="CF48" s="296"/>
      <c r="CG48" s="296"/>
      <c r="CH48" s="296"/>
      <c r="CI48" s="296"/>
      <c r="CJ48" s="296"/>
      <c r="CK48" s="296"/>
      <c r="CL48" s="296"/>
      <c r="CM48" s="296"/>
      <c r="CN48" s="296"/>
      <c r="CO48" s="296"/>
      <c r="CP48" s="296"/>
      <c r="CQ48" s="296"/>
      <c r="CR48" s="297">
        <v>1</v>
      </c>
      <c r="CS48" s="296"/>
      <c r="CT48" s="298">
        <v>46661</v>
      </c>
    </row>
    <row r="49" spans="1:98" s="295" customFormat="1" ht="14.25" customHeight="1">
      <c r="A49" s="296" t="s">
        <v>8367</v>
      </c>
      <c r="B49" s="296" t="s">
        <v>8368</v>
      </c>
      <c r="C49" s="297">
        <v>32</v>
      </c>
      <c r="D49" s="296" t="s">
        <v>1552</v>
      </c>
      <c r="E49" s="296" t="s">
        <v>8369</v>
      </c>
      <c r="F49" s="296" t="s">
        <v>2484</v>
      </c>
      <c r="G49" s="296"/>
      <c r="H49" s="297">
        <v>1</v>
      </c>
      <c r="I49" s="296"/>
      <c r="J49" s="296"/>
      <c r="K49" s="296"/>
      <c r="L49" s="296"/>
      <c r="M49" s="297">
        <v>1</v>
      </c>
      <c r="N49" s="296"/>
      <c r="O49" s="296"/>
      <c r="P49" s="296"/>
      <c r="Q49" s="297">
        <v>1</v>
      </c>
      <c r="R49" s="296"/>
      <c r="S49" s="296"/>
      <c r="T49" s="297">
        <v>1</v>
      </c>
      <c r="U49" s="296"/>
      <c r="V49" s="296"/>
      <c r="W49" s="297">
        <v>14</v>
      </c>
      <c r="X49" s="297">
        <v>15</v>
      </c>
      <c r="Y49" s="297">
        <v>17</v>
      </c>
      <c r="Z49" s="297">
        <v>7</v>
      </c>
      <c r="AA49" s="297">
        <v>7</v>
      </c>
      <c r="AB49" s="297">
        <v>7</v>
      </c>
      <c r="AC49" s="296"/>
      <c r="AD49" s="296"/>
      <c r="AE49" s="296"/>
      <c r="AF49" s="296"/>
      <c r="AG49" s="296"/>
      <c r="AH49" s="297">
        <v>1</v>
      </c>
      <c r="AI49" s="296"/>
      <c r="AJ49" s="297">
        <v>1</v>
      </c>
      <c r="AK49" s="297">
        <v>1</v>
      </c>
      <c r="AL49" s="296"/>
      <c r="AM49" s="296"/>
      <c r="AN49" s="296"/>
      <c r="AO49" s="296"/>
      <c r="AP49" s="296"/>
      <c r="AQ49" s="296"/>
      <c r="AR49" s="296"/>
      <c r="AS49" s="296"/>
      <c r="AT49" s="297">
        <v>1</v>
      </c>
      <c r="AU49" s="296"/>
      <c r="AV49" s="296"/>
      <c r="AW49" s="296"/>
      <c r="AX49" s="297">
        <v>1</v>
      </c>
      <c r="AY49" s="296"/>
      <c r="AZ49" s="296"/>
      <c r="BA49" s="297">
        <v>1</v>
      </c>
      <c r="BB49" s="296"/>
      <c r="BC49" s="296"/>
      <c r="BD49" s="296"/>
      <c r="BE49" s="296"/>
      <c r="BF49" s="296"/>
      <c r="BG49" s="296"/>
      <c r="BH49" s="296"/>
      <c r="BI49" s="296"/>
      <c r="BJ49" s="296"/>
      <c r="BK49" s="297">
        <v>1</v>
      </c>
      <c r="BL49" s="296"/>
      <c r="BM49" s="296"/>
      <c r="BN49" s="296"/>
      <c r="BO49" s="296"/>
      <c r="BP49" s="296"/>
      <c r="BQ49" s="296"/>
      <c r="BR49" s="296"/>
      <c r="BS49" s="296"/>
      <c r="BT49" s="296"/>
      <c r="BU49" s="296"/>
      <c r="BV49" s="296"/>
      <c r="BW49" s="296"/>
      <c r="BX49" s="296"/>
      <c r="BY49" s="297">
        <v>1</v>
      </c>
      <c r="BZ49" s="296"/>
      <c r="CA49" s="296"/>
      <c r="CB49" s="297">
        <v>1</v>
      </c>
      <c r="CC49" s="296"/>
      <c r="CD49" s="296"/>
      <c r="CE49" s="297">
        <v>1</v>
      </c>
      <c r="CF49" s="296"/>
      <c r="CG49" s="296"/>
      <c r="CH49" s="296"/>
      <c r="CI49" s="296"/>
      <c r="CJ49" s="296"/>
      <c r="CK49" s="296"/>
      <c r="CL49" s="296"/>
      <c r="CM49" s="296"/>
      <c r="CN49" s="296"/>
      <c r="CO49" s="296"/>
      <c r="CP49" s="296"/>
      <c r="CQ49" s="296"/>
      <c r="CR49" s="297">
        <v>1</v>
      </c>
      <c r="CS49" s="296"/>
      <c r="CT49" s="298">
        <v>46661</v>
      </c>
    </row>
    <row r="50" spans="1:98" s="295" customFormat="1" ht="12.75" customHeight="1">
      <c r="A50" s="296" t="s">
        <v>8370</v>
      </c>
      <c r="B50" s="296" t="s">
        <v>8371</v>
      </c>
      <c r="C50" s="297">
        <v>30</v>
      </c>
      <c r="D50" s="296" t="s">
        <v>8234</v>
      </c>
      <c r="E50" s="296" t="s">
        <v>8372</v>
      </c>
      <c r="F50" s="296" t="s">
        <v>2506</v>
      </c>
      <c r="G50" s="296"/>
      <c r="H50" s="296"/>
      <c r="I50" s="297">
        <v>1</v>
      </c>
      <c r="J50" s="296"/>
      <c r="K50" s="296"/>
      <c r="L50" s="296"/>
      <c r="M50" s="297">
        <v>1</v>
      </c>
      <c r="N50" s="296"/>
      <c r="O50" s="296"/>
      <c r="P50" s="296"/>
      <c r="Q50" s="297">
        <v>1</v>
      </c>
      <c r="R50" s="296"/>
      <c r="S50" s="297">
        <v>1</v>
      </c>
      <c r="T50" s="296"/>
      <c r="U50" s="296"/>
      <c r="V50" s="296"/>
      <c r="W50" s="297">
        <v>16</v>
      </c>
      <c r="X50" s="297">
        <v>16</v>
      </c>
      <c r="Y50" s="297">
        <v>16</v>
      </c>
      <c r="Z50" s="297">
        <v>5</v>
      </c>
      <c r="AA50" s="297">
        <v>5</v>
      </c>
      <c r="AB50" s="297">
        <v>5</v>
      </c>
      <c r="AC50" s="296"/>
      <c r="AD50" s="296"/>
      <c r="AE50" s="296"/>
      <c r="AF50" s="296"/>
      <c r="AG50" s="297">
        <v>1</v>
      </c>
      <c r="AH50" s="297">
        <v>1</v>
      </c>
      <c r="AI50" s="296"/>
      <c r="AJ50" s="297">
        <v>1</v>
      </c>
      <c r="AK50" s="297">
        <v>1</v>
      </c>
      <c r="AL50" s="296"/>
      <c r="AM50" s="296"/>
      <c r="AN50" s="296"/>
      <c r="AO50" s="296"/>
      <c r="AP50" s="296"/>
      <c r="AQ50" s="296"/>
      <c r="AR50" s="296"/>
      <c r="AS50" s="296"/>
      <c r="AT50" s="297">
        <v>1</v>
      </c>
      <c r="AU50" s="296"/>
      <c r="AV50" s="296"/>
      <c r="AW50" s="297">
        <v>1</v>
      </c>
      <c r="AX50" s="296"/>
      <c r="AY50" s="296"/>
      <c r="AZ50" s="296"/>
      <c r="BA50" s="297">
        <v>1</v>
      </c>
      <c r="BB50" s="296"/>
      <c r="BC50" s="296"/>
      <c r="BD50" s="296"/>
      <c r="BE50" s="296"/>
      <c r="BF50" s="296"/>
      <c r="BG50" s="296"/>
      <c r="BH50" s="296"/>
      <c r="BI50" s="296"/>
      <c r="BJ50" s="296"/>
      <c r="BK50" s="297">
        <v>1</v>
      </c>
      <c r="BL50" s="296"/>
      <c r="BM50" s="296"/>
      <c r="BN50" s="296"/>
      <c r="BO50" s="296"/>
      <c r="BP50" s="296"/>
      <c r="BQ50" s="296"/>
      <c r="BR50" s="296"/>
      <c r="BS50" s="296"/>
      <c r="BT50" s="296"/>
      <c r="BU50" s="296"/>
      <c r="BV50" s="296"/>
      <c r="BW50" s="296"/>
      <c r="BX50" s="296"/>
      <c r="BY50" s="297">
        <v>1</v>
      </c>
      <c r="BZ50" s="296"/>
      <c r="CA50" s="296"/>
      <c r="CB50" s="297">
        <v>1</v>
      </c>
      <c r="CC50" s="296"/>
      <c r="CD50" s="296"/>
      <c r="CE50" s="297">
        <v>1</v>
      </c>
      <c r="CF50" s="296"/>
      <c r="CG50" s="296"/>
      <c r="CH50" s="296"/>
      <c r="CI50" s="296"/>
      <c r="CJ50" s="296"/>
      <c r="CK50" s="296"/>
      <c r="CL50" s="296"/>
      <c r="CM50" s="296"/>
      <c r="CN50" s="296"/>
      <c r="CO50" s="296"/>
      <c r="CP50" s="296"/>
      <c r="CQ50" s="296"/>
      <c r="CR50" s="297">
        <v>1</v>
      </c>
      <c r="CS50" s="296"/>
      <c r="CT50" s="298">
        <v>46661</v>
      </c>
    </row>
    <row r="51" spans="1:98" s="295" customFormat="1" ht="14.25" customHeight="1">
      <c r="A51" s="296" t="s">
        <v>8373</v>
      </c>
      <c r="B51" s="296" t="s">
        <v>8374</v>
      </c>
      <c r="C51" s="297">
        <v>22</v>
      </c>
      <c r="D51" s="296" t="s">
        <v>1552</v>
      </c>
      <c r="E51" s="296" t="s">
        <v>191</v>
      </c>
      <c r="F51" s="296" t="s">
        <v>127</v>
      </c>
      <c r="G51" s="296"/>
      <c r="H51" s="297">
        <v>1</v>
      </c>
      <c r="I51" s="296"/>
      <c r="J51" s="296"/>
      <c r="K51" s="296"/>
      <c r="L51" s="296"/>
      <c r="M51" s="297">
        <v>1</v>
      </c>
      <c r="N51" s="296"/>
      <c r="O51" s="296"/>
      <c r="P51" s="296"/>
      <c r="Q51" s="297">
        <v>1</v>
      </c>
      <c r="R51" s="296"/>
      <c r="S51" s="296"/>
      <c r="T51" s="297">
        <v>1</v>
      </c>
      <c r="U51" s="296"/>
      <c r="V51" s="296"/>
      <c r="W51" s="297">
        <v>15</v>
      </c>
      <c r="X51" s="297">
        <v>20</v>
      </c>
      <c r="Y51" s="297">
        <v>20</v>
      </c>
      <c r="Z51" s="297">
        <v>2</v>
      </c>
      <c r="AA51" s="297">
        <v>2</v>
      </c>
      <c r="AB51" s="297">
        <v>2</v>
      </c>
      <c r="AC51" s="296"/>
      <c r="AD51" s="297">
        <v>1</v>
      </c>
      <c r="AE51" s="297">
        <v>1</v>
      </c>
      <c r="AF51" s="296"/>
      <c r="AG51" s="296"/>
      <c r="AH51" s="297">
        <v>1</v>
      </c>
      <c r="AI51" s="296"/>
      <c r="AJ51" s="297">
        <v>1</v>
      </c>
      <c r="AK51" s="297">
        <v>1</v>
      </c>
      <c r="AL51" s="296"/>
      <c r="AM51" s="296"/>
      <c r="AN51" s="296"/>
      <c r="AO51" s="296"/>
      <c r="AP51" s="296"/>
      <c r="AQ51" s="296"/>
      <c r="AR51" s="296"/>
      <c r="AS51" s="296"/>
      <c r="AT51" s="297">
        <v>1</v>
      </c>
      <c r="AU51" s="296"/>
      <c r="AV51" s="296"/>
      <c r="AW51" s="297">
        <v>1</v>
      </c>
      <c r="AX51" s="296"/>
      <c r="AY51" s="296"/>
      <c r="AZ51" s="296"/>
      <c r="BA51" s="297">
        <v>1</v>
      </c>
      <c r="BB51" s="296"/>
      <c r="BC51" s="296"/>
      <c r="BD51" s="296"/>
      <c r="BE51" s="296"/>
      <c r="BF51" s="296"/>
      <c r="BG51" s="296"/>
      <c r="BH51" s="296"/>
      <c r="BI51" s="296"/>
      <c r="BJ51" s="296"/>
      <c r="BK51" s="297">
        <v>1</v>
      </c>
      <c r="BL51" s="296"/>
      <c r="BM51" s="296"/>
      <c r="BN51" s="296"/>
      <c r="BO51" s="296"/>
      <c r="BP51" s="296"/>
      <c r="BQ51" s="296"/>
      <c r="BR51" s="296"/>
      <c r="BS51" s="296"/>
      <c r="BT51" s="296"/>
      <c r="BU51" s="296"/>
      <c r="BV51" s="296"/>
      <c r="BW51" s="296"/>
      <c r="BX51" s="296"/>
      <c r="BY51" s="297">
        <v>1</v>
      </c>
      <c r="BZ51" s="296"/>
      <c r="CA51" s="296"/>
      <c r="CB51" s="297">
        <v>1</v>
      </c>
      <c r="CC51" s="296"/>
      <c r="CD51" s="296"/>
      <c r="CE51" s="297">
        <v>1</v>
      </c>
      <c r="CF51" s="296"/>
      <c r="CG51" s="296"/>
      <c r="CH51" s="296"/>
      <c r="CI51" s="296"/>
      <c r="CJ51" s="296"/>
      <c r="CK51" s="296"/>
      <c r="CL51" s="296"/>
      <c r="CM51" s="296"/>
      <c r="CN51" s="296"/>
      <c r="CO51" s="296"/>
      <c r="CP51" s="296"/>
      <c r="CQ51" s="296"/>
      <c r="CR51" s="297">
        <v>1</v>
      </c>
      <c r="CS51" s="296"/>
      <c r="CT51" s="298">
        <v>46661</v>
      </c>
    </row>
    <row r="52" spans="1:98" s="295" customFormat="1" ht="14.25" customHeight="1">
      <c r="A52" s="296" t="s">
        <v>8375</v>
      </c>
      <c r="B52" s="296" t="s">
        <v>8376</v>
      </c>
      <c r="C52" s="297">
        <v>35</v>
      </c>
      <c r="D52" s="296" t="s">
        <v>8377</v>
      </c>
      <c r="E52" s="296" t="s">
        <v>8378</v>
      </c>
      <c r="F52" s="296" t="s">
        <v>2484</v>
      </c>
      <c r="G52" s="296"/>
      <c r="H52" s="296"/>
      <c r="I52" s="296"/>
      <c r="J52" s="296"/>
      <c r="K52" s="297">
        <v>1</v>
      </c>
      <c r="L52" s="296"/>
      <c r="M52" s="297">
        <v>1</v>
      </c>
      <c r="N52" s="296"/>
      <c r="O52" s="296"/>
      <c r="P52" s="296"/>
      <c r="Q52" s="296"/>
      <c r="R52" s="297">
        <v>1</v>
      </c>
      <c r="S52" s="296"/>
      <c r="T52" s="297">
        <v>1</v>
      </c>
      <c r="U52" s="296"/>
      <c r="V52" s="296"/>
      <c r="W52" s="297">
        <v>14</v>
      </c>
      <c r="X52" s="297">
        <v>15</v>
      </c>
      <c r="Y52" s="297">
        <v>16</v>
      </c>
      <c r="Z52" s="297">
        <v>11</v>
      </c>
      <c r="AA52" s="297">
        <v>9</v>
      </c>
      <c r="AB52" s="297">
        <v>7</v>
      </c>
      <c r="AC52" s="297">
        <v>1</v>
      </c>
      <c r="AD52" s="296"/>
      <c r="AE52" s="296"/>
      <c r="AF52" s="296"/>
      <c r="AG52" s="296"/>
      <c r="AH52" s="296"/>
      <c r="AI52" s="296"/>
      <c r="AJ52" s="297">
        <v>1</v>
      </c>
      <c r="AK52" s="296"/>
      <c r="AL52" s="296"/>
      <c r="AM52" s="297">
        <v>1</v>
      </c>
      <c r="AN52" s="296"/>
      <c r="AO52" s="296"/>
      <c r="AP52" s="296"/>
      <c r="AQ52" s="296"/>
      <c r="AR52" s="296"/>
      <c r="AS52" s="296"/>
      <c r="AT52" s="297">
        <v>1</v>
      </c>
      <c r="AU52" s="296"/>
      <c r="AV52" s="296"/>
      <c r="AW52" s="297">
        <v>1</v>
      </c>
      <c r="AX52" s="296"/>
      <c r="AY52" s="296"/>
      <c r="AZ52" s="296"/>
      <c r="BA52" s="297">
        <v>1</v>
      </c>
      <c r="BB52" s="296"/>
      <c r="BC52" s="296"/>
      <c r="BD52" s="296"/>
      <c r="BE52" s="296"/>
      <c r="BF52" s="296"/>
      <c r="BG52" s="296"/>
      <c r="BH52" s="296"/>
      <c r="BI52" s="296"/>
      <c r="BJ52" s="296"/>
      <c r="BK52" s="297">
        <v>1</v>
      </c>
      <c r="BL52" s="296"/>
      <c r="BM52" s="296"/>
      <c r="BN52" s="296"/>
      <c r="BO52" s="296"/>
      <c r="BP52" s="296"/>
      <c r="BQ52" s="296"/>
      <c r="BR52" s="296"/>
      <c r="BS52" s="296"/>
      <c r="BT52" s="296"/>
      <c r="BU52" s="296"/>
      <c r="BV52" s="296"/>
      <c r="BW52" s="296"/>
      <c r="BX52" s="296"/>
      <c r="BY52" s="297">
        <v>1</v>
      </c>
      <c r="BZ52" s="296"/>
      <c r="CA52" s="296"/>
      <c r="CB52" s="297">
        <v>1</v>
      </c>
      <c r="CC52" s="296"/>
      <c r="CD52" s="296"/>
      <c r="CE52" s="297">
        <v>1</v>
      </c>
      <c r="CF52" s="296"/>
      <c r="CG52" s="296"/>
      <c r="CH52" s="296"/>
      <c r="CI52" s="296"/>
      <c r="CJ52" s="296"/>
      <c r="CK52" s="296"/>
      <c r="CL52" s="296"/>
      <c r="CM52" s="296"/>
      <c r="CN52" s="296"/>
      <c r="CO52" s="296"/>
      <c r="CP52" s="296"/>
      <c r="CQ52" s="296"/>
      <c r="CR52" s="297">
        <v>1</v>
      </c>
      <c r="CS52" s="296"/>
      <c r="CT52" s="298">
        <v>46661</v>
      </c>
    </row>
    <row r="53" spans="1:98" s="295" customFormat="1" ht="12.75" customHeight="1">
      <c r="A53" s="296" t="s">
        <v>8379</v>
      </c>
      <c r="B53" s="296" t="s">
        <v>8380</v>
      </c>
      <c r="C53" s="297">
        <v>37</v>
      </c>
      <c r="D53" s="296" t="s">
        <v>1552</v>
      </c>
      <c r="E53" s="296" t="s">
        <v>8381</v>
      </c>
      <c r="F53" s="296" t="s">
        <v>2484</v>
      </c>
      <c r="G53" s="296"/>
      <c r="H53" s="296"/>
      <c r="I53" s="296"/>
      <c r="J53" s="297">
        <v>1</v>
      </c>
      <c r="K53" s="296"/>
      <c r="L53" s="296"/>
      <c r="M53" s="297">
        <v>1</v>
      </c>
      <c r="N53" s="296"/>
      <c r="O53" s="296"/>
      <c r="P53" s="296"/>
      <c r="Q53" s="297">
        <v>1</v>
      </c>
      <c r="R53" s="296"/>
      <c r="S53" s="296"/>
      <c r="T53" s="296"/>
      <c r="U53" s="297">
        <v>1</v>
      </c>
      <c r="V53" s="296"/>
      <c r="W53" s="297">
        <v>13</v>
      </c>
      <c r="X53" s="297">
        <v>20</v>
      </c>
      <c r="Y53" s="297">
        <v>0</v>
      </c>
      <c r="Z53" s="297">
        <v>0</v>
      </c>
      <c r="AA53" s="297">
        <v>0</v>
      </c>
      <c r="AB53" s="297">
        <v>0</v>
      </c>
      <c r="AC53" s="296"/>
      <c r="AD53" s="296"/>
      <c r="AE53" s="297">
        <v>1</v>
      </c>
      <c r="AF53" s="296"/>
      <c r="AG53" s="296"/>
      <c r="AH53" s="297">
        <v>1</v>
      </c>
      <c r="AI53" s="296"/>
      <c r="AJ53" s="297">
        <v>1</v>
      </c>
      <c r="AK53" s="297">
        <v>1</v>
      </c>
      <c r="AL53" s="296"/>
      <c r="AM53" s="296"/>
      <c r="AN53" s="296"/>
      <c r="AO53" s="296"/>
      <c r="AP53" s="296"/>
      <c r="AQ53" s="296"/>
      <c r="AR53" s="296"/>
      <c r="AS53" s="296"/>
      <c r="AT53" s="297">
        <v>1</v>
      </c>
      <c r="AU53" s="296"/>
      <c r="AV53" s="296"/>
      <c r="AW53" s="297">
        <v>1</v>
      </c>
      <c r="AX53" s="296"/>
      <c r="AY53" s="296"/>
      <c r="AZ53" s="296"/>
      <c r="BA53" s="297">
        <v>1</v>
      </c>
      <c r="BB53" s="296"/>
      <c r="BC53" s="296"/>
      <c r="BD53" s="296"/>
      <c r="BE53" s="296"/>
      <c r="BF53" s="296"/>
      <c r="BG53" s="296"/>
      <c r="BH53" s="296"/>
      <c r="BI53" s="296"/>
      <c r="BJ53" s="296"/>
      <c r="BK53" s="297">
        <v>1</v>
      </c>
      <c r="BL53" s="296"/>
      <c r="BM53" s="296"/>
      <c r="BN53" s="296"/>
      <c r="BO53" s="296"/>
      <c r="BP53" s="296"/>
      <c r="BQ53" s="296"/>
      <c r="BR53" s="296"/>
      <c r="BS53" s="296"/>
      <c r="BT53" s="296"/>
      <c r="BU53" s="296"/>
      <c r="BV53" s="296"/>
      <c r="BW53" s="296"/>
      <c r="BX53" s="296"/>
      <c r="BY53" s="297">
        <v>1</v>
      </c>
      <c r="BZ53" s="296"/>
      <c r="CA53" s="296"/>
      <c r="CB53" s="297">
        <v>1</v>
      </c>
      <c r="CC53" s="296"/>
      <c r="CD53" s="296"/>
      <c r="CE53" s="297">
        <v>1</v>
      </c>
      <c r="CF53" s="296"/>
      <c r="CG53" s="296"/>
      <c r="CH53" s="296"/>
      <c r="CI53" s="296"/>
      <c r="CJ53" s="296"/>
      <c r="CK53" s="296"/>
      <c r="CL53" s="296"/>
      <c r="CM53" s="296"/>
      <c r="CN53" s="296"/>
      <c r="CO53" s="296"/>
      <c r="CP53" s="296"/>
      <c r="CQ53" s="296"/>
      <c r="CR53" s="297">
        <v>1</v>
      </c>
      <c r="CS53" s="296"/>
      <c r="CT53" s="298">
        <v>46661</v>
      </c>
    </row>
    <row r="54" spans="1:98" s="295" customFormat="1" ht="13.5" customHeight="1">
      <c r="A54" s="296" t="s">
        <v>8382</v>
      </c>
      <c r="B54" s="296" t="s">
        <v>8383</v>
      </c>
      <c r="C54" s="297">
        <v>42</v>
      </c>
      <c r="D54" s="296" t="s">
        <v>1552</v>
      </c>
      <c r="E54" s="296" t="s">
        <v>191</v>
      </c>
      <c r="F54" s="296" t="s">
        <v>2484</v>
      </c>
      <c r="G54" s="296"/>
      <c r="H54" s="297">
        <v>1</v>
      </c>
      <c r="I54" s="296"/>
      <c r="J54" s="296"/>
      <c r="K54" s="296"/>
      <c r="L54" s="296"/>
      <c r="M54" s="297">
        <v>1</v>
      </c>
      <c r="N54" s="296"/>
      <c r="O54" s="296"/>
      <c r="P54" s="296"/>
      <c r="Q54" s="296"/>
      <c r="R54" s="297">
        <v>1</v>
      </c>
      <c r="S54" s="296"/>
      <c r="T54" s="297">
        <v>1</v>
      </c>
      <c r="U54" s="296"/>
      <c r="V54" s="296"/>
      <c r="W54" s="297">
        <v>18</v>
      </c>
      <c r="X54" s="297">
        <v>20</v>
      </c>
      <c r="Y54" s="297">
        <v>22</v>
      </c>
      <c r="Z54" s="297">
        <v>12</v>
      </c>
      <c r="AA54" s="297">
        <v>12</v>
      </c>
      <c r="AB54" s="297">
        <v>8</v>
      </c>
      <c r="AC54" s="296"/>
      <c r="AD54" s="296"/>
      <c r="AE54" s="296"/>
      <c r="AF54" s="296"/>
      <c r="AG54" s="297">
        <v>1</v>
      </c>
      <c r="AH54" s="297">
        <v>1</v>
      </c>
      <c r="AI54" s="297">
        <v>1</v>
      </c>
      <c r="AJ54" s="296"/>
      <c r="AK54" s="296"/>
      <c r="AL54" s="296"/>
      <c r="AM54" s="297">
        <v>1</v>
      </c>
      <c r="AN54" s="296"/>
      <c r="AO54" s="296"/>
      <c r="AP54" s="296"/>
      <c r="AQ54" s="296"/>
      <c r="AR54" s="296"/>
      <c r="AS54" s="296"/>
      <c r="AT54" s="297">
        <v>1</v>
      </c>
      <c r="AU54" s="296"/>
      <c r="AV54" s="296"/>
      <c r="AW54" s="297">
        <v>1</v>
      </c>
      <c r="AX54" s="296"/>
      <c r="AY54" s="296"/>
      <c r="AZ54" s="296"/>
      <c r="BA54" s="297">
        <v>1</v>
      </c>
      <c r="BB54" s="296"/>
      <c r="BC54" s="296"/>
      <c r="BD54" s="296"/>
      <c r="BE54" s="296"/>
      <c r="BF54" s="296"/>
      <c r="BG54" s="296"/>
      <c r="BH54" s="296"/>
      <c r="BI54" s="296"/>
      <c r="BJ54" s="296"/>
      <c r="BK54" s="297">
        <v>1</v>
      </c>
      <c r="BL54" s="296"/>
      <c r="BM54" s="296"/>
      <c r="BN54" s="296"/>
      <c r="BO54" s="296"/>
      <c r="BP54" s="296"/>
      <c r="BQ54" s="296"/>
      <c r="BR54" s="296"/>
      <c r="BS54" s="296"/>
      <c r="BT54" s="296"/>
      <c r="BU54" s="296"/>
      <c r="BV54" s="296"/>
      <c r="BW54" s="296"/>
      <c r="BX54" s="296"/>
      <c r="BY54" s="297">
        <v>1</v>
      </c>
      <c r="BZ54" s="296"/>
      <c r="CA54" s="296"/>
      <c r="CB54" s="297">
        <v>1</v>
      </c>
      <c r="CC54" s="296"/>
      <c r="CD54" s="296"/>
      <c r="CE54" s="297">
        <v>1</v>
      </c>
      <c r="CF54" s="296"/>
      <c r="CG54" s="296"/>
      <c r="CH54" s="296"/>
      <c r="CI54" s="296"/>
      <c r="CJ54" s="296"/>
      <c r="CK54" s="296"/>
      <c r="CL54" s="296"/>
      <c r="CM54" s="296"/>
      <c r="CN54" s="296"/>
      <c r="CO54" s="296"/>
      <c r="CP54" s="296"/>
      <c r="CQ54" s="296"/>
      <c r="CR54" s="297">
        <v>1</v>
      </c>
      <c r="CS54" s="296"/>
      <c r="CT54" s="298">
        <v>46661</v>
      </c>
    </row>
    <row r="55" spans="1:98" s="295" customFormat="1" ht="15" customHeight="1">
      <c r="A55" s="296" t="s">
        <v>8384</v>
      </c>
      <c r="B55" s="296" t="s">
        <v>8385</v>
      </c>
      <c r="C55" s="297">
        <v>25</v>
      </c>
      <c r="D55" s="296" t="s">
        <v>8386</v>
      </c>
      <c r="E55" s="296" t="s">
        <v>8387</v>
      </c>
      <c r="F55" s="296" t="s">
        <v>2484</v>
      </c>
      <c r="G55" s="296"/>
      <c r="H55" s="297">
        <v>1</v>
      </c>
      <c r="I55" s="296"/>
      <c r="J55" s="296"/>
      <c r="K55" s="296"/>
      <c r="L55" s="296"/>
      <c r="M55" s="297">
        <v>1</v>
      </c>
      <c r="N55" s="296"/>
      <c r="O55" s="296"/>
      <c r="P55" s="296"/>
      <c r="Q55" s="297">
        <v>1</v>
      </c>
      <c r="R55" s="296"/>
      <c r="S55" s="296"/>
      <c r="T55" s="296"/>
      <c r="U55" s="297">
        <v>1</v>
      </c>
      <c r="V55" s="296"/>
      <c r="W55" s="297">
        <v>16</v>
      </c>
      <c r="X55" s="297">
        <v>17</v>
      </c>
      <c r="Y55" s="297">
        <v>21</v>
      </c>
      <c r="Z55" s="297">
        <v>3</v>
      </c>
      <c r="AA55" s="297">
        <v>1</v>
      </c>
      <c r="AB55" s="297">
        <v>1</v>
      </c>
      <c r="AC55" s="296"/>
      <c r="AD55" s="296"/>
      <c r="AE55" s="297">
        <v>1</v>
      </c>
      <c r="AF55" s="296"/>
      <c r="AG55" s="297">
        <v>1</v>
      </c>
      <c r="AH55" s="297">
        <v>1</v>
      </c>
      <c r="AI55" s="297">
        <v>1</v>
      </c>
      <c r="AJ55" s="296"/>
      <c r="AK55" s="297">
        <v>1</v>
      </c>
      <c r="AL55" s="296"/>
      <c r="AM55" s="296"/>
      <c r="AN55" s="296"/>
      <c r="AO55" s="296"/>
      <c r="AP55" s="296"/>
      <c r="AQ55" s="296"/>
      <c r="AR55" s="296"/>
      <c r="AS55" s="296"/>
      <c r="AT55" s="297">
        <v>1</v>
      </c>
      <c r="AU55" s="296"/>
      <c r="AV55" s="296"/>
      <c r="AW55" s="297">
        <v>1</v>
      </c>
      <c r="AX55" s="296"/>
      <c r="AY55" s="296"/>
      <c r="AZ55" s="296"/>
      <c r="BA55" s="297">
        <v>1</v>
      </c>
      <c r="BB55" s="296"/>
      <c r="BC55" s="296"/>
      <c r="BD55" s="296"/>
      <c r="BE55" s="296"/>
      <c r="BF55" s="296"/>
      <c r="BG55" s="296"/>
      <c r="BH55" s="296"/>
      <c r="BI55" s="296"/>
      <c r="BJ55" s="296"/>
      <c r="BK55" s="297">
        <v>1</v>
      </c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7">
        <v>1</v>
      </c>
      <c r="BZ55" s="296"/>
      <c r="CA55" s="296"/>
      <c r="CB55" s="297">
        <v>1</v>
      </c>
      <c r="CC55" s="296"/>
      <c r="CD55" s="296"/>
      <c r="CE55" s="297">
        <v>1</v>
      </c>
      <c r="CF55" s="296"/>
      <c r="CG55" s="296"/>
      <c r="CH55" s="296"/>
      <c r="CI55" s="296"/>
      <c r="CJ55" s="296"/>
      <c r="CK55" s="296"/>
      <c r="CL55" s="296"/>
      <c r="CM55" s="296"/>
      <c r="CN55" s="296"/>
      <c r="CO55" s="296"/>
      <c r="CP55" s="296"/>
      <c r="CQ55" s="296"/>
      <c r="CR55" s="297">
        <v>1</v>
      </c>
      <c r="CS55" s="296"/>
      <c r="CT55" s="298">
        <v>46661</v>
      </c>
    </row>
    <row r="56" spans="1:98" s="295" customFormat="1" ht="12.75" customHeight="1">
      <c r="A56" s="296" t="s">
        <v>8388</v>
      </c>
      <c r="B56" s="296" t="s">
        <v>8389</v>
      </c>
      <c r="C56" s="297">
        <v>45</v>
      </c>
      <c r="D56" s="296" t="s">
        <v>8313</v>
      </c>
      <c r="E56" s="296" t="s">
        <v>8390</v>
      </c>
      <c r="F56" s="296" t="s">
        <v>127</v>
      </c>
      <c r="G56" s="296"/>
      <c r="H56" s="297">
        <v>1</v>
      </c>
      <c r="I56" s="296"/>
      <c r="J56" s="296"/>
      <c r="K56" s="296"/>
      <c r="L56" s="296"/>
      <c r="M56" s="297">
        <v>1</v>
      </c>
      <c r="N56" s="296"/>
      <c r="O56" s="296"/>
      <c r="P56" s="296"/>
      <c r="Q56" s="296"/>
      <c r="R56" s="297">
        <v>1</v>
      </c>
      <c r="S56" s="296"/>
      <c r="T56" s="297">
        <v>1</v>
      </c>
      <c r="U56" s="296"/>
      <c r="V56" s="296"/>
      <c r="W56" s="297">
        <v>17</v>
      </c>
      <c r="X56" s="297">
        <v>18</v>
      </c>
      <c r="Y56" s="297">
        <v>19</v>
      </c>
      <c r="Z56" s="297">
        <v>11</v>
      </c>
      <c r="AA56" s="297">
        <v>10</v>
      </c>
      <c r="AB56" s="297">
        <v>8</v>
      </c>
      <c r="AC56" s="296"/>
      <c r="AD56" s="296"/>
      <c r="AE56" s="296"/>
      <c r="AF56" s="296"/>
      <c r="AG56" s="296"/>
      <c r="AH56" s="297">
        <v>1</v>
      </c>
      <c r="AI56" s="296"/>
      <c r="AJ56" s="297">
        <v>1</v>
      </c>
      <c r="AK56" s="297">
        <v>1</v>
      </c>
      <c r="AL56" s="296"/>
      <c r="AM56" s="296"/>
      <c r="AN56" s="296"/>
      <c r="AO56" s="296"/>
      <c r="AP56" s="296"/>
      <c r="AQ56" s="296"/>
      <c r="AR56" s="296"/>
      <c r="AS56" s="296"/>
      <c r="AT56" s="297">
        <v>1</v>
      </c>
      <c r="AU56" s="296"/>
      <c r="AV56" s="296"/>
      <c r="AW56" s="297">
        <v>1</v>
      </c>
      <c r="AX56" s="296"/>
      <c r="AY56" s="296"/>
      <c r="AZ56" s="296"/>
      <c r="BA56" s="297">
        <v>1</v>
      </c>
      <c r="BB56" s="296"/>
      <c r="BC56" s="296"/>
      <c r="BD56" s="296"/>
      <c r="BE56" s="296"/>
      <c r="BF56" s="296"/>
      <c r="BG56" s="296"/>
      <c r="BH56" s="296"/>
      <c r="BI56" s="296"/>
      <c r="BJ56" s="296"/>
      <c r="BK56" s="297">
        <v>1</v>
      </c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7">
        <v>1</v>
      </c>
      <c r="BZ56" s="296"/>
      <c r="CA56" s="296"/>
      <c r="CB56" s="297">
        <v>1</v>
      </c>
      <c r="CC56" s="296"/>
      <c r="CD56" s="296"/>
      <c r="CE56" s="297">
        <v>1</v>
      </c>
      <c r="CF56" s="296"/>
      <c r="CG56" s="296"/>
      <c r="CH56" s="296"/>
      <c r="CI56" s="296"/>
      <c r="CJ56" s="296"/>
      <c r="CK56" s="296"/>
      <c r="CL56" s="296"/>
      <c r="CM56" s="296"/>
      <c r="CN56" s="296"/>
      <c r="CO56" s="296"/>
      <c r="CP56" s="296"/>
      <c r="CQ56" s="296"/>
      <c r="CR56" s="297">
        <v>1</v>
      </c>
      <c r="CS56" s="296"/>
      <c r="CT56" s="298">
        <v>46661</v>
      </c>
    </row>
    <row r="57" spans="1:98" s="295" customFormat="1" ht="12.75" customHeight="1">
      <c r="A57" s="296" t="s">
        <v>8391</v>
      </c>
      <c r="B57" s="296" t="s">
        <v>8392</v>
      </c>
      <c r="C57" s="297">
        <v>27</v>
      </c>
      <c r="D57" s="296" t="s">
        <v>1552</v>
      </c>
      <c r="E57" s="296" t="s">
        <v>8393</v>
      </c>
      <c r="F57" s="296" t="s">
        <v>2484</v>
      </c>
      <c r="G57" s="296"/>
      <c r="H57" s="296"/>
      <c r="I57" s="297">
        <v>1</v>
      </c>
      <c r="J57" s="296"/>
      <c r="K57" s="296"/>
      <c r="L57" s="296"/>
      <c r="M57" s="297">
        <v>1</v>
      </c>
      <c r="N57" s="296"/>
      <c r="O57" s="296"/>
      <c r="P57" s="296"/>
      <c r="Q57" s="296"/>
      <c r="R57" s="297">
        <v>1</v>
      </c>
      <c r="S57" s="296"/>
      <c r="T57" s="297">
        <v>1</v>
      </c>
      <c r="U57" s="296"/>
      <c r="V57" s="296"/>
      <c r="W57" s="297">
        <v>17</v>
      </c>
      <c r="X57" s="297">
        <v>18</v>
      </c>
      <c r="Y57" s="297">
        <v>19</v>
      </c>
      <c r="Z57" s="297">
        <v>4</v>
      </c>
      <c r="AA57" s="297">
        <v>4</v>
      </c>
      <c r="AB57" s="297">
        <v>4</v>
      </c>
      <c r="AC57" s="296"/>
      <c r="AD57" s="297">
        <v>1</v>
      </c>
      <c r="AE57" s="297">
        <v>1</v>
      </c>
      <c r="AF57" s="296"/>
      <c r="AG57" s="297">
        <v>1</v>
      </c>
      <c r="AH57" s="297">
        <v>1</v>
      </c>
      <c r="AI57" s="296"/>
      <c r="AJ57" s="297">
        <v>1</v>
      </c>
      <c r="AK57" s="297">
        <v>1</v>
      </c>
      <c r="AL57" s="296"/>
      <c r="AM57" s="296"/>
      <c r="AN57" s="296"/>
      <c r="AO57" s="296"/>
      <c r="AP57" s="296"/>
      <c r="AQ57" s="296"/>
      <c r="AR57" s="296"/>
      <c r="AS57" s="296"/>
      <c r="AT57" s="297">
        <v>1</v>
      </c>
      <c r="AU57" s="296"/>
      <c r="AV57" s="296"/>
      <c r="AW57" s="296"/>
      <c r="AX57" s="297">
        <v>1</v>
      </c>
      <c r="AY57" s="296"/>
      <c r="AZ57" s="296"/>
      <c r="BA57" s="297">
        <v>1</v>
      </c>
      <c r="BB57" s="296"/>
      <c r="BC57" s="296"/>
      <c r="BD57" s="296"/>
      <c r="BE57" s="296"/>
      <c r="BF57" s="296"/>
      <c r="BG57" s="296"/>
      <c r="BH57" s="296"/>
      <c r="BI57" s="296"/>
      <c r="BJ57" s="296"/>
      <c r="BK57" s="297">
        <v>1</v>
      </c>
      <c r="BL57" s="296"/>
      <c r="BM57" s="296"/>
      <c r="BN57" s="296"/>
      <c r="BO57" s="296"/>
      <c r="BP57" s="296"/>
      <c r="BQ57" s="296"/>
      <c r="BR57" s="296"/>
      <c r="BS57" s="296"/>
      <c r="BT57" s="296"/>
      <c r="BU57" s="296"/>
      <c r="BV57" s="296"/>
      <c r="BW57" s="296"/>
      <c r="BX57" s="296"/>
      <c r="BY57" s="297">
        <v>1</v>
      </c>
      <c r="BZ57" s="296"/>
      <c r="CA57" s="296"/>
      <c r="CB57" s="297">
        <v>1</v>
      </c>
      <c r="CC57" s="296"/>
      <c r="CD57" s="296"/>
      <c r="CE57" s="297">
        <v>1</v>
      </c>
      <c r="CF57" s="296"/>
      <c r="CG57" s="296"/>
      <c r="CH57" s="296"/>
      <c r="CI57" s="296"/>
      <c r="CJ57" s="296"/>
      <c r="CK57" s="296"/>
      <c r="CL57" s="296"/>
      <c r="CM57" s="296"/>
      <c r="CN57" s="296"/>
      <c r="CO57" s="296"/>
      <c r="CP57" s="296"/>
      <c r="CQ57" s="296"/>
      <c r="CR57" s="297">
        <v>1</v>
      </c>
      <c r="CS57" s="296"/>
      <c r="CT57" s="298">
        <v>46661</v>
      </c>
    </row>
    <row r="58" spans="1:98" s="295" customFormat="1" ht="14.25" customHeight="1">
      <c r="A58" s="296" t="s">
        <v>8394</v>
      </c>
      <c r="B58" s="296" t="s">
        <v>8395</v>
      </c>
      <c r="C58" s="297">
        <v>43</v>
      </c>
      <c r="D58" s="296" t="s">
        <v>1552</v>
      </c>
      <c r="E58" s="296" t="s">
        <v>8396</v>
      </c>
      <c r="F58" s="296" t="s">
        <v>2484</v>
      </c>
      <c r="G58" s="296"/>
      <c r="H58" s="297">
        <v>1</v>
      </c>
      <c r="I58" s="296"/>
      <c r="J58" s="296"/>
      <c r="K58" s="296"/>
      <c r="L58" s="296"/>
      <c r="M58" s="297">
        <v>1</v>
      </c>
      <c r="N58" s="296"/>
      <c r="O58" s="296"/>
      <c r="P58" s="296"/>
      <c r="Q58" s="296"/>
      <c r="R58" s="297">
        <v>1</v>
      </c>
      <c r="S58" s="296"/>
      <c r="T58" s="296"/>
      <c r="U58" s="297">
        <v>1</v>
      </c>
      <c r="V58" s="296"/>
      <c r="W58" s="297">
        <v>16</v>
      </c>
      <c r="X58" s="297">
        <v>20</v>
      </c>
      <c r="Y58" s="297">
        <v>36</v>
      </c>
      <c r="Z58" s="297">
        <v>4</v>
      </c>
      <c r="AA58" s="297">
        <v>5</v>
      </c>
      <c r="AB58" s="297">
        <v>5</v>
      </c>
      <c r="AC58" s="296"/>
      <c r="AD58" s="297">
        <v>1</v>
      </c>
      <c r="AE58" s="296"/>
      <c r="AF58" s="296"/>
      <c r="AG58" s="297">
        <v>1</v>
      </c>
      <c r="AH58" s="297">
        <v>1</v>
      </c>
      <c r="AI58" s="296"/>
      <c r="AJ58" s="297">
        <v>1</v>
      </c>
      <c r="AK58" s="297">
        <v>1</v>
      </c>
      <c r="AL58" s="296"/>
      <c r="AM58" s="296"/>
      <c r="AN58" s="296"/>
      <c r="AO58" s="296"/>
      <c r="AP58" s="296"/>
      <c r="AQ58" s="296"/>
      <c r="AR58" s="296"/>
      <c r="AS58" s="296"/>
      <c r="AT58" s="297">
        <v>1</v>
      </c>
      <c r="AU58" s="296"/>
      <c r="AV58" s="296"/>
      <c r="AW58" s="296"/>
      <c r="AX58" s="297">
        <v>1</v>
      </c>
      <c r="AY58" s="296"/>
      <c r="AZ58" s="296"/>
      <c r="BA58" s="297">
        <v>1</v>
      </c>
      <c r="BB58" s="296"/>
      <c r="BC58" s="296"/>
      <c r="BD58" s="296"/>
      <c r="BE58" s="296"/>
      <c r="BF58" s="296"/>
      <c r="BG58" s="296"/>
      <c r="BH58" s="296"/>
      <c r="BI58" s="296"/>
      <c r="BJ58" s="296"/>
      <c r="BK58" s="297">
        <v>1</v>
      </c>
      <c r="BL58" s="296"/>
      <c r="BM58" s="296"/>
      <c r="BN58" s="296"/>
      <c r="BO58" s="296"/>
      <c r="BP58" s="296"/>
      <c r="BQ58" s="296"/>
      <c r="BR58" s="296"/>
      <c r="BS58" s="296"/>
      <c r="BT58" s="296"/>
      <c r="BU58" s="296"/>
      <c r="BV58" s="296"/>
      <c r="BW58" s="296"/>
      <c r="BX58" s="296"/>
      <c r="BY58" s="297">
        <v>1</v>
      </c>
      <c r="BZ58" s="296"/>
      <c r="CA58" s="296"/>
      <c r="CB58" s="297">
        <v>1</v>
      </c>
      <c r="CC58" s="296"/>
      <c r="CD58" s="296"/>
      <c r="CE58" s="297">
        <v>1</v>
      </c>
      <c r="CF58" s="296"/>
      <c r="CG58" s="296"/>
      <c r="CH58" s="296"/>
      <c r="CI58" s="296"/>
      <c r="CJ58" s="296"/>
      <c r="CK58" s="296"/>
      <c r="CL58" s="296"/>
      <c r="CM58" s="296"/>
      <c r="CN58" s="296"/>
      <c r="CO58" s="296"/>
      <c r="CP58" s="296"/>
      <c r="CQ58" s="296"/>
      <c r="CR58" s="297">
        <v>1</v>
      </c>
      <c r="CS58" s="296"/>
      <c r="CT58" s="298">
        <v>46661</v>
      </c>
    </row>
    <row r="59" spans="1:98" s="295" customFormat="1">
      <c r="A59" s="296" t="s">
        <v>8397</v>
      </c>
      <c r="B59" s="296" t="s">
        <v>8398</v>
      </c>
      <c r="C59" s="297">
        <v>23</v>
      </c>
      <c r="D59" s="296" t="s">
        <v>8305</v>
      </c>
      <c r="E59" s="296" t="s">
        <v>191</v>
      </c>
      <c r="F59" s="296" t="s">
        <v>4494</v>
      </c>
      <c r="G59" s="297">
        <v>1</v>
      </c>
      <c r="H59" s="296"/>
      <c r="I59" s="296"/>
      <c r="J59" s="296"/>
      <c r="K59" s="296"/>
      <c r="L59" s="296"/>
      <c r="M59" s="297">
        <v>1</v>
      </c>
      <c r="N59" s="296"/>
      <c r="O59" s="296"/>
      <c r="P59" s="296"/>
      <c r="Q59" s="297">
        <v>1</v>
      </c>
      <c r="R59" s="296"/>
      <c r="S59" s="296"/>
      <c r="T59" s="297">
        <v>1</v>
      </c>
      <c r="U59" s="296"/>
      <c r="V59" s="296"/>
      <c r="W59" s="297">
        <v>13</v>
      </c>
      <c r="X59" s="297">
        <v>20</v>
      </c>
      <c r="Y59" s="297">
        <v>23</v>
      </c>
      <c r="Z59" s="297">
        <v>1</v>
      </c>
      <c r="AA59" s="297">
        <v>1</v>
      </c>
      <c r="AB59" s="297">
        <v>1</v>
      </c>
      <c r="AC59" s="297">
        <v>1</v>
      </c>
      <c r="AD59" s="296"/>
      <c r="AE59" s="296"/>
      <c r="AF59" s="296"/>
      <c r="AG59" s="296"/>
      <c r="AH59" s="296"/>
      <c r="AI59" s="297">
        <v>1</v>
      </c>
      <c r="AJ59" s="296"/>
      <c r="AK59" s="297">
        <v>1</v>
      </c>
      <c r="AL59" s="296"/>
      <c r="AM59" s="296"/>
      <c r="AN59" s="296"/>
      <c r="AO59" s="296"/>
      <c r="AP59" s="296"/>
      <c r="AQ59" s="296"/>
      <c r="AR59" s="296"/>
      <c r="AS59" s="296"/>
      <c r="AT59" s="297">
        <v>1</v>
      </c>
      <c r="AU59" s="296"/>
      <c r="AV59" s="296"/>
      <c r="AW59" s="297">
        <v>1</v>
      </c>
      <c r="AX59" s="296"/>
      <c r="AY59" s="296"/>
      <c r="AZ59" s="296"/>
      <c r="BA59" s="297">
        <v>1</v>
      </c>
      <c r="BB59" s="296"/>
      <c r="BC59" s="296"/>
      <c r="BD59" s="296"/>
      <c r="BE59" s="296"/>
      <c r="BF59" s="296"/>
      <c r="BG59" s="296"/>
      <c r="BH59" s="296"/>
      <c r="BI59" s="296"/>
      <c r="BJ59" s="296"/>
      <c r="BK59" s="297">
        <v>1</v>
      </c>
      <c r="BL59" s="296"/>
      <c r="BM59" s="296"/>
      <c r="BN59" s="296"/>
      <c r="BO59" s="296"/>
      <c r="BP59" s="296"/>
      <c r="BQ59" s="296"/>
      <c r="BR59" s="296"/>
      <c r="BS59" s="296"/>
      <c r="BT59" s="296"/>
      <c r="BU59" s="296"/>
      <c r="BV59" s="296"/>
      <c r="BW59" s="296"/>
      <c r="BX59" s="296"/>
      <c r="BY59" s="297">
        <v>1</v>
      </c>
      <c r="BZ59" s="296"/>
      <c r="CA59" s="296"/>
      <c r="CB59" s="297">
        <v>1</v>
      </c>
      <c r="CC59" s="296"/>
      <c r="CD59" s="296"/>
      <c r="CE59" s="297">
        <v>1</v>
      </c>
      <c r="CF59" s="296"/>
      <c r="CG59" s="296"/>
      <c r="CH59" s="296"/>
      <c r="CI59" s="296"/>
      <c r="CJ59" s="296"/>
      <c r="CK59" s="296"/>
      <c r="CL59" s="296"/>
      <c r="CM59" s="296"/>
      <c r="CN59" s="296"/>
      <c r="CO59" s="296"/>
      <c r="CP59" s="296"/>
      <c r="CQ59" s="296"/>
      <c r="CR59" s="297">
        <v>1</v>
      </c>
      <c r="CS59" s="296"/>
      <c r="CT59" s="298">
        <v>46661</v>
      </c>
    </row>
    <row r="60" spans="1:98" s="295" customFormat="1" ht="12.75" customHeight="1">
      <c r="A60" s="296" t="s">
        <v>8399</v>
      </c>
      <c r="B60" s="296" t="s">
        <v>8400</v>
      </c>
      <c r="C60" s="297">
        <v>42</v>
      </c>
      <c r="D60" s="296" t="s">
        <v>8241</v>
      </c>
      <c r="E60" s="296" t="s">
        <v>191</v>
      </c>
      <c r="F60" s="296" t="s">
        <v>2484</v>
      </c>
      <c r="G60" s="296"/>
      <c r="H60" s="297">
        <v>1</v>
      </c>
      <c r="I60" s="296"/>
      <c r="J60" s="296"/>
      <c r="K60" s="296"/>
      <c r="L60" s="296"/>
      <c r="M60" s="296"/>
      <c r="N60" s="296"/>
      <c r="O60" s="297">
        <v>1</v>
      </c>
      <c r="P60" s="296"/>
      <c r="Q60" s="297">
        <v>1</v>
      </c>
      <c r="R60" s="296"/>
      <c r="S60" s="296"/>
      <c r="T60" s="297">
        <v>1</v>
      </c>
      <c r="U60" s="296"/>
      <c r="V60" s="296"/>
      <c r="W60" s="297">
        <v>15</v>
      </c>
      <c r="X60" s="297">
        <v>16</v>
      </c>
      <c r="Y60" s="297">
        <v>17</v>
      </c>
      <c r="Z60" s="297">
        <v>8</v>
      </c>
      <c r="AA60" s="297">
        <v>8</v>
      </c>
      <c r="AB60" s="297">
        <v>6</v>
      </c>
      <c r="AC60" s="296"/>
      <c r="AD60" s="296"/>
      <c r="AE60" s="297">
        <v>1</v>
      </c>
      <c r="AF60" s="296"/>
      <c r="AG60" s="297">
        <v>1</v>
      </c>
      <c r="AH60" s="297">
        <v>1</v>
      </c>
      <c r="AI60" s="296"/>
      <c r="AJ60" s="297">
        <v>1</v>
      </c>
      <c r="AK60" s="297">
        <v>1</v>
      </c>
      <c r="AL60" s="296"/>
      <c r="AM60" s="296"/>
      <c r="AN60" s="296"/>
      <c r="AO60" s="296"/>
      <c r="AP60" s="296"/>
      <c r="AQ60" s="296"/>
      <c r="AR60" s="296"/>
      <c r="AS60" s="296"/>
      <c r="AT60" s="297">
        <v>1</v>
      </c>
      <c r="AU60" s="296"/>
      <c r="AV60" s="296"/>
      <c r="AW60" s="296"/>
      <c r="AX60" s="297">
        <v>1</v>
      </c>
      <c r="AY60" s="296"/>
      <c r="AZ60" s="296"/>
      <c r="BA60" s="297">
        <v>1</v>
      </c>
      <c r="BB60" s="296"/>
      <c r="BC60" s="296"/>
      <c r="BD60" s="296"/>
      <c r="BE60" s="296"/>
      <c r="BF60" s="296"/>
      <c r="BG60" s="296"/>
      <c r="BH60" s="296"/>
      <c r="BI60" s="296"/>
      <c r="BJ60" s="296"/>
      <c r="BK60" s="297">
        <v>1</v>
      </c>
      <c r="BL60" s="296"/>
      <c r="BM60" s="296"/>
      <c r="BN60" s="296"/>
      <c r="BO60" s="296"/>
      <c r="BP60" s="296"/>
      <c r="BQ60" s="296"/>
      <c r="BR60" s="296"/>
      <c r="BS60" s="296"/>
      <c r="BT60" s="296"/>
      <c r="BU60" s="296"/>
      <c r="BV60" s="296"/>
      <c r="BW60" s="296"/>
      <c r="BX60" s="296"/>
      <c r="BY60" s="297">
        <v>1</v>
      </c>
      <c r="BZ60" s="296"/>
      <c r="CA60" s="296"/>
      <c r="CB60" s="297">
        <v>1</v>
      </c>
      <c r="CC60" s="296"/>
      <c r="CD60" s="296"/>
      <c r="CE60" s="297">
        <v>1</v>
      </c>
      <c r="CF60" s="296"/>
      <c r="CG60" s="296"/>
      <c r="CH60" s="296"/>
      <c r="CI60" s="296"/>
      <c r="CJ60" s="296"/>
      <c r="CK60" s="296"/>
      <c r="CL60" s="296"/>
      <c r="CM60" s="296"/>
      <c r="CN60" s="296"/>
      <c r="CO60" s="296"/>
      <c r="CP60" s="296"/>
      <c r="CQ60" s="296"/>
      <c r="CR60" s="297">
        <v>1</v>
      </c>
      <c r="CS60" s="296"/>
      <c r="CT60" s="298">
        <v>46661</v>
      </c>
    </row>
    <row r="61" spans="1:98" s="295" customFormat="1"/>
    <row r="62" spans="1:98" s="295" customFormat="1"/>
    <row r="63" spans="1:98" s="295" customFormat="1"/>
    <row r="64" spans="1:98" s="295" customFormat="1"/>
    <row r="65" s="295" customFormat="1"/>
  </sheetData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M1" workbookViewId="0">
      <selection activeCell="AI9" sqref="AI9"/>
    </sheetView>
  </sheetViews>
  <sheetFormatPr defaultRowHeight="15"/>
  <cols>
    <col min="1" max="1" width="11.85546875" customWidth="1"/>
  </cols>
  <sheetData>
    <row r="1" spans="1:33" ht="30.75" thickBot="1">
      <c r="A1" s="551" t="s">
        <v>351</v>
      </c>
      <c r="B1" s="553" t="s">
        <v>352</v>
      </c>
      <c r="C1" s="554"/>
      <c r="D1" s="554"/>
      <c r="E1" s="555"/>
      <c r="F1" s="543" t="s">
        <v>353</v>
      </c>
      <c r="G1" s="544"/>
      <c r="H1" s="545"/>
      <c r="I1" s="284"/>
      <c r="J1" s="284"/>
      <c r="K1" s="543" t="s">
        <v>354</v>
      </c>
      <c r="L1" s="544"/>
      <c r="M1" s="544"/>
      <c r="N1" s="544"/>
      <c r="O1" s="544"/>
      <c r="P1" s="545"/>
      <c r="Q1" s="543" t="s">
        <v>355</v>
      </c>
      <c r="R1" s="544"/>
      <c r="S1" s="544"/>
      <c r="T1" s="545"/>
      <c r="U1" s="543" t="s">
        <v>356</v>
      </c>
      <c r="V1" s="544"/>
      <c r="W1" s="544"/>
      <c r="X1" s="544"/>
      <c r="Y1" s="544"/>
      <c r="Z1" s="545"/>
      <c r="AA1" s="543" t="s">
        <v>357</v>
      </c>
      <c r="AB1" s="544"/>
      <c r="AC1" s="544"/>
      <c r="AD1" s="544"/>
      <c r="AE1" s="545"/>
      <c r="AF1" s="299" t="s">
        <v>356</v>
      </c>
      <c r="AG1" s="284"/>
    </row>
    <row r="2" spans="1:33" ht="30.75" thickBot="1">
      <c r="A2" s="552"/>
      <c r="B2" s="300" t="s">
        <v>358</v>
      </c>
      <c r="C2" s="300" t="s">
        <v>359</v>
      </c>
      <c r="D2" s="300" t="s">
        <v>360</v>
      </c>
      <c r="E2" s="300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01" t="s">
        <v>365</v>
      </c>
      <c r="AG2" s="305" t="s">
        <v>3430</v>
      </c>
    </row>
    <row r="3" spans="1:33" ht="15.75" thickBot="1">
      <c r="A3" s="306" t="s">
        <v>1169</v>
      </c>
      <c r="B3" s="289">
        <v>0</v>
      </c>
      <c r="C3" s="289">
        <v>0</v>
      </c>
      <c r="D3" s="289">
        <v>0</v>
      </c>
      <c r="E3" s="307">
        <f>(SUM(B3:D3))</f>
        <v>0</v>
      </c>
      <c r="F3" s="289"/>
      <c r="G3" s="289"/>
      <c r="H3" s="289"/>
      <c r="I3" s="289"/>
      <c r="J3" s="308">
        <v>0</v>
      </c>
      <c r="K3" s="289"/>
      <c r="L3" s="289"/>
      <c r="M3" s="289"/>
      <c r="N3" s="289"/>
      <c r="O3" s="289"/>
      <c r="P3" s="308">
        <v>0</v>
      </c>
      <c r="Q3" s="289"/>
      <c r="R3" s="289"/>
      <c r="S3" s="289"/>
      <c r="T3" s="308">
        <v>0</v>
      </c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311">
        <v>0</v>
      </c>
      <c r="AF3" s="289"/>
      <c r="AG3" s="289"/>
    </row>
    <row r="4" spans="1:33" ht="19.5" customHeight="1" thickBot="1">
      <c r="A4" s="306" t="s">
        <v>8401</v>
      </c>
      <c r="B4" s="307">
        <v>16</v>
      </c>
      <c r="C4" s="289">
        <v>0</v>
      </c>
      <c r="D4" s="307">
        <v>1</v>
      </c>
      <c r="E4" s="307">
        <f t="shared" ref="E4:E8" si="0">(SUM(B4:D4))</f>
        <v>17</v>
      </c>
      <c r="F4" s="309">
        <v>1</v>
      </c>
      <c r="G4" s="309">
        <v>11</v>
      </c>
      <c r="H4" s="289"/>
      <c r="I4" s="289"/>
      <c r="J4" s="308">
        <v>0</v>
      </c>
      <c r="K4" s="309">
        <v>2</v>
      </c>
      <c r="L4" s="289"/>
      <c r="M4" s="289"/>
      <c r="N4" s="289"/>
      <c r="O4" s="309">
        <v>3</v>
      </c>
      <c r="P4" s="308">
        <v>5</v>
      </c>
      <c r="Q4" s="309">
        <v>1</v>
      </c>
      <c r="R4" s="289"/>
      <c r="S4" s="309">
        <v>10</v>
      </c>
      <c r="T4" s="308">
        <v>11</v>
      </c>
      <c r="U4" s="289"/>
      <c r="V4" s="289"/>
      <c r="W4" s="289"/>
      <c r="X4" s="289"/>
      <c r="Y4" s="289"/>
      <c r="Z4" s="289"/>
      <c r="AA4" s="310">
        <v>12</v>
      </c>
      <c r="AB4" s="289"/>
      <c r="AC4" s="289"/>
      <c r="AD4" s="310">
        <v>5</v>
      </c>
      <c r="AE4" s="311">
        <v>17</v>
      </c>
      <c r="AF4" s="289"/>
      <c r="AG4" s="289"/>
    </row>
    <row r="5" spans="1:33" ht="23.25" customHeight="1" thickBot="1">
      <c r="A5" s="306" t="s">
        <v>372</v>
      </c>
      <c r="B5" s="307">
        <v>16</v>
      </c>
      <c r="C5" s="289">
        <v>0</v>
      </c>
      <c r="D5" s="307">
        <v>1</v>
      </c>
      <c r="E5" s="307">
        <f t="shared" si="0"/>
        <v>17</v>
      </c>
      <c r="F5" s="309">
        <v>1</v>
      </c>
      <c r="G5" s="309">
        <v>13</v>
      </c>
      <c r="H5" s="289"/>
      <c r="I5" s="289"/>
      <c r="J5" s="308">
        <v>14</v>
      </c>
      <c r="K5" s="289"/>
      <c r="L5" s="289"/>
      <c r="M5" s="289"/>
      <c r="N5" s="289"/>
      <c r="O5" s="309">
        <v>3</v>
      </c>
      <c r="P5" s="308">
        <v>3</v>
      </c>
      <c r="Q5" s="309">
        <v>1</v>
      </c>
      <c r="R5" s="289"/>
      <c r="S5" s="309">
        <v>11</v>
      </c>
      <c r="T5" s="308">
        <v>12</v>
      </c>
      <c r="U5" s="289"/>
      <c r="V5" s="289"/>
      <c r="W5" s="289"/>
      <c r="X5" s="289"/>
      <c r="Y5" s="289"/>
      <c r="Z5" s="289"/>
      <c r="AA5" s="310">
        <v>12</v>
      </c>
      <c r="AB5" s="289"/>
      <c r="AC5" s="289"/>
      <c r="AD5" s="310">
        <v>5</v>
      </c>
      <c r="AE5" s="311">
        <v>17</v>
      </c>
      <c r="AF5" s="289"/>
      <c r="AG5" s="289"/>
    </row>
    <row r="6" spans="1:33" ht="20.25" customHeight="1" thickBot="1">
      <c r="A6" s="306" t="s">
        <v>2601</v>
      </c>
      <c r="B6" s="307">
        <v>14</v>
      </c>
      <c r="C6" s="307">
        <v>2</v>
      </c>
      <c r="D6" s="307">
        <v>1</v>
      </c>
      <c r="E6" s="307">
        <f t="shared" si="0"/>
        <v>17</v>
      </c>
      <c r="F6" s="309">
        <v>1</v>
      </c>
      <c r="G6" s="309">
        <v>8</v>
      </c>
      <c r="H6" s="289"/>
      <c r="I6" s="289"/>
      <c r="J6" s="308">
        <v>9</v>
      </c>
      <c r="K6" s="309">
        <v>3</v>
      </c>
      <c r="L6" s="309">
        <v>1</v>
      </c>
      <c r="M6" s="289"/>
      <c r="N6" s="289"/>
      <c r="O6" s="309">
        <v>4</v>
      </c>
      <c r="P6" s="308">
        <v>8</v>
      </c>
      <c r="Q6" s="309">
        <v>1</v>
      </c>
      <c r="R6" s="289"/>
      <c r="S6" s="309">
        <v>9</v>
      </c>
      <c r="T6" s="308">
        <v>10</v>
      </c>
      <c r="U6" s="289"/>
      <c r="V6" s="289"/>
      <c r="W6" s="289"/>
      <c r="X6" s="289"/>
      <c r="Y6" s="289"/>
      <c r="Z6" s="289"/>
      <c r="AA6" s="310">
        <v>12</v>
      </c>
      <c r="AB6" s="289"/>
      <c r="AC6" s="289"/>
      <c r="AD6" s="310">
        <v>5</v>
      </c>
      <c r="AE6" s="311">
        <v>17</v>
      </c>
      <c r="AF6" s="289"/>
      <c r="AG6" s="289"/>
    </row>
    <row r="7" spans="1:33" ht="17.25" customHeight="1" thickBot="1">
      <c r="A7" s="312" t="s">
        <v>8402</v>
      </c>
      <c r="B7" s="307">
        <v>4</v>
      </c>
      <c r="C7" s="289">
        <v>0</v>
      </c>
      <c r="D7" s="307">
        <v>1</v>
      </c>
      <c r="E7" s="307">
        <f t="shared" si="0"/>
        <v>5</v>
      </c>
      <c r="F7" s="289"/>
      <c r="G7" s="289"/>
      <c r="H7" s="289"/>
      <c r="I7" s="289"/>
      <c r="J7" s="308">
        <v>0</v>
      </c>
      <c r="K7" s="313">
        <v>3</v>
      </c>
      <c r="L7" s="314"/>
      <c r="M7" s="314"/>
      <c r="N7" s="314"/>
      <c r="O7" s="313">
        <v>2</v>
      </c>
      <c r="P7" s="308">
        <v>5</v>
      </c>
      <c r="Q7" s="314"/>
      <c r="R7" s="314"/>
      <c r="S7" s="313">
        <v>1</v>
      </c>
      <c r="T7" s="308">
        <v>1</v>
      </c>
      <c r="U7" s="314"/>
      <c r="V7" s="314"/>
      <c r="W7" s="314"/>
      <c r="X7" s="314"/>
      <c r="Y7" s="314"/>
      <c r="Z7" s="314"/>
      <c r="AA7" s="310">
        <v>4</v>
      </c>
      <c r="AB7" s="289"/>
      <c r="AC7" s="289"/>
      <c r="AD7" s="310">
        <v>1</v>
      </c>
      <c r="AE7" s="311">
        <v>5</v>
      </c>
      <c r="AF7" s="289"/>
      <c r="AG7" s="289"/>
    </row>
    <row r="8" spans="1:33" ht="15.75" thickBot="1">
      <c r="A8" s="315" t="s">
        <v>556</v>
      </c>
      <c r="B8" s="289">
        <v>0</v>
      </c>
      <c r="C8" s="289">
        <v>0</v>
      </c>
      <c r="D8" s="307">
        <v>1</v>
      </c>
      <c r="E8" s="307">
        <f t="shared" si="0"/>
        <v>1</v>
      </c>
      <c r="F8" s="289"/>
      <c r="G8" s="289"/>
      <c r="H8" s="289"/>
      <c r="I8" s="289"/>
      <c r="J8" s="308">
        <v>0</v>
      </c>
      <c r="K8" s="314"/>
      <c r="L8" s="314"/>
      <c r="M8" s="314"/>
      <c r="N8" s="314"/>
      <c r="O8" s="313">
        <v>1</v>
      </c>
      <c r="P8" s="308">
        <v>1</v>
      </c>
      <c r="Q8" s="314"/>
      <c r="R8" s="314"/>
      <c r="S8" s="313">
        <v>1</v>
      </c>
      <c r="T8" s="308">
        <v>1</v>
      </c>
      <c r="U8" s="314"/>
      <c r="V8" s="314"/>
      <c r="W8" s="314"/>
      <c r="X8" s="314"/>
      <c r="Y8" s="314"/>
      <c r="Z8" s="314"/>
      <c r="AA8" s="310">
        <v>1</v>
      </c>
      <c r="AB8" s="289"/>
      <c r="AC8" s="289"/>
      <c r="AD8" s="289"/>
      <c r="AE8" s="311">
        <v>1</v>
      </c>
      <c r="AF8" s="289"/>
      <c r="AG8" s="289"/>
    </row>
    <row r="9" spans="1:33" ht="15.75" thickBot="1">
      <c r="A9" s="316" t="s">
        <v>376</v>
      </c>
      <c r="B9" s="307">
        <f>SUM(B3:B8)</f>
        <v>50</v>
      </c>
      <c r="C9" s="307">
        <f t="shared" ref="C9:E9" si="1">SUM(C3:C8)</f>
        <v>2</v>
      </c>
      <c r="D9" s="307">
        <f t="shared" si="1"/>
        <v>5</v>
      </c>
      <c r="E9" s="307">
        <f t="shared" si="1"/>
        <v>57</v>
      </c>
      <c r="F9" s="307">
        <v>3</v>
      </c>
      <c r="G9" s="307">
        <v>32</v>
      </c>
      <c r="H9" s="307">
        <v>0</v>
      </c>
      <c r="I9" s="307">
        <v>0</v>
      </c>
      <c r="J9" s="308">
        <v>35</v>
      </c>
      <c r="K9" s="313">
        <v>8</v>
      </c>
      <c r="L9" s="313">
        <v>1</v>
      </c>
      <c r="M9" s="313">
        <v>0</v>
      </c>
      <c r="N9" s="313">
        <v>0</v>
      </c>
      <c r="O9" s="313">
        <v>13</v>
      </c>
      <c r="P9" s="308">
        <v>22</v>
      </c>
      <c r="Q9" s="313">
        <v>3</v>
      </c>
      <c r="R9" s="313">
        <v>0</v>
      </c>
      <c r="S9" s="313">
        <v>32</v>
      </c>
      <c r="T9" s="308">
        <v>35</v>
      </c>
      <c r="U9" s="313">
        <v>0</v>
      </c>
      <c r="V9" s="313">
        <v>0</v>
      </c>
      <c r="W9" s="313">
        <v>0</v>
      </c>
      <c r="X9" s="313">
        <v>0</v>
      </c>
      <c r="Y9" s="313">
        <v>0</v>
      </c>
      <c r="Z9" s="313">
        <v>0</v>
      </c>
      <c r="AA9" s="310">
        <v>41</v>
      </c>
      <c r="AB9" s="310">
        <v>0</v>
      </c>
      <c r="AC9" s="310">
        <v>0</v>
      </c>
      <c r="AD9" s="310">
        <v>16</v>
      </c>
      <c r="AE9" s="311">
        <v>57</v>
      </c>
      <c r="AF9" s="310">
        <v>0</v>
      </c>
      <c r="AG9" s="310"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7"/>
  <sheetViews>
    <sheetView workbookViewId="0">
      <selection activeCell="A13" sqref="A13"/>
    </sheetView>
  </sheetViews>
  <sheetFormatPr defaultRowHeight="15"/>
  <cols>
    <col min="2" max="2" width="22" customWidth="1"/>
    <col min="3" max="3" width="7.5703125" customWidth="1"/>
    <col min="4" max="4" width="13.5703125" customWidth="1"/>
    <col min="5" max="5" width="21.28515625" customWidth="1"/>
  </cols>
  <sheetData>
    <row r="1" spans="1:98" s="327" customFormat="1">
      <c r="A1" s="324" t="s">
        <v>8403</v>
      </c>
      <c r="B1" s="325"/>
      <c r="C1" s="324" t="s">
        <v>1445</v>
      </c>
      <c r="D1" s="325"/>
      <c r="E1" s="325"/>
      <c r="F1" s="325"/>
      <c r="G1" s="561" t="s">
        <v>2</v>
      </c>
      <c r="H1" s="561"/>
      <c r="I1" s="561"/>
      <c r="J1" s="561"/>
      <c r="K1" s="561"/>
      <c r="L1" s="562" t="s">
        <v>3</v>
      </c>
      <c r="M1" s="562"/>
      <c r="N1" s="562"/>
      <c r="O1" s="562"/>
      <c r="P1" s="562"/>
      <c r="Q1" s="565"/>
      <c r="R1" s="565"/>
      <c r="S1" s="564" t="s">
        <v>5</v>
      </c>
      <c r="T1" s="564"/>
      <c r="U1" s="564"/>
      <c r="V1" s="564"/>
      <c r="W1" s="561" t="s">
        <v>6</v>
      </c>
      <c r="X1" s="561"/>
      <c r="Y1" s="561"/>
      <c r="Z1" s="561"/>
      <c r="AA1" s="561"/>
      <c r="AB1" s="561"/>
      <c r="AC1" s="564" t="s">
        <v>7</v>
      </c>
      <c r="AD1" s="564"/>
      <c r="AE1" s="564"/>
      <c r="AF1" s="564"/>
      <c r="AG1" s="564"/>
      <c r="AH1" s="564"/>
      <c r="AI1" s="563" t="s">
        <v>8</v>
      </c>
      <c r="AJ1" s="563"/>
      <c r="AK1" s="564" t="s">
        <v>9</v>
      </c>
      <c r="AL1" s="564"/>
      <c r="AM1" s="564"/>
      <c r="AN1" s="564" t="s">
        <v>10</v>
      </c>
      <c r="AO1" s="564"/>
      <c r="AP1" s="564"/>
      <c r="AQ1" s="564" t="s">
        <v>11</v>
      </c>
      <c r="AR1" s="564"/>
      <c r="AS1" s="564"/>
      <c r="AT1" s="563" t="s">
        <v>12</v>
      </c>
      <c r="AU1" s="563"/>
      <c r="AV1" s="562" t="s">
        <v>13</v>
      </c>
      <c r="AW1" s="562"/>
      <c r="AX1" s="562"/>
      <c r="AY1" s="562"/>
      <c r="AZ1" s="562"/>
      <c r="BA1" s="561" t="s">
        <v>8129</v>
      </c>
      <c r="BB1" s="561"/>
      <c r="BC1" s="561"/>
      <c r="BD1" s="564" t="s">
        <v>3542</v>
      </c>
      <c r="BE1" s="564"/>
      <c r="BF1" s="564"/>
      <c r="BG1" s="325"/>
      <c r="BH1" s="325"/>
      <c r="BI1" s="563" t="s">
        <v>16</v>
      </c>
      <c r="BJ1" s="563"/>
      <c r="BK1" s="563"/>
      <c r="BL1" s="563"/>
      <c r="BM1" s="563"/>
      <c r="BN1" s="563"/>
      <c r="BO1" s="563"/>
      <c r="BP1" s="564" t="s">
        <v>8130</v>
      </c>
      <c r="BQ1" s="564"/>
      <c r="BR1" s="564"/>
      <c r="BS1" s="562" t="s">
        <v>18</v>
      </c>
      <c r="BT1" s="562"/>
      <c r="BU1" s="325"/>
      <c r="BV1" s="325"/>
      <c r="BW1" s="563" t="s">
        <v>8131</v>
      </c>
      <c r="BX1" s="563"/>
      <c r="BY1" s="563"/>
      <c r="BZ1" s="563"/>
      <c r="CA1" s="563"/>
      <c r="CB1" s="326" t="s">
        <v>8132</v>
      </c>
      <c r="CC1" s="325"/>
      <c r="CD1" s="325"/>
      <c r="CE1" s="561" t="s">
        <v>8133</v>
      </c>
      <c r="CF1" s="561"/>
      <c r="CG1" s="561"/>
      <c r="CH1" s="562" t="s">
        <v>6832</v>
      </c>
      <c r="CI1" s="562"/>
      <c r="CJ1" s="325"/>
      <c r="CK1" s="563" t="s">
        <v>16</v>
      </c>
      <c r="CL1" s="563"/>
      <c r="CM1" s="563"/>
      <c r="CN1" s="563"/>
      <c r="CO1" s="564" t="s">
        <v>24</v>
      </c>
      <c r="CP1" s="564"/>
      <c r="CQ1" s="326" t="s">
        <v>25</v>
      </c>
      <c r="CR1" s="325"/>
      <c r="CS1" s="325"/>
      <c r="CT1" s="325"/>
    </row>
    <row r="2" spans="1:98" s="327" customFormat="1">
      <c r="A2" s="325"/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6" t="s">
        <v>15</v>
      </c>
      <c r="BH2" s="325"/>
      <c r="BI2" s="325" t="s">
        <v>5582</v>
      </c>
      <c r="BJ2" s="563" t="s">
        <v>78</v>
      </c>
      <c r="BK2" s="563"/>
      <c r="BL2" s="564" t="s">
        <v>354</v>
      </c>
      <c r="BM2" s="564"/>
      <c r="BN2" s="564"/>
      <c r="BO2" s="564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6" t="s">
        <v>893</v>
      </c>
      <c r="CT2" s="325"/>
    </row>
    <row r="3" spans="1:98" s="327" customFormat="1" ht="18.75" customHeight="1">
      <c r="A3" s="328" t="s">
        <v>28</v>
      </c>
      <c r="B3" s="328" t="s">
        <v>29</v>
      </c>
      <c r="C3" s="328" t="s">
        <v>30</v>
      </c>
      <c r="D3" s="328" t="s">
        <v>31</v>
      </c>
      <c r="E3" s="328" t="s">
        <v>32</v>
      </c>
      <c r="F3" s="328" t="s">
        <v>33</v>
      </c>
      <c r="G3" s="328" t="s">
        <v>34</v>
      </c>
      <c r="H3" s="328" t="s">
        <v>35</v>
      </c>
      <c r="I3" s="328" t="s">
        <v>36</v>
      </c>
      <c r="J3" s="328" t="s">
        <v>37</v>
      </c>
      <c r="K3" s="328" t="s">
        <v>38</v>
      </c>
      <c r="L3" s="328" t="s">
        <v>39</v>
      </c>
      <c r="M3" s="328" t="s">
        <v>40</v>
      </c>
      <c r="N3" s="328" t="s">
        <v>41</v>
      </c>
      <c r="O3" s="328" t="s">
        <v>42</v>
      </c>
      <c r="P3" s="328" t="s">
        <v>43</v>
      </c>
      <c r="Q3" s="328" t="s">
        <v>44</v>
      </c>
      <c r="R3" s="328" t="s">
        <v>45</v>
      </c>
      <c r="S3" s="328" t="s">
        <v>46</v>
      </c>
      <c r="T3" s="328" t="s">
        <v>47</v>
      </c>
      <c r="U3" s="328" t="s">
        <v>48</v>
      </c>
      <c r="V3" s="328" t="s">
        <v>49</v>
      </c>
      <c r="W3" s="328" t="s">
        <v>50</v>
      </c>
      <c r="X3" s="328" t="s">
        <v>51</v>
      </c>
      <c r="Y3" s="328" t="s">
        <v>52</v>
      </c>
      <c r="Z3" s="328" t="s">
        <v>53</v>
      </c>
      <c r="AA3" s="328" t="s">
        <v>54</v>
      </c>
      <c r="AB3" s="328" t="s">
        <v>55</v>
      </c>
      <c r="AC3" s="328" t="s">
        <v>56</v>
      </c>
      <c r="AD3" s="328" t="s">
        <v>57</v>
      </c>
      <c r="AE3" s="328" t="s">
        <v>58</v>
      </c>
      <c r="AF3" s="328" t="s">
        <v>59</v>
      </c>
      <c r="AG3" s="328" t="s">
        <v>60</v>
      </c>
      <c r="AH3" s="328" t="s">
        <v>61</v>
      </c>
      <c r="AI3" s="328" t="s">
        <v>62</v>
      </c>
      <c r="AJ3" s="328" t="s">
        <v>63</v>
      </c>
      <c r="AK3" s="328" t="s">
        <v>64</v>
      </c>
      <c r="AL3" s="328" t="s">
        <v>65</v>
      </c>
      <c r="AM3" s="328" t="s">
        <v>66</v>
      </c>
      <c r="AN3" s="328" t="s">
        <v>67</v>
      </c>
      <c r="AO3" s="328" t="s">
        <v>68</v>
      </c>
      <c r="AP3" s="328" t="s">
        <v>69</v>
      </c>
      <c r="AQ3" s="328" t="s">
        <v>70</v>
      </c>
      <c r="AR3" s="328" t="s">
        <v>71</v>
      </c>
      <c r="AS3" s="328" t="s">
        <v>72</v>
      </c>
      <c r="AT3" s="328" t="s">
        <v>56</v>
      </c>
      <c r="AU3" s="328" t="s">
        <v>73</v>
      </c>
      <c r="AV3" s="328" t="s">
        <v>46</v>
      </c>
      <c r="AW3" s="328" t="s">
        <v>895</v>
      </c>
      <c r="AX3" s="328" t="s">
        <v>75</v>
      </c>
      <c r="AY3" s="328" t="s">
        <v>76</v>
      </c>
      <c r="AZ3" s="328" t="s">
        <v>77</v>
      </c>
      <c r="BA3" s="328" t="s">
        <v>56</v>
      </c>
      <c r="BB3" s="328" t="s">
        <v>78</v>
      </c>
      <c r="BC3" s="328" t="s">
        <v>5582</v>
      </c>
      <c r="BD3" s="328" t="s">
        <v>79</v>
      </c>
      <c r="BE3" s="328" t="s">
        <v>80</v>
      </c>
      <c r="BF3" s="328" t="s">
        <v>38</v>
      </c>
      <c r="BG3" s="328" t="s">
        <v>81</v>
      </c>
      <c r="BH3" s="328" t="s">
        <v>82</v>
      </c>
      <c r="BI3" s="328" t="s">
        <v>83</v>
      </c>
      <c r="BJ3" s="328" t="s">
        <v>83</v>
      </c>
      <c r="BK3" s="328" t="s">
        <v>81</v>
      </c>
      <c r="BL3" s="328" t="s">
        <v>96</v>
      </c>
      <c r="BM3" s="328" t="s">
        <v>84</v>
      </c>
      <c r="BN3" s="328" t="s">
        <v>85</v>
      </c>
      <c r="BO3" s="328" t="s">
        <v>86</v>
      </c>
      <c r="BP3" s="328" t="s">
        <v>73</v>
      </c>
      <c r="BQ3" s="328" t="s">
        <v>87</v>
      </c>
      <c r="BR3" s="328" t="s">
        <v>56</v>
      </c>
      <c r="BS3" s="328" t="s">
        <v>83</v>
      </c>
      <c r="BT3" s="328" t="s">
        <v>88</v>
      </c>
      <c r="BU3" s="328" t="s">
        <v>89</v>
      </c>
      <c r="BV3" s="325"/>
      <c r="BW3" s="328" t="s">
        <v>90</v>
      </c>
      <c r="BX3" s="328" t="s">
        <v>91</v>
      </c>
      <c r="BY3" s="328" t="s">
        <v>92</v>
      </c>
      <c r="BZ3" s="328" t="s">
        <v>93</v>
      </c>
      <c r="CA3" s="328" t="s">
        <v>94</v>
      </c>
      <c r="CB3" s="328" t="s">
        <v>56</v>
      </c>
      <c r="CC3" s="328" t="s">
        <v>73</v>
      </c>
      <c r="CD3" s="328" t="s">
        <v>22</v>
      </c>
      <c r="CE3" s="328" t="s">
        <v>56</v>
      </c>
      <c r="CF3" s="328" t="s">
        <v>73</v>
      </c>
      <c r="CG3" s="328" t="s">
        <v>1275</v>
      </c>
      <c r="CH3" s="328" t="s">
        <v>83</v>
      </c>
      <c r="CI3" s="328" t="s">
        <v>88</v>
      </c>
      <c r="CJ3" s="328" t="s">
        <v>896</v>
      </c>
      <c r="CK3" s="328" t="s">
        <v>96</v>
      </c>
      <c r="CL3" s="328" t="s">
        <v>97</v>
      </c>
      <c r="CM3" s="328" t="s">
        <v>98</v>
      </c>
      <c r="CN3" s="328" t="s">
        <v>1276</v>
      </c>
      <c r="CO3" s="328" t="s">
        <v>73</v>
      </c>
      <c r="CP3" s="328" t="s">
        <v>56</v>
      </c>
      <c r="CQ3" s="328" t="s">
        <v>99</v>
      </c>
      <c r="CR3" s="328" t="s">
        <v>56</v>
      </c>
      <c r="CS3" s="325"/>
      <c r="CT3" s="328" t="s">
        <v>100</v>
      </c>
    </row>
    <row r="4" spans="1:98" s="295" customFormat="1" ht="13.5" customHeight="1">
      <c r="A4" s="296" t="s">
        <v>8404</v>
      </c>
      <c r="B4" s="296" t="s">
        <v>8405</v>
      </c>
      <c r="C4" s="297">
        <v>37</v>
      </c>
      <c r="D4" s="296" t="s">
        <v>3120</v>
      </c>
      <c r="E4" s="296" t="s">
        <v>8406</v>
      </c>
      <c r="F4" s="296" t="s">
        <v>1109</v>
      </c>
      <c r="G4" s="296"/>
      <c r="H4" s="296"/>
      <c r="I4" s="296"/>
      <c r="J4" s="297">
        <v>1</v>
      </c>
      <c r="K4" s="296"/>
      <c r="L4" s="296"/>
      <c r="M4" s="297">
        <v>1</v>
      </c>
      <c r="N4" s="296"/>
      <c r="O4" s="296"/>
      <c r="P4" s="296"/>
      <c r="Q4" s="297">
        <v>1</v>
      </c>
      <c r="R4" s="296"/>
      <c r="S4" s="296"/>
      <c r="T4" s="296"/>
      <c r="U4" s="296"/>
      <c r="V4" s="297">
        <v>1</v>
      </c>
      <c r="W4" s="297">
        <v>14</v>
      </c>
      <c r="X4" s="297">
        <v>22</v>
      </c>
      <c r="Y4" s="297">
        <v>0</v>
      </c>
      <c r="Z4" s="297">
        <v>5</v>
      </c>
      <c r="AA4" s="297">
        <v>4</v>
      </c>
      <c r="AB4" s="297">
        <v>3</v>
      </c>
      <c r="AC4" s="296"/>
      <c r="AD4" s="296"/>
      <c r="AE4" s="297">
        <v>1</v>
      </c>
      <c r="AF4" s="296"/>
      <c r="AG4" s="296"/>
      <c r="AH4" s="296"/>
      <c r="AI4" s="296"/>
      <c r="AJ4" s="297">
        <v>1</v>
      </c>
      <c r="AK4" s="297">
        <v>1</v>
      </c>
      <c r="AL4" s="296"/>
      <c r="AM4" s="296"/>
      <c r="AN4" s="296"/>
      <c r="AO4" s="296"/>
      <c r="AP4" s="296"/>
      <c r="AQ4" s="296"/>
      <c r="AR4" s="296"/>
      <c r="AS4" s="296"/>
      <c r="AT4" s="297">
        <v>1</v>
      </c>
      <c r="AU4" s="296"/>
      <c r="AV4" s="296"/>
      <c r="AW4" s="297">
        <v>1</v>
      </c>
      <c r="AX4" s="296"/>
      <c r="AY4" s="296"/>
      <c r="AZ4" s="296"/>
      <c r="BA4" s="297">
        <v>1</v>
      </c>
      <c r="BB4" s="296"/>
      <c r="BC4" s="296"/>
      <c r="BD4" s="296"/>
      <c r="BE4" s="296"/>
      <c r="BF4" s="296"/>
      <c r="BG4" s="296"/>
      <c r="BH4" s="296"/>
      <c r="BI4" s="296"/>
      <c r="BJ4" s="296"/>
      <c r="BK4" s="297">
        <v>1</v>
      </c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6"/>
      <c r="CB4" s="297">
        <v>1</v>
      </c>
      <c r="CC4" s="296"/>
      <c r="CD4" s="296"/>
      <c r="CE4" s="297">
        <v>1</v>
      </c>
      <c r="CF4" s="296"/>
      <c r="CG4" s="296"/>
      <c r="CH4" s="296"/>
      <c r="CI4" s="296"/>
      <c r="CJ4" s="296"/>
      <c r="CK4" s="297">
        <v>1</v>
      </c>
      <c r="CL4" s="296"/>
      <c r="CM4" s="296"/>
      <c r="CN4" s="296"/>
      <c r="CO4" s="296"/>
      <c r="CP4" s="296"/>
      <c r="CQ4" s="296"/>
      <c r="CR4" s="297">
        <v>1</v>
      </c>
      <c r="CS4" s="296"/>
      <c r="CT4" s="298">
        <v>46661</v>
      </c>
    </row>
    <row r="5" spans="1:98" s="295" customFormat="1">
      <c r="A5" s="296" t="s">
        <v>8407</v>
      </c>
      <c r="B5" s="296" t="s">
        <v>8408</v>
      </c>
      <c r="C5" s="297">
        <v>42</v>
      </c>
      <c r="D5" s="296" t="s">
        <v>1107</v>
      </c>
      <c r="E5" s="296" t="s">
        <v>8409</v>
      </c>
      <c r="F5" s="296" t="s">
        <v>2523</v>
      </c>
      <c r="G5" s="296"/>
      <c r="H5" s="296"/>
      <c r="I5" s="296"/>
      <c r="J5" s="296"/>
      <c r="K5" s="297">
        <v>1</v>
      </c>
      <c r="L5" s="296"/>
      <c r="M5" s="297">
        <v>1</v>
      </c>
      <c r="N5" s="296"/>
      <c r="O5" s="296"/>
      <c r="P5" s="296"/>
      <c r="Q5" s="296"/>
      <c r="R5" s="297">
        <v>1</v>
      </c>
      <c r="S5" s="296"/>
      <c r="T5" s="296"/>
      <c r="U5" s="297">
        <v>1</v>
      </c>
      <c r="V5" s="296"/>
      <c r="W5" s="297">
        <v>16</v>
      </c>
      <c r="X5" s="297">
        <v>20</v>
      </c>
      <c r="Y5" s="297">
        <v>28</v>
      </c>
      <c r="Z5" s="297">
        <v>4</v>
      </c>
      <c r="AA5" s="297">
        <v>3</v>
      </c>
      <c r="AB5" s="297">
        <v>3</v>
      </c>
      <c r="AC5" s="296"/>
      <c r="AD5" s="297">
        <v>1</v>
      </c>
      <c r="AE5" s="297">
        <v>1</v>
      </c>
      <c r="AF5" s="296"/>
      <c r="AG5" s="297">
        <v>1</v>
      </c>
      <c r="AH5" s="297">
        <v>1</v>
      </c>
      <c r="AI5" s="296"/>
      <c r="AJ5" s="297">
        <v>1</v>
      </c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7">
        <v>1</v>
      </c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7">
        <v>1</v>
      </c>
      <c r="CS5" s="296"/>
      <c r="CT5" s="298">
        <v>46661</v>
      </c>
    </row>
    <row r="6" spans="1:98" s="295" customFormat="1" ht="15" customHeight="1">
      <c r="A6" s="296" t="s">
        <v>8410</v>
      </c>
      <c r="B6" s="296" t="s">
        <v>8411</v>
      </c>
      <c r="C6" s="297">
        <v>39</v>
      </c>
      <c r="D6" s="296" t="s">
        <v>5438</v>
      </c>
      <c r="E6" s="296" t="s">
        <v>8412</v>
      </c>
      <c r="F6" s="296" t="s">
        <v>2472</v>
      </c>
      <c r="G6" s="296"/>
      <c r="H6" s="296"/>
      <c r="I6" s="297">
        <v>1</v>
      </c>
      <c r="J6" s="296"/>
      <c r="K6" s="296"/>
      <c r="L6" s="296"/>
      <c r="M6" s="297">
        <v>1</v>
      </c>
      <c r="N6" s="296"/>
      <c r="O6" s="296"/>
      <c r="P6" s="296"/>
      <c r="Q6" s="296"/>
      <c r="R6" s="297">
        <v>1</v>
      </c>
      <c r="S6" s="297">
        <v>1</v>
      </c>
      <c r="T6" s="296"/>
      <c r="U6" s="296"/>
      <c r="V6" s="296"/>
      <c r="W6" s="297">
        <v>15</v>
      </c>
      <c r="X6" s="297">
        <v>17</v>
      </c>
      <c r="Y6" s="297">
        <v>18</v>
      </c>
      <c r="Z6" s="297">
        <v>4</v>
      </c>
      <c r="AA6" s="297">
        <v>4</v>
      </c>
      <c r="AB6" s="297">
        <v>4</v>
      </c>
      <c r="AC6" s="297">
        <v>1</v>
      </c>
      <c r="AD6" s="296"/>
      <c r="AE6" s="296"/>
      <c r="AF6" s="296"/>
      <c r="AG6" s="296"/>
      <c r="AH6" s="296"/>
      <c r="AI6" s="296"/>
      <c r="AJ6" s="297">
        <v>1</v>
      </c>
      <c r="AK6" s="297">
        <v>1</v>
      </c>
      <c r="AL6" s="296"/>
      <c r="AM6" s="296"/>
      <c r="AN6" s="296"/>
      <c r="AO6" s="296"/>
      <c r="AP6" s="296"/>
      <c r="AQ6" s="296"/>
      <c r="AR6" s="296"/>
      <c r="AS6" s="296"/>
      <c r="AT6" s="297">
        <v>1</v>
      </c>
      <c r="AU6" s="296"/>
      <c r="AV6" s="296"/>
      <c r="AW6" s="297">
        <v>1</v>
      </c>
      <c r="AX6" s="296"/>
      <c r="AY6" s="296"/>
      <c r="AZ6" s="296"/>
      <c r="BA6" s="297">
        <v>1</v>
      </c>
      <c r="BB6" s="296"/>
      <c r="BC6" s="296"/>
      <c r="BD6" s="296"/>
      <c r="BE6" s="296"/>
      <c r="BF6" s="296"/>
      <c r="BG6" s="296"/>
      <c r="BH6" s="296"/>
      <c r="BI6" s="296"/>
      <c r="BJ6" s="297">
        <v>1</v>
      </c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7">
        <v>1</v>
      </c>
      <c r="BY6" s="297">
        <v>1</v>
      </c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7">
        <v>1</v>
      </c>
      <c r="CL6" s="296"/>
      <c r="CM6" s="296"/>
      <c r="CN6" s="296"/>
      <c r="CO6" s="296"/>
      <c r="CP6" s="296"/>
      <c r="CQ6" s="296"/>
      <c r="CR6" s="297">
        <v>1</v>
      </c>
      <c r="CS6" s="296"/>
      <c r="CT6" s="298">
        <v>45931</v>
      </c>
    </row>
    <row r="7" spans="1:98" s="295" customFormat="1">
      <c r="A7" s="296" t="s">
        <v>8413</v>
      </c>
      <c r="B7" s="296" t="s">
        <v>8414</v>
      </c>
      <c r="C7" s="297">
        <v>22</v>
      </c>
      <c r="D7" s="296" t="s">
        <v>1107</v>
      </c>
      <c r="E7" s="296" t="s">
        <v>8415</v>
      </c>
      <c r="F7" s="296" t="s">
        <v>2472</v>
      </c>
      <c r="G7" s="296"/>
      <c r="H7" s="296"/>
      <c r="I7" s="297">
        <v>1</v>
      </c>
      <c r="J7" s="296"/>
      <c r="K7" s="296"/>
      <c r="L7" s="296"/>
      <c r="M7" s="296"/>
      <c r="N7" s="297">
        <v>1</v>
      </c>
      <c r="O7" s="296"/>
      <c r="P7" s="296"/>
      <c r="Q7" s="297">
        <v>1</v>
      </c>
      <c r="R7" s="296"/>
      <c r="S7" s="296"/>
      <c r="T7" s="296"/>
      <c r="U7" s="296"/>
      <c r="V7" s="297">
        <v>1</v>
      </c>
      <c r="W7" s="297">
        <v>12</v>
      </c>
      <c r="X7" s="297">
        <v>20</v>
      </c>
      <c r="Y7" s="297">
        <v>0</v>
      </c>
      <c r="Z7" s="297">
        <v>0</v>
      </c>
      <c r="AA7" s="297">
        <v>0</v>
      </c>
      <c r="AB7" s="297">
        <v>1</v>
      </c>
      <c r="AC7" s="296"/>
      <c r="AD7" s="296"/>
      <c r="AE7" s="296"/>
      <c r="AF7" s="296"/>
      <c r="AG7" s="296"/>
      <c r="AH7" s="296"/>
      <c r="AI7" s="297">
        <v>1</v>
      </c>
      <c r="AJ7" s="296"/>
      <c r="AK7" s="297">
        <v>1</v>
      </c>
      <c r="AL7" s="296"/>
      <c r="AM7" s="296"/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7">
        <v>1</v>
      </c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7">
        <v>1</v>
      </c>
      <c r="CL7" s="296"/>
      <c r="CM7" s="296"/>
      <c r="CN7" s="296"/>
      <c r="CO7" s="296"/>
      <c r="CP7" s="296"/>
      <c r="CQ7" s="296"/>
      <c r="CR7" s="297">
        <v>1</v>
      </c>
      <c r="CS7" s="296"/>
      <c r="CT7" s="298">
        <v>46661</v>
      </c>
    </row>
    <row r="8" spans="1:98" s="295" customFormat="1" ht="17.25" customHeight="1">
      <c r="A8" s="296" t="s">
        <v>8416</v>
      </c>
      <c r="B8" s="296" t="s">
        <v>3507</v>
      </c>
      <c r="C8" s="297">
        <v>30</v>
      </c>
      <c r="D8" s="296" t="s">
        <v>8417</v>
      </c>
      <c r="E8" s="296" t="s">
        <v>8418</v>
      </c>
      <c r="F8" s="296" t="s">
        <v>2523</v>
      </c>
      <c r="G8" s="296"/>
      <c r="H8" s="297">
        <v>1</v>
      </c>
      <c r="I8" s="296"/>
      <c r="J8" s="296"/>
      <c r="K8" s="296"/>
      <c r="L8" s="296"/>
      <c r="M8" s="296"/>
      <c r="N8" s="297">
        <v>1</v>
      </c>
      <c r="O8" s="296"/>
      <c r="P8" s="296"/>
      <c r="Q8" s="297">
        <v>1</v>
      </c>
      <c r="R8" s="296"/>
      <c r="S8" s="296"/>
      <c r="T8" s="296"/>
      <c r="U8" s="297">
        <v>1</v>
      </c>
      <c r="V8" s="296"/>
      <c r="W8" s="297">
        <v>13</v>
      </c>
      <c r="X8" s="297">
        <v>24</v>
      </c>
      <c r="Y8" s="297">
        <v>0</v>
      </c>
      <c r="Z8" s="297">
        <v>0</v>
      </c>
      <c r="AA8" s="297">
        <v>0</v>
      </c>
      <c r="AB8" s="297">
        <v>0</v>
      </c>
      <c r="AC8" s="296"/>
      <c r="AD8" s="296"/>
      <c r="AE8" s="296"/>
      <c r="AF8" s="297">
        <v>1</v>
      </c>
      <c r="AG8" s="296"/>
      <c r="AH8" s="297">
        <v>1</v>
      </c>
      <c r="AI8" s="297">
        <v>1</v>
      </c>
      <c r="AJ8" s="296"/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6"/>
      <c r="BB8" s="297">
        <v>1</v>
      </c>
      <c r="BC8" s="296"/>
      <c r="BD8" s="296"/>
      <c r="BE8" s="296"/>
      <c r="BF8" s="296"/>
      <c r="BG8" s="297">
        <v>1</v>
      </c>
      <c r="BH8" s="296"/>
      <c r="BI8" s="296"/>
      <c r="BJ8" s="296"/>
      <c r="BK8" s="297">
        <v>1</v>
      </c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7">
        <v>1</v>
      </c>
      <c r="BZ8" s="296"/>
      <c r="CA8" s="296"/>
      <c r="CB8" s="297">
        <v>1</v>
      </c>
      <c r="CC8" s="296"/>
      <c r="CD8" s="296"/>
      <c r="CE8" s="297">
        <v>1</v>
      </c>
      <c r="CF8" s="296"/>
      <c r="CG8" s="296"/>
      <c r="CH8" s="296"/>
      <c r="CI8" s="296"/>
      <c r="CJ8" s="296"/>
      <c r="CK8" s="297">
        <v>1</v>
      </c>
      <c r="CL8" s="296"/>
      <c r="CM8" s="296"/>
      <c r="CN8" s="296"/>
      <c r="CO8" s="296"/>
      <c r="CP8" s="296"/>
      <c r="CQ8" s="296"/>
      <c r="CR8" s="297">
        <v>1</v>
      </c>
      <c r="CS8" s="296"/>
      <c r="CT8" s="298">
        <v>46661</v>
      </c>
    </row>
    <row r="9" spans="1:98" s="295" customFormat="1" ht="16.5" customHeight="1">
      <c r="A9" s="296" t="s">
        <v>8419</v>
      </c>
      <c r="B9" s="296" t="s">
        <v>8420</v>
      </c>
      <c r="C9" s="297">
        <v>44</v>
      </c>
      <c r="D9" s="296" t="s">
        <v>8417</v>
      </c>
      <c r="E9" s="296" t="s">
        <v>8421</v>
      </c>
      <c r="F9" s="296" t="s">
        <v>2874</v>
      </c>
      <c r="G9" s="296"/>
      <c r="H9" s="296"/>
      <c r="I9" s="296"/>
      <c r="J9" s="297">
        <v>1</v>
      </c>
      <c r="K9" s="296"/>
      <c r="L9" s="296"/>
      <c r="M9" s="296"/>
      <c r="N9" s="296"/>
      <c r="O9" s="297">
        <v>1</v>
      </c>
      <c r="P9" s="296"/>
      <c r="Q9" s="297">
        <v>1</v>
      </c>
      <c r="R9" s="296"/>
      <c r="S9" s="296"/>
      <c r="T9" s="296"/>
      <c r="U9" s="296"/>
      <c r="V9" s="297">
        <v>1</v>
      </c>
      <c r="W9" s="297">
        <v>13</v>
      </c>
      <c r="X9" s="297">
        <v>19</v>
      </c>
      <c r="Y9" s="297">
        <v>27</v>
      </c>
      <c r="Z9" s="297">
        <v>2</v>
      </c>
      <c r="AA9" s="297">
        <v>2</v>
      </c>
      <c r="AB9" s="297">
        <v>2</v>
      </c>
      <c r="AC9" s="297">
        <v>1</v>
      </c>
      <c r="AD9" s="296"/>
      <c r="AE9" s="296"/>
      <c r="AF9" s="296"/>
      <c r="AG9" s="296"/>
      <c r="AH9" s="296"/>
      <c r="AI9" s="296"/>
      <c r="AJ9" s="297">
        <v>1</v>
      </c>
      <c r="AK9" s="297">
        <v>1</v>
      </c>
      <c r="AL9" s="296"/>
      <c r="AM9" s="296"/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6"/>
      <c r="AX9" s="297">
        <v>1</v>
      </c>
      <c r="AY9" s="296"/>
      <c r="AZ9" s="296"/>
      <c r="BA9" s="297">
        <v>1</v>
      </c>
      <c r="BB9" s="296"/>
      <c r="BC9" s="296"/>
      <c r="BD9" s="296"/>
      <c r="BE9" s="296"/>
      <c r="BF9" s="296"/>
      <c r="BG9" s="296"/>
      <c r="BH9" s="296"/>
      <c r="BI9" s="296"/>
      <c r="BJ9" s="296"/>
      <c r="BK9" s="297">
        <v>1</v>
      </c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7">
        <v>1</v>
      </c>
      <c r="CC9" s="296"/>
      <c r="CD9" s="296"/>
      <c r="CE9" s="297">
        <v>1</v>
      </c>
      <c r="CF9" s="296"/>
      <c r="CG9" s="296"/>
      <c r="CH9" s="296"/>
      <c r="CI9" s="296"/>
      <c r="CJ9" s="296"/>
      <c r="CK9" s="297">
        <v>1</v>
      </c>
      <c r="CL9" s="296"/>
      <c r="CM9" s="296"/>
      <c r="CN9" s="296"/>
      <c r="CO9" s="296"/>
      <c r="CP9" s="296"/>
      <c r="CQ9" s="296"/>
      <c r="CR9" s="297">
        <v>1</v>
      </c>
      <c r="CS9" s="296"/>
      <c r="CT9" s="298">
        <v>46661</v>
      </c>
    </row>
    <row r="10" spans="1:98" s="295" customFormat="1">
      <c r="A10" s="296" t="s">
        <v>8422</v>
      </c>
      <c r="B10" s="296" t="s">
        <v>8423</v>
      </c>
      <c r="C10" s="297">
        <v>28</v>
      </c>
      <c r="D10" s="296" t="s">
        <v>8424</v>
      </c>
      <c r="E10" s="296" t="s">
        <v>8425</v>
      </c>
      <c r="F10" s="296" t="s">
        <v>2472</v>
      </c>
      <c r="G10" s="296"/>
      <c r="H10" s="297">
        <v>1</v>
      </c>
      <c r="I10" s="296"/>
      <c r="J10" s="296"/>
      <c r="K10" s="296"/>
      <c r="L10" s="296"/>
      <c r="M10" s="296"/>
      <c r="N10" s="297">
        <v>1</v>
      </c>
      <c r="O10" s="296"/>
      <c r="P10" s="296"/>
      <c r="Q10" s="297">
        <v>1</v>
      </c>
      <c r="R10" s="296"/>
      <c r="S10" s="296"/>
      <c r="T10" s="296"/>
      <c r="U10" s="297">
        <v>1</v>
      </c>
      <c r="V10" s="296"/>
      <c r="W10" s="297">
        <v>16</v>
      </c>
      <c r="X10" s="297">
        <v>22</v>
      </c>
      <c r="Y10" s="297">
        <v>0</v>
      </c>
      <c r="Z10" s="297">
        <v>0</v>
      </c>
      <c r="AA10" s="297">
        <v>0</v>
      </c>
      <c r="AB10" s="297">
        <v>0</v>
      </c>
      <c r="AC10" s="296"/>
      <c r="AD10" s="296"/>
      <c r="AE10" s="297">
        <v>1</v>
      </c>
      <c r="AF10" s="296"/>
      <c r="AG10" s="296"/>
      <c r="AH10" s="296"/>
      <c r="AI10" s="297">
        <v>1</v>
      </c>
      <c r="AJ10" s="296"/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7">
        <v>1</v>
      </c>
      <c r="AX10" s="296"/>
      <c r="AY10" s="296"/>
      <c r="AZ10" s="296"/>
      <c r="BA10" s="296"/>
      <c r="BB10" s="297">
        <v>1</v>
      </c>
      <c r="BC10" s="296"/>
      <c r="BD10" s="296"/>
      <c r="BE10" s="296"/>
      <c r="BF10" s="296"/>
      <c r="BG10" s="296"/>
      <c r="BH10" s="297">
        <v>1</v>
      </c>
      <c r="BI10" s="296"/>
      <c r="BJ10" s="296"/>
      <c r="BK10" s="297">
        <v>1</v>
      </c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7">
        <v>1</v>
      </c>
      <c r="CL10" s="296"/>
      <c r="CM10" s="296"/>
      <c r="CN10" s="296"/>
      <c r="CO10" s="296"/>
      <c r="CP10" s="296"/>
      <c r="CQ10" s="296"/>
      <c r="CR10" s="297">
        <v>1</v>
      </c>
      <c r="CS10" s="296"/>
      <c r="CT10" s="298">
        <v>46661</v>
      </c>
    </row>
    <row r="11" spans="1:98" s="295" customFormat="1" ht="15.75" customHeight="1">
      <c r="A11" s="296" t="s">
        <v>8426</v>
      </c>
      <c r="B11" s="296" t="s">
        <v>8427</v>
      </c>
      <c r="C11" s="297">
        <v>27</v>
      </c>
      <c r="D11" s="296" t="s">
        <v>8428</v>
      </c>
      <c r="E11" s="296" t="s">
        <v>8429</v>
      </c>
      <c r="F11" s="296" t="s">
        <v>7694</v>
      </c>
      <c r="G11" s="296"/>
      <c r="H11" s="296"/>
      <c r="I11" s="297">
        <v>1</v>
      </c>
      <c r="J11" s="296"/>
      <c r="K11" s="296"/>
      <c r="L11" s="297">
        <v>1</v>
      </c>
      <c r="M11" s="296"/>
      <c r="N11" s="296"/>
      <c r="O11" s="296"/>
      <c r="P11" s="296"/>
      <c r="Q11" s="297">
        <v>1</v>
      </c>
      <c r="R11" s="296"/>
      <c r="S11" s="296"/>
      <c r="T11" s="296"/>
      <c r="U11" s="296"/>
      <c r="V11" s="297">
        <v>1</v>
      </c>
      <c r="W11" s="297">
        <v>13</v>
      </c>
      <c r="X11" s="297">
        <v>28</v>
      </c>
      <c r="Y11" s="297">
        <v>0</v>
      </c>
      <c r="Z11" s="297">
        <v>0</v>
      </c>
      <c r="AA11" s="297">
        <v>0</v>
      </c>
      <c r="AB11" s="297">
        <v>0</v>
      </c>
      <c r="AC11" s="297">
        <v>1</v>
      </c>
      <c r="AD11" s="296"/>
      <c r="AE11" s="296"/>
      <c r="AF11" s="296"/>
      <c r="AG11" s="296"/>
      <c r="AH11" s="296"/>
      <c r="AI11" s="297">
        <v>1</v>
      </c>
      <c r="AJ11" s="296"/>
      <c r="AK11" s="296"/>
      <c r="AL11" s="296"/>
      <c r="AM11" s="297">
        <v>1</v>
      </c>
      <c r="AN11" s="296"/>
      <c r="AO11" s="296"/>
      <c r="AP11" s="296"/>
      <c r="AQ11" s="296"/>
      <c r="AR11" s="296"/>
      <c r="AS11" s="296"/>
      <c r="AT11" s="297">
        <v>1</v>
      </c>
      <c r="AU11" s="296"/>
      <c r="AV11" s="296"/>
      <c r="AW11" s="297">
        <v>1</v>
      </c>
      <c r="AX11" s="296"/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7">
        <v>1</v>
      </c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7">
        <v>1</v>
      </c>
      <c r="CS11" s="296"/>
      <c r="CT11" s="298">
        <v>46661</v>
      </c>
    </row>
    <row r="12" spans="1:98" s="295" customFormat="1" ht="14.25" customHeight="1">
      <c r="A12" s="296" t="s">
        <v>8430</v>
      </c>
      <c r="B12" s="296" t="s">
        <v>8431</v>
      </c>
      <c r="C12" s="297">
        <v>30</v>
      </c>
      <c r="D12" s="296" t="s">
        <v>8432</v>
      </c>
      <c r="E12" s="296" t="s">
        <v>8433</v>
      </c>
      <c r="F12" s="296" t="s">
        <v>7694</v>
      </c>
      <c r="G12" s="297">
        <v>1</v>
      </c>
      <c r="H12" s="296"/>
      <c r="I12" s="296"/>
      <c r="J12" s="296"/>
      <c r="K12" s="296"/>
      <c r="L12" s="297">
        <v>1</v>
      </c>
      <c r="M12" s="296"/>
      <c r="N12" s="296"/>
      <c r="O12" s="296"/>
      <c r="P12" s="296"/>
      <c r="Q12" s="297">
        <v>1</v>
      </c>
      <c r="R12" s="296"/>
      <c r="S12" s="296"/>
      <c r="T12" s="296"/>
      <c r="U12" s="296"/>
      <c r="V12" s="297">
        <v>1</v>
      </c>
      <c r="W12" s="297">
        <v>16</v>
      </c>
      <c r="X12" s="297">
        <v>18</v>
      </c>
      <c r="Y12" s="297">
        <v>0</v>
      </c>
      <c r="Z12" s="297">
        <v>0</v>
      </c>
      <c r="AA12" s="297">
        <v>0</v>
      </c>
      <c r="AB12" s="297">
        <v>0</v>
      </c>
      <c r="AC12" s="297">
        <v>1</v>
      </c>
      <c r="AD12" s="296"/>
      <c r="AE12" s="296"/>
      <c r="AF12" s="296"/>
      <c r="AG12" s="296"/>
      <c r="AH12" s="296"/>
      <c r="AI12" s="297">
        <v>1</v>
      </c>
      <c r="AJ12" s="296"/>
      <c r="AK12" s="297">
        <v>1</v>
      </c>
      <c r="AL12" s="296"/>
      <c r="AM12" s="296"/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6"/>
      <c r="BK12" s="297">
        <v>1</v>
      </c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7">
        <v>1</v>
      </c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7">
        <v>1</v>
      </c>
      <c r="CS12" s="296"/>
      <c r="CT12" s="298">
        <v>46661</v>
      </c>
    </row>
    <row r="13" spans="1:98" s="295" customFormat="1" ht="18" customHeight="1">
      <c r="A13" s="296" t="s">
        <v>8434</v>
      </c>
      <c r="B13" s="296" t="s">
        <v>8435</v>
      </c>
      <c r="C13" s="297">
        <v>54</v>
      </c>
      <c r="D13" s="296" t="s">
        <v>125</v>
      </c>
      <c r="E13" s="296" t="s">
        <v>8436</v>
      </c>
      <c r="F13" s="296" t="s">
        <v>7694</v>
      </c>
      <c r="G13" s="296"/>
      <c r="H13" s="296"/>
      <c r="I13" s="296"/>
      <c r="J13" s="297">
        <v>1</v>
      </c>
      <c r="K13" s="296"/>
      <c r="L13" s="296"/>
      <c r="M13" s="296"/>
      <c r="N13" s="296"/>
      <c r="O13" s="296"/>
      <c r="P13" s="297">
        <v>1</v>
      </c>
      <c r="Q13" s="297">
        <v>1</v>
      </c>
      <c r="R13" s="296"/>
      <c r="S13" s="297">
        <v>1</v>
      </c>
      <c r="T13" s="296"/>
      <c r="U13" s="296"/>
      <c r="V13" s="296"/>
      <c r="W13" s="297">
        <v>14</v>
      </c>
      <c r="X13" s="297">
        <v>14</v>
      </c>
      <c r="Y13" s="297">
        <v>14</v>
      </c>
      <c r="Z13" s="297">
        <v>8</v>
      </c>
      <c r="AA13" s="297">
        <v>8</v>
      </c>
      <c r="AB13" s="297">
        <v>7</v>
      </c>
      <c r="AC13" s="296"/>
      <c r="AD13" s="297">
        <v>1</v>
      </c>
      <c r="AE13" s="296"/>
      <c r="AF13" s="296"/>
      <c r="AG13" s="296"/>
      <c r="AH13" s="297">
        <v>1</v>
      </c>
      <c r="AI13" s="296"/>
      <c r="AJ13" s="297">
        <v>1</v>
      </c>
      <c r="AK13" s="296"/>
      <c r="AL13" s="296"/>
      <c r="AM13" s="297">
        <v>1</v>
      </c>
      <c r="AN13" s="296"/>
      <c r="AO13" s="296"/>
      <c r="AP13" s="296"/>
      <c r="AQ13" s="296"/>
      <c r="AR13" s="296"/>
      <c r="AS13" s="296"/>
      <c r="AT13" s="297">
        <v>1</v>
      </c>
      <c r="AU13" s="296"/>
      <c r="AV13" s="296"/>
      <c r="AW13" s="297">
        <v>1</v>
      </c>
      <c r="AX13" s="296"/>
      <c r="AY13" s="296"/>
      <c r="AZ13" s="296"/>
      <c r="BA13" s="297">
        <v>1</v>
      </c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322" t="s">
        <v>8437</v>
      </c>
      <c r="BP13" s="296"/>
      <c r="BQ13" s="296"/>
      <c r="BR13" s="296"/>
      <c r="BS13" s="296"/>
      <c r="BT13" s="296"/>
      <c r="BU13" s="297">
        <v>1</v>
      </c>
      <c r="BV13" s="296" t="s">
        <v>952</v>
      </c>
      <c r="BW13" s="296"/>
      <c r="BX13" s="296"/>
      <c r="BY13" s="296"/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7">
        <v>1</v>
      </c>
      <c r="CS13" s="296"/>
      <c r="CT13" s="323">
        <v>45575</v>
      </c>
    </row>
    <row r="14" spans="1:98" s="295" customFormat="1" ht="18" customHeight="1">
      <c r="A14" s="296" t="s">
        <v>8438</v>
      </c>
      <c r="B14" s="296" t="s">
        <v>8439</v>
      </c>
      <c r="C14" s="297">
        <v>42</v>
      </c>
      <c r="D14" s="296" t="s">
        <v>1162</v>
      </c>
      <c r="E14" s="296" t="s">
        <v>8440</v>
      </c>
      <c r="F14" s="296" t="s">
        <v>2523</v>
      </c>
      <c r="G14" s="296"/>
      <c r="H14" s="296"/>
      <c r="I14" s="296"/>
      <c r="J14" s="297">
        <v>1</v>
      </c>
      <c r="K14" s="296"/>
      <c r="L14" s="296"/>
      <c r="M14" s="296"/>
      <c r="N14" s="297">
        <v>1</v>
      </c>
      <c r="O14" s="296"/>
      <c r="P14" s="296"/>
      <c r="Q14" s="297">
        <v>1</v>
      </c>
      <c r="R14" s="296"/>
      <c r="S14" s="296"/>
      <c r="T14" s="297">
        <v>1</v>
      </c>
      <c r="U14" s="296"/>
      <c r="V14" s="296"/>
      <c r="W14" s="297">
        <v>15</v>
      </c>
      <c r="X14" s="297">
        <v>22</v>
      </c>
      <c r="Y14" s="297">
        <v>22</v>
      </c>
      <c r="Z14" s="297">
        <v>4</v>
      </c>
      <c r="AA14" s="297">
        <v>4</v>
      </c>
      <c r="AB14" s="297">
        <v>3</v>
      </c>
      <c r="AC14" s="296"/>
      <c r="AD14" s="296"/>
      <c r="AE14" s="296"/>
      <c r="AF14" s="296"/>
      <c r="AG14" s="296"/>
      <c r="AH14" s="297">
        <v>1</v>
      </c>
      <c r="AI14" s="296"/>
      <c r="AJ14" s="297">
        <v>1</v>
      </c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7">
        <v>1</v>
      </c>
      <c r="AX14" s="296"/>
      <c r="AY14" s="296"/>
      <c r="AZ14" s="296"/>
      <c r="BA14" s="297">
        <v>1</v>
      </c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 t="s">
        <v>4435</v>
      </c>
      <c r="BP14" s="296"/>
      <c r="BQ14" s="296"/>
      <c r="BR14" s="296"/>
      <c r="BS14" s="296"/>
      <c r="BT14" s="296"/>
      <c r="BU14" s="296"/>
      <c r="BV14" s="296"/>
      <c r="BW14" s="296"/>
      <c r="BX14" s="296"/>
      <c r="BY14" s="297">
        <v>1</v>
      </c>
      <c r="BZ14" s="296"/>
      <c r="CA14" s="296"/>
      <c r="CB14" s="297">
        <v>1</v>
      </c>
      <c r="CC14" s="296"/>
      <c r="CD14" s="296"/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7">
        <v>1</v>
      </c>
      <c r="CS14" s="296"/>
      <c r="CT14" s="296" t="s">
        <v>2257</v>
      </c>
    </row>
    <row r="15" spans="1:98" s="295" customFormat="1">
      <c r="A15" s="296" t="s">
        <v>8441</v>
      </c>
      <c r="B15" s="296" t="s">
        <v>8442</v>
      </c>
      <c r="C15" s="297">
        <v>62</v>
      </c>
      <c r="D15" s="296" t="s">
        <v>8443</v>
      </c>
      <c r="E15" s="296" t="s">
        <v>8444</v>
      </c>
      <c r="F15" s="296" t="s">
        <v>2472</v>
      </c>
      <c r="G15" s="296"/>
      <c r="H15" s="296"/>
      <c r="I15" s="296"/>
      <c r="J15" s="296"/>
      <c r="K15" s="297">
        <v>1</v>
      </c>
      <c r="L15" s="297">
        <v>1</v>
      </c>
      <c r="M15" s="296"/>
      <c r="N15" s="296"/>
      <c r="O15" s="296"/>
      <c r="P15" s="296"/>
      <c r="Q15" s="297">
        <v>1</v>
      </c>
      <c r="R15" s="296"/>
      <c r="S15" s="296"/>
      <c r="T15" s="297">
        <v>1</v>
      </c>
      <c r="U15" s="296"/>
      <c r="V15" s="296"/>
      <c r="W15" s="297">
        <v>15</v>
      </c>
      <c r="X15" s="297">
        <v>16</v>
      </c>
      <c r="Y15" s="297">
        <v>0</v>
      </c>
      <c r="Z15" s="297">
        <v>3</v>
      </c>
      <c r="AA15" s="297">
        <v>0</v>
      </c>
      <c r="AB15" s="297">
        <v>0</v>
      </c>
      <c r="AC15" s="296"/>
      <c r="AD15" s="296"/>
      <c r="AE15" s="297">
        <v>1</v>
      </c>
      <c r="AF15" s="296"/>
      <c r="AG15" s="296"/>
      <c r="AH15" s="296"/>
      <c r="AI15" s="297">
        <v>1</v>
      </c>
      <c r="AJ15" s="296"/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6"/>
      <c r="AX15" s="297">
        <v>1</v>
      </c>
      <c r="AY15" s="296"/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7">
        <v>1</v>
      </c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7">
        <v>1</v>
      </c>
      <c r="CS15" s="296"/>
      <c r="CT15" s="298">
        <v>46661</v>
      </c>
    </row>
    <row r="16" spans="1:98" s="295" customFormat="1">
      <c r="A16" s="296" t="s">
        <v>8445</v>
      </c>
      <c r="B16" s="296" t="s">
        <v>8446</v>
      </c>
      <c r="C16" s="297">
        <v>62</v>
      </c>
      <c r="D16" s="296" t="s">
        <v>2288</v>
      </c>
      <c r="E16" s="296" t="s">
        <v>8447</v>
      </c>
      <c r="F16" s="296" t="s">
        <v>1145</v>
      </c>
      <c r="G16" s="296"/>
      <c r="H16" s="296"/>
      <c r="I16" s="296"/>
      <c r="J16" s="297">
        <v>1</v>
      </c>
      <c r="K16" s="296"/>
      <c r="L16" s="296"/>
      <c r="M16" s="297">
        <v>1</v>
      </c>
      <c r="N16" s="296"/>
      <c r="O16" s="296"/>
      <c r="P16" s="296"/>
      <c r="Q16" s="297">
        <v>1</v>
      </c>
      <c r="R16" s="296"/>
      <c r="S16" s="296"/>
      <c r="T16" s="296"/>
      <c r="U16" s="296"/>
      <c r="V16" s="297">
        <v>1</v>
      </c>
      <c r="W16" s="297">
        <v>12</v>
      </c>
      <c r="X16" s="297">
        <v>19</v>
      </c>
      <c r="Y16" s="297">
        <v>26</v>
      </c>
      <c r="Z16" s="297">
        <v>6</v>
      </c>
      <c r="AA16" s="297">
        <v>4</v>
      </c>
      <c r="AB16" s="297">
        <v>4</v>
      </c>
      <c r="AC16" s="296"/>
      <c r="AD16" s="296"/>
      <c r="AE16" s="296"/>
      <c r="AF16" s="296"/>
      <c r="AG16" s="296"/>
      <c r="AH16" s="297">
        <v>1</v>
      </c>
      <c r="AI16" s="296"/>
      <c r="AJ16" s="297">
        <v>1</v>
      </c>
      <c r="AK16" s="297">
        <v>1</v>
      </c>
      <c r="AL16" s="296"/>
      <c r="AM16" s="296"/>
      <c r="AN16" s="296"/>
      <c r="AO16" s="296"/>
      <c r="AP16" s="296"/>
      <c r="AQ16" s="296"/>
      <c r="AR16" s="296"/>
      <c r="AS16" s="296"/>
      <c r="AT16" s="297">
        <v>1</v>
      </c>
      <c r="AU16" s="296"/>
      <c r="AV16" s="296"/>
      <c r="AW16" s="297">
        <v>1</v>
      </c>
      <c r="AX16" s="296"/>
      <c r="AY16" s="296"/>
      <c r="AZ16" s="296"/>
      <c r="BA16" s="296"/>
      <c r="BB16" s="297">
        <v>1</v>
      </c>
      <c r="BC16" s="296"/>
      <c r="BD16" s="296"/>
      <c r="BE16" s="296"/>
      <c r="BF16" s="296"/>
      <c r="BG16" s="297">
        <v>1</v>
      </c>
      <c r="BH16" s="296"/>
      <c r="BI16" s="296"/>
      <c r="BJ16" s="296"/>
      <c r="BK16" s="296"/>
      <c r="BL16" s="297">
        <v>1</v>
      </c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7">
        <v>1</v>
      </c>
      <c r="CC16" s="296"/>
      <c r="CD16" s="296"/>
      <c r="CE16" s="297">
        <v>1</v>
      </c>
      <c r="CF16" s="296"/>
      <c r="CG16" s="296"/>
      <c r="CH16" s="296"/>
      <c r="CI16" s="296"/>
      <c r="CJ16" s="296"/>
      <c r="CK16" s="297">
        <v>1</v>
      </c>
      <c r="CL16" s="296"/>
      <c r="CM16" s="296"/>
      <c r="CN16" s="296"/>
      <c r="CO16" s="296"/>
      <c r="CP16" s="296"/>
      <c r="CQ16" s="296"/>
      <c r="CR16" s="297">
        <v>1</v>
      </c>
      <c r="CS16" s="296"/>
      <c r="CT16" s="298">
        <v>46661</v>
      </c>
    </row>
    <row r="17" spans="1:98" s="295" customFormat="1" ht="13.5" customHeight="1">
      <c r="A17" s="296" t="s">
        <v>8448</v>
      </c>
      <c r="B17" s="296" t="s">
        <v>8449</v>
      </c>
      <c r="C17" s="297">
        <v>49</v>
      </c>
      <c r="D17" s="296" t="s">
        <v>1162</v>
      </c>
      <c r="E17" s="296" t="s">
        <v>8450</v>
      </c>
      <c r="F17" s="296" t="s">
        <v>2472</v>
      </c>
      <c r="G17" s="296"/>
      <c r="H17" s="296"/>
      <c r="I17" s="296"/>
      <c r="J17" s="297">
        <v>1</v>
      </c>
      <c r="K17" s="296"/>
      <c r="L17" s="296"/>
      <c r="M17" s="297">
        <v>1</v>
      </c>
      <c r="N17" s="296"/>
      <c r="O17" s="296"/>
      <c r="P17" s="296"/>
      <c r="Q17" s="297">
        <v>1</v>
      </c>
      <c r="R17" s="296"/>
      <c r="S17" s="296"/>
      <c r="T17" s="296"/>
      <c r="U17" s="296"/>
      <c r="V17" s="297">
        <v>1</v>
      </c>
      <c r="W17" s="297">
        <v>12</v>
      </c>
      <c r="X17" s="297">
        <v>17</v>
      </c>
      <c r="Y17" s="297">
        <v>29</v>
      </c>
      <c r="Z17" s="297">
        <v>4</v>
      </c>
      <c r="AA17" s="297">
        <v>2</v>
      </c>
      <c r="AB17" s="297">
        <v>2</v>
      </c>
      <c r="AC17" s="296"/>
      <c r="AD17" s="296"/>
      <c r="AE17" s="296"/>
      <c r="AF17" s="296"/>
      <c r="AG17" s="296"/>
      <c r="AH17" s="297">
        <v>1</v>
      </c>
      <c r="AI17" s="296"/>
      <c r="AJ17" s="297">
        <v>1</v>
      </c>
      <c r="AK17" s="296"/>
      <c r="AL17" s="296"/>
      <c r="AM17" s="297">
        <v>1</v>
      </c>
      <c r="AN17" s="296"/>
      <c r="AO17" s="296"/>
      <c r="AP17" s="296"/>
      <c r="AQ17" s="296"/>
      <c r="AR17" s="296"/>
      <c r="AS17" s="296"/>
      <c r="AT17" s="297">
        <v>1</v>
      </c>
      <c r="AU17" s="296"/>
      <c r="AV17" s="296"/>
      <c r="AW17" s="296"/>
      <c r="AX17" s="297">
        <v>1</v>
      </c>
      <c r="AY17" s="296"/>
      <c r="AZ17" s="296"/>
      <c r="BA17" s="297">
        <v>1</v>
      </c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7">
        <v>1</v>
      </c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7">
        <v>1</v>
      </c>
      <c r="CC17" s="296"/>
      <c r="CD17" s="296"/>
      <c r="CE17" s="297">
        <v>1</v>
      </c>
      <c r="CF17" s="296"/>
      <c r="CG17" s="296"/>
      <c r="CH17" s="296"/>
      <c r="CI17" s="296"/>
      <c r="CJ17" s="296"/>
      <c r="CK17" s="297">
        <v>1</v>
      </c>
      <c r="CL17" s="296"/>
      <c r="CM17" s="296"/>
      <c r="CN17" s="296"/>
      <c r="CO17" s="296"/>
      <c r="CP17" s="296"/>
      <c r="CQ17" s="296"/>
      <c r="CR17" s="297">
        <v>1</v>
      </c>
      <c r="CS17" s="296"/>
      <c r="CT17" s="298">
        <v>46661</v>
      </c>
    </row>
  </sheetData>
  <autoFilter ref="A3:CT3"/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J1" workbookViewId="0">
      <selection activeCell="Y7" sqref="Y7"/>
    </sheetView>
  </sheetViews>
  <sheetFormatPr defaultRowHeight="15"/>
  <cols>
    <col min="1" max="1" width="18.140625" customWidth="1"/>
    <col min="12" max="12" width="10.28515625" customWidth="1"/>
    <col min="13" max="13" width="13.85546875" customWidth="1"/>
    <col min="19" max="19" width="11.140625" customWidth="1"/>
    <col min="24" max="24" width="11.5703125" customWidth="1"/>
    <col min="25" max="25" width="12.140625" customWidth="1"/>
    <col min="28" max="28" width="16.28515625" customWidth="1"/>
    <col min="29" max="29" width="15" customWidth="1"/>
    <col min="33" max="33" width="14.5703125" customWidth="1"/>
  </cols>
  <sheetData>
    <row r="1" spans="1:33" ht="30.75" customHeight="1" thickBot="1">
      <c r="A1" s="551" t="s">
        <v>351</v>
      </c>
      <c r="B1" s="553" t="s">
        <v>352</v>
      </c>
      <c r="C1" s="554"/>
      <c r="D1" s="554"/>
      <c r="E1" s="555"/>
      <c r="F1" s="543" t="s">
        <v>353</v>
      </c>
      <c r="G1" s="544"/>
      <c r="H1" s="545"/>
      <c r="I1" s="284"/>
      <c r="J1" s="284"/>
      <c r="K1" s="543" t="s">
        <v>354</v>
      </c>
      <c r="L1" s="544"/>
      <c r="M1" s="544"/>
      <c r="N1" s="544"/>
      <c r="O1" s="544"/>
      <c r="P1" s="545"/>
      <c r="Q1" s="543" t="s">
        <v>355</v>
      </c>
      <c r="R1" s="544"/>
      <c r="S1" s="544"/>
      <c r="T1" s="545"/>
      <c r="U1" s="543" t="s">
        <v>356</v>
      </c>
      <c r="V1" s="544"/>
      <c r="W1" s="544"/>
      <c r="X1" s="544"/>
      <c r="Y1" s="544"/>
      <c r="Z1" s="545"/>
      <c r="AA1" s="543" t="s">
        <v>357</v>
      </c>
      <c r="AB1" s="544"/>
      <c r="AC1" s="544"/>
      <c r="AD1" s="544"/>
      <c r="AE1" s="545"/>
      <c r="AF1" s="566" t="s">
        <v>356</v>
      </c>
      <c r="AG1" s="567"/>
    </row>
    <row r="2" spans="1:33" ht="30.75" thickBot="1">
      <c r="A2" s="552"/>
      <c r="B2" s="300" t="s">
        <v>358</v>
      </c>
      <c r="C2" s="300" t="s">
        <v>359</v>
      </c>
      <c r="D2" s="300" t="s">
        <v>360</v>
      </c>
      <c r="E2" s="300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01" t="s">
        <v>365</v>
      </c>
      <c r="AG2" s="305" t="s">
        <v>3430</v>
      </c>
    </row>
    <row r="3" spans="1:33" ht="15.75" thickBot="1">
      <c r="A3" s="306" t="s">
        <v>1169</v>
      </c>
      <c r="B3" s="289">
        <v>0</v>
      </c>
      <c r="C3" s="289">
        <v>0</v>
      </c>
      <c r="D3" s="289">
        <v>0</v>
      </c>
      <c r="E3" s="330">
        <f>SUM(B3:D3)</f>
        <v>0</v>
      </c>
      <c r="F3" s="289">
        <v>0</v>
      </c>
      <c r="G3" s="289">
        <v>0</v>
      </c>
      <c r="H3" s="289">
        <v>0</v>
      </c>
      <c r="I3" s="289">
        <v>0</v>
      </c>
      <c r="J3" s="308">
        <f>SUM(F3:I3)</f>
        <v>0</v>
      </c>
      <c r="K3" s="289">
        <v>0</v>
      </c>
      <c r="L3" s="289">
        <v>0</v>
      </c>
      <c r="M3" s="289">
        <v>0</v>
      </c>
      <c r="N3" s="289">
        <v>0</v>
      </c>
      <c r="O3" s="289">
        <v>0</v>
      </c>
      <c r="P3" s="308">
        <f>SUM(K3:O3)</f>
        <v>0</v>
      </c>
      <c r="Q3" s="289">
        <v>0</v>
      </c>
      <c r="R3" s="289">
        <v>0</v>
      </c>
      <c r="S3" s="289">
        <v>0</v>
      </c>
      <c r="T3" s="308">
        <f>SUM(Q3:S3)</f>
        <v>0</v>
      </c>
      <c r="U3" s="289">
        <v>0</v>
      </c>
      <c r="V3" s="289">
        <v>0</v>
      </c>
      <c r="W3" s="289">
        <v>0</v>
      </c>
      <c r="X3" s="289">
        <v>0</v>
      </c>
      <c r="Y3" s="289">
        <v>0</v>
      </c>
      <c r="Z3" s="289"/>
      <c r="AA3" s="289">
        <v>0</v>
      </c>
      <c r="AB3" s="289">
        <v>0</v>
      </c>
      <c r="AC3" s="289">
        <v>0</v>
      </c>
      <c r="AD3" s="289">
        <v>0</v>
      </c>
      <c r="AE3" s="311">
        <f>SUM(AA3:AD3)</f>
        <v>0</v>
      </c>
      <c r="AF3" s="289">
        <v>0</v>
      </c>
      <c r="AG3" s="289">
        <v>0</v>
      </c>
    </row>
    <row r="4" spans="1:33" ht="15.75" thickBot="1">
      <c r="A4" s="306" t="s">
        <v>8451</v>
      </c>
      <c r="B4" s="307">
        <v>4</v>
      </c>
      <c r="C4" s="289">
        <v>0</v>
      </c>
      <c r="D4" s="307">
        <v>1</v>
      </c>
      <c r="E4" s="330">
        <f t="shared" ref="E4:E8" si="0">SUM(B4:D4)</f>
        <v>5</v>
      </c>
      <c r="F4" s="289">
        <v>0</v>
      </c>
      <c r="G4" s="309">
        <v>5</v>
      </c>
      <c r="H4" s="289">
        <v>0</v>
      </c>
      <c r="I4" s="289">
        <v>0</v>
      </c>
      <c r="J4" s="308">
        <f t="shared" ref="J4:J8" si="1">SUM(F4:I4)</f>
        <v>5</v>
      </c>
      <c r="K4" s="289">
        <v>0</v>
      </c>
      <c r="L4" s="289">
        <v>0</v>
      </c>
      <c r="M4" s="289">
        <v>0</v>
      </c>
      <c r="N4" s="289">
        <v>0</v>
      </c>
      <c r="O4" s="289">
        <v>0</v>
      </c>
      <c r="P4" s="308">
        <f t="shared" ref="P4:P8" si="2">SUM(K4:O4)</f>
        <v>0</v>
      </c>
      <c r="Q4" s="289">
        <v>0</v>
      </c>
      <c r="R4" s="289">
        <v>0</v>
      </c>
      <c r="S4" s="309">
        <v>2</v>
      </c>
      <c r="T4" s="308">
        <f t="shared" ref="T4:T8" si="3">SUM(Q4:S4)</f>
        <v>2</v>
      </c>
      <c r="U4" s="289">
        <v>0</v>
      </c>
      <c r="V4" s="289">
        <v>0</v>
      </c>
      <c r="W4" s="289">
        <v>0</v>
      </c>
      <c r="X4" s="289">
        <v>0</v>
      </c>
      <c r="Y4" s="289">
        <v>0</v>
      </c>
      <c r="Z4" s="289"/>
      <c r="AA4" s="310">
        <v>5</v>
      </c>
      <c r="AB4" s="289">
        <v>0</v>
      </c>
      <c r="AC4" s="289">
        <v>0</v>
      </c>
      <c r="AD4" s="289">
        <v>0</v>
      </c>
      <c r="AE4" s="311">
        <f t="shared" ref="AE4:AE8" si="4">SUM(AA4:AD4)</f>
        <v>5</v>
      </c>
      <c r="AF4" s="289">
        <v>0</v>
      </c>
      <c r="AG4" s="289">
        <v>0</v>
      </c>
    </row>
    <row r="5" spans="1:33" ht="15.75" thickBot="1">
      <c r="A5" s="306" t="s">
        <v>3391</v>
      </c>
      <c r="B5" s="307">
        <v>2</v>
      </c>
      <c r="C5" s="289">
        <v>0</v>
      </c>
      <c r="D5" s="289">
        <v>0</v>
      </c>
      <c r="E5" s="330">
        <f t="shared" si="0"/>
        <v>2</v>
      </c>
      <c r="F5" s="309">
        <v>1</v>
      </c>
      <c r="G5" s="309">
        <v>1</v>
      </c>
      <c r="H5" s="289"/>
      <c r="I5" s="289"/>
      <c r="J5" s="308">
        <f t="shared" si="1"/>
        <v>2</v>
      </c>
      <c r="K5" s="289">
        <v>0</v>
      </c>
      <c r="L5" s="289">
        <v>0</v>
      </c>
      <c r="M5" s="289">
        <v>0</v>
      </c>
      <c r="N5" s="289">
        <v>0</v>
      </c>
      <c r="O5" s="289">
        <v>0</v>
      </c>
      <c r="P5" s="308">
        <f t="shared" si="2"/>
        <v>0</v>
      </c>
      <c r="Q5" s="309">
        <v>1</v>
      </c>
      <c r="R5" s="289">
        <v>0</v>
      </c>
      <c r="S5" s="309">
        <v>1</v>
      </c>
      <c r="T5" s="308">
        <f t="shared" si="3"/>
        <v>2</v>
      </c>
      <c r="U5" s="289">
        <v>0</v>
      </c>
      <c r="V5" s="289">
        <v>0</v>
      </c>
      <c r="W5" s="289">
        <v>0</v>
      </c>
      <c r="X5" s="289">
        <v>0</v>
      </c>
      <c r="Y5" s="289">
        <v>0</v>
      </c>
      <c r="Z5" s="289"/>
      <c r="AA5" s="310">
        <v>2</v>
      </c>
      <c r="AB5" s="289">
        <v>0</v>
      </c>
      <c r="AC5" s="289">
        <v>0</v>
      </c>
      <c r="AD5" s="289">
        <v>0</v>
      </c>
      <c r="AE5" s="311">
        <f t="shared" si="4"/>
        <v>2</v>
      </c>
      <c r="AF5" s="289">
        <v>0</v>
      </c>
      <c r="AG5" s="289">
        <v>0</v>
      </c>
    </row>
    <row r="6" spans="1:33" ht="15.75" thickBot="1">
      <c r="A6" s="319" t="s">
        <v>1096</v>
      </c>
      <c r="B6" s="307">
        <v>3</v>
      </c>
      <c r="C6" s="289">
        <v>0</v>
      </c>
      <c r="D6" s="307">
        <v>1</v>
      </c>
      <c r="E6" s="330">
        <f t="shared" si="0"/>
        <v>4</v>
      </c>
      <c r="F6" s="289">
        <v>0</v>
      </c>
      <c r="G6" s="309">
        <v>2</v>
      </c>
      <c r="H6" s="289">
        <v>0</v>
      </c>
      <c r="I6" s="289">
        <v>0</v>
      </c>
      <c r="J6" s="308">
        <f t="shared" si="1"/>
        <v>2</v>
      </c>
      <c r="K6" s="309">
        <v>1</v>
      </c>
      <c r="L6" s="289">
        <v>0</v>
      </c>
      <c r="M6" s="289">
        <v>0</v>
      </c>
      <c r="N6" s="289">
        <v>0</v>
      </c>
      <c r="O6" s="309">
        <v>1</v>
      </c>
      <c r="P6" s="308">
        <f t="shared" si="2"/>
        <v>2</v>
      </c>
      <c r="Q6" s="289">
        <v>0</v>
      </c>
      <c r="R6" s="289">
        <v>0</v>
      </c>
      <c r="S6" s="309">
        <v>1</v>
      </c>
      <c r="T6" s="308">
        <f t="shared" si="3"/>
        <v>1</v>
      </c>
      <c r="U6" s="289">
        <v>0</v>
      </c>
      <c r="V6" s="289">
        <v>0</v>
      </c>
      <c r="W6" s="289">
        <v>0</v>
      </c>
      <c r="X6" s="289">
        <v>0</v>
      </c>
      <c r="Y6" s="289">
        <v>0</v>
      </c>
      <c r="Z6" s="289"/>
      <c r="AA6" s="310">
        <v>3</v>
      </c>
      <c r="AB6" s="289">
        <v>0</v>
      </c>
      <c r="AC6" s="289">
        <v>0</v>
      </c>
      <c r="AD6" s="310">
        <v>1</v>
      </c>
      <c r="AE6" s="311">
        <f t="shared" si="4"/>
        <v>4</v>
      </c>
      <c r="AF6" s="289">
        <v>0</v>
      </c>
      <c r="AG6" s="289">
        <v>0</v>
      </c>
    </row>
    <row r="7" spans="1:33" ht="15.75" thickBot="1">
      <c r="A7" s="321" t="s">
        <v>8452</v>
      </c>
      <c r="B7" s="318">
        <v>0</v>
      </c>
      <c r="C7" s="289">
        <v>0</v>
      </c>
      <c r="D7" s="307">
        <v>1</v>
      </c>
      <c r="E7" s="330">
        <f t="shared" si="0"/>
        <v>1</v>
      </c>
      <c r="F7" s="289">
        <v>0</v>
      </c>
      <c r="G7" s="289">
        <v>0</v>
      </c>
      <c r="H7" s="289">
        <v>0</v>
      </c>
      <c r="I7" s="289">
        <v>0</v>
      </c>
      <c r="J7" s="308">
        <f t="shared" si="1"/>
        <v>0</v>
      </c>
      <c r="K7" s="314">
        <v>0</v>
      </c>
      <c r="L7" s="314">
        <v>0</v>
      </c>
      <c r="M7" s="314">
        <v>0</v>
      </c>
      <c r="N7" s="313">
        <v>1</v>
      </c>
      <c r="O7" s="314">
        <v>0</v>
      </c>
      <c r="P7" s="308">
        <f t="shared" si="2"/>
        <v>1</v>
      </c>
      <c r="Q7" s="314">
        <v>0</v>
      </c>
      <c r="R7" s="314">
        <v>0</v>
      </c>
      <c r="S7" s="314">
        <v>0</v>
      </c>
      <c r="T7" s="308">
        <f t="shared" si="3"/>
        <v>0</v>
      </c>
      <c r="U7" s="314">
        <v>0</v>
      </c>
      <c r="V7" s="314">
        <v>0</v>
      </c>
      <c r="W7" s="314">
        <v>0</v>
      </c>
      <c r="X7" s="314">
        <v>1</v>
      </c>
      <c r="Y7" s="314">
        <v>0</v>
      </c>
      <c r="Z7" s="317" t="s">
        <v>952</v>
      </c>
      <c r="AA7" s="310">
        <v>1</v>
      </c>
      <c r="AB7" s="289">
        <v>0</v>
      </c>
      <c r="AC7" s="289">
        <v>0</v>
      </c>
      <c r="AD7" s="289">
        <v>0</v>
      </c>
      <c r="AE7" s="311">
        <f t="shared" si="4"/>
        <v>1</v>
      </c>
      <c r="AF7" s="289">
        <v>0</v>
      </c>
      <c r="AG7" s="289">
        <v>0</v>
      </c>
    </row>
    <row r="8" spans="1:33" ht="15.75" thickBot="1">
      <c r="A8" s="320" t="s">
        <v>1364</v>
      </c>
      <c r="B8" s="307">
        <v>2</v>
      </c>
      <c r="C8" s="289">
        <v>0</v>
      </c>
      <c r="D8" s="289">
        <v>0</v>
      </c>
      <c r="E8" s="330">
        <f t="shared" si="0"/>
        <v>2</v>
      </c>
      <c r="F8" s="289">
        <v>0</v>
      </c>
      <c r="G8" s="289">
        <v>0</v>
      </c>
      <c r="H8" s="289">
        <v>0</v>
      </c>
      <c r="I8" s="289">
        <v>0</v>
      </c>
      <c r="J8" s="308">
        <f t="shared" si="1"/>
        <v>0</v>
      </c>
      <c r="K8" s="313">
        <v>2</v>
      </c>
      <c r="L8" s="314">
        <v>0</v>
      </c>
      <c r="M8" s="314">
        <v>0</v>
      </c>
      <c r="N8" s="314">
        <v>0</v>
      </c>
      <c r="O8" s="314">
        <v>0</v>
      </c>
      <c r="P8" s="308">
        <f t="shared" si="2"/>
        <v>2</v>
      </c>
      <c r="Q8" s="314">
        <v>0</v>
      </c>
      <c r="R8" s="314">
        <v>0</v>
      </c>
      <c r="S8" s="314">
        <v>0</v>
      </c>
      <c r="T8" s="308">
        <f t="shared" si="3"/>
        <v>0</v>
      </c>
      <c r="U8" s="314">
        <v>0</v>
      </c>
      <c r="V8" s="314">
        <v>0</v>
      </c>
      <c r="W8" s="314">
        <v>0</v>
      </c>
      <c r="X8" s="314">
        <v>0</v>
      </c>
      <c r="Y8" s="314">
        <v>0</v>
      </c>
      <c r="Z8" s="314"/>
      <c r="AA8" s="310">
        <v>2</v>
      </c>
      <c r="AB8" s="289">
        <v>0</v>
      </c>
      <c r="AC8" s="289">
        <v>0</v>
      </c>
      <c r="AD8" s="289">
        <v>0</v>
      </c>
      <c r="AE8" s="311">
        <f t="shared" si="4"/>
        <v>2</v>
      </c>
      <c r="AF8" s="289">
        <v>0</v>
      </c>
      <c r="AG8" s="289">
        <v>0</v>
      </c>
    </row>
    <row r="9" spans="1:33" ht="15.75" thickBot="1">
      <c r="A9" s="316" t="s">
        <v>376</v>
      </c>
      <c r="B9" s="307">
        <f>SUM(B3:B8)</f>
        <v>11</v>
      </c>
      <c r="C9" s="307">
        <f t="shared" ref="C9:E9" si="5">SUM(C3:C8)</f>
        <v>0</v>
      </c>
      <c r="D9" s="307">
        <f t="shared" si="5"/>
        <v>3</v>
      </c>
      <c r="E9" s="330">
        <f t="shared" si="5"/>
        <v>14</v>
      </c>
      <c r="F9" s="307">
        <f t="shared" ref="F9" si="6">SUM(F3:F8)</f>
        <v>1</v>
      </c>
      <c r="G9" s="307">
        <f t="shared" ref="G9" si="7">SUM(G3:G8)</f>
        <v>8</v>
      </c>
      <c r="H9" s="307">
        <f t="shared" ref="H9" si="8">SUM(H3:H8)</f>
        <v>0</v>
      </c>
      <c r="I9" s="307">
        <f t="shared" ref="I9:J9" si="9">SUM(I3:I8)</f>
        <v>0</v>
      </c>
      <c r="J9" s="330">
        <f t="shared" si="9"/>
        <v>9</v>
      </c>
      <c r="K9" s="313">
        <f>SUM(K3:K8)</f>
        <v>3</v>
      </c>
      <c r="L9" s="313">
        <f t="shared" ref="L9:O9" si="10">SUM(L3:L8)</f>
        <v>0</v>
      </c>
      <c r="M9" s="313">
        <f t="shared" si="10"/>
        <v>0</v>
      </c>
      <c r="N9" s="313">
        <f t="shared" si="10"/>
        <v>1</v>
      </c>
      <c r="O9" s="313">
        <f t="shared" si="10"/>
        <v>1</v>
      </c>
      <c r="P9" s="308">
        <f>SUM(P3:P8)</f>
        <v>5</v>
      </c>
      <c r="Q9" s="313">
        <f>SUM(Q3:Q8)</f>
        <v>1</v>
      </c>
      <c r="R9" s="313">
        <f t="shared" ref="R9:S9" si="11">SUM(R3:R8)</f>
        <v>0</v>
      </c>
      <c r="S9" s="313">
        <f t="shared" si="11"/>
        <v>4</v>
      </c>
      <c r="T9" s="308">
        <f>SUM(T3:T8)</f>
        <v>5</v>
      </c>
      <c r="U9" s="313">
        <v>0</v>
      </c>
      <c r="V9" s="313">
        <v>0</v>
      </c>
      <c r="W9" s="313">
        <v>0</v>
      </c>
      <c r="X9" s="313">
        <v>0</v>
      </c>
      <c r="Y9" s="313">
        <v>0</v>
      </c>
      <c r="Z9" s="313">
        <v>0</v>
      </c>
      <c r="AA9" s="310">
        <f>SUM(AA3:AA8)</f>
        <v>13</v>
      </c>
      <c r="AB9" s="310">
        <f t="shared" ref="AB9:AE9" si="12">SUM(AB3:AB8)</f>
        <v>0</v>
      </c>
      <c r="AC9" s="310">
        <f t="shared" si="12"/>
        <v>0</v>
      </c>
      <c r="AD9" s="310">
        <f t="shared" si="12"/>
        <v>1</v>
      </c>
      <c r="AE9" s="310">
        <f t="shared" si="12"/>
        <v>14</v>
      </c>
      <c r="AF9" s="310">
        <v>0</v>
      </c>
      <c r="AG9" s="310">
        <v>0</v>
      </c>
    </row>
  </sheetData>
  <mergeCells count="8">
    <mergeCell ref="AF1:AG1"/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7"/>
  <sheetViews>
    <sheetView workbookViewId="0">
      <selection activeCell="A5" sqref="A5"/>
    </sheetView>
  </sheetViews>
  <sheetFormatPr defaultRowHeight="15"/>
  <cols>
    <col min="1" max="1" width="15.42578125" customWidth="1"/>
    <col min="2" max="2" width="20.42578125" customWidth="1"/>
    <col min="4" max="4" width="17" customWidth="1"/>
    <col min="5" max="5" width="19.42578125" customWidth="1"/>
    <col min="6" max="6" width="18.42578125" customWidth="1"/>
  </cols>
  <sheetData>
    <row r="1" spans="1:98" ht="15" customHeight="1" thickBot="1">
      <c r="A1" s="283" t="s">
        <v>8462</v>
      </c>
      <c r="B1" s="284"/>
      <c r="C1" s="285" t="s">
        <v>8463</v>
      </c>
      <c r="D1" s="284"/>
      <c r="E1" s="284"/>
      <c r="F1" s="284"/>
      <c r="G1" s="538" t="s">
        <v>2</v>
      </c>
      <c r="H1" s="539"/>
      <c r="I1" s="539"/>
      <c r="J1" s="539"/>
      <c r="K1" s="540"/>
      <c r="L1" s="535" t="s">
        <v>3</v>
      </c>
      <c r="M1" s="536"/>
      <c r="N1" s="536"/>
      <c r="O1" s="536"/>
      <c r="P1" s="537"/>
      <c r="Q1" s="541"/>
      <c r="R1" s="542"/>
      <c r="S1" s="543" t="s">
        <v>5</v>
      </c>
      <c r="T1" s="544"/>
      <c r="U1" s="544"/>
      <c r="V1" s="545"/>
      <c r="W1" s="538" t="s">
        <v>6</v>
      </c>
      <c r="X1" s="539"/>
      <c r="Y1" s="539"/>
      <c r="Z1" s="539"/>
      <c r="AA1" s="539"/>
      <c r="AB1" s="540"/>
      <c r="AC1" s="543" t="s">
        <v>7</v>
      </c>
      <c r="AD1" s="544"/>
      <c r="AE1" s="544"/>
      <c r="AF1" s="544"/>
      <c r="AG1" s="544"/>
      <c r="AH1" s="545"/>
      <c r="AI1" s="546" t="s">
        <v>8</v>
      </c>
      <c r="AJ1" s="547"/>
      <c r="AK1" s="543" t="s">
        <v>9</v>
      </c>
      <c r="AL1" s="544"/>
      <c r="AM1" s="545"/>
      <c r="AN1" s="543" t="s">
        <v>10</v>
      </c>
      <c r="AO1" s="544"/>
      <c r="AP1" s="545"/>
      <c r="AQ1" s="543" t="s">
        <v>11</v>
      </c>
      <c r="AR1" s="544"/>
      <c r="AS1" s="545"/>
      <c r="AT1" s="546" t="s">
        <v>12</v>
      </c>
      <c r="AU1" s="547"/>
      <c r="AV1" s="535" t="s">
        <v>13</v>
      </c>
      <c r="AW1" s="536"/>
      <c r="AX1" s="536"/>
      <c r="AY1" s="536"/>
      <c r="AZ1" s="537"/>
      <c r="BA1" s="538" t="s">
        <v>8129</v>
      </c>
      <c r="BB1" s="539"/>
      <c r="BC1" s="540"/>
      <c r="BD1" s="543" t="s">
        <v>3542</v>
      </c>
      <c r="BE1" s="544"/>
      <c r="BF1" s="545"/>
      <c r="BG1" s="284"/>
      <c r="BH1" s="284"/>
      <c r="BI1" s="546" t="s">
        <v>16</v>
      </c>
      <c r="BJ1" s="548"/>
      <c r="BK1" s="548"/>
      <c r="BL1" s="548"/>
      <c r="BM1" s="548"/>
      <c r="BN1" s="548"/>
      <c r="BO1" s="547"/>
      <c r="BP1" s="543" t="s">
        <v>8130</v>
      </c>
      <c r="BQ1" s="544"/>
      <c r="BR1" s="545"/>
      <c r="BS1" s="535" t="s">
        <v>18</v>
      </c>
      <c r="BT1" s="537"/>
      <c r="BU1" s="284"/>
      <c r="BV1" s="284"/>
      <c r="BW1" s="546" t="s">
        <v>8131</v>
      </c>
      <c r="BX1" s="548"/>
      <c r="BY1" s="548"/>
      <c r="BZ1" s="548"/>
      <c r="CA1" s="547"/>
      <c r="CB1" s="287" t="s">
        <v>8132</v>
      </c>
      <c r="CC1" s="286"/>
      <c r="CD1" s="284"/>
      <c r="CE1" s="538" t="s">
        <v>8133</v>
      </c>
      <c r="CF1" s="539"/>
      <c r="CG1" s="540"/>
      <c r="CH1" s="535" t="s">
        <v>6832</v>
      </c>
      <c r="CI1" s="537"/>
      <c r="CJ1" s="284"/>
      <c r="CK1" s="546" t="s">
        <v>16</v>
      </c>
      <c r="CL1" s="548"/>
      <c r="CM1" s="548"/>
      <c r="CN1" s="547"/>
      <c r="CO1" s="543" t="s">
        <v>24</v>
      </c>
      <c r="CP1" s="545"/>
      <c r="CQ1" s="287" t="s">
        <v>25</v>
      </c>
      <c r="CR1" s="286"/>
      <c r="CS1" s="284"/>
      <c r="CT1" s="284"/>
    </row>
    <row r="2" spans="1:98" s="295" customFormat="1" ht="16.5" customHeight="1">
      <c r="A2" s="331"/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332" t="s">
        <v>15</v>
      </c>
      <c r="BH2" s="294"/>
      <c r="BI2" s="294" t="s">
        <v>5582</v>
      </c>
      <c r="BJ2" s="556" t="s">
        <v>78</v>
      </c>
      <c r="BK2" s="557"/>
      <c r="BL2" s="558" t="s">
        <v>354</v>
      </c>
      <c r="BM2" s="559"/>
      <c r="BN2" s="559"/>
      <c r="BO2" s="560"/>
      <c r="BP2" s="294"/>
      <c r="BQ2" s="294"/>
      <c r="BR2" s="294"/>
      <c r="BS2" s="294"/>
      <c r="BT2" s="294"/>
      <c r="BU2" s="294"/>
      <c r="BV2" s="294"/>
      <c r="BW2" s="294"/>
      <c r="BX2" s="294"/>
      <c r="BY2" s="294"/>
      <c r="BZ2" s="294"/>
      <c r="CA2" s="294"/>
      <c r="CB2" s="294"/>
      <c r="CC2" s="294"/>
      <c r="CD2" s="294"/>
      <c r="CE2" s="294"/>
      <c r="CF2" s="294"/>
      <c r="CG2" s="294"/>
      <c r="CH2" s="294"/>
      <c r="CI2" s="294"/>
      <c r="CJ2" s="294"/>
      <c r="CK2" s="294"/>
      <c r="CL2" s="294"/>
      <c r="CM2" s="294"/>
      <c r="CN2" s="294"/>
      <c r="CO2" s="294"/>
      <c r="CP2" s="294"/>
      <c r="CQ2" s="294"/>
      <c r="CR2" s="294"/>
      <c r="CS2" s="294" t="s">
        <v>893</v>
      </c>
      <c r="CT2" s="294"/>
    </row>
    <row r="3" spans="1:98" s="327" customFormat="1" ht="28.5" customHeight="1">
      <c r="A3" s="328" t="s">
        <v>28</v>
      </c>
      <c r="B3" s="328" t="s">
        <v>29</v>
      </c>
      <c r="C3" s="328" t="s">
        <v>30</v>
      </c>
      <c r="D3" s="328" t="s">
        <v>31</v>
      </c>
      <c r="E3" s="328" t="s">
        <v>32</v>
      </c>
      <c r="F3" s="328" t="s">
        <v>33</v>
      </c>
      <c r="G3" s="328" t="s">
        <v>34</v>
      </c>
      <c r="H3" s="328" t="s">
        <v>35</v>
      </c>
      <c r="I3" s="328" t="s">
        <v>36</v>
      </c>
      <c r="J3" s="328" t="s">
        <v>37</v>
      </c>
      <c r="K3" s="328" t="s">
        <v>38</v>
      </c>
      <c r="L3" s="328" t="s">
        <v>39</v>
      </c>
      <c r="M3" s="328" t="s">
        <v>40</v>
      </c>
      <c r="N3" s="328" t="s">
        <v>41</v>
      </c>
      <c r="O3" s="328" t="s">
        <v>42</v>
      </c>
      <c r="P3" s="328" t="s">
        <v>43</v>
      </c>
      <c r="Q3" s="328" t="s">
        <v>44</v>
      </c>
      <c r="R3" s="328" t="s">
        <v>45</v>
      </c>
      <c r="S3" s="328" t="s">
        <v>46</v>
      </c>
      <c r="T3" s="328" t="s">
        <v>47</v>
      </c>
      <c r="U3" s="328" t="s">
        <v>48</v>
      </c>
      <c r="V3" s="328" t="s">
        <v>49</v>
      </c>
      <c r="W3" s="328" t="s">
        <v>50</v>
      </c>
      <c r="X3" s="328" t="s">
        <v>51</v>
      </c>
      <c r="Y3" s="328" t="s">
        <v>52</v>
      </c>
      <c r="Z3" s="328" t="s">
        <v>53</v>
      </c>
      <c r="AA3" s="328" t="s">
        <v>54</v>
      </c>
      <c r="AB3" s="328" t="s">
        <v>55</v>
      </c>
      <c r="AC3" s="328" t="s">
        <v>56</v>
      </c>
      <c r="AD3" s="328" t="s">
        <v>57</v>
      </c>
      <c r="AE3" s="328" t="s">
        <v>58</v>
      </c>
      <c r="AF3" s="328" t="s">
        <v>59</v>
      </c>
      <c r="AG3" s="328" t="s">
        <v>60</v>
      </c>
      <c r="AH3" s="328" t="s">
        <v>61</v>
      </c>
      <c r="AI3" s="328" t="s">
        <v>62</v>
      </c>
      <c r="AJ3" s="328" t="s">
        <v>63</v>
      </c>
      <c r="AK3" s="328" t="s">
        <v>64</v>
      </c>
      <c r="AL3" s="328" t="s">
        <v>65</v>
      </c>
      <c r="AM3" s="344" t="s">
        <v>66</v>
      </c>
      <c r="AN3" s="328" t="s">
        <v>8464</v>
      </c>
      <c r="AO3" s="328" t="s">
        <v>68</v>
      </c>
      <c r="AP3" s="328" t="s">
        <v>69</v>
      </c>
      <c r="AQ3" s="328" t="s">
        <v>70</v>
      </c>
      <c r="AR3" s="328" t="s">
        <v>71</v>
      </c>
      <c r="AS3" s="328" t="s">
        <v>72</v>
      </c>
      <c r="AT3" s="328" t="s">
        <v>56</v>
      </c>
      <c r="AU3" s="328" t="s">
        <v>73</v>
      </c>
      <c r="AV3" s="328" t="s">
        <v>46</v>
      </c>
      <c r="AW3" s="328" t="s">
        <v>895</v>
      </c>
      <c r="AX3" s="328" t="s">
        <v>75</v>
      </c>
      <c r="AY3" s="328" t="s">
        <v>76</v>
      </c>
      <c r="AZ3" s="328" t="s">
        <v>77</v>
      </c>
      <c r="BA3" s="328" t="s">
        <v>56</v>
      </c>
      <c r="BB3" s="328" t="s">
        <v>78</v>
      </c>
      <c r="BC3" s="328" t="s">
        <v>5582</v>
      </c>
      <c r="BD3" s="328" t="s">
        <v>79</v>
      </c>
      <c r="BE3" s="328" t="s">
        <v>80</v>
      </c>
      <c r="BF3" s="328" t="s">
        <v>38</v>
      </c>
      <c r="BG3" s="328" t="s">
        <v>81</v>
      </c>
      <c r="BH3" s="328" t="s">
        <v>82</v>
      </c>
      <c r="BI3" s="328" t="s">
        <v>83</v>
      </c>
      <c r="BJ3" s="328" t="s">
        <v>83</v>
      </c>
      <c r="BK3" s="328" t="s">
        <v>81</v>
      </c>
      <c r="BL3" s="328" t="s">
        <v>96</v>
      </c>
      <c r="BM3" s="328" t="s">
        <v>84</v>
      </c>
      <c r="BN3" s="328" t="s">
        <v>85</v>
      </c>
      <c r="BO3" s="328" t="s">
        <v>86</v>
      </c>
      <c r="BP3" s="328" t="s">
        <v>73</v>
      </c>
      <c r="BQ3" s="328" t="s">
        <v>87</v>
      </c>
      <c r="BR3" s="328" t="s">
        <v>56</v>
      </c>
      <c r="BS3" s="328" t="s">
        <v>83</v>
      </c>
      <c r="BT3" s="328" t="s">
        <v>88</v>
      </c>
      <c r="BU3" s="328" t="s">
        <v>89</v>
      </c>
      <c r="BV3" s="325"/>
      <c r="BW3" s="328" t="s">
        <v>90</v>
      </c>
      <c r="BX3" s="328" t="s">
        <v>91</v>
      </c>
      <c r="BY3" s="328" t="s">
        <v>92</v>
      </c>
      <c r="BZ3" s="328" t="s">
        <v>93</v>
      </c>
      <c r="CA3" s="328" t="s">
        <v>94</v>
      </c>
      <c r="CB3" s="328" t="s">
        <v>56</v>
      </c>
      <c r="CC3" s="328" t="s">
        <v>73</v>
      </c>
      <c r="CD3" s="328" t="s">
        <v>22</v>
      </c>
      <c r="CE3" s="328" t="s">
        <v>56</v>
      </c>
      <c r="CF3" s="328" t="s">
        <v>73</v>
      </c>
      <c r="CG3" s="328" t="s">
        <v>1275</v>
      </c>
      <c r="CH3" s="328" t="s">
        <v>83</v>
      </c>
      <c r="CI3" s="328" t="s">
        <v>88</v>
      </c>
      <c r="CJ3" s="328" t="s">
        <v>896</v>
      </c>
      <c r="CK3" s="328" t="s">
        <v>96</v>
      </c>
      <c r="CL3" s="328" t="s">
        <v>97</v>
      </c>
      <c r="CM3" s="328" t="s">
        <v>98</v>
      </c>
      <c r="CN3" s="328" t="s">
        <v>360</v>
      </c>
      <c r="CO3" s="328" t="s">
        <v>73</v>
      </c>
      <c r="CP3" s="328" t="s">
        <v>56</v>
      </c>
      <c r="CQ3" s="328" t="s">
        <v>99</v>
      </c>
      <c r="CR3" s="328" t="s">
        <v>56</v>
      </c>
      <c r="CS3" s="325"/>
      <c r="CT3" s="328" t="s">
        <v>100</v>
      </c>
    </row>
    <row r="4" spans="1:98" s="295" customFormat="1" ht="24" customHeight="1">
      <c r="A4" s="296" t="s">
        <v>8465</v>
      </c>
      <c r="B4" s="296" t="s">
        <v>2032</v>
      </c>
      <c r="C4" s="297">
        <v>30</v>
      </c>
      <c r="D4" s="296" t="s">
        <v>1149</v>
      </c>
      <c r="E4" s="296" t="s">
        <v>8466</v>
      </c>
      <c r="F4" s="296" t="s">
        <v>8467</v>
      </c>
      <c r="G4" s="296"/>
      <c r="H4" s="297">
        <v>1</v>
      </c>
      <c r="I4" s="296"/>
      <c r="J4" s="296"/>
      <c r="K4" s="296"/>
      <c r="L4" s="296"/>
      <c r="M4" s="297">
        <v>1</v>
      </c>
      <c r="N4" s="296"/>
      <c r="O4" s="296"/>
      <c r="P4" s="296"/>
      <c r="Q4" s="297">
        <v>1</v>
      </c>
      <c r="R4" s="296"/>
      <c r="S4" s="296"/>
      <c r="T4" s="296"/>
      <c r="U4" s="297">
        <v>1</v>
      </c>
      <c r="V4" s="296"/>
      <c r="W4" s="297">
        <v>13</v>
      </c>
      <c r="X4" s="342"/>
      <c r="Y4" s="297">
        <v>24</v>
      </c>
      <c r="Z4" s="297">
        <v>1</v>
      </c>
      <c r="AA4" s="297">
        <v>1</v>
      </c>
      <c r="AB4" s="297">
        <v>1</v>
      </c>
      <c r="AC4" s="296"/>
      <c r="AD4" s="296"/>
      <c r="AE4" s="297">
        <v>1</v>
      </c>
      <c r="AF4" s="296"/>
      <c r="AG4" s="296"/>
      <c r="AH4" s="296"/>
      <c r="AI4" s="296"/>
      <c r="AJ4" s="297">
        <v>1</v>
      </c>
      <c r="AK4" s="297">
        <v>1</v>
      </c>
      <c r="AL4" s="296"/>
      <c r="AM4" s="296"/>
      <c r="AN4" s="296"/>
      <c r="AO4" s="296"/>
      <c r="AP4" s="296"/>
      <c r="AQ4" s="296"/>
      <c r="AR4" s="296"/>
      <c r="AS4" s="296"/>
      <c r="AT4" s="297">
        <v>1</v>
      </c>
      <c r="AU4" s="296"/>
      <c r="AV4" s="296"/>
      <c r="AW4" s="297">
        <v>1</v>
      </c>
      <c r="AX4" s="296"/>
      <c r="AY4" s="296"/>
      <c r="AZ4" s="296"/>
      <c r="BA4" s="297">
        <v>1</v>
      </c>
      <c r="BB4" s="296"/>
      <c r="BC4" s="296"/>
      <c r="BD4" s="296"/>
      <c r="BE4" s="296"/>
      <c r="BF4" s="296"/>
      <c r="BG4" s="296"/>
      <c r="BH4" s="296"/>
      <c r="BI4" s="296"/>
      <c r="BJ4" s="296"/>
      <c r="BK4" s="297">
        <v>1</v>
      </c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7">
        <v>1</v>
      </c>
      <c r="BZ4" s="296"/>
      <c r="CA4" s="296"/>
      <c r="CB4" s="297">
        <v>1</v>
      </c>
      <c r="CC4" s="296"/>
      <c r="CD4" s="296"/>
      <c r="CE4" s="297">
        <v>1</v>
      </c>
      <c r="CF4" s="296"/>
      <c r="CG4" s="296"/>
      <c r="CH4" s="296"/>
      <c r="CI4" s="296"/>
      <c r="CJ4" s="296"/>
      <c r="CK4" s="297">
        <v>1</v>
      </c>
      <c r="CL4" s="296"/>
      <c r="CM4" s="296"/>
      <c r="CN4" s="296"/>
      <c r="CO4" s="296"/>
      <c r="CP4" s="296"/>
      <c r="CQ4" s="296"/>
      <c r="CR4" s="296"/>
      <c r="CS4" s="296"/>
      <c r="CT4" s="298">
        <v>46692</v>
      </c>
    </row>
    <row r="5" spans="1:98" s="295" customFormat="1" ht="18" customHeight="1">
      <c r="A5" s="296" t="s">
        <v>8468</v>
      </c>
      <c r="B5" s="296" t="s">
        <v>5149</v>
      </c>
      <c r="C5" s="297">
        <v>26</v>
      </c>
      <c r="D5" s="296" t="s">
        <v>1448</v>
      </c>
      <c r="E5" s="296" t="s">
        <v>8469</v>
      </c>
      <c r="F5" s="296" t="s">
        <v>112</v>
      </c>
      <c r="G5" s="296"/>
      <c r="H5" s="296"/>
      <c r="I5" s="297">
        <v>1</v>
      </c>
      <c r="J5" s="296"/>
      <c r="K5" s="296"/>
      <c r="L5" s="296"/>
      <c r="M5" s="296"/>
      <c r="N5" s="297">
        <v>1</v>
      </c>
      <c r="O5" s="296"/>
      <c r="P5" s="296"/>
      <c r="Q5" s="297">
        <v>1</v>
      </c>
      <c r="R5" s="296"/>
      <c r="S5" s="296"/>
      <c r="T5" s="296"/>
      <c r="U5" s="297">
        <v>1</v>
      </c>
      <c r="V5" s="296"/>
      <c r="W5" s="297">
        <v>14</v>
      </c>
      <c r="X5" s="297">
        <v>21</v>
      </c>
      <c r="Y5" s="296" t="s">
        <v>191</v>
      </c>
      <c r="Z5" s="297">
        <v>0</v>
      </c>
      <c r="AA5" s="297">
        <v>0</v>
      </c>
      <c r="AB5" s="297">
        <v>0</v>
      </c>
      <c r="AC5" s="297">
        <v>1</v>
      </c>
      <c r="AD5" s="296"/>
      <c r="AE5" s="296"/>
      <c r="AF5" s="296"/>
      <c r="AG5" s="296"/>
      <c r="AH5" s="296"/>
      <c r="AI5" s="297">
        <v>1</v>
      </c>
      <c r="AJ5" s="296"/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6" t="s">
        <v>362</v>
      </c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6"/>
      <c r="CL5" s="297">
        <v>1</v>
      </c>
      <c r="CM5" s="296"/>
      <c r="CN5" s="296"/>
      <c r="CO5" s="297">
        <v>1</v>
      </c>
      <c r="CP5" s="296"/>
      <c r="CQ5" s="296"/>
      <c r="CR5" s="296"/>
      <c r="CS5" s="296"/>
      <c r="CT5" s="296" t="s">
        <v>117</v>
      </c>
    </row>
    <row r="6" spans="1:98" s="295" customFormat="1" ht="20.25" customHeight="1">
      <c r="A6" s="296" t="s">
        <v>8470</v>
      </c>
      <c r="B6" s="296" t="s">
        <v>8471</v>
      </c>
      <c r="C6" s="297">
        <v>34</v>
      </c>
      <c r="D6" s="296" t="s">
        <v>2360</v>
      </c>
      <c r="E6" s="296" t="s">
        <v>8472</v>
      </c>
      <c r="F6" s="296" t="s">
        <v>112</v>
      </c>
      <c r="G6" s="342"/>
      <c r="H6" s="342"/>
      <c r="I6" s="342"/>
      <c r="J6" s="342"/>
      <c r="K6" s="342"/>
      <c r="L6" s="296"/>
      <c r="M6" s="297">
        <v>1</v>
      </c>
      <c r="N6" s="296"/>
      <c r="O6" s="296"/>
      <c r="P6" s="296"/>
      <c r="Q6" s="342"/>
      <c r="R6" s="342"/>
      <c r="S6" s="296"/>
      <c r="T6" s="296"/>
      <c r="U6" s="297">
        <v>1</v>
      </c>
      <c r="V6" s="296"/>
      <c r="W6" s="297">
        <v>18</v>
      </c>
      <c r="X6" s="297">
        <v>24</v>
      </c>
      <c r="Y6" s="297">
        <v>27</v>
      </c>
      <c r="Z6" s="342"/>
      <c r="AA6" s="297">
        <v>3</v>
      </c>
      <c r="AB6" s="297">
        <v>3</v>
      </c>
      <c r="AC6" s="297">
        <v>1</v>
      </c>
      <c r="AD6" s="296"/>
      <c r="AE6" s="296"/>
      <c r="AF6" s="296"/>
      <c r="AG6" s="296"/>
      <c r="AH6" s="296"/>
      <c r="AI6" s="297">
        <v>1</v>
      </c>
      <c r="AJ6" s="296"/>
      <c r="AK6" s="297">
        <v>1</v>
      </c>
      <c r="AL6" s="296"/>
      <c r="AM6" s="296"/>
      <c r="AN6" s="296"/>
      <c r="AO6" s="296"/>
      <c r="AP6" s="296"/>
      <c r="AQ6" s="296"/>
      <c r="AR6" s="296"/>
      <c r="AS6" s="296"/>
      <c r="AT6" s="297">
        <v>1</v>
      </c>
      <c r="AU6" s="296"/>
      <c r="AV6" s="296"/>
      <c r="AW6" s="296"/>
      <c r="AX6" s="297">
        <v>1</v>
      </c>
      <c r="AY6" s="296"/>
      <c r="AZ6" s="296"/>
      <c r="BA6" s="296"/>
      <c r="BB6" s="297">
        <v>1</v>
      </c>
      <c r="BC6" s="296"/>
      <c r="BD6" s="296"/>
      <c r="BE6" s="296"/>
      <c r="BF6" s="296"/>
      <c r="BG6" s="568" t="s">
        <v>360</v>
      </c>
      <c r="BH6" s="568"/>
      <c r="BI6" s="296"/>
      <c r="BJ6" s="296"/>
      <c r="BK6" s="296" t="s">
        <v>362</v>
      </c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7">
        <v>1</v>
      </c>
      <c r="CL6" s="296"/>
      <c r="CM6" s="296"/>
      <c r="CN6" s="296"/>
      <c r="CO6" s="296"/>
      <c r="CP6" s="296"/>
      <c r="CQ6" s="296"/>
      <c r="CR6" s="296"/>
      <c r="CS6" s="296"/>
      <c r="CT6" s="298">
        <v>46692</v>
      </c>
    </row>
    <row r="7" spans="1:98" s="295" customFormat="1" ht="20.25" customHeight="1">
      <c r="A7" s="296" t="s">
        <v>8473</v>
      </c>
      <c r="B7" s="296" t="s">
        <v>8474</v>
      </c>
      <c r="C7" s="297">
        <v>26</v>
      </c>
      <c r="D7" s="296" t="s">
        <v>2327</v>
      </c>
      <c r="E7" s="296" t="s">
        <v>8475</v>
      </c>
      <c r="F7" s="296" t="s">
        <v>112</v>
      </c>
      <c r="G7" s="296"/>
      <c r="H7" s="297">
        <v>1</v>
      </c>
      <c r="I7" s="296"/>
      <c r="J7" s="296"/>
      <c r="K7" s="296"/>
      <c r="L7" s="296"/>
      <c r="M7" s="297">
        <v>1</v>
      </c>
      <c r="N7" s="296"/>
      <c r="O7" s="296"/>
      <c r="P7" s="296"/>
      <c r="Q7" s="342"/>
      <c r="R7" s="342"/>
      <c r="S7" s="296"/>
      <c r="T7" s="296"/>
      <c r="U7" s="297">
        <v>1</v>
      </c>
      <c r="V7" s="296"/>
      <c r="W7" s="297">
        <v>13</v>
      </c>
      <c r="X7" s="297">
        <v>16</v>
      </c>
      <c r="Y7" s="297">
        <v>21</v>
      </c>
      <c r="Z7" s="297">
        <v>2</v>
      </c>
      <c r="AA7" s="297">
        <v>1</v>
      </c>
      <c r="AB7" s="297">
        <v>1</v>
      </c>
      <c r="AC7" s="297">
        <v>1</v>
      </c>
      <c r="AD7" s="296"/>
      <c r="AE7" s="296"/>
      <c r="AF7" s="296"/>
      <c r="AG7" s="296"/>
      <c r="AH7" s="296"/>
      <c r="AI7" s="297">
        <v>1</v>
      </c>
      <c r="AJ7" s="296"/>
      <c r="AK7" s="297">
        <v>1</v>
      </c>
      <c r="AL7" s="296"/>
      <c r="AM7" s="296"/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6" t="s">
        <v>1739</v>
      </c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7">
        <v>1</v>
      </c>
      <c r="CL7" s="296"/>
      <c r="CM7" s="296"/>
      <c r="CN7" s="296"/>
      <c r="CO7" s="296"/>
      <c r="CP7" s="296"/>
      <c r="CQ7" s="296"/>
      <c r="CR7" s="296"/>
      <c r="CS7" s="296"/>
      <c r="CT7" s="298">
        <v>46692</v>
      </c>
    </row>
    <row r="8" spans="1:98" s="295" customFormat="1" ht="18.75" customHeight="1">
      <c r="A8" s="296" t="s">
        <v>8476</v>
      </c>
      <c r="B8" s="296" t="s">
        <v>8477</v>
      </c>
      <c r="C8" s="297">
        <v>35</v>
      </c>
      <c r="D8" s="296" t="s">
        <v>1112</v>
      </c>
      <c r="E8" s="296" t="s">
        <v>8478</v>
      </c>
      <c r="F8" s="296" t="s">
        <v>4990</v>
      </c>
      <c r="G8" s="296"/>
      <c r="H8" s="296"/>
      <c r="I8" s="297">
        <v>1</v>
      </c>
      <c r="J8" s="296"/>
      <c r="K8" s="296"/>
      <c r="L8" s="296"/>
      <c r="M8" s="297">
        <v>1</v>
      </c>
      <c r="N8" s="296"/>
      <c r="O8" s="296"/>
      <c r="P8" s="296"/>
      <c r="Q8" s="297">
        <v>1</v>
      </c>
      <c r="R8" s="296"/>
      <c r="S8" s="296"/>
      <c r="T8" s="296"/>
      <c r="U8" s="297">
        <v>1</v>
      </c>
      <c r="V8" s="296"/>
      <c r="W8" s="297">
        <v>14</v>
      </c>
      <c r="X8" s="297">
        <v>23</v>
      </c>
      <c r="Y8" s="297">
        <v>23</v>
      </c>
      <c r="Z8" s="297">
        <v>3</v>
      </c>
      <c r="AA8" s="297">
        <v>3</v>
      </c>
      <c r="AB8" s="297">
        <v>3</v>
      </c>
      <c r="AC8" s="297">
        <v>1</v>
      </c>
      <c r="AD8" s="296"/>
      <c r="AE8" s="296"/>
      <c r="AF8" s="296"/>
      <c r="AG8" s="296"/>
      <c r="AH8" s="296"/>
      <c r="AI8" s="297">
        <v>1</v>
      </c>
      <c r="AJ8" s="296"/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7">
        <v>1</v>
      </c>
      <c r="BB8" s="296"/>
      <c r="BC8" s="296"/>
      <c r="BD8" s="296"/>
      <c r="BE8" s="296"/>
      <c r="BF8" s="296"/>
      <c r="BG8" s="296"/>
      <c r="BH8" s="296"/>
      <c r="BI8" s="296"/>
      <c r="BJ8" s="296"/>
      <c r="BK8" s="297">
        <v>1</v>
      </c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7">
        <v>1</v>
      </c>
      <c r="CC8" s="296"/>
      <c r="CD8" s="296"/>
      <c r="CE8" s="297">
        <v>1</v>
      </c>
      <c r="CF8" s="296"/>
      <c r="CG8" s="296"/>
      <c r="CH8" s="296"/>
      <c r="CI8" s="296"/>
      <c r="CJ8" s="296"/>
      <c r="CK8" s="297">
        <v>1</v>
      </c>
      <c r="CL8" s="296"/>
      <c r="CM8" s="296"/>
      <c r="CN8" s="296"/>
      <c r="CO8" s="296"/>
      <c r="CP8" s="296"/>
      <c r="CQ8" s="296"/>
      <c r="CR8" s="296"/>
      <c r="CS8" s="296"/>
      <c r="CT8" s="298">
        <v>46692</v>
      </c>
    </row>
    <row r="9" spans="1:98" s="295" customFormat="1" ht="18" customHeight="1">
      <c r="A9" s="296" t="s">
        <v>8479</v>
      </c>
      <c r="B9" s="296" t="s">
        <v>8480</v>
      </c>
      <c r="C9" s="297">
        <v>20</v>
      </c>
      <c r="D9" s="296" t="s">
        <v>1409</v>
      </c>
      <c r="E9" s="296" t="s">
        <v>8481</v>
      </c>
      <c r="F9" s="296" t="s">
        <v>107</v>
      </c>
      <c r="G9" s="297">
        <v>1</v>
      </c>
      <c r="H9" s="296"/>
      <c r="I9" s="296"/>
      <c r="J9" s="296"/>
      <c r="K9" s="296"/>
      <c r="L9" s="297">
        <v>1</v>
      </c>
      <c r="M9" s="296"/>
      <c r="N9" s="296"/>
      <c r="O9" s="296"/>
      <c r="P9" s="296"/>
      <c r="Q9" s="296" t="s">
        <v>191</v>
      </c>
      <c r="R9" s="296"/>
      <c r="S9" s="296"/>
      <c r="T9" s="296"/>
      <c r="U9" s="297">
        <v>1</v>
      </c>
      <c r="V9" s="296"/>
      <c r="W9" s="297">
        <v>12</v>
      </c>
      <c r="X9" s="297">
        <v>18</v>
      </c>
      <c r="Y9" s="296" t="s">
        <v>191</v>
      </c>
      <c r="Z9" s="297">
        <v>0</v>
      </c>
      <c r="AA9" s="297">
        <v>0</v>
      </c>
      <c r="AB9" s="297">
        <v>0</v>
      </c>
      <c r="AC9" s="296"/>
      <c r="AD9" s="296"/>
      <c r="AE9" s="296"/>
      <c r="AF9" s="296"/>
      <c r="AG9" s="296"/>
      <c r="AH9" s="297">
        <v>1</v>
      </c>
      <c r="AI9" s="297">
        <v>1</v>
      </c>
      <c r="AJ9" s="296"/>
      <c r="AK9" s="296"/>
      <c r="AL9" s="296"/>
      <c r="AM9" s="297">
        <v>1</v>
      </c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7">
        <v>1</v>
      </c>
      <c r="AX9" s="296"/>
      <c r="AY9" s="296"/>
      <c r="AZ9" s="296"/>
      <c r="BA9" s="297">
        <v>1</v>
      </c>
      <c r="BB9" s="296"/>
      <c r="BC9" s="296"/>
      <c r="BD9" s="296"/>
      <c r="BE9" s="296"/>
      <c r="BF9" s="296"/>
      <c r="BG9" s="296"/>
      <c r="BH9" s="296"/>
      <c r="BI9" s="296"/>
      <c r="BJ9" s="297">
        <v>1</v>
      </c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7">
        <v>1</v>
      </c>
      <c r="BY9" s="297">
        <v>1</v>
      </c>
      <c r="BZ9" s="296"/>
      <c r="CA9" s="296"/>
      <c r="CB9" s="297">
        <v>1</v>
      </c>
      <c r="CC9" s="296"/>
      <c r="CD9" s="296"/>
      <c r="CE9" s="297">
        <v>1</v>
      </c>
      <c r="CF9" s="296"/>
      <c r="CG9" s="296"/>
      <c r="CH9" s="296"/>
      <c r="CI9" s="296"/>
      <c r="CJ9" s="296"/>
      <c r="CK9" s="297">
        <v>1</v>
      </c>
      <c r="CL9" s="296"/>
      <c r="CM9" s="296"/>
      <c r="CN9" s="296"/>
      <c r="CO9" s="296"/>
      <c r="CP9" s="296"/>
      <c r="CQ9" s="296"/>
      <c r="CR9" s="296"/>
      <c r="CS9" s="296"/>
      <c r="CT9" s="343">
        <v>45962</v>
      </c>
    </row>
    <row r="10" spans="1:98" s="295" customFormat="1" ht="18" customHeight="1">
      <c r="A10" s="296" t="s">
        <v>8482</v>
      </c>
      <c r="B10" s="296" t="s">
        <v>8483</v>
      </c>
      <c r="C10" s="297">
        <v>37</v>
      </c>
      <c r="D10" s="296" t="s">
        <v>1112</v>
      </c>
      <c r="E10" s="296" t="s">
        <v>8484</v>
      </c>
      <c r="F10" s="296" t="s">
        <v>8485</v>
      </c>
      <c r="G10" s="296"/>
      <c r="H10" s="296"/>
      <c r="I10" s="296"/>
      <c r="J10" s="297">
        <v>1</v>
      </c>
      <c r="K10" s="296"/>
      <c r="L10" s="296"/>
      <c r="M10" s="297">
        <v>1</v>
      </c>
      <c r="N10" s="296"/>
      <c r="O10" s="296"/>
      <c r="P10" s="296"/>
      <c r="Q10" s="342"/>
      <c r="R10" s="342"/>
      <c r="S10" s="296"/>
      <c r="T10" s="296"/>
      <c r="U10" s="297">
        <v>1</v>
      </c>
      <c r="V10" s="296"/>
      <c r="W10" s="297">
        <v>14</v>
      </c>
      <c r="X10" s="297">
        <v>18</v>
      </c>
      <c r="Y10" s="297">
        <v>21</v>
      </c>
      <c r="Z10" s="342"/>
      <c r="AA10" s="297">
        <v>5</v>
      </c>
      <c r="AB10" s="297">
        <v>4</v>
      </c>
      <c r="AC10" s="296"/>
      <c r="AD10" s="296"/>
      <c r="AE10" s="297">
        <v>1</v>
      </c>
      <c r="AF10" s="296"/>
      <c r="AG10" s="296"/>
      <c r="AH10" s="297">
        <v>1</v>
      </c>
      <c r="AI10" s="296"/>
      <c r="AJ10" s="297">
        <v>1</v>
      </c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7">
        <v>1</v>
      </c>
      <c r="AX10" s="296"/>
      <c r="AY10" s="296"/>
      <c r="AZ10" s="296"/>
      <c r="BA10" s="297">
        <v>1</v>
      </c>
      <c r="BB10" s="296"/>
      <c r="BC10" s="296"/>
      <c r="BD10" s="296"/>
      <c r="BE10" s="296"/>
      <c r="BF10" s="296"/>
      <c r="BG10" s="296"/>
      <c r="BH10" s="296"/>
      <c r="BI10" s="296"/>
      <c r="BJ10" s="296"/>
      <c r="BK10" s="297">
        <v>1</v>
      </c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7">
        <v>1</v>
      </c>
      <c r="CL10" s="296"/>
      <c r="CM10" s="296"/>
      <c r="CN10" s="296"/>
      <c r="CO10" s="296"/>
      <c r="CP10" s="296"/>
      <c r="CQ10" s="296"/>
      <c r="CR10" s="296"/>
      <c r="CS10" s="296"/>
      <c r="CT10" s="298">
        <v>46692</v>
      </c>
    </row>
    <row r="11" spans="1:98" s="295" customFormat="1" ht="22.5" customHeight="1">
      <c r="A11" s="296" t="s">
        <v>8486</v>
      </c>
      <c r="B11" s="296" t="s">
        <v>8487</v>
      </c>
      <c r="C11" s="297">
        <v>28</v>
      </c>
      <c r="D11" s="296" t="s">
        <v>1162</v>
      </c>
      <c r="E11" s="296" t="s">
        <v>8488</v>
      </c>
      <c r="F11" s="296" t="s">
        <v>112</v>
      </c>
      <c r="G11" s="296"/>
      <c r="H11" s="297">
        <v>1</v>
      </c>
      <c r="I11" s="296"/>
      <c r="J11" s="296"/>
      <c r="K11" s="296"/>
      <c r="L11" s="296"/>
      <c r="M11" s="296"/>
      <c r="N11" s="296"/>
      <c r="O11" s="297">
        <v>1</v>
      </c>
      <c r="P11" s="296"/>
      <c r="Q11" s="296"/>
      <c r="R11" s="297">
        <v>1</v>
      </c>
      <c r="S11" s="296"/>
      <c r="T11" s="296"/>
      <c r="U11" s="296"/>
      <c r="V11" s="297">
        <v>1</v>
      </c>
      <c r="W11" s="297">
        <v>15</v>
      </c>
      <c r="X11" s="297">
        <v>17</v>
      </c>
      <c r="Y11" s="297">
        <v>22</v>
      </c>
      <c r="Z11" s="297">
        <v>2</v>
      </c>
      <c r="AA11" s="297">
        <v>2</v>
      </c>
      <c r="AB11" s="297">
        <v>2</v>
      </c>
      <c r="AC11" s="296"/>
      <c r="AD11" s="296"/>
      <c r="AE11" s="297">
        <v>1</v>
      </c>
      <c r="AF11" s="296"/>
      <c r="AG11" s="296"/>
      <c r="AH11" s="297">
        <v>1</v>
      </c>
      <c r="AI11" s="297">
        <v>1</v>
      </c>
      <c r="AJ11" s="296"/>
      <c r="AK11" s="297">
        <v>1</v>
      </c>
      <c r="AL11" s="296"/>
      <c r="AM11" s="296"/>
      <c r="AN11" s="296"/>
      <c r="AO11" s="296"/>
      <c r="AP11" s="296"/>
      <c r="AQ11" s="296"/>
      <c r="AR11" s="296"/>
      <c r="AS11" s="296"/>
      <c r="AT11" s="297">
        <v>1</v>
      </c>
      <c r="AU11" s="296"/>
      <c r="AV11" s="296"/>
      <c r="AW11" s="296"/>
      <c r="AX11" s="297">
        <v>1</v>
      </c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7">
        <v>1</v>
      </c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6"/>
      <c r="CS11" s="296"/>
      <c r="CT11" s="298">
        <v>46692</v>
      </c>
    </row>
    <row r="12" spans="1:98" s="295" customFormat="1" ht="19.5" customHeight="1">
      <c r="A12" s="296" t="s">
        <v>8489</v>
      </c>
      <c r="B12" s="296" t="s">
        <v>8490</v>
      </c>
      <c r="C12" s="297">
        <v>29</v>
      </c>
      <c r="D12" s="296" t="s">
        <v>1131</v>
      </c>
      <c r="E12" s="296" t="s">
        <v>8491</v>
      </c>
      <c r="F12" s="296" t="s">
        <v>3067</v>
      </c>
      <c r="G12" s="296"/>
      <c r="H12" s="296"/>
      <c r="I12" s="296"/>
      <c r="J12" s="297">
        <v>1</v>
      </c>
      <c r="K12" s="296"/>
      <c r="L12" s="296"/>
      <c r="M12" s="297">
        <v>1</v>
      </c>
      <c r="N12" s="296"/>
      <c r="O12" s="296"/>
      <c r="P12" s="296"/>
      <c r="Q12" s="297">
        <v>1</v>
      </c>
      <c r="R12" s="296"/>
      <c r="S12" s="296"/>
      <c r="T12" s="296"/>
      <c r="U12" s="297">
        <v>1</v>
      </c>
      <c r="V12" s="296"/>
      <c r="W12" s="297">
        <v>13</v>
      </c>
      <c r="X12" s="297">
        <v>19</v>
      </c>
      <c r="Y12" s="297">
        <v>24</v>
      </c>
      <c r="Z12" s="297">
        <v>2</v>
      </c>
      <c r="AA12" s="297">
        <v>2</v>
      </c>
      <c r="AB12" s="297">
        <v>2</v>
      </c>
      <c r="AC12" s="296"/>
      <c r="AD12" s="296"/>
      <c r="AE12" s="296"/>
      <c r="AF12" s="296"/>
      <c r="AG12" s="297">
        <v>1</v>
      </c>
      <c r="AH12" s="297">
        <v>1</v>
      </c>
      <c r="AI12" s="296"/>
      <c r="AJ12" s="297">
        <v>1</v>
      </c>
      <c r="AK12" s="297">
        <v>1</v>
      </c>
      <c r="AL12" s="296"/>
      <c r="AM12" s="296"/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7">
        <v>1</v>
      </c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7">
        <v>1</v>
      </c>
      <c r="BY12" s="297">
        <v>1</v>
      </c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6"/>
      <c r="CS12" s="296"/>
      <c r="CT12" s="343">
        <v>45962</v>
      </c>
    </row>
    <row r="13" spans="1:98" s="295" customFormat="1" ht="20.25" customHeight="1">
      <c r="A13" s="296" t="s">
        <v>8492</v>
      </c>
      <c r="B13" s="296" t="s">
        <v>8493</v>
      </c>
      <c r="C13" s="297">
        <v>25</v>
      </c>
      <c r="D13" s="296" t="s">
        <v>1162</v>
      </c>
      <c r="E13" s="296" t="s">
        <v>8494</v>
      </c>
      <c r="F13" s="296" t="s">
        <v>4990</v>
      </c>
      <c r="G13" s="296"/>
      <c r="H13" s="297">
        <v>1</v>
      </c>
      <c r="I13" s="296"/>
      <c r="J13" s="296"/>
      <c r="K13" s="296"/>
      <c r="L13" s="297">
        <v>1</v>
      </c>
      <c r="M13" s="296"/>
      <c r="N13" s="296"/>
      <c r="O13" s="296"/>
      <c r="P13" s="296"/>
      <c r="Q13" s="296" t="s">
        <v>191</v>
      </c>
      <c r="R13" s="296"/>
      <c r="S13" s="296"/>
      <c r="T13" s="296"/>
      <c r="U13" s="297">
        <v>1</v>
      </c>
      <c r="V13" s="297">
        <v>1</v>
      </c>
      <c r="W13" s="297">
        <v>14</v>
      </c>
      <c r="X13" s="297">
        <v>18</v>
      </c>
      <c r="Y13" s="297">
        <v>18</v>
      </c>
      <c r="Z13" s="297">
        <v>2</v>
      </c>
      <c r="AA13" s="297">
        <v>2</v>
      </c>
      <c r="AB13" s="297">
        <v>2</v>
      </c>
      <c r="AC13" s="296"/>
      <c r="AD13" s="296"/>
      <c r="AE13" s="296"/>
      <c r="AF13" s="296"/>
      <c r="AG13" s="296"/>
      <c r="AH13" s="297">
        <v>1</v>
      </c>
      <c r="AI13" s="297">
        <v>1</v>
      </c>
      <c r="AJ13" s="296"/>
      <c r="AK13" s="297">
        <v>1</v>
      </c>
      <c r="AL13" s="296"/>
      <c r="AM13" s="296"/>
      <c r="AN13" s="296"/>
      <c r="AO13" s="296"/>
      <c r="AP13" s="296"/>
      <c r="AQ13" s="296"/>
      <c r="AR13" s="296"/>
      <c r="AS13" s="296"/>
      <c r="AT13" s="297">
        <v>1</v>
      </c>
      <c r="AU13" s="296"/>
      <c r="AV13" s="296"/>
      <c r="AW13" s="297">
        <v>1</v>
      </c>
      <c r="AX13" s="296"/>
      <c r="AY13" s="296"/>
      <c r="AZ13" s="296"/>
      <c r="BA13" s="297">
        <v>1</v>
      </c>
      <c r="BB13" s="296"/>
      <c r="BC13" s="296"/>
      <c r="BD13" s="296"/>
      <c r="BE13" s="296"/>
      <c r="BF13" s="296"/>
      <c r="BG13" s="296"/>
      <c r="BH13" s="296"/>
      <c r="BI13" s="296"/>
      <c r="BJ13" s="296"/>
      <c r="BK13" s="297">
        <v>1</v>
      </c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6"/>
      <c r="CS13" s="296"/>
      <c r="CT13" s="298">
        <v>46692</v>
      </c>
    </row>
    <row r="14" spans="1:98" s="295" customFormat="1" ht="18" customHeight="1">
      <c r="A14" s="296" t="s">
        <v>8495</v>
      </c>
      <c r="B14" s="296" t="s">
        <v>8496</v>
      </c>
      <c r="C14" s="297">
        <v>28</v>
      </c>
      <c r="D14" s="296" t="s">
        <v>1459</v>
      </c>
      <c r="E14" s="296" t="s">
        <v>8497</v>
      </c>
      <c r="F14" s="296" t="s">
        <v>112</v>
      </c>
      <c r="G14" s="297">
        <v>1</v>
      </c>
      <c r="H14" s="296"/>
      <c r="I14" s="296"/>
      <c r="J14" s="296"/>
      <c r="K14" s="296"/>
      <c r="L14" s="296"/>
      <c r="M14" s="297">
        <v>1</v>
      </c>
      <c r="N14" s="296"/>
      <c r="O14" s="296"/>
      <c r="P14" s="296"/>
      <c r="Q14" s="297">
        <v>1</v>
      </c>
      <c r="R14" s="296"/>
      <c r="S14" s="296"/>
      <c r="T14" s="297">
        <v>1</v>
      </c>
      <c r="U14" s="296"/>
      <c r="V14" s="296"/>
      <c r="W14" s="297">
        <v>16</v>
      </c>
      <c r="X14" s="297">
        <v>18</v>
      </c>
      <c r="Y14" s="297">
        <v>25</v>
      </c>
      <c r="Z14" s="297">
        <v>1</v>
      </c>
      <c r="AA14" s="297">
        <v>1</v>
      </c>
      <c r="AB14" s="297">
        <v>1</v>
      </c>
      <c r="AC14" s="296"/>
      <c r="AD14" s="296"/>
      <c r="AE14" s="297">
        <v>1</v>
      </c>
      <c r="AF14" s="296"/>
      <c r="AG14" s="296"/>
      <c r="AH14" s="297">
        <v>1</v>
      </c>
      <c r="AI14" s="297">
        <v>1</v>
      </c>
      <c r="AJ14" s="296"/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6"/>
      <c r="AX14" s="297">
        <v>1</v>
      </c>
      <c r="AY14" s="296"/>
      <c r="AZ14" s="296"/>
      <c r="BA14" s="296"/>
      <c r="BB14" s="297">
        <v>1</v>
      </c>
      <c r="BC14" s="296"/>
      <c r="BD14" s="296"/>
      <c r="BE14" s="296"/>
      <c r="BF14" s="296"/>
      <c r="BG14" s="297">
        <v>1</v>
      </c>
      <c r="BH14" s="296"/>
      <c r="BI14" s="296"/>
      <c r="BJ14" s="296"/>
      <c r="BK14" s="296" t="s">
        <v>362</v>
      </c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7">
        <v>1</v>
      </c>
      <c r="CC14" s="296"/>
      <c r="CD14" s="296"/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6"/>
      <c r="CS14" s="296"/>
      <c r="CT14" s="298">
        <v>46692</v>
      </c>
    </row>
    <row r="15" spans="1:98" s="295" customFormat="1" ht="20.25" customHeight="1">
      <c r="A15" s="296" t="s">
        <v>8498</v>
      </c>
      <c r="B15" s="296" t="s">
        <v>8499</v>
      </c>
      <c r="C15" s="297">
        <v>27</v>
      </c>
      <c r="D15" s="296" t="s">
        <v>1409</v>
      </c>
      <c r="E15" s="296" t="s">
        <v>8500</v>
      </c>
      <c r="F15" s="296" t="s">
        <v>4990</v>
      </c>
      <c r="G15" s="296"/>
      <c r="H15" s="296"/>
      <c r="I15" s="297">
        <v>1</v>
      </c>
      <c r="J15" s="296"/>
      <c r="K15" s="296"/>
      <c r="L15" s="297">
        <v>1</v>
      </c>
      <c r="M15" s="296"/>
      <c r="N15" s="296"/>
      <c r="O15" s="296"/>
      <c r="P15" s="296"/>
      <c r="Q15" s="296" t="s">
        <v>191</v>
      </c>
      <c r="R15" s="296"/>
      <c r="S15" s="296"/>
      <c r="T15" s="297">
        <v>1</v>
      </c>
      <c r="U15" s="296"/>
      <c r="V15" s="296"/>
      <c r="W15" s="297">
        <v>14</v>
      </c>
      <c r="X15" s="297">
        <v>16</v>
      </c>
      <c r="Y15" s="296" t="s">
        <v>191</v>
      </c>
      <c r="Z15" s="297">
        <v>0</v>
      </c>
      <c r="AA15" s="297">
        <v>0</v>
      </c>
      <c r="AB15" s="297">
        <v>0</v>
      </c>
      <c r="AC15" s="296"/>
      <c r="AD15" s="296"/>
      <c r="AE15" s="296"/>
      <c r="AF15" s="296"/>
      <c r="AG15" s="296"/>
      <c r="AH15" s="297">
        <v>1</v>
      </c>
      <c r="AI15" s="297">
        <v>1</v>
      </c>
      <c r="AJ15" s="296"/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6"/>
      <c r="AX15" s="296"/>
      <c r="AY15" s="297">
        <v>1</v>
      </c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7">
        <v>1</v>
      </c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6"/>
      <c r="CS15" s="296"/>
      <c r="CT15" s="298">
        <v>46692</v>
      </c>
    </row>
    <row r="16" spans="1:98" s="295" customFormat="1" ht="18" customHeight="1">
      <c r="A16" s="296" t="s">
        <v>8501</v>
      </c>
      <c r="B16" s="296" t="s">
        <v>8502</v>
      </c>
      <c r="C16" s="297">
        <v>27</v>
      </c>
      <c r="D16" s="296" t="s">
        <v>1131</v>
      </c>
      <c r="E16" s="296" t="s">
        <v>8503</v>
      </c>
      <c r="F16" s="296" t="s">
        <v>4990</v>
      </c>
      <c r="G16" s="296"/>
      <c r="H16" s="297">
        <v>1</v>
      </c>
      <c r="I16" s="296"/>
      <c r="J16" s="296"/>
      <c r="K16" s="296"/>
      <c r="L16" s="297">
        <v>1</v>
      </c>
      <c r="M16" s="296"/>
      <c r="N16" s="296"/>
      <c r="O16" s="296"/>
      <c r="P16" s="296"/>
      <c r="Q16" s="296" t="s">
        <v>191</v>
      </c>
      <c r="R16" s="296"/>
      <c r="S16" s="296"/>
      <c r="T16" s="296"/>
      <c r="U16" s="296"/>
      <c r="V16" s="297">
        <v>1</v>
      </c>
      <c r="W16" s="297">
        <v>17</v>
      </c>
      <c r="X16" s="297">
        <v>23</v>
      </c>
      <c r="Y16" s="297">
        <v>26</v>
      </c>
      <c r="Z16" s="297">
        <v>1</v>
      </c>
      <c r="AA16" s="297">
        <v>1</v>
      </c>
      <c r="AB16" s="297">
        <v>1</v>
      </c>
      <c r="AC16" s="296"/>
      <c r="AD16" s="296"/>
      <c r="AE16" s="297">
        <v>1</v>
      </c>
      <c r="AF16" s="296"/>
      <c r="AG16" s="296"/>
      <c r="AH16" s="296"/>
      <c r="AI16" s="297">
        <v>1</v>
      </c>
      <c r="AJ16" s="296"/>
      <c r="AK16" s="297">
        <v>1</v>
      </c>
      <c r="AL16" s="296"/>
      <c r="AM16" s="296"/>
      <c r="AN16" s="296"/>
      <c r="AO16" s="296"/>
      <c r="AP16" s="296"/>
      <c r="AQ16" s="296"/>
      <c r="AR16" s="296"/>
      <c r="AS16" s="296"/>
      <c r="AT16" s="297">
        <v>1</v>
      </c>
      <c r="AU16" s="296"/>
      <c r="AV16" s="296"/>
      <c r="AW16" s="297">
        <v>1</v>
      </c>
      <c r="AX16" s="296"/>
      <c r="AY16" s="296"/>
      <c r="AZ16" s="296"/>
      <c r="BA16" s="297">
        <v>1</v>
      </c>
      <c r="BB16" s="296"/>
      <c r="BC16" s="296"/>
      <c r="BD16" s="296"/>
      <c r="BE16" s="296"/>
      <c r="BF16" s="296"/>
      <c r="BG16" s="296"/>
      <c r="BH16" s="296"/>
      <c r="BI16" s="296"/>
      <c r="BJ16" s="296"/>
      <c r="BK16" s="297">
        <v>1</v>
      </c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7">
        <v>1</v>
      </c>
      <c r="CC16" s="296"/>
      <c r="CD16" s="296"/>
      <c r="CE16" s="297">
        <v>1</v>
      </c>
      <c r="CF16" s="296"/>
      <c r="CG16" s="296"/>
      <c r="CH16" s="296"/>
      <c r="CI16" s="296"/>
      <c r="CJ16" s="296"/>
      <c r="CK16" s="297">
        <v>1</v>
      </c>
      <c r="CL16" s="296"/>
      <c r="CM16" s="296"/>
      <c r="CN16" s="296"/>
      <c r="CO16" s="296"/>
      <c r="CP16" s="296"/>
      <c r="CQ16" s="296"/>
      <c r="CR16" s="296"/>
      <c r="CS16" s="296"/>
      <c r="CT16" s="298">
        <v>46692</v>
      </c>
    </row>
    <row r="17" spans="1:98" s="295" customFormat="1" ht="18.75" customHeight="1">
      <c r="A17" s="296" t="s">
        <v>8504</v>
      </c>
      <c r="B17" s="296" t="s">
        <v>8505</v>
      </c>
      <c r="C17" s="297">
        <v>39</v>
      </c>
      <c r="D17" s="296" t="s">
        <v>8506</v>
      </c>
      <c r="E17" s="296" t="s">
        <v>8507</v>
      </c>
      <c r="F17" s="296" t="s">
        <v>4990</v>
      </c>
      <c r="G17" s="296"/>
      <c r="H17" s="296"/>
      <c r="I17" s="296"/>
      <c r="J17" s="297">
        <v>1</v>
      </c>
      <c r="K17" s="296"/>
      <c r="L17" s="296"/>
      <c r="M17" s="296"/>
      <c r="N17" s="296"/>
      <c r="O17" s="297">
        <v>1</v>
      </c>
      <c r="P17" s="296"/>
      <c r="Q17" s="296"/>
      <c r="R17" s="297">
        <v>1</v>
      </c>
      <c r="S17" s="296"/>
      <c r="T17" s="296"/>
      <c r="U17" s="296"/>
      <c r="V17" s="297">
        <v>1</v>
      </c>
      <c r="W17" s="297">
        <v>12</v>
      </c>
      <c r="X17" s="297">
        <v>17</v>
      </c>
      <c r="Y17" s="297">
        <v>17</v>
      </c>
      <c r="Z17" s="297">
        <v>5</v>
      </c>
      <c r="AA17" s="297">
        <v>4</v>
      </c>
      <c r="AB17" s="297">
        <v>4</v>
      </c>
      <c r="AC17" s="296"/>
      <c r="AD17" s="297">
        <v>1</v>
      </c>
      <c r="AE17" s="296"/>
      <c r="AF17" s="296"/>
      <c r="AG17" s="296"/>
      <c r="AH17" s="296"/>
      <c r="AI17" s="297">
        <v>1</v>
      </c>
      <c r="AJ17" s="296"/>
      <c r="AK17" s="297">
        <v>1</v>
      </c>
      <c r="AL17" s="296"/>
      <c r="AM17" s="296"/>
      <c r="AN17" s="296"/>
      <c r="AO17" s="296"/>
      <c r="AP17" s="296"/>
      <c r="AQ17" s="296"/>
      <c r="AR17" s="296"/>
      <c r="AS17" s="296"/>
      <c r="AT17" s="297">
        <v>1</v>
      </c>
      <c r="AU17" s="296"/>
      <c r="AV17" s="296"/>
      <c r="AW17" s="296"/>
      <c r="AX17" s="297">
        <v>1</v>
      </c>
      <c r="AY17" s="296"/>
      <c r="AZ17" s="296"/>
      <c r="BA17" s="296"/>
      <c r="BB17" s="297">
        <v>1</v>
      </c>
      <c r="BC17" s="296"/>
      <c r="BD17" s="296"/>
      <c r="BE17" s="296"/>
      <c r="BF17" s="296"/>
      <c r="BG17" s="297">
        <v>1</v>
      </c>
      <c r="BH17" s="296"/>
      <c r="BI17" s="296"/>
      <c r="BJ17" s="296"/>
      <c r="BK17" s="297">
        <v>1</v>
      </c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7">
        <v>1</v>
      </c>
      <c r="CC17" s="296"/>
      <c r="CD17" s="296"/>
      <c r="CE17" s="297">
        <v>1</v>
      </c>
      <c r="CF17" s="296"/>
      <c r="CG17" s="296"/>
      <c r="CH17" s="296"/>
      <c r="CI17" s="296"/>
      <c r="CJ17" s="296"/>
      <c r="CK17" s="297">
        <v>1</v>
      </c>
      <c r="CL17" s="296"/>
      <c r="CM17" s="296"/>
      <c r="CN17" s="296"/>
      <c r="CO17" s="296"/>
      <c r="CP17" s="296"/>
      <c r="CQ17" s="296"/>
      <c r="CR17" s="296"/>
      <c r="CS17" s="296"/>
      <c r="CT17" s="298">
        <v>46692</v>
      </c>
    </row>
    <row r="18" spans="1:98" s="295" customFormat="1" ht="18" customHeight="1">
      <c r="A18" s="296" t="s">
        <v>8508</v>
      </c>
      <c r="B18" s="296" t="s">
        <v>8509</v>
      </c>
      <c r="C18" s="297">
        <v>27</v>
      </c>
      <c r="D18" s="296" t="s">
        <v>5940</v>
      </c>
      <c r="E18" s="296" t="s">
        <v>8510</v>
      </c>
      <c r="F18" s="296" t="s">
        <v>8511</v>
      </c>
      <c r="G18" s="296"/>
      <c r="H18" s="297">
        <v>1</v>
      </c>
      <c r="I18" s="296"/>
      <c r="J18" s="296"/>
      <c r="K18" s="296"/>
      <c r="L18" s="296"/>
      <c r="M18" s="297">
        <v>1</v>
      </c>
      <c r="N18" s="296"/>
      <c r="O18" s="296"/>
      <c r="P18" s="296"/>
      <c r="Q18" s="297">
        <v>1</v>
      </c>
      <c r="R18" s="296"/>
      <c r="S18" s="296"/>
      <c r="T18" s="296"/>
      <c r="U18" s="297">
        <v>1</v>
      </c>
      <c r="V18" s="296"/>
      <c r="W18" s="297">
        <v>14</v>
      </c>
      <c r="X18" s="297">
        <v>17</v>
      </c>
      <c r="Y18" s="297">
        <v>24</v>
      </c>
      <c r="Z18" s="297">
        <v>2</v>
      </c>
      <c r="AA18" s="297">
        <v>2</v>
      </c>
      <c r="AB18" s="297">
        <v>2</v>
      </c>
      <c r="AC18" s="297">
        <v>1</v>
      </c>
      <c r="AD18" s="296"/>
      <c r="AE18" s="296"/>
      <c r="AF18" s="296"/>
      <c r="AG18" s="296"/>
      <c r="AH18" s="296"/>
      <c r="AI18" s="297">
        <v>1</v>
      </c>
      <c r="AJ18" s="296"/>
      <c r="AK18" s="297">
        <v>1</v>
      </c>
      <c r="AL18" s="296"/>
      <c r="AM18" s="296"/>
      <c r="AN18" s="296"/>
      <c r="AO18" s="296"/>
      <c r="AP18" s="296"/>
      <c r="AQ18" s="296"/>
      <c r="AR18" s="296"/>
      <c r="AS18" s="296"/>
      <c r="AT18" s="297">
        <v>1</v>
      </c>
      <c r="AU18" s="296"/>
      <c r="AV18" s="296"/>
      <c r="AW18" s="297">
        <v>1</v>
      </c>
      <c r="AX18" s="296"/>
      <c r="AY18" s="296"/>
      <c r="AZ18" s="296"/>
      <c r="BA18" s="297">
        <v>1</v>
      </c>
      <c r="BB18" s="296"/>
      <c r="BC18" s="296"/>
      <c r="BD18" s="296"/>
      <c r="BE18" s="296"/>
      <c r="BF18" s="296"/>
      <c r="BG18" s="296"/>
      <c r="BH18" s="296"/>
      <c r="BI18" s="296"/>
      <c r="BJ18" s="296"/>
      <c r="BK18" s="297">
        <v>1</v>
      </c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7">
        <v>1</v>
      </c>
      <c r="CC18" s="296"/>
      <c r="CD18" s="296"/>
      <c r="CE18" s="297">
        <v>1</v>
      </c>
      <c r="CF18" s="296"/>
      <c r="CG18" s="296"/>
      <c r="CH18" s="296"/>
      <c r="CI18" s="296"/>
      <c r="CJ18" s="296"/>
      <c r="CK18" s="297">
        <v>1</v>
      </c>
      <c r="CL18" s="296"/>
      <c r="CM18" s="296"/>
      <c r="CN18" s="296"/>
      <c r="CO18" s="296"/>
      <c r="CP18" s="296"/>
      <c r="CQ18" s="296"/>
      <c r="CR18" s="296"/>
      <c r="CS18" s="296"/>
      <c r="CT18" s="298">
        <v>46692</v>
      </c>
    </row>
    <row r="19" spans="1:98" s="295" customFormat="1" ht="19.5" customHeight="1">
      <c r="A19" s="296" t="s">
        <v>8512</v>
      </c>
      <c r="B19" s="296" t="s">
        <v>8513</v>
      </c>
      <c r="C19" s="297">
        <v>28</v>
      </c>
      <c r="D19" s="296" t="s">
        <v>1107</v>
      </c>
      <c r="E19" s="296" t="s">
        <v>8514</v>
      </c>
      <c r="F19" s="296" t="s">
        <v>389</v>
      </c>
      <c r="G19" s="297">
        <v>1</v>
      </c>
      <c r="H19" s="296"/>
      <c r="I19" s="296"/>
      <c r="J19" s="296"/>
      <c r="K19" s="296"/>
      <c r="L19" s="297">
        <v>1</v>
      </c>
      <c r="M19" s="296"/>
      <c r="N19" s="296"/>
      <c r="O19" s="296"/>
      <c r="P19" s="296"/>
      <c r="Q19" s="297">
        <v>1</v>
      </c>
      <c r="R19" s="296"/>
      <c r="S19" s="296"/>
      <c r="T19" s="296"/>
      <c r="U19" s="297">
        <v>1</v>
      </c>
      <c r="V19" s="296"/>
      <c r="W19" s="297">
        <v>17</v>
      </c>
      <c r="X19" s="297">
        <v>21</v>
      </c>
      <c r="Y19" s="297">
        <v>23</v>
      </c>
      <c r="Z19" s="297">
        <v>2</v>
      </c>
      <c r="AA19" s="297">
        <v>2</v>
      </c>
      <c r="AB19" s="297">
        <v>2</v>
      </c>
      <c r="AC19" s="297">
        <v>1</v>
      </c>
      <c r="AD19" s="296"/>
      <c r="AE19" s="296"/>
      <c r="AF19" s="296"/>
      <c r="AG19" s="296"/>
      <c r="AH19" s="296"/>
      <c r="AI19" s="297">
        <v>1</v>
      </c>
      <c r="AJ19" s="296"/>
      <c r="AK19" s="297">
        <v>1</v>
      </c>
      <c r="AL19" s="296"/>
      <c r="AM19" s="296"/>
      <c r="AN19" s="296"/>
      <c r="AO19" s="296"/>
      <c r="AP19" s="296"/>
      <c r="AQ19" s="296"/>
      <c r="AR19" s="296"/>
      <c r="AS19" s="296"/>
      <c r="AT19" s="297">
        <v>1</v>
      </c>
      <c r="AU19" s="296"/>
      <c r="AV19" s="296"/>
      <c r="AW19" s="297">
        <v>1</v>
      </c>
      <c r="AX19" s="296"/>
      <c r="AY19" s="296"/>
      <c r="AZ19" s="296"/>
      <c r="BA19" s="296"/>
      <c r="BB19" s="297">
        <v>1</v>
      </c>
      <c r="BC19" s="296"/>
      <c r="BD19" s="296"/>
      <c r="BE19" s="296"/>
      <c r="BF19" s="296"/>
      <c r="BG19" s="297">
        <v>1</v>
      </c>
      <c r="BH19" s="296"/>
      <c r="BI19" s="296"/>
      <c r="BJ19" s="296"/>
      <c r="BK19" s="296" t="s">
        <v>362</v>
      </c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7">
        <v>1</v>
      </c>
      <c r="CC19" s="296"/>
      <c r="CD19" s="296"/>
      <c r="CE19" s="297">
        <v>1</v>
      </c>
      <c r="CF19" s="296"/>
      <c r="CG19" s="296"/>
      <c r="CH19" s="296"/>
      <c r="CI19" s="296"/>
      <c r="CJ19" s="296"/>
      <c r="CK19" s="297">
        <v>1</v>
      </c>
      <c r="CL19" s="296"/>
      <c r="CM19" s="296"/>
      <c r="CN19" s="296"/>
      <c r="CO19" s="296"/>
      <c r="CP19" s="296"/>
      <c r="CQ19" s="296"/>
      <c r="CR19" s="296"/>
      <c r="CS19" s="296"/>
      <c r="CT19" s="298">
        <v>46692</v>
      </c>
    </row>
    <row r="20" spans="1:98" s="295" customFormat="1" ht="21" customHeight="1">
      <c r="A20" s="296" t="s">
        <v>8515</v>
      </c>
      <c r="B20" s="296" t="s">
        <v>8516</v>
      </c>
      <c r="C20" s="297">
        <v>25</v>
      </c>
      <c r="D20" s="296" t="s">
        <v>2360</v>
      </c>
      <c r="E20" s="296" t="s">
        <v>8517</v>
      </c>
      <c r="F20" s="296" t="s">
        <v>112</v>
      </c>
      <c r="G20" s="296"/>
      <c r="H20" s="296"/>
      <c r="I20" s="296"/>
      <c r="J20" s="297">
        <v>1</v>
      </c>
      <c r="K20" s="296"/>
      <c r="L20" s="296"/>
      <c r="M20" s="297">
        <v>1</v>
      </c>
      <c r="N20" s="296"/>
      <c r="O20" s="296"/>
      <c r="P20" s="296"/>
      <c r="Q20" s="297">
        <v>1</v>
      </c>
      <c r="R20" s="296"/>
      <c r="S20" s="296"/>
      <c r="T20" s="296"/>
      <c r="U20" s="297">
        <v>1</v>
      </c>
      <c r="V20" s="296"/>
      <c r="W20" s="297">
        <v>14</v>
      </c>
      <c r="X20" s="297">
        <v>17</v>
      </c>
      <c r="Y20" s="297">
        <v>19</v>
      </c>
      <c r="Z20" s="297">
        <v>2</v>
      </c>
      <c r="AA20" s="297">
        <v>2</v>
      </c>
      <c r="AB20" s="297">
        <v>2</v>
      </c>
      <c r="AC20" s="296"/>
      <c r="AD20" s="296"/>
      <c r="AE20" s="296"/>
      <c r="AF20" s="296"/>
      <c r="AG20" s="296"/>
      <c r="AH20" s="297">
        <v>1</v>
      </c>
      <c r="AI20" s="297">
        <v>1</v>
      </c>
      <c r="AJ20" s="296"/>
      <c r="AK20" s="297">
        <v>1</v>
      </c>
      <c r="AL20" s="296"/>
      <c r="AM20" s="296"/>
      <c r="AN20" s="296"/>
      <c r="AO20" s="296"/>
      <c r="AP20" s="296"/>
      <c r="AQ20" s="296"/>
      <c r="AR20" s="296"/>
      <c r="AS20" s="296"/>
      <c r="AT20" s="297">
        <v>1</v>
      </c>
      <c r="AU20" s="296"/>
      <c r="AV20" s="296"/>
      <c r="AW20" s="297">
        <v>1</v>
      </c>
      <c r="AX20" s="296"/>
      <c r="AY20" s="296"/>
      <c r="AZ20" s="296"/>
      <c r="BA20" s="297">
        <v>1</v>
      </c>
      <c r="BB20" s="296"/>
      <c r="BC20" s="296"/>
      <c r="BD20" s="296"/>
      <c r="BE20" s="296"/>
      <c r="BF20" s="296"/>
      <c r="BG20" s="296"/>
      <c r="BH20" s="296"/>
      <c r="BI20" s="296"/>
      <c r="BJ20" s="296"/>
      <c r="BK20" s="296" t="s">
        <v>362</v>
      </c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7">
        <v>1</v>
      </c>
      <c r="CC20" s="296"/>
      <c r="CD20" s="296"/>
      <c r="CE20" s="297">
        <v>1</v>
      </c>
      <c r="CF20" s="296"/>
      <c r="CG20" s="296"/>
      <c r="CH20" s="296"/>
      <c r="CI20" s="296"/>
      <c r="CJ20" s="296"/>
      <c r="CK20" s="297">
        <v>1</v>
      </c>
      <c r="CL20" s="296"/>
      <c r="CM20" s="296"/>
      <c r="CN20" s="296"/>
      <c r="CO20" s="296"/>
      <c r="CP20" s="296"/>
      <c r="CQ20" s="296"/>
      <c r="CR20" s="296"/>
      <c r="CS20" s="296"/>
      <c r="CT20" s="298">
        <v>46692</v>
      </c>
    </row>
    <row r="21" spans="1:98" s="295" customFormat="1" ht="20.25" customHeight="1">
      <c r="A21" s="296" t="s">
        <v>8518</v>
      </c>
      <c r="B21" s="296" t="s">
        <v>8519</v>
      </c>
      <c r="C21" s="297">
        <v>28</v>
      </c>
      <c r="D21" s="296" t="s">
        <v>1131</v>
      </c>
      <c r="E21" s="296" t="s">
        <v>8520</v>
      </c>
      <c r="F21" s="296" t="s">
        <v>112</v>
      </c>
      <c r="G21" s="296"/>
      <c r="H21" s="297">
        <v>1</v>
      </c>
      <c r="I21" s="296"/>
      <c r="J21" s="296"/>
      <c r="K21" s="296"/>
      <c r="L21" s="296"/>
      <c r="M21" s="296"/>
      <c r="N21" s="297">
        <v>1</v>
      </c>
      <c r="O21" s="296"/>
      <c r="P21" s="296"/>
      <c r="Q21" s="296"/>
      <c r="R21" s="297">
        <v>1</v>
      </c>
      <c r="S21" s="296"/>
      <c r="T21" s="296"/>
      <c r="U21" s="297">
        <v>1</v>
      </c>
      <c r="V21" s="296"/>
      <c r="W21" s="297">
        <v>13</v>
      </c>
      <c r="X21" s="297">
        <v>15</v>
      </c>
      <c r="Y21" s="297">
        <v>17</v>
      </c>
      <c r="Z21" s="297">
        <v>5</v>
      </c>
      <c r="AA21" s="297">
        <v>2</v>
      </c>
      <c r="AB21" s="297">
        <v>2</v>
      </c>
      <c r="AC21" s="297">
        <v>1</v>
      </c>
      <c r="AD21" s="296"/>
      <c r="AE21" s="296"/>
      <c r="AF21" s="296"/>
      <c r="AG21" s="296"/>
      <c r="AH21" s="296"/>
      <c r="AI21" s="297">
        <v>1</v>
      </c>
      <c r="AJ21" s="296"/>
      <c r="AK21" s="297">
        <v>1</v>
      </c>
      <c r="AL21" s="296"/>
      <c r="AM21" s="296"/>
      <c r="AN21" s="296"/>
      <c r="AO21" s="296"/>
      <c r="AP21" s="296"/>
      <c r="AQ21" s="296"/>
      <c r="AR21" s="296"/>
      <c r="AS21" s="296"/>
      <c r="AT21" s="297">
        <v>1</v>
      </c>
      <c r="AU21" s="296"/>
      <c r="AV21" s="296"/>
      <c r="AW21" s="296"/>
      <c r="AX21" s="296"/>
      <c r="AY21" s="297">
        <v>1</v>
      </c>
      <c r="AZ21" s="296"/>
      <c r="BA21" s="297">
        <v>1</v>
      </c>
      <c r="BB21" s="296"/>
      <c r="BC21" s="296"/>
      <c r="BD21" s="296"/>
      <c r="BE21" s="296"/>
      <c r="BF21" s="296"/>
      <c r="BG21" s="296"/>
      <c r="BH21" s="296"/>
      <c r="BI21" s="296"/>
      <c r="BJ21" s="296"/>
      <c r="BK21" s="296" t="s">
        <v>362</v>
      </c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7">
        <v>1</v>
      </c>
      <c r="CC21" s="296"/>
      <c r="CD21" s="296"/>
      <c r="CE21" s="297">
        <v>1</v>
      </c>
      <c r="CF21" s="296"/>
      <c r="CG21" s="296"/>
      <c r="CH21" s="296"/>
      <c r="CI21" s="296"/>
      <c r="CJ21" s="296"/>
      <c r="CK21" s="297">
        <v>1</v>
      </c>
      <c r="CL21" s="296"/>
      <c r="CM21" s="296"/>
      <c r="CN21" s="296"/>
      <c r="CO21" s="296"/>
      <c r="CP21" s="296"/>
      <c r="CQ21" s="296"/>
      <c r="CR21" s="296"/>
      <c r="CS21" s="296"/>
      <c r="CT21" s="298">
        <v>46692</v>
      </c>
    </row>
    <row r="22" spans="1:98" s="295" customFormat="1" ht="16.5" customHeight="1">
      <c r="A22" s="296" t="s">
        <v>8521</v>
      </c>
      <c r="B22" s="296" t="s">
        <v>8522</v>
      </c>
      <c r="C22" s="297">
        <v>30</v>
      </c>
      <c r="D22" s="296" t="s">
        <v>1162</v>
      </c>
      <c r="E22" s="296" t="s">
        <v>8523</v>
      </c>
      <c r="F22" s="296" t="s">
        <v>112</v>
      </c>
      <c r="G22" s="296"/>
      <c r="H22" s="296"/>
      <c r="I22" s="297">
        <v>1</v>
      </c>
      <c r="J22" s="296"/>
      <c r="K22" s="296"/>
      <c r="L22" s="297">
        <v>1</v>
      </c>
      <c r="M22" s="296"/>
      <c r="N22" s="296"/>
      <c r="O22" s="296"/>
      <c r="P22" s="296"/>
      <c r="Q22" s="296" t="s">
        <v>191</v>
      </c>
      <c r="R22" s="296"/>
      <c r="S22" s="296"/>
      <c r="T22" s="296"/>
      <c r="U22" s="296"/>
      <c r="V22" s="297">
        <v>1</v>
      </c>
      <c r="W22" s="297">
        <v>13</v>
      </c>
      <c r="X22" s="297">
        <v>20</v>
      </c>
      <c r="Y22" s="297">
        <v>29</v>
      </c>
      <c r="Z22" s="297">
        <v>2</v>
      </c>
      <c r="AA22" s="297">
        <v>1</v>
      </c>
      <c r="AB22" s="297">
        <v>1</v>
      </c>
      <c r="AC22" s="297">
        <v>1</v>
      </c>
      <c r="AD22" s="296"/>
      <c r="AE22" s="296"/>
      <c r="AF22" s="296"/>
      <c r="AG22" s="296"/>
      <c r="AH22" s="296"/>
      <c r="AI22" s="297">
        <v>1</v>
      </c>
      <c r="AJ22" s="296"/>
      <c r="AK22" s="297">
        <v>1</v>
      </c>
      <c r="AL22" s="296"/>
      <c r="AM22" s="296"/>
      <c r="AN22" s="296"/>
      <c r="AO22" s="296"/>
      <c r="AP22" s="296"/>
      <c r="AQ22" s="296"/>
      <c r="AR22" s="296"/>
      <c r="AS22" s="296"/>
      <c r="AT22" s="297">
        <v>1</v>
      </c>
      <c r="AU22" s="296"/>
      <c r="AV22" s="296"/>
      <c r="AW22" s="297">
        <v>1</v>
      </c>
      <c r="AX22" s="296"/>
      <c r="AY22" s="296"/>
      <c r="AZ22" s="296"/>
      <c r="BA22" s="297">
        <v>1</v>
      </c>
      <c r="BB22" s="296"/>
      <c r="BC22" s="296"/>
      <c r="BD22" s="296"/>
      <c r="BE22" s="296"/>
      <c r="BF22" s="296"/>
      <c r="BG22" s="296"/>
      <c r="BH22" s="296"/>
      <c r="BI22" s="296"/>
      <c r="BJ22" s="296"/>
      <c r="BK22" s="297">
        <v>1</v>
      </c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7">
        <v>1</v>
      </c>
      <c r="CC22" s="296"/>
      <c r="CD22" s="296"/>
      <c r="CE22" s="297">
        <v>1</v>
      </c>
      <c r="CF22" s="296"/>
      <c r="CG22" s="296"/>
      <c r="CH22" s="296"/>
      <c r="CI22" s="296"/>
      <c r="CJ22" s="296"/>
      <c r="CK22" s="297">
        <v>1</v>
      </c>
      <c r="CL22" s="296"/>
      <c r="CM22" s="296"/>
      <c r="CN22" s="296"/>
      <c r="CO22" s="296"/>
      <c r="CP22" s="296"/>
      <c r="CQ22" s="296"/>
      <c r="CR22" s="296"/>
      <c r="CS22" s="296"/>
      <c r="CT22" s="298">
        <v>46692</v>
      </c>
    </row>
    <row r="23" spans="1:98" s="295" customFormat="1" ht="16.5" customHeight="1">
      <c r="A23" s="296" t="s">
        <v>8524</v>
      </c>
      <c r="B23" s="296" t="s">
        <v>8525</v>
      </c>
      <c r="C23" s="297">
        <v>34</v>
      </c>
      <c r="D23" s="296" t="s">
        <v>2327</v>
      </c>
      <c r="E23" s="296" t="s">
        <v>8526</v>
      </c>
      <c r="F23" s="296" t="s">
        <v>5215</v>
      </c>
      <c r="G23" s="296"/>
      <c r="H23" s="296"/>
      <c r="I23" s="296"/>
      <c r="J23" s="297">
        <v>1</v>
      </c>
      <c r="K23" s="296"/>
      <c r="L23" s="297">
        <v>1</v>
      </c>
      <c r="M23" s="296"/>
      <c r="N23" s="296"/>
      <c r="O23" s="296"/>
      <c r="P23" s="296"/>
      <c r="Q23" s="296" t="s">
        <v>191</v>
      </c>
      <c r="R23" s="296"/>
      <c r="S23" s="296"/>
      <c r="T23" s="296"/>
      <c r="U23" s="296"/>
      <c r="V23" s="297">
        <v>1</v>
      </c>
      <c r="W23" s="342"/>
      <c r="X23" s="342"/>
      <c r="Y23" s="296" t="s">
        <v>191</v>
      </c>
      <c r="Z23" s="297">
        <v>0</v>
      </c>
      <c r="AA23" s="297">
        <v>0</v>
      </c>
      <c r="AB23" s="297">
        <v>0</v>
      </c>
      <c r="AC23" s="297">
        <v>1</v>
      </c>
      <c r="AD23" s="296"/>
      <c r="AE23" s="296"/>
      <c r="AF23" s="296"/>
      <c r="AG23" s="296"/>
      <c r="AH23" s="296"/>
      <c r="AI23" s="297">
        <v>1</v>
      </c>
      <c r="AJ23" s="296"/>
      <c r="AK23" s="297">
        <v>1</v>
      </c>
      <c r="AL23" s="296"/>
      <c r="AM23" s="296"/>
      <c r="AN23" s="296"/>
      <c r="AO23" s="296"/>
      <c r="AP23" s="296"/>
      <c r="AQ23" s="296"/>
      <c r="AR23" s="296"/>
      <c r="AS23" s="296"/>
      <c r="AT23" s="297">
        <v>1</v>
      </c>
      <c r="AU23" s="296"/>
      <c r="AV23" s="296"/>
      <c r="AW23" s="297">
        <v>1</v>
      </c>
      <c r="AX23" s="296"/>
      <c r="AY23" s="296"/>
      <c r="AZ23" s="296"/>
      <c r="BA23" s="296"/>
      <c r="BB23" s="297">
        <v>1</v>
      </c>
      <c r="BC23" s="296"/>
      <c r="BD23" s="296"/>
      <c r="BE23" s="296"/>
      <c r="BF23" s="296"/>
      <c r="BG23" s="297">
        <v>1</v>
      </c>
      <c r="BH23" s="296"/>
      <c r="BI23" s="296"/>
      <c r="BJ23" s="296"/>
      <c r="BK23" s="296" t="s">
        <v>362</v>
      </c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7">
        <v>1</v>
      </c>
      <c r="CC23" s="296"/>
      <c r="CD23" s="296"/>
      <c r="CE23" s="297">
        <v>1</v>
      </c>
      <c r="CF23" s="296"/>
      <c r="CG23" s="296"/>
      <c r="CH23" s="296"/>
      <c r="CI23" s="296"/>
      <c r="CJ23" s="296"/>
      <c r="CK23" s="297">
        <v>1</v>
      </c>
      <c r="CL23" s="296"/>
      <c r="CM23" s="296"/>
      <c r="CN23" s="296"/>
      <c r="CO23" s="296"/>
      <c r="CP23" s="296"/>
      <c r="CQ23" s="296"/>
      <c r="CR23" s="296"/>
      <c r="CS23" s="296"/>
      <c r="CT23" s="298">
        <v>46692</v>
      </c>
    </row>
    <row r="24" spans="1:98" s="295" customFormat="1" ht="15.75" customHeight="1">
      <c r="A24" s="296" t="s">
        <v>8527</v>
      </c>
      <c r="B24" s="296" t="s">
        <v>7854</v>
      </c>
      <c r="C24" s="297">
        <v>32</v>
      </c>
      <c r="D24" s="296" t="s">
        <v>1162</v>
      </c>
      <c r="E24" s="296" t="s">
        <v>8528</v>
      </c>
      <c r="F24" s="296" t="s">
        <v>112</v>
      </c>
      <c r="G24" s="296"/>
      <c r="H24" s="296"/>
      <c r="I24" s="297">
        <v>1</v>
      </c>
      <c r="J24" s="296"/>
      <c r="K24" s="296"/>
      <c r="L24" s="296"/>
      <c r="M24" s="297">
        <v>1</v>
      </c>
      <c r="N24" s="296"/>
      <c r="O24" s="296"/>
      <c r="P24" s="296"/>
      <c r="Q24" s="297">
        <v>1</v>
      </c>
      <c r="R24" s="296"/>
      <c r="S24" s="296"/>
      <c r="T24" s="296"/>
      <c r="U24" s="297">
        <v>1</v>
      </c>
      <c r="V24" s="296"/>
      <c r="W24" s="297">
        <v>16</v>
      </c>
      <c r="X24" s="297">
        <v>17</v>
      </c>
      <c r="Y24" s="297">
        <v>17</v>
      </c>
      <c r="Z24" s="297">
        <v>3</v>
      </c>
      <c r="AA24" s="297">
        <v>3</v>
      </c>
      <c r="AB24" s="297">
        <v>3</v>
      </c>
      <c r="AC24" s="296"/>
      <c r="AD24" s="296"/>
      <c r="AE24" s="297">
        <v>1</v>
      </c>
      <c r="AF24" s="296"/>
      <c r="AG24" s="296"/>
      <c r="AH24" s="297">
        <v>1</v>
      </c>
      <c r="AI24" s="297">
        <v>1</v>
      </c>
      <c r="AJ24" s="296"/>
      <c r="AK24" s="297">
        <v>1</v>
      </c>
      <c r="AL24" s="296"/>
      <c r="AM24" s="296"/>
      <c r="AN24" s="296"/>
      <c r="AO24" s="296"/>
      <c r="AP24" s="296"/>
      <c r="AQ24" s="296"/>
      <c r="AR24" s="296"/>
      <c r="AS24" s="296"/>
      <c r="AT24" s="297">
        <v>1</v>
      </c>
      <c r="AU24" s="296"/>
      <c r="AV24" s="296"/>
      <c r="AW24" s="297">
        <v>1</v>
      </c>
      <c r="AX24" s="296"/>
      <c r="AY24" s="296"/>
      <c r="AZ24" s="296"/>
      <c r="BA24" s="297">
        <v>1</v>
      </c>
      <c r="BB24" s="296"/>
      <c r="BC24" s="296"/>
      <c r="BD24" s="296"/>
      <c r="BE24" s="296"/>
      <c r="BF24" s="296"/>
      <c r="BG24" s="296"/>
      <c r="BH24" s="296"/>
      <c r="BI24" s="296"/>
      <c r="BJ24" s="296"/>
      <c r="BK24" s="297">
        <v>1</v>
      </c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7">
        <v>1</v>
      </c>
      <c r="CC24" s="296"/>
      <c r="CD24" s="296"/>
      <c r="CE24" s="297">
        <v>1</v>
      </c>
      <c r="CF24" s="296"/>
      <c r="CG24" s="296"/>
      <c r="CH24" s="296"/>
      <c r="CI24" s="296"/>
      <c r="CJ24" s="296"/>
      <c r="CK24" s="297">
        <v>1</v>
      </c>
      <c r="CL24" s="296"/>
      <c r="CM24" s="296"/>
      <c r="CN24" s="296"/>
      <c r="CO24" s="296"/>
      <c r="CP24" s="296"/>
      <c r="CQ24" s="296"/>
      <c r="CR24" s="296"/>
      <c r="CS24" s="296"/>
      <c r="CT24" s="298">
        <v>46692</v>
      </c>
    </row>
    <row r="25" spans="1:98" s="295" customFormat="1"/>
    <row r="26" spans="1:98" s="295" customFormat="1"/>
    <row r="27" spans="1:98" s="295" customFormat="1"/>
  </sheetData>
  <mergeCells count="25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BG6:BH6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  <pageSetup orientation="portrait" horizontalDpi="300" verticalDpi="300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C9" sqref="C9"/>
    </sheetView>
  </sheetViews>
  <sheetFormatPr defaultRowHeight="15"/>
  <cols>
    <col min="1" max="1" width="15.5703125" customWidth="1"/>
  </cols>
  <sheetData>
    <row r="1" spans="1:33">
      <c r="A1" s="358"/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</row>
    <row r="2" spans="1:33" ht="26.25">
      <c r="A2" s="570" t="s">
        <v>351</v>
      </c>
      <c r="B2" s="571" t="s">
        <v>352</v>
      </c>
      <c r="C2" s="571"/>
      <c r="D2" s="571"/>
      <c r="E2" s="571"/>
      <c r="F2" s="564" t="s">
        <v>353</v>
      </c>
      <c r="G2" s="564"/>
      <c r="H2" s="564"/>
      <c r="I2" s="325"/>
      <c r="J2" s="325"/>
      <c r="K2" s="564" t="s">
        <v>354</v>
      </c>
      <c r="L2" s="564"/>
      <c r="M2" s="564"/>
      <c r="N2" s="564"/>
      <c r="O2" s="564"/>
      <c r="P2" s="564"/>
      <c r="Q2" s="564" t="s">
        <v>355</v>
      </c>
      <c r="R2" s="564"/>
      <c r="S2" s="564"/>
      <c r="T2" s="564"/>
      <c r="U2" s="564" t="s">
        <v>356</v>
      </c>
      <c r="V2" s="564"/>
      <c r="W2" s="564"/>
      <c r="X2" s="564"/>
      <c r="Y2" s="564"/>
      <c r="Z2" s="564"/>
      <c r="AA2" s="569" t="s">
        <v>357</v>
      </c>
      <c r="AB2" s="569"/>
      <c r="AC2" s="569"/>
      <c r="AD2" s="569"/>
      <c r="AE2" s="569"/>
      <c r="AF2" s="360" t="s">
        <v>356</v>
      </c>
      <c r="AG2" s="358"/>
    </row>
    <row r="3" spans="1:33" ht="30">
      <c r="A3" s="570"/>
      <c r="B3" s="345" t="s">
        <v>358</v>
      </c>
      <c r="C3" s="345" t="s">
        <v>359</v>
      </c>
      <c r="D3" s="345" t="s">
        <v>360</v>
      </c>
      <c r="E3" s="345" t="s">
        <v>361</v>
      </c>
      <c r="F3" s="346" t="s">
        <v>3106</v>
      </c>
      <c r="G3" s="346" t="s">
        <v>358</v>
      </c>
      <c r="H3" s="347" t="s">
        <v>362</v>
      </c>
      <c r="I3" s="346" t="s">
        <v>3429</v>
      </c>
      <c r="J3" s="348" t="s">
        <v>361</v>
      </c>
      <c r="K3" s="346" t="s">
        <v>96</v>
      </c>
      <c r="L3" s="346" t="s">
        <v>84</v>
      </c>
      <c r="M3" s="346" t="s">
        <v>98</v>
      </c>
      <c r="N3" s="346" t="s">
        <v>38</v>
      </c>
      <c r="O3" s="346" t="s">
        <v>930</v>
      </c>
      <c r="P3" s="348" t="s">
        <v>361</v>
      </c>
      <c r="Q3" s="346" t="s">
        <v>91</v>
      </c>
      <c r="R3" s="346" t="s">
        <v>362</v>
      </c>
      <c r="S3" s="346" t="s">
        <v>363</v>
      </c>
      <c r="T3" s="348" t="s">
        <v>361</v>
      </c>
      <c r="U3" s="346" t="s">
        <v>364</v>
      </c>
      <c r="V3" s="346" t="s">
        <v>91</v>
      </c>
      <c r="W3" s="346" t="s">
        <v>365</v>
      </c>
      <c r="X3" s="346" t="s">
        <v>366</v>
      </c>
      <c r="Y3" s="346" t="s">
        <v>367</v>
      </c>
      <c r="Z3" s="325"/>
      <c r="AA3" s="361" t="s">
        <v>96</v>
      </c>
      <c r="AB3" s="361" t="s">
        <v>97</v>
      </c>
      <c r="AC3" s="361" t="s">
        <v>98</v>
      </c>
      <c r="AD3" s="363" t="s">
        <v>360</v>
      </c>
      <c r="AE3" s="361" t="s">
        <v>369</v>
      </c>
      <c r="AF3" s="362" t="s">
        <v>365</v>
      </c>
      <c r="AG3" s="364" t="s">
        <v>3430</v>
      </c>
    </row>
    <row r="4" spans="1:33">
      <c r="A4" s="349" t="s">
        <v>1361</v>
      </c>
      <c r="B4" s="350">
        <v>1</v>
      </c>
      <c r="C4" s="325"/>
      <c r="D4" s="325"/>
      <c r="E4" s="350">
        <v>1</v>
      </c>
      <c r="F4" s="351">
        <v>1</v>
      </c>
      <c r="G4" s="325"/>
      <c r="H4" s="325"/>
      <c r="I4" s="325"/>
      <c r="J4" s="352">
        <v>1</v>
      </c>
      <c r="K4" s="325"/>
      <c r="L4" s="325"/>
      <c r="M4" s="325"/>
      <c r="N4" s="325"/>
      <c r="O4" s="325"/>
      <c r="P4" s="352">
        <v>0</v>
      </c>
      <c r="Q4" s="351">
        <v>1</v>
      </c>
      <c r="R4" s="325"/>
      <c r="S4" s="351">
        <v>1</v>
      </c>
      <c r="T4" s="352">
        <v>2</v>
      </c>
      <c r="U4" s="325"/>
      <c r="V4" s="325"/>
      <c r="W4" s="325"/>
      <c r="X4" s="325"/>
      <c r="Y4" s="325"/>
      <c r="Z4" s="325"/>
      <c r="AA4" s="365">
        <v>1</v>
      </c>
      <c r="AB4" s="358"/>
      <c r="AC4" s="358"/>
      <c r="AD4" s="358"/>
      <c r="AE4" s="366">
        <v>1</v>
      </c>
      <c r="AF4" s="358"/>
      <c r="AG4" s="358"/>
    </row>
    <row r="5" spans="1:33">
      <c r="A5" s="349" t="s">
        <v>8529</v>
      </c>
      <c r="B5" s="350">
        <v>14</v>
      </c>
      <c r="C5" s="325"/>
      <c r="D5" s="325"/>
      <c r="E5" s="350">
        <v>14</v>
      </c>
      <c r="F5" s="351">
        <v>1</v>
      </c>
      <c r="G5" s="351">
        <v>7</v>
      </c>
      <c r="H5" s="351">
        <v>6</v>
      </c>
      <c r="I5" s="325"/>
      <c r="J5" s="352">
        <v>14</v>
      </c>
      <c r="K5" s="325"/>
      <c r="L5" s="325"/>
      <c r="M5" s="325"/>
      <c r="N5" s="325"/>
      <c r="O5" s="325"/>
      <c r="P5" s="352">
        <v>0</v>
      </c>
      <c r="Q5" s="351">
        <v>1</v>
      </c>
      <c r="R5" s="325"/>
      <c r="S5" s="351">
        <v>1</v>
      </c>
      <c r="T5" s="352">
        <v>2</v>
      </c>
      <c r="U5" s="325"/>
      <c r="V5" s="325"/>
      <c r="W5" s="325"/>
      <c r="X5" s="325"/>
      <c r="Y5" s="325"/>
      <c r="Z5" s="325"/>
      <c r="AA5" s="365">
        <v>13</v>
      </c>
      <c r="AB5" s="365">
        <v>1</v>
      </c>
      <c r="AC5" s="358"/>
      <c r="AD5" s="358"/>
      <c r="AE5" s="366">
        <v>14</v>
      </c>
      <c r="AF5" s="365">
        <v>1</v>
      </c>
      <c r="AG5" s="358"/>
    </row>
    <row r="6" spans="1:33">
      <c r="A6" s="349" t="s">
        <v>1095</v>
      </c>
      <c r="B6" s="350">
        <v>6</v>
      </c>
      <c r="C6" s="325"/>
      <c r="D6" s="325"/>
      <c r="E6" s="350">
        <v>6</v>
      </c>
      <c r="F6" s="325"/>
      <c r="G6" s="351">
        <v>4</v>
      </c>
      <c r="H6" s="351">
        <v>2</v>
      </c>
      <c r="I6" s="325"/>
      <c r="J6" s="352">
        <v>6</v>
      </c>
      <c r="K6" s="325"/>
      <c r="L6" s="325"/>
      <c r="M6" s="325"/>
      <c r="N6" s="325"/>
      <c r="O6" s="325"/>
      <c r="P6" s="352">
        <v>0</v>
      </c>
      <c r="Q6" s="325"/>
      <c r="R6" s="325"/>
      <c r="S6" s="325"/>
      <c r="T6" s="352">
        <v>0</v>
      </c>
      <c r="U6" s="325"/>
      <c r="V6" s="325"/>
      <c r="W6" s="325"/>
      <c r="X6" s="325"/>
      <c r="Y6" s="325"/>
      <c r="Z6" s="325"/>
      <c r="AA6" s="365">
        <v>6</v>
      </c>
      <c r="AB6" s="358"/>
      <c r="AC6" s="358"/>
      <c r="AD6" s="358"/>
      <c r="AE6" s="366">
        <v>6</v>
      </c>
      <c r="AF6" s="358"/>
      <c r="AG6" s="358"/>
    </row>
    <row r="7" spans="1:33">
      <c r="A7" s="356" t="s">
        <v>376</v>
      </c>
      <c r="B7" s="350">
        <v>21</v>
      </c>
      <c r="C7" s="350">
        <v>0</v>
      </c>
      <c r="D7" s="350">
        <v>0</v>
      </c>
      <c r="E7" s="350">
        <v>21</v>
      </c>
      <c r="F7" s="350">
        <v>2</v>
      </c>
      <c r="G7" s="350">
        <v>11</v>
      </c>
      <c r="H7" s="350">
        <v>8</v>
      </c>
      <c r="I7" s="350">
        <v>0</v>
      </c>
      <c r="J7" s="352">
        <v>21</v>
      </c>
      <c r="K7" s="357">
        <v>0</v>
      </c>
      <c r="L7" s="357">
        <v>0</v>
      </c>
      <c r="M7" s="357">
        <v>0</v>
      </c>
      <c r="N7" s="357">
        <v>0</v>
      </c>
      <c r="O7" s="357">
        <v>0</v>
      </c>
      <c r="P7" s="352">
        <v>0</v>
      </c>
      <c r="Q7" s="357">
        <v>2</v>
      </c>
      <c r="R7" s="357">
        <v>0</v>
      </c>
      <c r="S7" s="357">
        <v>2</v>
      </c>
      <c r="T7" s="352">
        <v>4</v>
      </c>
      <c r="U7" s="357">
        <v>0</v>
      </c>
      <c r="V7" s="357">
        <v>0</v>
      </c>
      <c r="W7" s="357">
        <v>0</v>
      </c>
      <c r="X7" s="357">
        <v>0</v>
      </c>
      <c r="Y7" s="357">
        <v>0</v>
      </c>
      <c r="Z7" s="357">
        <v>0</v>
      </c>
      <c r="AA7" s="365">
        <v>20</v>
      </c>
      <c r="AB7" s="365">
        <v>1</v>
      </c>
      <c r="AC7" s="365">
        <v>0</v>
      </c>
      <c r="AD7" s="365">
        <v>0</v>
      </c>
      <c r="AE7" s="366">
        <v>21</v>
      </c>
      <c r="AF7" s="365">
        <v>1</v>
      </c>
      <c r="AG7" s="365">
        <v>0</v>
      </c>
    </row>
  </sheetData>
  <mergeCells count="7">
    <mergeCell ref="AA2:AE2"/>
    <mergeCell ref="A2:A3"/>
    <mergeCell ref="B2:E2"/>
    <mergeCell ref="F2:H2"/>
    <mergeCell ref="K2:P2"/>
    <mergeCell ref="Q2:T2"/>
    <mergeCell ref="U2:Z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2"/>
  <sheetViews>
    <sheetView topLeftCell="CD1" workbookViewId="0">
      <selection activeCell="CS2" sqref="CS2"/>
    </sheetView>
  </sheetViews>
  <sheetFormatPr defaultRowHeight="15"/>
  <sheetData>
    <row r="1" spans="1:98" s="327" customFormat="1">
      <c r="A1" s="582" t="s">
        <v>8530</v>
      </c>
      <c r="B1" s="583"/>
      <c r="C1" s="367" t="s">
        <v>8531</v>
      </c>
      <c r="D1" s="367"/>
      <c r="E1" s="367"/>
      <c r="F1" s="582" t="s">
        <v>2</v>
      </c>
      <c r="G1" s="586"/>
      <c r="H1" s="586"/>
      <c r="I1" s="586"/>
      <c r="J1" s="586"/>
      <c r="K1" s="583"/>
      <c r="L1" s="582" t="s">
        <v>3</v>
      </c>
      <c r="M1" s="586"/>
      <c r="N1" s="586"/>
      <c r="O1" s="586"/>
      <c r="P1" s="583"/>
      <c r="S1" s="576" t="s">
        <v>5</v>
      </c>
      <c r="T1" s="584"/>
      <c r="U1" s="584"/>
      <c r="V1" s="577"/>
      <c r="W1" s="572" t="s">
        <v>6</v>
      </c>
      <c r="X1" s="580"/>
      <c r="Y1" s="580"/>
      <c r="Z1" s="580"/>
      <c r="AA1" s="580"/>
      <c r="AB1" s="573"/>
      <c r="AC1" s="572" t="s">
        <v>7</v>
      </c>
      <c r="AD1" s="580"/>
      <c r="AE1" s="580"/>
      <c r="AF1" s="580"/>
      <c r="AG1" s="580"/>
      <c r="AH1" s="573"/>
      <c r="AI1" s="572" t="s">
        <v>8</v>
      </c>
      <c r="AJ1" s="573"/>
      <c r="AK1" s="576" t="s">
        <v>9</v>
      </c>
      <c r="AL1" s="584"/>
      <c r="AM1" s="577"/>
      <c r="AN1" s="572" t="s">
        <v>10</v>
      </c>
      <c r="AO1" s="580"/>
      <c r="AP1" s="573"/>
      <c r="AQ1" s="576" t="s">
        <v>11</v>
      </c>
      <c r="AR1" s="584"/>
      <c r="AS1" s="577"/>
      <c r="AT1" s="572" t="s">
        <v>12</v>
      </c>
      <c r="AU1" s="573"/>
      <c r="AV1" s="572" t="s">
        <v>13</v>
      </c>
      <c r="AW1" s="580"/>
      <c r="AX1" s="580"/>
      <c r="AY1" s="580"/>
      <c r="AZ1" s="573"/>
      <c r="BA1" s="572" t="s">
        <v>8129</v>
      </c>
      <c r="BB1" s="580"/>
      <c r="BC1" s="573"/>
      <c r="BD1" s="572" t="s">
        <v>3542</v>
      </c>
      <c r="BE1" s="580"/>
      <c r="BF1" s="573"/>
      <c r="BG1" s="572" t="s">
        <v>15</v>
      </c>
      <c r="BH1" s="573"/>
      <c r="BI1" s="582" t="s">
        <v>16</v>
      </c>
      <c r="BJ1" s="586"/>
      <c r="BK1" s="583"/>
      <c r="BL1" s="572" t="s">
        <v>354</v>
      </c>
      <c r="BM1" s="580"/>
      <c r="BN1" s="580"/>
      <c r="BO1" s="573"/>
      <c r="BP1" s="572" t="s">
        <v>8130</v>
      </c>
      <c r="BQ1" s="580"/>
      <c r="BR1" s="573"/>
      <c r="BS1" s="576" t="s">
        <v>18</v>
      </c>
      <c r="BT1" s="577"/>
      <c r="BW1" s="572" t="s">
        <v>8131</v>
      </c>
      <c r="BX1" s="580"/>
      <c r="BY1" s="573"/>
      <c r="CB1" s="572" t="s">
        <v>8132</v>
      </c>
      <c r="CC1" s="580"/>
      <c r="CD1" s="573"/>
      <c r="CE1" s="572" t="s">
        <v>8133</v>
      </c>
      <c r="CF1" s="580"/>
      <c r="CG1" s="573"/>
      <c r="CH1" s="572" t="s">
        <v>6832</v>
      </c>
      <c r="CI1" s="573"/>
      <c r="CK1" s="572" t="s">
        <v>16</v>
      </c>
      <c r="CL1" s="580"/>
      <c r="CM1" s="580"/>
      <c r="CN1" s="573"/>
      <c r="CO1" s="572" t="s">
        <v>24</v>
      </c>
      <c r="CP1" s="573"/>
      <c r="CQ1" s="572" t="s">
        <v>25</v>
      </c>
      <c r="CR1" s="573"/>
    </row>
    <row r="2" spans="1:98" s="327" customFormat="1">
      <c r="S2" s="578"/>
      <c r="T2" s="585"/>
      <c r="U2" s="585"/>
      <c r="V2" s="579"/>
      <c r="W2" s="574"/>
      <c r="X2" s="581"/>
      <c r="Y2" s="581"/>
      <c r="Z2" s="581"/>
      <c r="AA2" s="581"/>
      <c r="AB2" s="575"/>
      <c r="AC2" s="574"/>
      <c r="AD2" s="581"/>
      <c r="AE2" s="581"/>
      <c r="AF2" s="581"/>
      <c r="AG2" s="581"/>
      <c r="AH2" s="575"/>
      <c r="AI2" s="574"/>
      <c r="AJ2" s="575"/>
      <c r="AK2" s="578"/>
      <c r="AL2" s="585"/>
      <c r="AM2" s="579"/>
      <c r="AN2" s="574"/>
      <c r="AO2" s="581"/>
      <c r="AP2" s="575"/>
      <c r="AQ2" s="578"/>
      <c r="AR2" s="585"/>
      <c r="AS2" s="579"/>
      <c r="AT2" s="574"/>
      <c r="AU2" s="575"/>
      <c r="AV2" s="574"/>
      <c r="AW2" s="581"/>
      <c r="AX2" s="581"/>
      <c r="AY2" s="581"/>
      <c r="AZ2" s="575"/>
      <c r="BA2" s="574"/>
      <c r="BB2" s="581"/>
      <c r="BC2" s="575"/>
      <c r="BD2" s="574"/>
      <c r="BE2" s="581"/>
      <c r="BF2" s="575"/>
      <c r="BG2" s="574"/>
      <c r="BH2" s="575"/>
      <c r="BI2" s="327" t="s">
        <v>5582</v>
      </c>
      <c r="BJ2" s="327" t="s">
        <v>78</v>
      </c>
      <c r="BL2" s="574"/>
      <c r="BM2" s="581"/>
      <c r="BN2" s="581"/>
      <c r="BO2" s="575"/>
      <c r="BP2" s="574"/>
      <c r="BQ2" s="581"/>
      <c r="BR2" s="575"/>
      <c r="BS2" s="578"/>
      <c r="BT2" s="579"/>
      <c r="BW2" s="574"/>
      <c r="BX2" s="581"/>
      <c r="BY2" s="575"/>
      <c r="CB2" s="574"/>
      <c r="CC2" s="581"/>
      <c r="CD2" s="575"/>
      <c r="CE2" s="574"/>
      <c r="CF2" s="581"/>
      <c r="CG2" s="575"/>
      <c r="CH2" s="574"/>
      <c r="CI2" s="575"/>
      <c r="CK2" s="574"/>
      <c r="CL2" s="581"/>
      <c r="CM2" s="581"/>
      <c r="CN2" s="575"/>
      <c r="CO2" s="574"/>
      <c r="CP2" s="575"/>
      <c r="CQ2" s="574"/>
      <c r="CR2" s="575"/>
      <c r="CS2" s="367" t="s">
        <v>893</v>
      </c>
    </row>
    <row r="3" spans="1:98" s="327" customFormat="1">
      <c r="A3" s="327" t="s">
        <v>28</v>
      </c>
      <c r="B3" s="327" t="s">
        <v>29</v>
      </c>
      <c r="C3" s="327" t="s">
        <v>30</v>
      </c>
      <c r="D3" s="327" t="s">
        <v>31</v>
      </c>
      <c r="E3" s="327" t="s">
        <v>32</v>
      </c>
      <c r="F3" s="327" t="s">
        <v>33</v>
      </c>
      <c r="G3" s="327" t="s">
        <v>34</v>
      </c>
      <c r="H3" s="327" t="s">
        <v>35</v>
      </c>
      <c r="I3" s="327" t="s">
        <v>36</v>
      </c>
      <c r="J3" s="327" t="s">
        <v>37</v>
      </c>
      <c r="K3" s="327" t="s">
        <v>38</v>
      </c>
      <c r="L3" s="327" t="s">
        <v>39</v>
      </c>
      <c r="M3" s="327" t="s">
        <v>40</v>
      </c>
      <c r="N3" s="327" t="s">
        <v>41</v>
      </c>
      <c r="O3" s="327" t="s">
        <v>42</v>
      </c>
      <c r="P3" s="327" t="s">
        <v>43</v>
      </c>
      <c r="Q3" s="327" t="s">
        <v>44</v>
      </c>
      <c r="R3" s="327" t="s">
        <v>45</v>
      </c>
      <c r="S3" s="327" t="s">
        <v>46</v>
      </c>
      <c r="T3" s="327" t="s">
        <v>47</v>
      </c>
      <c r="U3" s="327" t="s">
        <v>48</v>
      </c>
      <c r="V3" s="327" t="s">
        <v>49</v>
      </c>
      <c r="W3" s="327" t="s">
        <v>50</v>
      </c>
      <c r="X3" s="327" t="s">
        <v>51</v>
      </c>
      <c r="Y3" s="327" t="s">
        <v>52</v>
      </c>
      <c r="Z3" s="327" t="s">
        <v>53</v>
      </c>
      <c r="AA3" s="327" t="s">
        <v>54</v>
      </c>
      <c r="AB3" s="327" t="s">
        <v>55</v>
      </c>
      <c r="AC3" s="327" t="s">
        <v>56</v>
      </c>
      <c r="AD3" s="327" t="s">
        <v>57</v>
      </c>
      <c r="AE3" s="327" t="s">
        <v>58</v>
      </c>
      <c r="AF3" s="327" t="s">
        <v>59</v>
      </c>
      <c r="AG3" s="327" t="s">
        <v>60</v>
      </c>
      <c r="AH3" s="327" t="s">
        <v>61</v>
      </c>
      <c r="AI3" s="327" t="s">
        <v>62</v>
      </c>
      <c r="AJ3" s="327" t="s">
        <v>63</v>
      </c>
      <c r="AK3" s="327" t="s">
        <v>64</v>
      </c>
      <c r="AL3" s="327" t="s">
        <v>65</v>
      </c>
      <c r="AM3" s="327" t="s">
        <v>66</v>
      </c>
      <c r="AN3" s="327" t="s">
        <v>8464</v>
      </c>
      <c r="AO3" s="327" t="s">
        <v>68</v>
      </c>
      <c r="AP3" s="327" t="s">
        <v>69</v>
      </c>
      <c r="AQ3" s="327" t="s">
        <v>70</v>
      </c>
      <c r="AR3" s="327" t="s">
        <v>71</v>
      </c>
      <c r="AS3" s="327" t="s">
        <v>360</v>
      </c>
      <c r="AT3" s="327" t="s">
        <v>56</v>
      </c>
      <c r="AU3" s="327" t="s">
        <v>73</v>
      </c>
      <c r="AV3" s="327" t="s">
        <v>46</v>
      </c>
      <c r="AW3" s="327" t="s">
        <v>895</v>
      </c>
      <c r="AX3" s="327" t="s">
        <v>75</v>
      </c>
      <c r="AY3" s="327" t="s">
        <v>76</v>
      </c>
      <c r="AZ3" s="327" t="s">
        <v>77</v>
      </c>
      <c r="BA3" s="327" t="s">
        <v>56</v>
      </c>
      <c r="BB3" s="327" t="s">
        <v>78</v>
      </c>
      <c r="BC3" s="327" t="s">
        <v>5582</v>
      </c>
      <c r="BD3" s="327" t="s">
        <v>79</v>
      </c>
      <c r="BE3" s="327" t="s">
        <v>80</v>
      </c>
      <c r="BF3" s="327" t="s">
        <v>38</v>
      </c>
      <c r="BG3" s="327" t="s">
        <v>81</v>
      </c>
      <c r="BH3" s="327" t="s">
        <v>82</v>
      </c>
      <c r="BI3" s="327" t="s">
        <v>83</v>
      </c>
      <c r="BJ3" s="327" t="s">
        <v>83</v>
      </c>
      <c r="BK3" s="327" t="s">
        <v>81</v>
      </c>
      <c r="BL3" s="327" t="s">
        <v>96</v>
      </c>
      <c r="BM3" s="327" t="s">
        <v>84</v>
      </c>
      <c r="BN3" s="327" t="s">
        <v>85</v>
      </c>
      <c r="BO3" s="327" t="s">
        <v>86</v>
      </c>
      <c r="BP3" s="327" t="s">
        <v>73</v>
      </c>
      <c r="BQ3" s="327" t="s">
        <v>87</v>
      </c>
      <c r="BR3" s="327" t="s">
        <v>56</v>
      </c>
      <c r="BS3" s="327" t="s">
        <v>83</v>
      </c>
      <c r="BT3" s="327" t="s">
        <v>88</v>
      </c>
      <c r="BU3" s="327" t="s">
        <v>89</v>
      </c>
      <c r="BW3" s="327" t="s">
        <v>90</v>
      </c>
      <c r="BX3" s="327" t="s">
        <v>91</v>
      </c>
      <c r="BY3" s="327" t="s">
        <v>8532</v>
      </c>
      <c r="BZ3" s="327" t="s">
        <v>93</v>
      </c>
      <c r="CA3" s="327" t="s">
        <v>94</v>
      </c>
      <c r="CB3" s="327" t="s">
        <v>56</v>
      </c>
      <c r="CC3" s="327" t="s">
        <v>73</v>
      </c>
      <c r="CD3" s="327" t="s">
        <v>22</v>
      </c>
      <c r="CE3" s="327" t="s">
        <v>56</v>
      </c>
      <c r="CF3" s="327" t="s">
        <v>73</v>
      </c>
      <c r="CG3" s="327" t="s">
        <v>1275</v>
      </c>
      <c r="CH3" s="327" t="s">
        <v>83</v>
      </c>
      <c r="CI3" s="327" t="s">
        <v>88</v>
      </c>
      <c r="CJ3" s="327" t="s">
        <v>896</v>
      </c>
      <c r="CK3" s="327" t="s">
        <v>96</v>
      </c>
      <c r="CL3" s="327" t="s">
        <v>97</v>
      </c>
      <c r="CM3" s="327" t="s">
        <v>98</v>
      </c>
      <c r="CN3" s="327" t="s">
        <v>360</v>
      </c>
      <c r="CO3" s="327" t="s">
        <v>73</v>
      </c>
      <c r="CP3" s="327" t="s">
        <v>56</v>
      </c>
      <c r="CQ3" s="327" t="s">
        <v>99</v>
      </c>
      <c r="CR3" s="327" t="s">
        <v>56</v>
      </c>
      <c r="CT3" s="327" t="s">
        <v>100</v>
      </c>
    </row>
    <row r="4" spans="1:98">
      <c r="A4" t="s">
        <v>8533</v>
      </c>
      <c r="B4" t="s">
        <v>8534</v>
      </c>
      <c r="C4">
        <v>20</v>
      </c>
      <c r="D4" t="s">
        <v>8535</v>
      </c>
      <c r="E4" t="s">
        <v>8536</v>
      </c>
      <c r="F4" t="s">
        <v>330</v>
      </c>
      <c r="L4">
        <v>1</v>
      </c>
      <c r="Q4" t="s">
        <v>191</v>
      </c>
      <c r="U4">
        <v>1</v>
      </c>
      <c r="W4">
        <v>14</v>
      </c>
      <c r="X4">
        <v>18</v>
      </c>
      <c r="Y4" t="s">
        <v>191</v>
      </c>
      <c r="Z4">
        <v>0</v>
      </c>
      <c r="AA4">
        <v>0</v>
      </c>
      <c r="AB4">
        <v>0</v>
      </c>
      <c r="AH4">
        <v>1</v>
      </c>
      <c r="AI4">
        <v>1</v>
      </c>
      <c r="AM4">
        <v>1</v>
      </c>
      <c r="AT4">
        <v>1</v>
      </c>
      <c r="AW4">
        <v>1</v>
      </c>
      <c r="BA4">
        <v>1</v>
      </c>
      <c r="BK4">
        <v>1</v>
      </c>
      <c r="BY4">
        <v>1</v>
      </c>
      <c r="CB4">
        <v>1</v>
      </c>
      <c r="CE4">
        <v>1</v>
      </c>
      <c r="CN4">
        <v>1</v>
      </c>
      <c r="CT4" s="341">
        <v>46692</v>
      </c>
    </row>
    <row r="5" spans="1:98">
      <c r="A5" t="s">
        <v>8537</v>
      </c>
      <c r="B5" t="s">
        <v>8538</v>
      </c>
      <c r="C5">
        <v>20</v>
      </c>
      <c r="D5" t="s">
        <v>8535</v>
      </c>
      <c r="E5" t="s">
        <v>8539</v>
      </c>
      <c r="F5" t="s">
        <v>112</v>
      </c>
      <c r="H5">
        <v>1</v>
      </c>
      <c r="L5">
        <v>1</v>
      </c>
      <c r="Q5" t="s">
        <v>191</v>
      </c>
      <c r="U5">
        <v>1</v>
      </c>
      <c r="W5">
        <v>16</v>
      </c>
      <c r="X5">
        <v>18</v>
      </c>
      <c r="Y5" t="s">
        <v>191</v>
      </c>
      <c r="Z5">
        <v>0</v>
      </c>
      <c r="AA5">
        <v>0</v>
      </c>
      <c r="AB5">
        <v>0</v>
      </c>
      <c r="AH5">
        <v>1</v>
      </c>
      <c r="AI5">
        <v>1</v>
      </c>
      <c r="AK5">
        <v>1</v>
      </c>
      <c r="AT5">
        <v>1</v>
      </c>
      <c r="AW5">
        <v>1</v>
      </c>
      <c r="BA5">
        <v>1</v>
      </c>
      <c r="BO5">
        <v>1</v>
      </c>
      <c r="BY5">
        <v>1</v>
      </c>
      <c r="CB5">
        <v>1</v>
      </c>
      <c r="CE5">
        <v>1</v>
      </c>
      <c r="CN5">
        <v>1</v>
      </c>
      <c r="CT5" t="s">
        <v>8540</v>
      </c>
    </row>
    <row r="6" spans="1:98">
      <c r="A6" t="s">
        <v>8541</v>
      </c>
      <c r="B6" t="s">
        <v>8542</v>
      </c>
      <c r="C6">
        <v>23</v>
      </c>
      <c r="D6" t="s">
        <v>8535</v>
      </c>
      <c r="E6" t="s">
        <v>8543</v>
      </c>
      <c r="F6" t="s">
        <v>112</v>
      </c>
      <c r="G6">
        <v>1</v>
      </c>
      <c r="L6">
        <v>1</v>
      </c>
      <c r="Q6" t="s">
        <v>191</v>
      </c>
      <c r="V6">
        <v>1</v>
      </c>
      <c r="W6">
        <v>16</v>
      </c>
      <c r="X6">
        <v>18</v>
      </c>
      <c r="Y6" t="s">
        <v>191</v>
      </c>
      <c r="Z6">
        <v>0</v>
      </c>
      <c r="AA6">
        <v>0</v>
      </c>
      <c r="AB6">
        <v>0</v>
      </c>
      <c r="AH6">
        <v>1</v>
      </c>
      <c r="AI6">
        <v>1</v>
      </c>
      <c r="AK6">
        <v>1</v>
      </c>
      <c r="AT6">
        <v>1</v>
      </c>
      <c r="AW6">
        <v>1</v>
      </c>
      <c r="BA6">
        <v>1</v>
      </c>
      <c r="BO6">
        <v>1</v>
      </c>
      <c r="CB6">
        <v>1</v>
      </c>
      <c r="CE6">
        <v>1</v>
      </c>
      <c r="CN6">
        <v>1</v>
      </c>
      <c r="CT6" t="s">
        <v>8540</v>
      </c>
    </row>
    <row r="7" spans="1:98">
      <c r="A7" t="s">
        <v>8544</v>
      </c>
      <c r="B7" t="s">
        <v>2768</v>
      </c>
      <c r="C7">
        <v>43</v>
      </c>
      <c r="D7" t="s">
        <v>8545</v>
      </c>
      <c r="E7" t="s">
        <v>8546</v>
      </c>
      <c r="F7" t="s">
        <v>112</v>
      </c>
      <c r="J7">
        <v>1</v>
      </c>
      <c r="M7">
        <v>1</v>
      </c>
      <c r="Q7">
        <v>1</v>
      </c>
      <c r="T7">
        <v>1</v>
      </c>
      <c r="W7">
        <v>14</v>
      </c>
      <c r="X7">
        <v>28</v>
      </c>
      <c r="Y7">
        <v>29</v>
      </c>
      <c r="Z7">
        <v>1</v>
      </c>
      <c r="AA7">
        <v>1</v>
      </c>
      <c r="AB7">
        <v>1</v>
      </c>
      <c r="AC7">
        <v>1</v>
      </c>
      <c r="AI7">
        <v>1</v>
      </c>
      <c r="AK7">
        <v>1</v>
      </c>
      <c r="AT7">
        <v>1</v>
      </c>
      <c r="AW7">
        <v>1</v>
      </c>
      <c r="BA7">
        <v>1</v>
      </c>
      <c r="BO7">
        <v>1</v>
      </c>
      <c r="CB7">
        <v>1</v>
      </c>
      <c r="CE7">
        <v>1</v>
      </c>
      <c r="CN7">
        <v>1</v>
      </c>
      <c r="CT7" t="s">
        <v>8540</v>
      </c>
    </row>
    <row r="8" spans="1:98">
      <c r="A8" t="s">
        <v>8547</v>
      </c>
      <c r="B8" t="s">
        <v>8548</v>
      </c>
      <c r="C8">
        <v>52</v>
      </c>
      <c r="D8" t="s">
        <v>2807</v>
      </c>
      <c r="E8" t="s">
        <v>8549</v>
      </c>
      <c r="F8" t="s">
        <v>112</v>
      </c>
      <c r="H8">
        <v>1</v>
      </c>
      <c r="M8">
        <v>1</v>
      </c>
      <c r="Q8">
        <v>1</v>
      </c>
      <c r="V8">
        <v>1</v>
      </c>
      <c r="W8">
        <v>15</v>
      </c>
      <c r="X8">
        <v>16</v>
      </c>
      <c r="Y8">
        <v>20</v>
      </c>
      <c r="AB8">
        <v>4</v>
      </c>
      <c r="AC8">
        <v>1</v>
      </c>
      <c r="AI8">
        <v>1</v>
      </c>
      <c r="AK8">
        <v>1</v>
      </c>
      <c r="AT8">
        <v>1</v>
      </c>
      <c r="AY8">
        <v>1</v>
      </c>
      <c r="BA8">
        <v>1</v>
      </c>
      <c r="BO8">
        <v>1</v>
      </c>
      <c r="BY8">
        <v>1</v>
      </c>
      <c r="CB8">
        <v>1</v>
      </c>
      <c r="CF8">
        <v>1</v>
      </c>
      <c r="CG8">
        <v>2010</v>
      </c>
      <c r="CI8">
        <v>1</v>
      </c>
      <c r="CN8">
        <v>1</v>
      </c>
      <c r="CT8" s="341">
        <v>46692</v>
      </c>
    </row>
    <row r="9" spans="1:98">
      <c r="A9" t="s">
        <v>8550</v>
      </c>
      <c r="B9" t="s">
        <v>8551</v>
      </c>
      <c r="C9">
        <v>43</v>
      </c>
      <c r="D9" t="s">
        <v>8535</v>
      </c>
      <c r="E9" t="s">
        <v>191</v>
      </c>
      <c r="F9" t="s">
        <v>112</v>
      </c>
      <c r="J9">
        <v>1</v>
      </c>
      <c r="P9">
        <v>1</v>
      </c>
      <c r="Q9">
        <v>1</v>
      </c>
      <c r="T9">
        <v>1</v>
      </c>
      <c r="W9">
        <v>16</v>
      </c>
      <c r="X9">
        <v>17</v>
      </c>
      <c r="Y9">
        <v>19</v>
      </c>
      <c r="AB9">
        <v>1</v>
      </c>
      <c r="AE9">
        <v>1</v>
      </c>
      <c r="AI9">
        <v>1</v>
      </c>
      <c r="AK9">
        <v>1</v>
      </c>
      <c r="AT9">
        <v>1</v>
      </c>
      <c r="AW9">
        <v>1</v>
      </c>
      <c r="BA9">
        <v>1</v>
      </c>
      <c r="BL9">
        <v>1</v>
      </c>
      <c r="BY9">
        <v>1</v>
      </c>
      <c r="CB9">
        <v>1</v>
      </c>
      <c r="CE9">
        <v>1</v>
      </c>
      <c r="CN9">
        <v>1</v>
      </c>
      <c r="CT9" s="341">
        <v>46692</v>
      </c>
    </row>
    <row r="10" spans="1:98">
      <c r="A10" t="s">
        <v>8552</v>
      </c>
      <c r="B10" t="s">
        <v>8553</v>
      </c>
      <c r="C10">
        <v>36</v>
      </c>
      <c r="D10" t="s">
        <v>8554</v>
      </c>
      <c r="E10" t="s">
        <v>8555</v>
      </c>
      <c r="F10" t="s">
        <v>112</v>
      </c>
      <c r="I10">
        <v>1</v>
      </c>
      <c r="M10">
        <v>1</v>
      </c>
      <c r="R10">
        <v>1</v>
      </c>
      <c r="T10">
        <v>1</v>
      </c>
      <c r="W10">
        <v>19</v>
      </c>
      <c r="Z10">
        <v>3</v>
      </c>
      <c r="AA10">
        <v>3</v>
      </c>
      <c r="AB10">
        <v>2</v>
      </c>
      <c r="AD10">
        <v>1</v>
      </c>
      <c r="AG10">
        <v>1</v>
      </c>
      <c r="AH10">
        <v>1</v>
      </c>
      <c r="AI10">
        <v>1</v>
      </c>
      <c r="AK10">
        <v>1</v>
      </c>
      <c r="AT10">
        <v>1</v>
      </c>
      <c r="AW10">
        <v>1</v>
      </c>
      <c r="BA10">
        <v>1</v>
      </c>
      <c r="BK10">
        <v>1</v>
      </c>
      <c r="CB10">
        <v>1</v>
      </c>
      <c r="CE10">
        <v>1</v>
      </c>
      <c r="CN10">
        <v>1</v>
      </c>
      <c r="CT10" s="341">
        <v>46692</v>
      </c>
    </row>
    <row r="11" spans="1:98">
      <c r="A11" t="s">
        <v>8556</v>
      </c>
      <c r="B11" t="s">
        <v>8557</v>
      </c>
      <c r="C11">
        <v>40</v>
      </c>
      <c r="D11" t="s">
        <v>8558</v>
      </c>
      <c r="E11" t="s">
        <v>8559</v>
      </c>
      <c r="F11" t="s">
        <v>112</v>
      </c>
      <c r="G11">
        <v>1</v>
      </c>
      <c r="M11">
        <v>1</v>
      </c>
      <c r="Q11">
        <v>1</v>
      </c>
      <c r="V11">
        <v>1</v>
      </c>
      <c r="W11">
        <v>16</v>
      </c>
      <c r="X11">
        <v>18</v>
      </c>
      <c r="Y11">
        <v>20</v>
      </c>
      <c r="Z11">
        <v>5</v>
      </c>
      <c r="AA11">
        <v>4</v>
      </c>
      <c r="AB11">
        <v>4</v>
      </c>
      <c r="AC11">
        <v>1</v>
      </c>
      <c r="AJ11">
        <v>1</v>
      </c>
      <c r="AK11">
        <v>1</v>
      </c>
      <c r="AT11">
        <v>1</v>
      </c>
      <c r="AW11">
        <v>1</v>
      </c>
      <c r="BA11">
        <v>1</v>
      </c>
      <c r="BK11">
        <v>1</v>
      </c>
      <c r="CB11">
        <v>1</v>
      </c>
      <c r="CE11">
        <v>1</v>
      </c>
      <c r="CN11">
        <v>1</v>
      </c>
      <c r="CT11" s="341">
        <v>46692</v>
      </c>
    </row>
    <row r="12" spans="1:98">
      <c r="A12" t="s">
        <v>8560</v>
      </c>
      <c r="B12" t="s">
        <v>8561</v>
      </c>
      <c r="C12">
        <v>20</v>
      </c>
      <c r="D12" t="s">
        <v>8535</v>
      </c>
      <c r="E12" t="s">
        <v>8562</v>
      </c>
      <c r="F12" t="s">
        <v>2574</v>
      </c>
      <c r="G12">
        <v>1</v>
      </c>
      <c r="L12">
        <v>1</v>
      </c>
      <c r="Q12" t="s">
        <v>191</v>
      </c>
      <c r="V12">
        <v>1</v>
      </c>
      <c r="W12">
        <v>15</v>
      </c>
      <c r="X12">
        <v>16</v>
      </c>
      <c r="Z12">
        <v>1</v>
      </c>
      <c r="AH12">
        <v>1</v>
      </c>
      <c r="AI12">
        <v>1</v>
      </c>
      <c r="AK12">
        <v>1</v>
      </c>
      <c r="AT12">
        <v>1</v>
      </c>
      <c r="AY12">
        <v>1</v>
      </c>
      <c r="BA12">
        <v>1</v>
      </c>
      <c r="BK12">
        <v>1</v>
      </c>
      <c r="BY12">
        <v>1</v>
      </c>
      <c r="CC12">
        <v>1</v>
      </c>
      <c r="CD12">
        <v>2022</v>
      </c>
      <c r="CE12">
        <v>1</v>
      </c>
      <c r="CN12">
        <v>1</v>
      </c>
      <c r="CT12" s="341">
        <v>46692</v>
      </c>
    </row>
    <row r="13" spans="1:98">
      <c r="A13" t="s">
        <v>8563</v>
      </c>
      <c r="B13" t="s">
        <v>8564</v>
      </c>
      <c r="C13">
        <v>46</v>
      </c>
      <c r="D13" t="s">
        <v>8535</v>
      </c>
      <c r="E13" t="s">
        <v>8565</v>
      </c>
      <c r="F13" t="s">
        <v>107</v>
      </c>
      <c r="G13">
        <v>1</v>
      </c>
      <c r="M13">
        <v>1</v>
      </c>
      <c r="Q13">
        <v>1</v>
      </c>
      <c r="V13">
        <v>1</v>
      </c>
      <c r="W13">
        <v>15</v>
      </c>
      <c r="Y13">
        <v>20</v>
      </c>
      <c r="Z13">
        <v>5</v>
      </c>
      <c r="AA13">
        <v>5</v>
      </c>
      <c r="AB13">
        <v>5</v>
      </c>
      <c r="AC13">
        <v>1</v>
      </c>
      <c r="AI13">
        <v>1</v>
      </c>
      <c r="AK13">
        <v>1</v>
      </c>
      <c r="AT13">
        <v>1</v>
      </c>
      <c r="AW13">
        <v>1</v>
      </c>
      <c r="BA13">
        <v>1</v>
      </c>
      <c r="BK13">
        <v>1</v>
      </c>
      <c r="CB13">
        <v>1</v>
      </c>
      <c r="CE13">
        <v>1</v>
      </c>
      <c r="CN13">
        <v>1</v>
      </c>
      <c r="CT13" s="341">
        <v>46692</v>
      </c>
    </row>
    <row r="14" spans="1:98">
      <c r="A14" t="s">
        <v>8566</v>
      </c>
      <c r="B14" t="s">
        <v>8567</v>
      </c>
      <c r="C14">
        <v>39</v>
      </c>
      <c r="D14" t="s">
        <v>8535</v>
      </c>
      <c r="E14" t="s">
        <v>191</v>
      </c>
      <c r="F14" t="s">
        <v>112</v>
      </c>
      <c r="H14">
        <v>1</v>
      </c>
      <c r="M14">
        <v>1</v>
      </c>
      <c r="Q14">
        <v>1</v>
      </c>
      <c r="V14">
        <v>1</v>
      </c>
      <c r="W14">
        <v>16</v>
      </c>
      <c r="X14">
        <v>23</v>
      </c>
      <c r="Y14">
        <v>28</v>
      </c>
      <c r="Z14">
        <v>4</v>
      </c>
      <c r="AA14">
        <v>3</v>
      </c>
      <c r="AB14">
        <v>3</v>
      </c>
      <c r="AF14">
        <v>1</v>
      </c>
      <c r="AI14">
        <v>1</v>
      </c>
      <c r="AK14">
        <v>1</v>
      </c>
      <c r="AT14">
        <v>1</v>
      </c>
      <c r="AW14">
        <v>1</v>
      </c>
      <c r="BA14">
        <v>1</v>
      </c>
      <c r="BK14">
        <v>1</v>
      </c>
      <c r="CB14">
        <v>1</v>
      </c>
      <c r="CE14">
        <v>1</v>
      </c>
      <c r="CN14">
        <v>1</v>
      </c>
      <c r="CT14" s="341">
        <v>46692</v>
      </c>
    </row>
    <row r="15" spans="1:98">
      <c r="A15" t="s">
        <v>8568</v>
      </c>
      <c r="B15" t="s">
        <v>8569</v>
      </c>
      <c r="C15">
        <v>28</v>
      </c>
      <c r="D15" t="s">
        <v>8570</v>
      </c>
      <c r="E15" t="s">
        <v>8571</v>
      </c>
      <c r="F15" t="s">
        <v>112</v>
      </c>
      <c r="G15">
        <v>1</v>
      </c>
      <c r="L15">
        <v>1</v>
      </c>
      <c r="Q15" t="s">
        <v>191</v>
      </c>
      <c r="V15">
        <v>1</v>
      </c>
      <c r="W15">
        <v>13</v>
      </c>
      <c r="X15">
        <v>19</v>
      </c>
      <c r="Y15">
        <v>27</v>
      </c>
      <c r="AE15">
        <v>1</v>
      </c>
      <c r="AH15">
        <v>1</v>
      </c>
      <c r="AI15">
        <v>1</v>
      </c>
      <c r="AK15">
        <v>1</v>
      </c>
      <c r="AT15">
        <v>1</v>
      </c>
      <c r="AW15">
        <v>1</v>
      </c>
      <c r="BA15">
        <v>1</v>
      </c>
      <c r="BO15">
        <v>1</v>
      </c>
      <c r="BY15">
        <v>1</v>
      </c>
      <c r="CB15">
        <v>1</v>
      </c>
      <c r="CE15">
        <v>1</v>
      </c>
      <c r="CN15">
        <v>1</v>
      </c>
      <c r="CT15" t="s">
        <v>8540</v>
      </c>
    </row>
    <row r="16" spans="1:98">
      <c r="A16" t="s">
        <v>8572</v>
      </c>
      <c r="B16" t="s">
        <v>8573</v>
      </c>
      <c r="C16">
        <v>40</v>
      </c>
      <c r="D16" t="s">
        <v>8535</v>
      </c>
      <c r="E16" t="s">
        <v>8574</v>
      </c>
      <c r="F16" t="s">
        <v>112</v>
      </c>
      <c r="I16">
        <v>1</v>
      </c>
      <c r="L16">
        <v>1</v>
      </c>
      <c r="Q16" t="s">
        <v>191</v>
      </c>
      <c r="T16">
        <v>1</v>
      </c>
      <c r="W16">
        <v>14</v>
      </c>
      <c r="X16">
        <v>17</v>
      </c>
      <c r="Y16">
        <v>17</v>
      </c>
      <c r="Z16">
        <v>5</v>
      </c>
      <c r="AA16">
        <v>8</v>
      </c>
      <c r="AB16">
        <v>8</v>
      </c>
      <c r="AC16">
        <v>1</v>
      </c>
      <c r="AI16">
        <v>1</v>
      </c>
      <c r="AK16">
        <v>1</v>
      </c>
      <c r="AT16">
        <v>1</v>
      </c>
      <c r="AW16">
        <v>1</v>
      </c>
      <c r="BA16">
        <v>1</v>
      </c>
      <c r="BO16">
        <v>1</v>
      </c>
      <c r="BY16">
        <v>1</v>
      </c>
      <c r="CB16">
        <v>1</v>
      </c>
      <c r="CE16">
        <v>1</v>
      </c>
      <c r="CK16">
        <v>1</v>
      </c>
      <c r="CT16" s="341">
        <v>46692</v>
      </c>
    </row>
    <row r="17" spans="1:98">
      <c r="A17" t="s">
        <v>8575</v>
      </c>
      <c r="B17" t="s">
        <v>8576</v>
      </c>
      <c r="C17">
        <v>22</v>
      </c>
      <c r="D17" t="s">
        <v>8535</v>
      </c>
      <c r="E17" t="s">
        <v>8577</v>
      </c>
      <c r="F17" t="s">
        <v>2574</v>
      </c>
      <c r="N17">
        <v>1</v>
      </c>
      <c r="R17">
        <v>1</v>
      </c>
      <c r="V17">
        <v>1</v>
      </c>
      <c r="W17">
        <v>10</v>
      </c>
      <c r="X17">
        <v>15</v>
      </c>
      <c r="Y17" t="s">
        <v>191</v>
      </c>
      <c r="Z17">
        <v>0</v>
      </c>
      <c r="AA17">
        <v>0</v>
      </c>
      <c r="AB17">
        <v>0</v>
      </c>
      <c r="AH17">
        <v>1</v>
      </c>
      <c r="AK17">
        <v>1</v>
      </c>
      <c r="AT17">
        <v>1</v>
      </c>
      <c r="AX17">
        <v>1</v>
      </c>
      <c r="BA17">
        <v>1</v>
      </c>
      <c r="BK17">
        <v>1</v>
      </c>
      <c r="CC17">
        <v>1</v>
      </c>
      <c r="CD17">
        <v>2020</v>
      </c>
      <c r="CE17">
        <v>1</v>
      </c>
      <c r="CK17">
        <v>1</v>
      </c>
      <c r="CT17" s="341">
        <v>46692</v>
      </c>
    </row>
    <row r="18" spans="1:98">
      <c r="A18" t="s">
        <v>8578</v>
      </c>
      <c r="B18" t="s">
        <v>8579</v>
      </c>
      <c r="C18">
        <v>22</v>
      </c>
      <c r="D18" t="s">
        <v>152</v>
      </c>
      <c r="E18" t="s">
        <v>8580</v>
      </c>
      <c r="F18" t="s">
        <v>112</v>
      </c>
      <c r="H18">
        <v>1</v>
      </c>
      <c r="L18">
        <v>1</v>
      </c>
      <c r="Q18" t="s">
        <v>191</v>
      </c>
      <c r="V18">
        <v>1</v>
      </c>
      <c r="W18">
        <v>14</v>
      </c>
      <c r="X18">
        <v>18</v>
      </c>
      <c r="Y18" t="s">
        <v>191</v>
      </c>
      <c r="Z18">
        <v>0</v>
      </c>
      <c r="AA18">
        <v>0</v>
      </c>
      <c r="AB18">
        <v>0</v>
      </c>
      <c r="AH18">
        <v>1</v>
      </c>
      <c r="AJ18">
        <v>1</v>
      </c>
      <c r="AK18">
        <v>1</v>
      </c>
      <c r="AT18">
        <v>1</v>
      </c>
      <c r="AW18">
        <v>1</v>
      </c>
      <c r="BA18">
        <v>1</v>
      </c>
      <c r="BK18">
        <v>1</v>
      </c>
      <c r="CB18">
        <v>1</v>
      </c>
      <c r="CE18">
        <v>1</v>
      </c>
      <c r="CK18">
        <v>1</v>
      </c>
      <c r="CT18" s="341">
        <v>46692</v>
      </c>
    </row>
    <row r="19" spans="1:98">
      <c r="A19" t="s">
        <v>8581</v>
      </c>
      <c r="B19" t="s">
        <v>8582</v>
      </c>
      <c r="C19">
        <v>44</v>
      </c>
      <c r="D19" t="s">
        <v>8558</v>
      </c>
      <c r="E19" t="s">
        <v>8583</v>
      </c>
      <c r="F19" t="s">
        <v>112</v>
      </c>
      <c r="M19">
        <v>1</v>
      </c>
      <c r="Q19">
        <v>1</v>
      </c>
      <c r="V19">
        <v>1</v>
      </c>
      <c r="W19">
        <v>14</v>
      </c>
      <c r="Y19">
        <v>24</v>
      </c>
      <c r="Z19">
        <v>8</v>
      </c>
      <c r="AA19">
        <v>5</v>
      </c>
      <c r="AB19">
        <v>5</v>
      </c>
      <c r="AF19">
        <v>1</v>
      </c>
      <c r="AI19">
        <v>1</v>
      </c>
      <c r="AK19">
        <v>1</v>
      </c>
      <c r="AT19">
        <v>1</v>
      </c>
      <c r="AW19">
        <v>1</v>
      </c>
      <c r="BA19">
        <v>1</v>
      </c>
      <c r="BK19">
        <v>1</v>
      </c>
      <c r="CB19">
        <v>1</v>
      </c>
      <c r="CE19">
        <v>1</v>
      </c>
      <c r="CK19">
        <v>1</v>
      </c>
      <c r="CT19" s="341">
        <v>46692</v>
      </c>
    </row>
    <row r="20" spans="1:98">
      <c r="A20" t="s">
        <v>8584</v>
      </c>
      <c r="B20" t="s">
        <v>8585</v>
      </c>
      <c r="C20">
        <v>20</v>
      </c>
      <c r="D20" t="s">
        <v>8586</v>
      </c>
      <c r="E20" t="s">
        <v>8587</v>
      </c>
      <c r="F20" t="s">
        <v>112</v>
      </c>
      <c r="H20">
        <v>1</v>
      </c>
      <c r="N20">
        <v>1</v>
      </c>
      <c r="R20">
        <v>1</v>
      </c>
      <c r="V20">
        <v>1</v>
      </c>
      <c r="W20">
        <v>16</v>
      </c>
      <c r="X20">
        <v>17</v>
      </c>
      <c r="Y20" t="s">
        <v>191</v>
      </c>
      <c r="Z20">
        <v>0</v>
      </c>
      <c r="AA20">
        <v>0</v>
      </c>
      <c r="AB20">
        <v>0</v>
      </c>
      <c r="AC20">
        <v>1</v>
      </c>
      <c r="AJ20">
        <v>1</v>
      </c>
      <c r="AK20">
        <v>1</v>
      </c>
      <c r="AT20">
        <v>1</v>
      </c>
      <c r="AW20">
        <v>1</v>
      </c>
      <c r="BA20">
        <v>1</v>
      </c>
      <c r="BK20">
        <v>1</v>
      </c>
      <c r="CB20">
        <v>1</v>
      </c>
      <c r="CE20">
        <v>1</v>
      </c>
      <c r="CK20">
        <v>1</v>
      </c>
      <c r="CT20" s="341">
        <v>46692</v>
      </c>
    </row>
    <row r="21" spans="1:98">
      <c r="A21" t="s">
        <v>8588</v>
      </c>
      <c r="B21" t="s">
        <v>8589</v>
      </c>
      <c r="C21">
        <v>21</v>
      </c>
      <c r="D21" t="s">
        <v>8535</v>
      </c>
      <c r="E21" t="s">
        <v>8590</v>
      </c>
      <c r="F21" t="s">
        <v>2574</v>
      </c>
      <c r="H21">
        <v>1</v>
      </c>
      <c r="L21">
        <v>1</v>
      </c>
      <c r="Q21" t="s">
        <v>191</v>
      </c>
      <c r="V21">
        <v>1</v>
      </c>
      <c r="W21">
        <v>15</v>
      </c>
      <c r="X21">
        <v>16</v>
      </c>
      <c r="Y21" t="s">
        <v>191</v>
      </c>
      <c r="Z21">
        <v>0</v>
      </c>
      <c r="AA21">
        <v>0</v>
      </c>
      <c r="AB21">
        <v>0</v>
      </c>
      <c r="AH21">
        <v>1</v>
      </c>
      <c r="AJ21">
        <v>1</v>
      </c>
      <c r="AK21">
        <v>1</v>
      </c>
      <c r="AT21">
        <v>1</v>
      </c>
      <c r="AW21">
        <v>1</v>
      </c>
      <c r="BA21">
        <v>1</v>
      </c>
      <c r="BK21">
        <v>1</v>
      </c>
      <c r="CB21">
        <v>1</v>
      </c>
      <c r="CE21">
        <v>1</v>
      </c>
      <c r="CK21">
        <v>1</v>
      </c>
      <c r="CT21" s="341">
        <v>46692</v>
      </c>
    </row>
    <row r="22" spans="1:98">
      <c r="A22" t="s">
        <v>8591</v>
      </c>
      <c r="B22" t="s">
        <v>8592</v>
      </c>
      <c r="C22">
        <v>22</v>
      </c>
      <c r="D22" t="s">
        <v>8535</v>
      </c>
      <c r="E22" t="s">
        <v>8593</v>
      </c>
      <c r="F22" t="s">
        <v>2574</v>
      </c>
      <c r="G22">
        <v>1</v>
      </c>
      <c r="L22">
        <v>1</v>
      </c>
      <c r="Q22" t="s">
        <v>191</v>
      </c>
      <c r="V22">
        <v>1</v>
      </c>
      <c r="W22">
        <v>15</v>
      </c>
      <c r="X22">
        <v>19</v>
      </c>
      <c r="Y22" t="s">
        <v>191</v>
      </c>
      <c r="Z22">
        <v>0</v>
      </c>
      <c r="AA22">
        <v>0</v>
      </c>
      <c r="AB22">
        <v>0</v>
      </c>
      <c r="AC22">
        <v>1</v>
      </c>
      <c r="AJ22">
        <v>1</v>
      </c>
      <c r="AK22">
        <v>1</v>
      </c>
      <c r="AT22">
        <v>1</v>
      </c>
      <c r="AW22">
        <v>1</v>
      </c>
      <c r="BA22">
        <v>1</v>
      </c>
      <c r="BK22">
        <v>1</v>
      </c>
      <c r="CC22">
        <v>1</v>
      </c>
      <c r="CD22">
        <v>2019</v>
      </c>
      <c r="CE22">
        <v>1</v>
      </c>
      <c r="CK22">
        <v>1</v>
      </c>
      <c r="CT22" s="341">
        <v>46692</v>
      </c>
    </row>
    <row r="23" spans="1:98">
      <c r="A23" t="s">
        <v>8594</v>
      </c>
      <c r="B23" t="s">
        <v>8595</v>
      </c>
      <c r="C23">
        <v>23</v>
      </c>
      <c r="D23" t="s">
        <v>8535</v>
      </c>
      <c r="E23" t="s">
        <v>8596</v>
      </c>
      <c r="F23" t="s">
        <v>112</v>
      </c>
      <c r="I23">
        <v>1</v>
      </c>
      <c r="L23">
        <v>1</v>
      </c>
      <c r="Q23" t="s">
        <v>191</v>
      </c>
      <c r="V23">
        <v>1</v>
      </c>
      <c r="W23">
        <v>15</v>
      </c>
      <c r="X23">
        <v>21</v>
      </c>
      <c r="Y23" t="s">
        <v>191</v>
      </c>
      <c r="Z23">
        <v>0</v>
      </c>
      <c r="AA23">
        <v>0</v>
      </c>
      <c r="AB23">
        <v>0</v>
      </c>
      <c r="AC23">
        <v>1</v>
      </c>
      <c r="AJ23">
        <v>1</v>
      </c>
      <c r="AM23">
        <v>1</v>
      </c>
      <c r="AT23">
        <v>1</v>
      </c>
      <c r="AW23">
        <v>1</v>
      </c>
      <c r="BA23">
        <v>1</v>
      </c>
      <c r="BK23">
        <v>1</v>
      </c>
      <c r="CB23">
        <v>1</v>
      </c>
      <c r="CE23">
        <v>1</v>
      </c>
      <c r="CK23">
        <v>1</v>
      </c>
      <c r="CT23" s="341">
        <v>46692</v>
      </c>
    </row>
    <row r="24" spans="1:98">
      <c r="A24" t="s">
        <v>8597</v>
      </c>
      <c r="B24" t="s">
        <v>8598</v>
      </c>
      <c r="C24">
        <v>21</v>
      </c>
      <c r="D24" t="s">
        <v>8535</v>
      </c>
      <c r="E24" t="s">
        <v>8599</v>
      </c>
      <c r="F24" t="s">
        <v>2574</v>
      </c>
      <c r="G24">
        <v>1</v>
      </c>
      <c r="L24">
        <v>1</v>
      </c>
      <c r="Q24" t="s">
        <v>191</v>
      </c>
      <c r="V24">
        <v>1</v>
      </c>
      <c r="W24">
        <v>14</v>
      </c>
      <c r="X24">
        <v>19</v>
      </c>
      <c r="Y24" t="s">
        <v>191</v>
      </c>
      <c r="Z24">
        <v>0</v>
      </c>
      <c r="AA24">
        <v>0</v>
      </c>
      <c r="AB24">
        <v>0</v>
      </c>
      <c r="AE24">
        <v>1</v>
      </c>
      <c r="AI24">
        <v>1</v>
      </c>
      <c r="AK24">
        <v>1</v>
      </c>
      <c r="AT24">
        <v>1</v>
      </c>
      <c r="AW24">
        <v>1</v>
      </c>
      <c r="BA24">
        <v>1</v>
      </c>
      <c r="BK24">
        <v>1</v>
      </c>
      <c r="BY24">
        <v>1</v>
      </c>
      <c r="CB24">
        <v>1</v>
      </c>
      <c r="CE24">
        <v>1</v>
      </c>
      <c r="CK24">
        <v>1</v>
      </c>
      <c r="CT24" s="341">
        <v>46692</v>
      </c>
    </row>
    <row r="25" spans="1:98">
      <c r="A25" t="s">
        <v>8600</v>
      </c>
      <c r="B25" t="s">
        <v>8601</v>
      </c>
      <c r="C25">
        <v>18</v>
      </c>
      <c r="D25" t="s">
        <v>8535</v>
      </c>
      <c r="E25" t="s">
        <v>8602</v>
      </c>
      <c r="F25" t="s">
        <v>2574</v>
      </c>
      <c r="H25">
        <v>1</v>
      </c>
      <c r="L25">
        <v>1</v>
      </c>
      <c r="Q25" t="s">
        <v>191</v>
      </c>
      <c r="V25">
        <v>1</v>
      </c>
      <c r="W25">
        <v>16</v>
      </c>
      <c r="X25">
        <v>18</v>
      </c>
      <c r="Y25" t="s">
        <v>191</v>
      </c>
      <c r="Z25">
        <v>0</v>
      </c>
      <c r="AA25">
        <v>0</v>
      </c>
      <c r="AB25">
        <v>0</v>
      </c>
      <c r="AC25">
        <v>1</v>
      </c>
      <c r="AI25">
        <v>1</v>
      </c>
      <c r="AK25">
        <v>1</v>
      </c>
      <c r="AT25">
        <v>1</v>
      </c>
      <c r="AW25">
        <v>1</v>
      </c>
      <c r="BA25">
        <v>1</v>
      </c>
      <c r="BK25">
        <v>1</v>
      </c>
      <c r="BY25">
        <v>1</v>
      </c>
      <c r="CB25">
        <v>1</v>
      </c>
      <c r="CE25">
        <v>1</v>
      </c>
      <c r="CK25">
        <v>1</v>
      </c>
      <c r="CT25" s="341">
        <v>46692</v>
      </c>
    </row>
    <row r="26" spans="1:98">
      <c r="A26" t="s">
        <v>8603</v>
      </c>
      <c r="B26" t="s">
        <v>5609</v>
      </c>
      <c r="C26">
        <v>24</v>
      </c>
      <c r="D26" t="s">
        <v>4339</v>
      </c>
      <c r="E26" t="s">
        <v>8604</v>
      </c>
      <c r="F26" t="s">
        <v>112</v>
      </c>
      <c r="G26">
        <v>1</v>
      </c>
      <c r="L26">
        <v>1</v>
      </c>
      <c r="Q26" t="s">
        <v>191</v>
      </c>
      <c r="U26">
        <v>1</v>
      </c>
      <c r="W26">
        <v>14</v>
      </c>
      <c r="X26">
        <v>17</v>
      </c>
      <c r="Y26" t="s">
        <v>191</v>
      </c>
      <c r="Z26">
        <v>0</v>
      </c>
      <c r="AA26">
        <v>0</v>
      </c>
      <c r="AB26">
        <v>0</v>
      </c>
      <c r="AH26">
        <v>1</v>
      </c>
      <c r="AI26">
        <v>1</v>
      </c>
      <c r="AK26">
        <v>1</v>
      </c>
      <c r="AT26">
        <v>1</v>
      </c>
      <c r="AW26">
        <v>1</v>
      </c>
      <c r="BA26">
        <v>1</v>
      </c>
      <c r="BK26">
        <v>1</v>
      </c>
      <c r="BY26">
        <v>1</v>
      </c>
      <c r="CB26">
        <v>1</v>
      </c>
      <c r="CE26">
        <v>1</v>
      </c>
      <c r="CK26">
        <v>1</v>
      </c>
      <c r="CT26" s="341">
        <v>46692</v>
      </c>
    </row>
    <row r="27" spans="1:98">
      <c r="A27" t="s">
        <v>8605</v>
      </c>
      <c r="B27" t="s">
        <v>8606</v>
      </c>
      <c r="C27">
        <v>25</v>
      </c>
      <c r="D27" t="s">
        <v>8558</v>
      </c>
      <c r="E27" t="s">
        <v>8607</v>
      </c>
      <c r="F27" t="s">
        <v>112</v>
      </c>
      <c r="G27">
        <v>1</v>
      </c>
      <c r="L27">
        <v>1</v>
      </c>
      <c r="Q27" t="s">
        <v>191</v>
      </c>
      <c r="V27">
        <v>1</v>
      </c>
      <c r="W27">
        <v>16</v>
      </c>
      <c r="X27">
        <v>25</v>
      </c>
      <c r="Y27" t="s">
        <v>191</v>
      </c>
      <c r="Z27">
        <v>0</v>
      </c>
      <c r="AA27">
        <v>0</v>
      </c>
      <c r="AB27">
        <v>0</v>
      </c>
      <c r="AC27">
        <v>1</v>
      </c>
      <c r="AI27">
        <v>1</v>
      </c>
      <c r="AK27">
        <v>1</v>
      </c>
      <c r="AT27">
        <v>1</v>
      </c>
      <c r="AX27">
        <v>1</v>
      </c>
      <c r="BA27">
        <v>1</v>
      </c>
      <c r="BK27">
        <v>1</v>
      </c>
      <c r="BY27">
        <v>1</v>
      </c>
      <c r="CB27">
        <v>1</v>
      </c>
      <c r="CE27">
        <v>1</v>
      </c>
      <c r="CK27">
        <v>1</v>
      </c>
      <c r="CT27" s="341">
        <v>46692</v>
      </c>
    </row>
    <row r="28" spans="1:98">
      <c r="A28" t="s">
        <v>8608</v>
      </c>
      <c r="B28" t="s">
        <v>8609</v>
      </c>
      <c r="C28">
        <v>40</v>
      </c>
      <c r="D28" t="s">
        <v>8535</v>
      </c>
      <c r="E28" t="s">
        <v>8610</v>
      </c>
      <c r="F28" t="s">
        <v>8611</v>
      </c>
      <c r="M28">
        <v>1</v>
      </c>
      <c r="W28">
        <v>16</v>
      </c>
      <c r="X28">
        <v>23</v>
      </c>
      <c r="Y28">
        <v>24</v>
      </c>
      <c r="Z28">
        <v>4</v>
      </c>
      <c r="AA28">
        <v>4</v>
      </c>
      <c r="AB28">
        <v>4</v>
      </c>
      <c r="AC28">
        <v>1</v>
      </c>
      <c r="AJ28">
        <v>1</v>
      </c>
      <c r="AK28">
        <v>1</v>
      </c>
      <c r="AT28">
        <v>1</v>
      </c>
      <c r="AW28">
        <v>1</v>
      </c>
      <c r="BA28">
        <v>1</v>
      </c>
      <c r="BK28">
        <v>1</v>
      </c>
      <c r="CB28">
        <v>1</v>
      </c>
      <c r="CE28">
        <v>1</v>
      </c>
      <c r="CK28">
        <v>1</v>
      </c>
      <c r="CT28" s="341">
        <v>46692</v>
      </c>
    </row>
    <row r="29" spans="1:98">
      <c r="A29" t="s">
        <v>8612</v>
      </c>
      <c r="B29" t="s">
        <v>8613</v>
      </c>
      <c r="C29">
        <v>44</v>
      </c>
      <c r="D29" t="s">
        <v>8614</v>
      </c>
      <c r="E29" t="s">
        <v>8615</v>
      </c>
      <c r="F29" t="s">
        <v>112</v>
      </c>
      <c r="H29">
        <v>1</v>
      </c>
      <c r="M29">
        <v>1</v>
      </c>
      <c r="R29">
        <v>1</v>
      </c>
      <c r="U29">
        <v>1</v>
      </c>
      <c r="W29">
        <v>13</v>
      </c>
      <c r="X29">
        <v>24</v>
      </c>
      <c r="Y29">
        <v>24</v>
      </c>
      <c r="Z29">
        <v>3</v>
      </c>
      <c r="AA29">
        <v>3</v>
      </c>
      <c r="AB29">
        <v>3</v>
      </c>
      <c r="AI29">
        <v>1</v>
      </c>
      <c r="AK29">
        <v>1</v>
      </c>
      <c r="AT29">
        <v>1</v>
      </c>
      <c r="AW29">
        <v>1</v>
      </c>
      <c r="BA29">
        <v>1</v>
      </c>
      <c r="BK29">
        <v>1</v>
      </c>
      <c r="CB29">
        <v>1</v>
      </c>
      <c r="CE29">
        <v>1</v>
      </c>
      <c r="CK29">
        <v>1</v>
      </c>
      <c r="CT29" s="341">
        <v>46692</v>
      </c>
    </row>
    <row r="30" spans="1:98">
      <c r="A30" t="s">
        <v>8616</v>
      </c>
      <c r="B30" t="s">
        <v>8617</v>
      </c>
      <c r="C30">
        <v>31</v>
      </c>
      <c r="D30" t="s">
        <v>8545</v>
      </c>
      <c r="E30" t="s">
        <v>8618</v>
      </c>
      <c r="F30" t="s">
        <v>112</v>
      </c>
      <c r="G30">
        <v>1</v>
      </c>
      <c r="M30">
        <v>1</v>
      </c>
      <c r="Q30">
        <v>1</v>
      </c>
      <c r="V30">
        <v>1</v>
      </c>
      <c r="W30">
        <v>14</v>
      </c>
      <c r="Y30">
        <v>19</v>
      </c>
      <c r="Z30">
        <v>4</v>
      </c>
      <c r="AA30">
        <v>4</v>
      </c>
      <c r="AB30">
        <v>4</v>
      </c>
      <c r="AH30">
        <v>1</v>
      </c>
      <c r="AI30">
        <v>1</v>
      </c>
      <c r="AK30">
        <v>1</v>
      </c>
      <c r="AT30">
        <v>1</v>
      </c>
      <c r="AW30">
        <v>1</v>
      </c>
      <c r="BA30">
        <v>1</v>
      </c>
      <c r="BK30">
        <v>1</v>
      </c>
      <c r="CC30">
        <v>1</v>
      </c>
      <c r="CD30">
        <v>2023</v>
      </c>
      <c r="CE30">
        <v>1</v>
      </c>
      <c r="CK30">
        <v>1</v>
      </c>
      <c r="CT30" s="341">
        <v>46692</v>
      </c>
    </row>
    <row r="31" spans="1:98">
      <c r="A31" t="s">
        <v>8619</v>
      </c>
      <c r="B31" t="s">
        <v>8620</v>
      </c>
      <c r="C31">
        <v>57</v>
      </c>
      <c r="D31" t="s">
        <v>8621</v>
      </c>
      <c r="E31" t="s">
        <v>8622</v>
      </c>
      <c r="F31" t="s">
        <v>112</v>
      </c>
      <c r="H31">
        <v>1</v>
      </c>
      <c r="M31">
        <v>1</v>
      </c>
      <c r="Q31">
        <v>1</v>
      </c>
      <c r="T31">
        <v>1</v>
      </c>
      <c r="W31">
        <v>18</v>
      </c>
      <c r="X31">
        <v>25</v>
      </c>
      <c r="Y31">
        <v>30</v>
      </c>
      <c r="Z31">
        <v>8</v>
      </c>
      <c r="AA31">
        <v>8</v>
      </c>
      <c r="AB31">
        <v>7</v>
      </c>
      <c r="AC31">
        <v>1</v>
      </c>
      <c r="AI31">
        <v>1</v>
      </c>
      <c r="AK31">
        <v>1</v>
      </c>
      <c r="AT31">
        <v>1</v>
      </c>
      <c r="AY31">
        <v>1</v>
      </c>
      <c r="BA31">
        <v>1</v>
      </c>
      <c r="BK31">
        <v>1</v>
      </c>
      <c r="CB31">
        <v>1</v>
      </c>
      <c r="CE31">
        <v>1</v>
      </c>
      <c r="CK31">
        <v>1</v>
      </c>
      <c r="CT31" s="341">
        <v>46692</v>
      </c>
    </row>
    <row r="32" spans="1:98">
      <c r="A32" t="s">
        <v>8623</v>
      </c>
      <c r="B32" t="s">
        <v>8624</v>
      </c>
      <c r="C32">
        <v>41</v>
      </c>
      <c r="D32" t="s">
        <v>8545</v>
      </c>
      <c r="E32" t="s">
        <v>8625</v>
      </c>
      <c r="F32" t="s">
        <v>107</v>
      </c>
      <c r="G32">
        <v>1</v>
      </c>
      <c r="M32">
        <v>1</v>
      </c>
      <c r="Q32">
        <v>1</v>
      </c>
      <c r="T32">
        <v>1</v>
      </c>
      <c r="W32">
        <v>13</v>
      </c>
      <c r="X32">
        <v>16</v>
      </c>
      <c r="Y32">
        <v>22</v>
      </c>
      <c r="AA32">
        <v>4</v>
      </c>
      <c r="AB32">
        <v>4</v>
      </c>
      <c r="AG32">
        <v>1</v>
      </c>
      <c r="AI32">
        <v>1</v>
      </c>
      <c r="AK32">
        <v>1</v>
      </c>
      <c r="AT32">
        <v>1</v>
      </c>
      <c r="AW32">
        <v>1</v>
      </c>
      <c r="BA32">
        <v>1</v>
      </c>
      <c r="BK32">
        <v>1</v>
      </c>
      <c r="CB32">
        <v>1</v>
      </c>
      <c r="CE32">
        <v>1</v>
      </c>
      <c r="CK32">
        <v>1</v>
      </c>
      <c r="CT32" s="341">
        <v>46692</v>
      </c>
    </row>
    <row r="33" spans="1:98">
      <c r="A33" t="s">
        <v>8626</v>
      </c>
      <c r="B33" t="s">
        <v>650</v>
      </c>
      <c r="C33">
        <v>42</v>
      </c>
      <c r="D33" t="s">
        <v>2607</v>
      </c>
      <c r="E33" t="s">
        <v>8627</v>
      </c>
      <c r="F33" t="s">
        <v>112</v>
      </c>
      <c r="M33">
        <v>1</v>
      </c>
      <c r="Q33">
        <v>1</v>
      </c>
      <c r="T33">
        <v>1</v>
      </c>
      <c r="W33">
        <v>16</v>
      </c>
      <c r="X33">
        <v>23</v>
      </c>
      <c r="Y33">
        <v>25</v>
      </c>
      <c r="AA33">
        <v>6</v>
      </c>
      <c r="AB33">
        <v>6</v>
      </c>
      <c r="AE33">
        <v>1</v>
      </c>
      <c r="AI33">
        <v>1</v>
      </c>
      <c r="AK33">
        <v>1</v>
      </c>
      <c r="AT33">
        <v>1</v>
      </c>
      <c r="AW33">
        <v>1</v>
      </c>
      <c r="BA33">
        <v>1</v>
      </c>
      <c r="BK33">
        <v>1</v>
      </c>
      <c r="CB33">
        <v>1</v>
      </c>
      <c r="CE33">
        <v>1</v>
      </c>
      <c r="CK33">
        <v>1</v>
      </c>
      <c r="CT33" s="341">
        <v>46692</v>
      </c>
    </row>
    <row r="34" spans="1:98">
      <c r="A34" t="s">
        <v>8628</v>
      </c>
      <c r="B34" t="s">
        <v>8629</v>
      </c>
      <c r="C34">
        <v>40</v>
      </c>
      <c r="D34" t="s">
        <v>8558</v>
      </c>
      <c r="E34" t="s">
        <v>8630</v>
      </c>
      <c r="F34" t="s">
        <v>112</v>
      </c>
      <c r="H34">
        <v>1</v>
      </c>
      <c r="M34">
        <v>1</v>
      </c>
      <c r="Q34">
        <v>1</v>
      </c>
      <c r="T34">
        <v>1</v>
      </c>
      <c r="W34">
        <v>16</v>
      </c>
      <c r="X34">
        <v>19</v>
      </c>
      <c r="Y34">
        <v>20</v>
      </c>
      <c r="Z34">
        <v>6</v>
      </c>
      <c r="AA34">
        <v>6</v>
      </c>
      <c r="AB34">
        <v>6</v>
      </c>
      <c r="AC34">
        <v>1</v>
      </c>
      <c r="AJ34">
        <v>1</v>
      </c>
      <c r="AK34">
        <v>1</v>
      </c>
      <c r="AT34">
        <v>1</v>
      </c>
      <c r="AW34">
        <v>1</v>
      </c>
      <c r="BA34">
        <v>1</v>
      </c>
      <c r="BK34">
        <v>1</v>
      </c>
      <c r="BY34">
        <v>1</v>
      </c>
      <c r="CB34">
        <v>1</v>
      </c>
      <c r="CF34">
        <v>1</v>
      </c>
      <c r="CG34" t="s">
        <v>360</v>
      </c>
      <c r="CK34">
        <v>1</v>
      </c>
      <c r="CT34" s="341">
        <v>46722</v>
      </c>
    </row>
    <row r="35" spans="1:98">
      <c r="A35" t="s">
        <v>8631</v>
      </c>
      <c r="B35" t="s">
        <v>8632</v>
      </c>
      <c r="C35">
        <v>20</v>
      </c>
      <c r="D35" t="s">
        <v>8535</v>
      </c>
      <c r="E35" t="s">
        <v>8633</v>
      </c>
      <c r="F35" t="s">
        <v>112</v>
      </c>
      <c r="H35">
        <v>1</v>
      </c>
      <c r="L35">
        <v>1</v>
      </c>
      <c r="Q35" t="s">
        <v>191</v>
      </c>
      <c r="V35">
        <v>1</v>
      </c>
      <c r="W35">
        <v>13</v>
      </c>
      <c r="X35">
        <v>16</v>
      </c>
      <c r="Y35" t="s">
        <v>191</v>
      </c>
      <c r="Z35">
        <v>0</v>
      </c>
      <c r="AA35">
        <v>0</v>
      </c>
      <c r="AB35">
        <v>0</v>
      </c>
      <c r="AH35">
        <v>1</v>
      </c>
      <c r="AI35">
        <v>1</v>
      </c>
      <c r="AK35">
        <v>1</v>
      </c>
      <c r="AT35">
        <v>1</v>
      </c>
      <c r="AZ35">
        <v>1</v>
      </c>
      <c r="BA35">
        <v>1</v>
      </c>
      <c r="BK35">
        <v>1</v>
      </c>
      <c r="BY35">
        <v>1</v>
      </c>
      <c r="CB35">
        <v>1</v>
      </c>
      <c r="CE35">
        <v>1</v>
      </c>
      <c r="CK35">
        <v>1</v>
      </c>
      <c r="CT35" s="341">
        <v>46722</v>
      </c>
    </row>
    <row r="36" spans="1:98">
      <c r="A36" t="s">
        <v>8634</v>
      </c>
      <c r="B36" t="s">
        <v>8635</v>
      </c>
      <c r="C36">
        <v>21</v>
      </c>
      <c r="D36" t="s">
        <v>8636</v>
      </c>
      <c r="E36" t="s">
        <v>8637</v>
      </c>
      <c r="F36" t="s">
        <v>112</v>
      </c>
      <c r="H36">
        <v>1</v>
      </c>
      <c r="L36">
        <v>1</v>
      </c>
      <c r="Q36" t="s">
        <v>191</v>
      </c>
      <c r="U36">
        <v>1</v>
      </c>
      <c r="W36">
        <v>14</v>
      </c>
      <c r="X36">
        <v>15</v>
      </c>
      <c r="Y36">
        <v>18</v>
      </c>
      <c r="Z36">
        <v>1</v>
      </c>
      <c r="AA36">
        <v>0</v>
      </c>
      <c r="AB36">
        <v>0</v>
      </c>
      <c r="AH36">
        <v>1</v>
      </c>
      <c r="AI36">
        <v>1</v>
      </c>
      <c r="AK36">
        <v>1</v>
      </c>
      <c r="AU36">
        <v>1</v>
      </c>
      <c r="AX36">
        <v>1</v>
      </c>
      <c r="BA36">
        <v>1</v>
      </c>
      <c r="BK36">
        <v>1</v>
      </c>
      <c r="CB36">
        <v>1</v>
      </c>
      <c r="CE36">
        <v>1</v>
      </c>
      <c r="CK36">
        <v>1</v>
      </c>
      <c r="CT36" s="341">
        <v>46722</v>
      </c>
    </row>
    <row r="37" spans="1:98">
      <c r="A37" t="s">
        <v>8638</v>
      </c>
      <c r="B37" t="s">
        <v>8639</v>
      </c>
      <c r="C37">
        <v>20</v>
      </c>
      <c r="D37" t="s">
        <v>8640</v>
      </c>
      <c r="E37" t="s">
        <v>8641</v>
      </c>
      <c r="F37" t="s">
        <v>112</v>
      </c>
      <c r="H37">
        <v>1</v>
      </c>
      <c r="L37">
        <v>1</v>
      </c>
      <c r="Q37" t="s">
        <v>191</v>
      </c>
      <c r="V37">
        <v>1</v>
      </c>
      <c r="W37">
        <v>15</v>
      </c>
      <c r="X37">
        <v>15</v>
      </c>
      <c r="Y37">
        <v>16</v>
      </c>
      <c r="Z37">
        <v>2</v>
      </c>
      <c r="AA37">
        <v>0</v>
      </c>
      <c r="AB37">
        <v>0</v>
      </c>
      <c r="AD37">
        <v>1</v>
      </c>
      <c r="AH37">
        <v>1</v>
      </c>
      <c r="AI37">
        <v>1</v>
      </c>
      <c r="AK37">
        <v>1</v>
      </c>
      <c r="AT37">
        <v>1</v>
      </c>
      <c r="AZ37">
        <v>1</v>
      </c>
      <c r="BA37">
        <v>1</v>
      </c>
      <c r="BK37">
        <v>1</v>
      </c>
      <c r="BY37">
        <v>1</v>
      </c>
      <c r="CB37">
        <v>1</v>
      </c>
      <c r="CK37">
        <v>1</v>
      </c>
      <c r="CT37" s="341">
        <v>46722</v>
      </c>
    </row>
    <row r="38" spans="1:98">
      <c r="A38" t="s">
        <v>8642</v>
      </c>
      <c r="B38" t="s">
        <v>8643</v>
      </c>
      <c r="C38">
        <v>39</v>
      </c>
      <c r="D38" t="s">
        <v>8535</v>
      </c>
      <c r="E38" t="s">
        <v>8644</v>
      </c>
      <c r="F38" t="s">
        <v>112</v>
      </c>
      <c r="I38">
        <v>1</v>
      </c>
      <c r="M38">
        <v>1</v>
      </c>
      <c r="Q38">
        <v>1</v>
      </c>
      <c r="V38">
        <v>1</v>
      </c>
      <c r="W38">
        <v>15</v>
      </c>
      <c r="X38">
        <v>20</v>
      </c>
      <c r="Y38">
        <v>25</v>
      </c>
      <c r="Z38">
        <v>6</v>
      </c>
      <c r="AA38">
        <v>4</v>
      </c>
      <c r="AB38">
        <v>4</v>
      </c>
      <c r="AC38">
        <v>1</v>
      </c>
      <c r="AJ38">
        <v>1</v>
      </c>
      <c r="AK38">
        <v>1</v>
      </c>
      <c r="AT38">
        <v>1</v>
      </c>
      <c r="AW38">
        <v>1</v>
      </c>
      <c r="BA38">
        <v>1</v>
      </c>
      <c r="BK38">
        <v>1</v>
      </c>
      <c r="CB38">
        <v>1</v>
      </c>
      <c r="CE38">
        <v>1</v>
      </c>
      <c r="CK38">
        <v>1</v>
      </c>
      <c r="CT38" s="341">
        <v>46722</v>
      </c>
    </row>
    <row r="39" spans="1:98">
      <c r="A39" t="s">
        <v>8645</v>
      </c>
      <c r="B39" t="s">
        <v>8646</v>
      </c>
      <c r="C39">
        <v>20</v>
      </c>
      <c r="D39" t="s">
        <v>8640</v>
      </c>
      <c r="E39" t="s">
        <v>8647</v>
      </c>
      <c r="F39" t="s">
        <v>107</v>
      </c>
      <c r="J39">
        <v>1</v>
      </c>
      <c r="M39">
        <v>1</v>
      </c>
      <c r="Q39">
        <v>1</v>
      </c>
      <c r="U39">
        <v>1</v>
      </c>
      <c r="W39">
        <v>14</v>
      </c>
      <c r="X39">
        <v>16</v>
      </c>
      <c r="Y39">
        <v>20</v>
      </c>
      <c r="Z39">
        <v>1</v>
      </c>
      <c r="AA39">
        <v>1</v>
      </c>
      <c r="AB39">
        <v>1</v>
      </c>
      <c r="AH39">
        <v>1</v>
      </c>
      <c r="AJ39">
        <v>1</v>
      </c>
      <c r="AK39">
        <v>1</v>
      </c>
      <c r="AT39">
        <v>1</v>
      </c>
      <c r="AX39">
        <v>1</v>
      </c>
      <c r="BA39">
        <v>1</v>
      </c>
      <c r="BK39">
        <v>1</v>
      </c>
      <c r="BY39">
        <v>1</v>
      </c>
      <c r="CB39">
        <v>1</v>
      </c>
      <c r="CE39">
        <v>1</v>
      </c>
      <c r="CK39">
        <v>1</v>
      </c>
      <c r="CT39" s="341">
        <v>46722</v>
      </c>
    </row>
    <row r="40" spans="1:98">
      <c r="A40" t="s">
        <v>8648</v>
      </c>
      <c r="B40" t="s">
        <v>8649</v>
      </c>
      <c r="C40">
        <v>43</v>
      </c>
      <c r="D40" t="s">
        <v>8558</v>
      </c>
      <c r="E40" t="s">
        <v>191</v>
      </c>
      <c r="F40" t="s">
        <v>112</v>
      </c>
      <c r="H40">
        <v>1</v>
      </c>
      <c r="M40">
        <v>1</v>
      </c>
      <c r="V40">
        <v>1</v>
      </c>
      <c r="W40">
        <v>15</v>
      </c>
      <c r="X40">
        <v>19</v>
      </c>
      <c r="Y40">
        <v>20</v>
      </c>
      <c r="Z40">
        <v>6</v>
      </c>
      <c r="AA40">
        <v>4</v>
      </c>
      <c r="AB40">
        <v>4</v>
      </c>
      <c r="AE40">
        <v>1</v>
      </c>
      <c r="AI40">
        <v>1</v>
      </c>
      <c r="AK40">
        <v>1</v>
      </c>
      <c r="AT40">
        <v>1</v>
      </c>
      <c r="BA40">
        <v>1</v>
      </c>
      <c r="BK40">
        <v>1</v>
      </c>
      <c r="CB40">
        <v>1</v>
      </c>
      <c r="CE40">
        <v>1</v>
      </c>
      <c r="CK40">
        <v>1</v>
      </c>
      <c r="CT40" s="341">
        <v>46722</v>
      </c>
    </row>
    <row r="41" spans="1:98">
      <c r="A41" t="s">
        <v>8650</v>
      </c>
      <c r="B41" t="s">
        <v>8651</v>
      </c>
      <c r="C41">
        <v>33</v>
      </c>
      <c r="D41" t="s">
        <v>8570</v>
      </c>
      <c r="E41" t="s">
        <v>8652</v>
      </c>
      <c r="F41" t="s">
        <v>1109</v>
      </c>
      <c r="L41">
        <v>1</v>
      </c>
      <c r="Q41" t="s">
        <v>191</v>
      </c>
      <c r="V41">
        <v>1</v>
      </c>
      <c r="W41">
        <v>12</v>
      </c>
      <c r="X41">
        <v>15</v>
      </c>
      <c r="Y41">
        <v>23</v>
      </c>
      <c r="AB41">
        <v>2</v>
      </c>
      <c r="AC41">
        <v>1</v>
      </c>
      <c r="AI41">
        <v>1</v>
      </c>
      <c r="AK41">
        <v>1</v>
      </c>
      <c r="AT41">
        <v>1</v>
      </c>
      <c r="AW41">
        <v>1</v>
      </c>
      <c r="BB41">
        <v>1</v>
      </c>
      <c r="BK41">
        <v>1</v>
      </c>
      <c r="CB41">
        <v>1</v>
      </c>
      <c r="CE41">
        <v>1</v>
      </c>
      <c r="CK41">
        <v>1</v>
      </c>
      <c r="CT41" s="341">
        <v>46722</v>
      </c>
    </row>
    <row r="42" spans="1:98">
      <c r="A42" t="s">
        <v>8653</v>
      </c>
      <c r="B42" t="s">
        <v>8654</v>
      </c>
      <c r="C42">
        <v>36</v>
      </c>
      <c r="D42" t="s">
        <v>8655</v>
      </c>
      <c r="E42" t="s">
        <v>8656</v>
      </c>
      <c r="F42" t="s">
        <v>112</v>
      </c>
      <c r="J42">
        <v>1</v>
      </c>
      <c r="M42">
        <v>1</v>
      </c>
      <c r="Q42">
        <v>1</v>
      </c>
      <c r="V42">
        <v>1</v>
      </c>
      <c r="W42">
        <v>14</v>
      </c>
      <c r="X42">
        <v>17</v>
      </c>
      <c r="Y42">
        <v>20</v>
      </c>
      <c r="Z42">
        <v>7</v>
      </c>
      <c r="AA42">
        <v>5</v>
      </c>
      <c r="AB42">
        <v>4</v>
      </c>
      <c r="AC42">
        <v>1</v>
      </c>
      <c r="AI42">
        <v>1</v>
      </c>
      <c r="AK42">
        <v>1</v>
      </c>
      <c r="AT42">
        <v>1</v>
      </c>
      <c r="AW42">
        <v>1</v>
      </c>
      <c r="BA42">
        <v>1</v>
      </c>
      <c r="BK42">
        <v>1</v>
      </c>
      <c r="BY42">
        <v>1</v>
      </c>
      <c r="CB42">
        <v>1</v>
      </c>
      <c r="CE42">
        <v>1</v>
      </c>
      <c r="CK42">
        <v>1</v>
      </c>
      <c r="CT42" s="341">
        <v>46722</v>
      </c>
    </row>
  </sheetData>
  <mergeCells count="26">
    <mergeCell ref="S1:V2"/>
    <mergeCell ref="W1:AB2"/>
    <mergeCell ref="A1:B1"/>
    <mergeCell ref="BP1:BR2"/>
    <mergeCell ref="AI1:AJ2"/>
    <mergeCell ref="AK1:AM2"/>
    <mergeCell ref="AN1:AP2"/>
    <mergeCell ref="AQ1:AS2"/>
    <mergeCell ref="AT1:AU2"/>
    <mergeCell ref="AV1:AZ2"/>
    <mergeCell ref="BA1:BC2"/>
    <mergeCell ref="BD1:BF2"/>
    <mergeCell ref="BG1:BH2"/>
    <mergeCell ref="BI1:BK1"/>
    <mergeCell ref="BL1:BO2"/>
    <mergeCell ref="AC1:AH2"/>
    <mergeCell ref="F1:K1"/>
    <mergeCell ref="L1:P1"/>
    <mergeCell ref="CO1:CP2"/>
    <mergeCell ref="CQ1:CR2"/>
    <mergeCell ref="BS1:BT2"/>
    <mergeCell ref="BW1:BY2"/>
    <mergeCell ref="CB1:CD2"/>
    <mergeCell ref="CE1:CG2"/>
    <mergeCell ref="CH1:CI2"/>
    <mergeCell ref="CK1:CN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C7" sqref="C7"/>
    </sheetView>
  </sheetViews>
  <sheetFormatPr defaultRowHeight="15"/>
  <cols>
    <col min="1" max="1" width="18.42578125" customWidth="1"/>
    <col min="2" max="2" width="12.28515625" customWidth="1"/>
    <col min="3" max="3" width="8.140625" customWidth="1"/>
    <col min="4" max="4" width="9.42578125" customWidth="1"/>
    <col min="19" max="19" width="11.28515625" customWidth="1"/>
  </cols>
  <sheetData>
    <row r="1" spans="1:33" s="337" customFormat="1" ht="30" thickBot="1">
      <c r="A1" s="587" t="s">
        <v>351</v>
      </c>
      <c r="B1" s="589" t="s">
        <v>352</v>
      </c>
      <c r="C1" s="590"/>
      <c r="D1" s="590"/>
      <c r="E1" s="591"/>
      <c r="F1" s="535" t="s">
        <v>353</v>
      </c>
      <c r="G1" s="536"/>
      <c r="H1" s="537"/>
      <c r="I1" s="284"/>
      <c r="J1" s="284"/>
      <c r="K1" s="535" t="s">
        <v>354</v>
      </c>
      <c r="L1" s="536"/>
      <c r="M1" s="536"/>
      <c r="N1" s="536"/>
      <c r="O1" s="536"/>
      <c r="P1" s="537"/>
      <c r="Q1" s="535" t="s">
        <v>355</v>
      </c>
      <c r="R1" s="536"/>
      <c r="S1" s="536"/>
      <c r="T1" s="537"/>
      <c r="U1" s="535" t="s">
        <v>356</v>
      </c>
      <c r="V1" s="536"/>
      <c r="W1" s="536"/>
      <c r="X1" s="536"/>
      <c r="Y1" s="536"/>
      <c r="Z1" s="537"/>
      <c r="AA1" s="535" t="s">
        <v>357</v>
      </c>
      <c r="AB1" s="536"/>
      <c r="AC1" s="536"/>
      <c r="AD1" s="536"/>
      <c r="AE1" s="537"/>
      <c r="AF1" s="368" t="s">
        <v>356</v>
      </c>
      <c r="AG1" s="284"/>
    </row>
    <row r="2" spans="1:33" s="337" customFormat="1" ht="30.75" thickBot="1">
      <c r="A2" s="588"/>
      <c r="B2" s="300" t="s">
        <v>358</v>
      </c>
      <c r="C2" s="300" t="s">
        <v>359</v>
      </c>
      <c r="D2" s="300" t="s">
        <v>360</v>
      </c>
      <c r="E2" s="300" t="s">
        <v>361</v>
      </c>
      <c r="F2" s="369" t="s">
        <v>3106</v>
      </c>
      <c r="G2" s="369" t="s">
        <v>358</v>
      </c>
      <c r="H2" s="370" t="s">
        <v>362</v>
      </c>
      <c r="I2" s="369" t="s">
        <v>3429</v>
      </c>
      <c r="J2" s="371" t="s">
        <v>361</v>
      </c>
      <c r="K2" s="369" t="s">
        <v>96</v>
      </c>
      <c r="L2" s="369" t="s">
        <v>84</v>
      </c>
      <c r="M2" s="369" t="s">
        <v>98</v>
      </c>
      <c r="N2" s="369" t="s">
        <v>38</v>
      </c>
      <c r="O2" s="369" t="s">
        <v>930</v>
      </c>
      <c r="P2" s="371" t="s">
        <v>361</v>
      </c>
      <c r="Q2" s="369" t="s">
        <v>91</v>
      </c>
      <c r="R2" s="369" t="s">
        <v>362</v>
      </c>
      <c r="S2" s="369" t="s">
        <v>363</v>
      </c>
      <c r="T2" s="371" t="s">
        <v>361</v>
      </c>
      <c r="U2" s="369" t="s">
        <v>364</v>
      </c>
      <c r="V2" s="369" t="s">
        <v>91</v>
      </c>
      <c r="W2" s="369" t="s">
        <v>365</v>
      </c>
      <c r="X2" s="369" t="s">
        <v>366</v>
      </c>
      <c r="Y2" s="369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69" t="s">
        <v>365</v>
      </c>
      <c r="AG2" s="372" t="s">
        <v>3430</v>
      </c>
    </row>
    <row r="3" spans="1:33" s="337" customFormat="1" ht="15.75" thickBot="1">
      <c r="A3" s="373" t="s">
        <v>1361</v>
      </c>
      <c r="B3" s="374">
        <v>1</v>
      </c>
      <c r="C3" s="289"/>
      <c r="D3" s="289"/>
      <c r="E3" s="374">
        <v>1</v>
      </c>
      <c r="F3" s="289"/>
      <c r="G3" s="310">
        <v>1</v>
      </c>
      <c r="H3" s="289"/>
      <c r="I3" s="289"/>
      <c r="J3" s="375">
        <v>1</v>
      </c>
      <c r="K3" s="289"/>
      <c r="L3" s="289"/>
      <c r="M3" s="289"/>
      <c r="N3" s="289"/>
      <c r="O3" s="289"/>
      <c r="P3" s="375">
        <v>0</v>
      </c>
      <c r="Q3" s="289"/>
      <c r="R3" s="289"/>
      <c r="S3" s="310">
        <v>1</v>
      </c>
      <c r="T3" s="375">
        <v>1</v>
      </c>
      <c r="U3" s="289"/>
      <c r="V3" s="289"/>
      <c r="W3" s="289"/>
      <c r="X3" s="289"/>
      <c r="Y3" s="289"/>
      <c r="Z3" s="289"/>
      <c r="AA3" s="310">
        <v>1</v>
      </c>
      <c r="AB3" s="289"/>
      <c r="AC3" s="289"/>
      <c r="AD3" s="289"/>
      <c r="AE3" s="378">
        <v>1</v>
      </c>
      <c r="AF3" s="289"/>
      <c r="AG3" s="289"/>
    </row>
    <row r="4" spans="1:33" s="337" customFormat="1" ht="16.5" customHeight="1" thickBot="1">
      <c r="A4" s="373" t="s">
        <v>8657</v>
      </c>
      <c r="B4" s="374">
        <v>16</v>
      </c>
      <c r="C4" s="289"/>
      <c r="D4" s="374">
        <v>2</v>
      </c>
      <c r="E4" s="374">
        <v>18</v>
      </c>
      <c r="F4" s="289"/>
      <c r="G4" s="310">
        <v>15</v>
      </c>
      <c r="H4" s="289"/>
      <c r="I4" s="289"/>
      <c r="J4" s="375">
        <v>15</v>
      </c>
      <c r="K4" s="289"/>
      <c r="L4" s="289"/>
      <c r="M4" s="289"/>
      <c r="N4" s="289"/>
      <c r="O4" s="310">
        <v>3</v>
      </c>
      <c r="P4" s="375">
        <v>3</v>
      </c>
      <c r="Q4" s="289"/>
      <c r="R4" s="289"/>
      <c r="S4" s="310">
        <v>10</v>
      </c>
      <c r="T4" s="375">
        <v>10</v>
      </c>
      <c r="U4" s="289"/>
      <c r="V4" s="289"/>
      <c r="W4" s="289"/>
      <c r="X4" s="289"/>
      <c r="Y4" s="289"/>
      <c r="Z4" s="289"/>
      <c r="AA4" s="310">
        <v>13</v>
      </c>
      <c r="AB4" s="289"/>
      <c r="AC4" s="289"/>
      <c r="AD4" s="310">
        <v>5</v>
      </c>
      <c r="AE4" s="378">
        <v>18</v>
      </c>
      <c r="AF4" s="289"/>
      <c r="AG4" s="289"/>
    </row>
    <row r="5" spans="1:33" s="337" customFormat="1" ht="18.75" customHeight="1" thickBot="1">
      <c r="A5" s="373" t="s">
        <v>7089</v>
      </c>
      <c r="B5" s="374">
        <v>10</v>
      </c>
      <c r="C5" s="289"/>
      <c r="D5" s="289"/>
      <c r="E5" s="374">
        <v>10</v>
      </c>
      <c r="F5" s="289"/>
      <c r="G5" s="310">
        <v>9</v>
      </c>
      <c r="H5" s="289"/>
      <c r="I5" s="289"/>
      <c r="J5" s="375">
        <v>9</v>
      </c>
      <c r="K5" s="289"/>
      <c r="L5" s="289"/>
      <c r="M5" s="289"/>
      <c r="N5" s="289"/>
      <c r="O5" s="310">
        <v>1</v>
      </c>
      <c r="P5" s="375">
        <v>1</v>
      </c>
      <c r="Q5" s="289"/>
      <c r="R5" s="289"/>
      <c r="S5" s="310">
        <v>3</v>
      </c>
      <c r="T5" s="375">
        <v>3</v>
      </c>
      <c r="U5" s="289"/>
      <c r="V5" s="289"/>
      <c r="W5" s="289"/>
      <c r="X5" s="289"/>
      <c r="Y5" s="289"/>
      <c r="Z5" s="289"/>
      <c r="AA5" s="310">
        <v>7</v>
      </c>
      <c r="AB5" s="289"/>
      <c r="AC5" s="289"/>
      <c r="AD5" s="310">
        <v>3</v>
      </c>
      <c r="AE5" s="378">
        <v>10</v>
      </c>
      <c r="AF5" s="289"/>
      <c r="AG5" s="289"/>
    </row>
    <row r="6" spans="1:33" s="337" customFormat="1" ht="19.5" customHeight="1" thickBot="1">
      <c r="A6" s="373" t="s">
        <v>6314</v>
      </c>
      <c r="B6" s="374">
        <v>8</v>
      </c>
      <c r="C6" s="289"/>
      <c r="D6" s="289"/>
      <c r="E6" s="374">
        <v>8</v>
      </c>
      <c r="F6" s="289"/>
      <c r="G6" s="310">
        <v>6</v>
      </c>
      <c r="H6" s="289"/>
      <c r="I6" s="289"/>
      <c r="J6" s="375">
        <v>6</v>
      </c>
      <c r="K6" s="310">
        <v>1</v>
      </c>
      <c r="L6" s="289"/>
      <c r="M6" s="289"/>
      <c r="N6" s="289"/>
      <c r="O6" s="310">
        <v>1</v>
      </c>
      <c r="P6" s="375">
        <v>2</v>
      </c>
      <c r="Q6" s="289"/>
      <c r="R6" s="289"/>
      <c r="S6" s="310">
        <v>1</v>
      </c>
      <c r="T6" s="375">
        <v>1</v>
      </c>
      <c r="U6" s="289"/>
      <c r="V6" s="289"/>
      <c r="W6" s="289"/>
      <c r="X6" s="289"/>
      <c r="Y6" s="289"/>
      <c r="Z6" s="289"/>
      <c r="AA6" s="310">
        <v>5</v>
      </c>
      <c r="AB6" s="289"/>
      <c r="AC6" s="289"/>
      <c r="AD6" s="310">
        <v>3</v>
      </c>
      <c r="AE6" s="378">
        <v>8</v>
      </c>
      <c r="AF6" s="289"/>
      <c r="AG6" s="289"/>
    </row>
    <row r="7" spans="1:33" s="337" customFormat="1" ht="18" customHeight="1" thickBot="1">
      <c r="A7" s="376" t="s">
        <v>8658</v>
      </c>
      <c r="B7" s="374">
        <v>2</v>
      </c>
      <c r="C7" s="289"/>
      <c r="D7" s="289"/>
      <c r="E7" s="374">
        <v>2</v>
      </c>
      <c r="F7" s="289"/>
      <c r="G7" s="374">
        <v>1</v>
      </c>
      <c r="H7" s="289"/>
      <c r="I7" s="289"/>
      <c r="J7" s="375">
        <v>1</v>
      </c>
      <c r="K7" s="314"/>
      <c r="L7" s="314"/>
      <c r="M7" s="314"/>
      <c r="N7" s="314"/>
      <c r="O7" s="317">
        <v>1</v>
      </c>
      <c r="P7" s="375">
        <v>1</v>
      </c>
      <c r="Q7" s="314"/>
      <c r="R7" s="314"/>
      <c r="S7" s="317">
        <v>1</v>
      </c>
      <c r="T7" s="375">
        <v>1</v>
      </c>
      <c r="U7" s="314"/>
      <c r="V7" s="314"/>
      <c r="W7" s="314"/>
      <c r="X7" s="314"/>
      <c r="Y7" s="314"/>
      <c r="Z7" s="314"/>
      <c r="AA7" s="310">
        <v>1</v>
      </c>
      <c r="AB7" s="289"/>
      <c r="AC7" s="289"/>
      <c r="AD7" s="310">
        <v>1</v>
      </c>
      <c r="AE7" s="378">
        <v>2</v>
      </c>
      <c r="AF7" s="289"/>
      <c r="AG7" s="289"/>
    </row>
    <row r="8" spans="1:33" s="337" customFormat="1" ht="15.75" thickBot="1">
      <c r="A8" s="377" t="s">
        <v>376</v>
      </c>
      <c r="B8" s="374">
        <v>37</v>
      </c>
      <c r="C8" s="374">
        <v>0</v>
      </c>
      <c r="D8" s="374">
        <v>2</v>
      </c>
      <c r="E8" s="374">
        <v>39</v>
      </c>
      <c r="F8" s="374">
        <v>0</v>
      </c>
      <c r="G8" s="374">
        <v>32</v>
      </c>
      <c r="H8" s="374">
        <v>0</v>
      </c>
      <c r="I8" s="374">
        <v>0</v>
      </c>
      <c r="J8" s="375">
        <v>32</v>
      </c>
      <c r="K8" s="317">
        <v>1</v>
      </c>
      <c r="L8" s="317">
        <v>0</v>
      </c>
      <c r="M8" s="317">
        <v>0</v>
      </c>
      <c r="N8" s="317">
        <v>0</v>
      </c>
      <c r="O8" s="317">
        <v>6</v>
      </c>
      <c r="P8" s="375">
        <v>7</v>
      </c>
      <c r="Q8" s="317">
        <v>0</v>
      </c>
      <c r="R8" s="317">
        <v>0</v>
      </c>
      <c r="S8" s="317">
        <v>16</v>
      </c>
      <c r="T8" s="375">
        <v>16</v>
      </c>
      <c r="U8" s="317">
        <v>0</v>
      </c>
      <c r="V8" s="317">
        <v>0</v>
      </c>
      <c r="W8" s="317">
        <v>0</v>
      </c>
      <c r="X8" s="317">
        <v>0</v>
      </c>
      <c r="Y8" s="317">
        <v>0</v>
      </c>
      <c r="Z8" s="317">
        <v>0</v>
      </c>
      <c r="AA8" s="310">
        <v>27</v>
      </c>
      <c r="AB8" s="310">
        <v>0</v>
      </c>
      <c r="AC8" s="310">
        <v>0</v>
      </c>
      <c r="AD8" s="310">
        <v>12</v>
      </c>
      <c r="AE8" s="378">
        <v>39</v>
      </c>
      <c r="AF8" s="310">
        <v>0</v>
      </c>
      <c r="AG8" s="310"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7"/>
  <sheetViews>
    <sheetView workbookViewId="0">
      <selection activeCell="F11" sqref="F11"/>
    </sheetView>
  </sheetViews>
  <sheetFormatPr defaultRowHeight="15"/>
  <cols>
    <col min="2" max="2" width="25.5703125" customWidth="1"/>
    <col min="4" max="4" width="14.28515625" customWidth="1"/>
    <col min="5" max="5" width="15.140625" customWidth="1"/>
    <col min="6" max="6" width="11.5703125" customWidth="1"/>
  </cols>
  <sheetData>
    <row r="1" spans="1:98" ht="15.75" thickBot="1">
      <c r="A1" s="283" t="s">
        <v>8659</v>
      </c>
      <c r="B1" s="284"/>
      <c r="C1" s="285" t="s">
        <v>8660</v>
      </c>
      <c r="D1" s="286"/>
      <c r="E1" s="284"/>
      <c r="F1" s="284"/>
      <c r="G1" s="538" t="s">
        <v>2</v>
      </c>
      <c r="H1" s="539"/>
      <c r="I1" s="539"/>
      <c r="J1" s="539"/>
      <c r="K1" s="540"/>
      <c r="L1" s="535" t="s">
        <v>3</v>
      </c>
      <c r="M1" s="536"/>
      <c r="N1" s="536"/>
      <c r="O1" s="536"/>
      <c r="P1" s="537"/>
      <c r="Q1" s="541"/>
      <c r="R1" s="542"/>
      <c r="S1" s="543" t="s">
        <v>5</v>
      </c>
      <c r="T1" s="544"/>
      <c r="U1" s="544"/>
      <c r="V1" s="545"/>
      <c r="W1" s="538" t="s">
        <v>6</v>
      </c>
      <c r="X1" s="539"/>
      <c r="Y1" s="539"/>
      <c r="Z1" s="539"/>
      <c r="AA1" s="539"/>
      <c r="AB1" s="540"/>
      <c r="AC1" s="543" t="s">
        <v>7</v>
      </c>
      <c r="AD1" s="544"/>
      <c r="AE1" s="544"/>
      <c r="AF1" s="544"/>
      <c r="AG1" s="544"/>
      <c r="AH1" s="545"/>
      <c r="AI1" s="546" t="s">
        <v>8</v>
      </c>
      <c r="AJ1" s="547"/>
      <c r="AK1" s="543" t="s">
        <v>9</v>
      </c>
      <c r="AL1" s="544"/>
      <c r="AM1" s="545"/>
      <c r="AN1" s="543" t="s">
        <v>10</v>
      </c>
      <c r="AO1" s="544"/>
      <c r="AP1" s="545"/>
      <c r="AQ1" s="543" t="s">
        <v>11</v>
      </c>
      <c r="AR1" s="544"/>
      <c r="AS1" s="545"/>
      <c r="AT1" s="546" t="s">
        <v>12</v>
      </c>
      <c r="AU1" s="547"/>
      <c r="AV1" s="535" t="s">
        <v>13</v>
      </c>
      <c r="AW1" s="536"/>
      <c r="AX1" s="536"/>
      <c r="AY1" s="536"/>
      <c r="AZ1" s="537"/>
      <c r="BA1" s="538" t="s">
        <v>8129</v>
      </c>
      <c r="BB1" s="539"/>
      <c r="BC1" s="540"/>
      <c r="BD1" s="543" t="s">
        <v>3542</v>
      </c>
      <c r="BE1" s="544"/>
      <c r="BF1" s="545"/>
      <c r="BG1" s="284"/>
      <c r="BH1" s="284"/>
      <c r="BI1" s="546" t="s">
        <v>16</v>
      </c>
      <c r="BJ1" s="548"/>
      <c r="BK1" s="548"/>
      <c r="BL1" s="548"/>
      <c r="BM1" s="548"/>
      <c r="BN1" s="548"/>
      <c r="BO1" s="547"/>
      <c r="BP1" s="543" t="s">
        <v>8130</v>
      </c>
      <c r="BQ1" s="544"/>
      <c r="BR1" s="545"/>
      <c r="BS1" s="535" t="s">
        <v>18</v>
      </c>
      <c r="BT1" s="537"/>
      <c r="BU1" s="284"/>
      <c r="BV1" s="284"/>
      <c r="BW1" s="546" t="s">
        <v>8131</v>
      </c>
      <c r="BX1" s="548"/>
      <c r="BY1" s="548"/>
      <c r="BZ1" s="548"/>
      <c r="CA1" s="547"/>
      <c r="CB1" s="287" t="s">
        <v>8132</v>
      </c>
      <c r="CC1" s="286"/>
      <c r="CD1" s="284"/>
      <c r="CE1" s="538" t="s">
        <v>8133</v>
      </c>
      <c r="CF1" s="539"/>
      <c r="CG1" s="540"/>
      <c r="CH1" s="535" t="s">
        <v>6832</v>
      </c>
      <c r="CI1" s="537"/>
      <c r="CJ1" s="284"/>
      <c r="CK1" s="546" t="s">
        <v>16</v>
      </c>
      <c r="CL1" s="548"/>
      <c r="CM1" s="548"/>
      <c r="CN1" s="547"/>
      <c r="CO1" s="543" t="s">
        <v>24</v>
      </c>
      <c r="CP1" s="545"/>
      <c r="CQ1" s="287" t="s">
        <v>25</v>
      </c>
      <c r="CR1" s="284"/>
      <c r="CS1" s="284"/>
      <c r="CT1" s="284"/>
    </row>
    <row r="2" spans="1:98" ht="15.75" thickBot="1">
      <c r="A2" s="288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90" t="s">
        <v>15</v>
      </c>
      <c r="BH2" s="289"/>
      <c r="BI2" s="289" t="s">
        <v>5582</v>
      </c>
      <c r="BJ2" s="546" t="s">
        <v>78</v>
      </c>
      <c r="BK2" s="547"/>
      <c r="BL2" s="543" t="s">
        <v>354</v>
      </c>
      <c r="BM2" s="544"/>
      <c r="BN2" s="544"/>
      <c r="BO2" s="545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89"/>
      <c r="CI2" s="289"/>
      <c r="CJ2" s="289"/>
      <c r="CK2" s="289"/>
      <c r="CL2" s="289"/>
      <c r="CM2" s="289"/>
      <c r="CN2" s="289"/>
      <c r="CO2" s="289"/>
      <c r="CP2" s="289"/>
      <c r="CQ2" s="289"/>
      <c r="CR2" s="289"/>
      <c r="CS2" s="290" t="s">
        <v>893</v>
      </c>
      <c r="CT2" s="289"/>
    </row>
    <row r="3" spans="1:98" ht="27" customHeight="1" thickBot="1">
      <c r="A3" s="338" t="s">
        <v>28</v>
      </c>
      <c r="B3" s="339" t="s">
        <v>29</v>
      </c>
      <c r="C3" s="339" t="s">
        <v>30</v>
      </c>
      <c r="D3" s="339" t="s">
        <v>31</v>
      </c>
      <c r="E3" s="339" t="s">
        <v>32</v>
      </c>
      <c r="F3" s="339" t="s">
        <v>33</v>
      </c>
      <c r="G3" s="339" t="s">
        <v>34</v>
      </c>
      <c r="H3" s="339" t="s">
        <v>35</v>
      </c>
      <c r="I3" s="339" t="s">
        <v>36</v>
      </c>
      <c r="J3" s="339" t="s">
        <v>37</v>
      </c>
      <c r="K3" s="339" t="s">
        <v>38</v>
      </c>
      <c r="L3" s="339" t="s">
        <v>39</v>
      </c>
      <c r="M3" s="339" t="s">
        <v>40</v>
      </c>
      <c r="N3" s="339" t="s">
        <v>41</v>
      </c>
      <c r="O3" s="339" t="s">
        <v>42</v>
      </c>
      <c r="P3" s="339" t="s">
        <v>43</v>
      </c>
      <c r="Q3" s="339" t="s">
        <v>44</v>
      </c>
      <c r="R3" s="339" t="s">
        <v>45</v>
      </c>
      <c r="S3" s="339" t="s">
        <v>46</v>
      </c>
      <c r="T3" s="339" t="s">
        <v>47</v>
      </c>
      <c r="U3" s="339" t="s">
        <v>48</v>
      </c>
      <c r="V3" s="339" t="s">
        <v>49</v>
      </c>
      <c r="W3" s="339" t="s">
        <v>50</v>
      </c>
      <c r="X3" s="339" t="s">
        <v>51</v>
      </c>
      <c r="Y3" s="339" t="s">
        <v>52</v>
      </c>
      <c r="Z3" s="339" t="s">
        <v>53</v>
      </c>
      <c r="AA3" s="339" t="s">
        <v>54</v>
      </c>
      <c r="AB3" s="339" t="s">
        <v>55</v>
      </c>
      <c r="AC3" s="339" t="s">
        <v>56</v>
      </c>
      <c r="AD3" s="339" t="s">
        <v>57</v>
      </c>
      <c r="AE3" s="339" t="s">
        <v>58</v>
      </c>
      <c r="AF3" s="339" t="s">
        <v>59</v>
      </c>
      <c r="AG3" s="339" t="s">
        <v>60</v>
      </c>
      <c r="AH3" s="339" t="s">
        <v>61</v>
      </c>
      <c r="AI3" s="339" t="s">
        <v>62</v>
      </c>
      <c r="AJ3" s="339" t="s">
        <v>63</v>
      </c>
      <c r="AK3" s="339" t="s">
        <v>64</v>
      </c>
      <c r="AL3" s="339" t="s">
        <v>65</v>
      </c>
      <c r="AM3" s="340" t="s">
        <v>66</v>
      </c>
      <c r="AN3" s="339" t="s">
        <v>8464</v>
      </c>
      <c r="AO3" s="339" t="s">
        <v>68</v>
      </c>
      <c r="AP3" s="339" t="s">
        <v>69</v>
      </c>
      <c r="AQ3" s="339" t="s">
        <v>70</v>
      </c>
      <c r="AR3" s="339" t="s">
        <v>71</v>
      </c>
      <c r="AS3" s="339" t="s">
        <v>360</v>
      </c>
      <c r="AT3" s="339" t="s">
        <v>56</v>
      </c>
      <c r="AU3" s="339" t="s">
        <v>73</v>
      </c>
      <c r="AV3" s="339" t="s">
        <v>46</v>
      </c>
      <c r="AW3" s="339" t="s">
        <v>895</v>
      </c>
      <c r="AX3" s="339" t="s">
        <v>75</v>
      </c>
      <c r="AY3" s="339" t="s">
        <v>76</v>
      </c>
      <c r="AZ3" s="339" t="s">
        <v>77</v>
      </c>
      <c r="BA3" s="339" t="s">
        <v>56</v>
      </c>
      <c r="BB3" s="339" t="s">
        <v>78</v>
      </c>
      <c r="BC3" s="339" t="s">
        <v>5582</v>
      </c>
      <c r="BD3" s="339" t="s">
        <v>79</v>
      </c>
      <c r="BE3" s="339" t="s">
        <v>80</v>
      </c>
      <c r="BF3" s="339" t="s">
        <v>38</v>
      </c>
      <c r="BG3" s="339" t="s">
        <v>81</v>
      </c>
      <c r="BH3" s="339" t="s">
        <v>82</v>
      </c>
      <c r="BI3" s="339" t="s">
        <v>83</v>
      </c>
      <c r="BJ3" s="339" t="s">
        <v>83</v>
      </c>
      <c r="BK3" s="339" t="s">
        <v>81</v>
      </c>
      <c r="BL3" s="339" t="s">
        <v>96</v>
      </c>
      <c r="BM3" s="339" t="s">
        <v>84</v>
      </c>
      <c r="BN3" s="339" t="s">
        <v>85</v>
      </c>
      <c r="BO3" s="339" t="s">
        <v>86</v>
      </c>
      <c r="BP3" s="339" t="s">
        <v>73</v>
      </c>
      <c r="BQ3" s="339" t="s">
        <v>87</v>
      </c>
      <c r="BR3" s="339" t="s">
        <v>56</v>
      </c>
      <c r="BS3" s="339" t="s">
        <v>83</v>
      </c>
      <c r="BT3" s="339" t="s">
        <v>88</v>
      </c>
      <c r="BU3" s="339" t="s">
        <v>89</v>
      </c>
      <c r="BV3" s="289"/>
      <c r="BW3" s="339" t="s">
        <v>90</v>
      </c>
      <c r="BX3" s="339" t="s">
        <v>91</v>
      </c>
      <c r="BY3" s="339" t="s">
        <v>8532</v>
      </c>
      <c r="BZ3" s="339" t="s">
        <v>93</v>
      </c>
      <c r="CA3" s="339" t="s">
        <v>94</v>
      </c>
      <c r="CB3" s="339" t="s">
        <v>56</v>
      </c>
      <c r="CC3" s="339" t="s">
        <v>73</v>
      </c>
      <c r="CD3" s="339" t="s">
        <v>22</v>
      </c>
      <c r="CE3" s="339" t="s">
        <v>56</v>
      </c>
      <c r="CF3" s="339" t="s">
        <v>73</v>
      </c>
      <c r="CG3" s="339" t="s">
        <v>1275</v>
      </c>
      <c r="CH3" s="339" t="s">
        <v>83</v>
      </c>
      <c r="CI3" s="339" t="s">
        <v>88</v>
      </c>
      <c r="CJ3" s="339" t="s">
        <v>896</v>
      </c>
      <c r="CK3" s="339" t="s">
        <v>96</v>
      </c>
      <c r="CL3" s="339" t="s">
        <v>97</v>
      </c>
      <c r="CM3" s="339" t="s">
        <v>98</v>
      </c>
      <c r="CN3" s="339" t="s">
        <v>360</v>
      </c>
      <c r="CO3" s="339" t="s">
        <v>73</v>
      </c>
      <c r="CP3" s="339" t="s">
        <v>56</v>
      </c>
      <c r="CQ3" s="339" t="s">
        <v>99</v>
      </c>
      <c r="CR3" s="339" t="s">
        <v>56</v>
      </c>
      <c r="CS3" s="289"/>
      <c r="CT3" s="339" t="s">
        <v>100</v>
      </c>
    </row>
    <row r="4" spans="1:98" s="295" customFormat="1" ht="25.5" customHeight="1">
      <c r="A4" s="379" t="s">
        <v>8661</v>
      </c>
      <c r="B4" s="379" t="s">
        <v>8662</v>
      </c>
      <c r="C4" s="380">
        <v>59</v>
      </c>
      <c r="D4" s="379" t="s">
        <v>1539</v>
      </c>
      <c r="E4" s="379" t="s">
        <v>8663</v>
      </c>
      <c r="F4" s="379" t="s">
        <v>112</v>
      </c>
      <c r="G4" s="379"/>
      <c r="H4" s="380">
        <v>1</v>
      </c>
      <c r="I4" s="379"/>
      <c r="J4" s="379"/>
      <c r="K4" s="379"/>
      <c r="L4" s="379"/>
      <c r="M4" s="379"/>
      <c r="N4" s="379"/>
      <c r="O4" s="379"/>
      <c r="P4" s="380">
        <v>1</v>
      </c>
      <c r="Q4" s="379"/>
      <c r="R4" s="380">
        <v>1</v>
      </c>
      <c r="S4" s="379"/>
      <c r="T4" s="380">
        <v>1</v>
      </c>
      <c r="U4" s="379"/>
      <c r="V4" s="379"/>
      <c r="W4" s="380">
        <v>15</v>
      </c>
      <c r="X4" s="380">
        <v>16</v>
      </c>
      <c r="Y4" s="380">
        <v>20</v>
      </c>
      <c r="Z4" s="380">
        <v>1</v>
      </c>
      <c r="AA4" s="380">
        <v>1</v>
      </c>
      <c r="AB4" s="380">
        <v>1</v>
      </c>
      <c r="AC4" s="380">
        <v>1</v>
      </c>
      <c r="AD4" s="379"/>
      <c r="AE4" s="379"/>
      <c r="AF4" s="379"/>
      <c r="AG4" s="379"/>
      <c r="AH4" s="379"/>
      <c r="AI4" s="380">
        <v>1</v>
      </c>
      <c r="AJ4" s="379"/>
      <c r="AK4" s="380">
        <v>1</v>
      </c>
      <c r="AL4" s="379"/>
      <c r="AM4" s="379"/>
      <c r="AN4" s="379"/>
      <c r="AO4" s="379"/>
      <c r="AP4" s="379"/>
      <c r="AQ4" s="379"/>
      <c r="AR4" s="379"/>
      <c r="AS4" s="379"/>
      <c r="AT4" s="380">
        <v>1</v>
      </c>
      <c r="AU4" s="379"/>
      <c r="AV4" s="379"/>
      <c r="AW4" s="380">
        <v>1</v>
      </c>
      <c r="AX4" s="379"/>
      <c r="AY4" s="379"/>
      <c r="AZ4" s="379"/>
      <c r="BA4" s="380">
        <v>1</v>
      </c>
      <c r="BB4" s="379"/>
      <c r="BC4" s="379"/>
      <c r="BD4" s="379"/>
      <c r="BE4" s="379"/>
      <c r="BF4" s="379"/>
      <c r="BG4" s="379"/>
      <c r="BH4" s="379"/>
      <c r="BI4" s="379"/>
      <c r="BJ4" s="379"/>
      <c r="BK4" s="379"/>
      <c r="BL4" s="379"/>
      <c r="BM4" s="379"/>
      <c r="BN4" s="379"/>
      <c r="BO4" s="379" t="s">
        <v>930</v>
      </c>
      <c r="BP4" s="379"/>
      <c r="BQ4" s="379"/>
      <c r="BR4" s="379"/>
      <c r="BS4" s="379"/>
      <c r="BT4" s="379"/>
      <c r="BU4" s="379"/>
      <c r="BV4" s="379"/>
      <c r="BW4" s="379"/>
      <c r="BX4" s="379"/>
      <c r="BY4" s="379"/>
      <c r="BZ4" s="379"/>
      <c r="CA4" s="379"/>
      <c r="CB4" s="380">
        <v>1</v>
      </c>
      <c r="CC4" s="379"/>
      <c r="CD4" s="379"/>
      <c r="CE4" s="380">
        <v>1</v>
      </c>
      <c r="CF4" s="379"/>
      <c r="CG4" s="379"/>
      <c r="CH4" s="379"/>
      <c r="CI4" s="379"/>
      <c r="CJ4" s="379"/>
      <c r="CK4" s="380">
        <v>1</v>
      </c>
      <c r="CL4" s="379"/>
      <c r="CM4" s="379"/>
      <c r="CN4" s="379"/>
      <c r="CO4" s="379"/>
      <c r="CP4" s="379"/>
      <c r="CQ4" s="379"/>
      <c r="CR4" s="379"/>
      <c r="CS4" s="379"/>
      <c r="CT4" s="381">
        <v>46692</v>
      </c>
    </row>
    <row r="5" spans="1:98" s="295" customFormat="1" ht="16.5" customHeight="1">
      <c r="A5" s="296" t="s">
        <v>8664</v>
      </c>
      <c r="B5" s="296" t="s">
        <v>8665</v>
      </c>
      <c r="C5" s="297">
        <v>53</v>
      </c>
      <c r="D5" s="296" t="s">
        <v>8666</v>
      </c>
      <c r="E5" s="296" t="s">
        <v>8667</v>
      </c>
      <c r="F5" s="296" t="s">
        <v>112</v>
      </c>
      <c r="G5" s="296"/>
      <c r="H5" s="297">
        <v>1</v>
      </c>
      <c r="I5" s="296"/>
      <c r="J5" s="296"/>
      <c r="K5" s="296"/>
      <c r="L5" s="296"/>
      <c r="M5" s="297">
        <v>1</v>
      </c>
      <c r="N5" s="296"/>
      <c r="O5" s="296"/>
      <c r="P5" s="296"/>
      <c r="Q5" s="297">
        <v>1</v>
      </c>
      <c r="R5" s="296"/>
      <c r="S5" s="296"/>
      <c r="T5" s="296"/>
      <c r="U5" s="297">
        <v>1</v>
      </c>
      <c r="V5" s="296"/>
      <c r="W5" s="297">
        <v>14</v>
      </c>
      <c r="X5" s="297">
        <v>17</v>
      </c>
      <c r="Y5" s="297">
        <v>18</v>
      </c>
      <c r="Z5" s="297">
        <v>6</v>
      </c>
      <c r="AA5" s="297">
        <v>6</v>
      </c>
      <c r="AB5" s="297">
        <v>6</v>
      </c>
      <c r="AC5" s="297">
        <v>1</v>
      </c>
      <c r="AD5" s="296"/>
      <c r="AE5" s="296"/>
      <c r="AF5" s="296"/>
      <c r="AG5" s="296"/>
      <c r="AH5" s="296"/>
      <c r="AI5" s="297">
        <v>1</v>
      </c>
      <c r="AJ5" s="296"/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 t="s">
        <v>4435</v>
      </c>
      <c r="BP5" s="296"/>
      <c r="BQ5" s="296"/>
      <c r="BR5" s="296"/>
      <c r="BS5" s="296"/>
      <c r="BT5" s="296"/>
      <c r="BU5" s="296"/>
      <c r="BV5" s="296"/>
      <c r="BW5" s="296"/>
      <c r="BX5" s="296"/>
      <c r="BY5" s="297">
        <v>1</v>
      </c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7">
        <v>1</v>
      </c>
      <c r="CL5" s="296"/>
      <c r="CM5" s="296"/>
      <c r="CN5" s="296"/>
      <c r="CO5" s="296"/>
      <c r="CP5" s="296"/>
      <c r="CQ5" s="296"/>
      <c r="CR5" s="296"/>
      <c r="CS5" s="296"/>
      <c r="CT5" s="298">
        <v>46692</v>
      </c>
    </row>
    <row r="6" spans="1:98" s="295" customFormat="1" ht="17.25" customHeight="1">
      <c r="A6" s="296" t="s">
        <v>8668</v>
      </c>
      <c r="B6" s="296" t="s">
        <v>8669</v>
      </c>
      <c r="C6" s="297">
        <v>45</v>
      </c>
      <c r="D6" s="296" t="s">
        <v>1539</v>
      </c>
      <c r="E6" s="296" t="s">
        <v>8670</v>
      </c>
      <c r="F6" s="296" t="s">
        <v>112</v>
      </c>
      <c r="G6" s="296"/>
      <c r="H6" s="296"/>
      <c r="I6" s="296"/>
      <c r="J6" s="297">
        <v>1</v>
      </c>
      <c r="K6" s="296"/>
      <c r="L6" s="296"/>
      <c r="M6" s="296"/>
      <c r="N6" s="296"/>
      <c r="O6" s="297">
        <v>1</v>
      </c>
      <c r="P6" s="296"/>
      <c r="Q6" s="342"/>
      <c r="R6" s="342"/>
      <c r="S6" s="296"/>
      <c r="T6" s="297">
        <v>1</v>
      </c>
      <c r="U6" s="296"/>
      <c r="V6" s="296"/>
      <c r="W6" s="297">
        <v>14</v>
      </c>
      <c r="X6" s="297">
        <v>15</v>
      </c>
      <c r="Y6" s="297">
        <v>18</v>
      </c>
      <c r="Z6" s="297">
        <v>10</v>
      </c>
      <c r="AA6" s="297">
        <v>5</v>
      </c>
      <c r="AB6" s="297">
        <v>3</v>
      </c>
      <c r="AC6" s="297">
        <v>1</v>
      </c>
      <c r="AD6" s="296"/>
      <c r="AE6" s="296"/>
      <c r="AF6" s="296"/>
      <c r="AG6" s="296"/>
      <c r="AH6" s="296"/>
      <c r="AI6" s="297">
        <v>1</v>
      </c>
      <c r="AJ6" s="296"/>
      <c r="AK6" s="296"/>
      <c r="AL6" s="297">
        <v>1</v>
      </c>
      <c r="AM6" s="296"/>
      <c r="AN6" s="296"/>
      <c r="AO6" s="297">
        <v>1</v>
      </c>
      <c r="AP6" s="296"/>
      <c r="AQ6" s="296" t="s">
        <v>251</v>
      </c>
      <c r="AR6" s="343">
        <v>45536</v>
      </c>
      <c r="AS6" s="296"/>
      <c r="AT6" s="297">
        <v>1</v>
      </c>
      <c r="AU6" s="296"/>
      <c r="AV6" s="296"/>
      <c r="AW6" s="297">
        <v>1</v>
      </c>
      <c r="AX6" s="296"/>
      <c r="AY6" s="296"/>
      <c r="AZ6" s="296"/>
      <c r="BA6" s="296"/>
      <c r="BB6" s="297">
        <v>1</v>
      </c>
      <c r="BC6" s="296"/>
      <c r="BD6" s="296"/>
      <c r="BE6" s="296"/>
      <c r="BF6" s="296"/>
      <c r="BG6" s="297">
        <v>1</v>
      </c>
      <c r="BH6" s="296"/>
      <c r="BI6" s="296"/>
      <c r="BJ6" s="296"/>
      <c r="BK6" s="297">
        <v>1</v>
      </c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7">
        <v>1</v>
      </c>
      <c r="CD6" s="297">
        <v>2019</v>
      </c>
      <c r="CE6" s="297">
        <v>1</v>
      </c>
      <c r="CF6" s="296"/>
      <c r="CG6" s="296"/>
      <c r="CH6" s="296"/>
      <c r="CI6" s="296"/>
      <c r="CJ6" s="296"/>
      <c r="CK6" s="297">
        <v>1</v>
      </c>
      <c r="CL6" s="296"/>
      <c r="CM6" s="296"/>
      <c r="CN6" s="296"/>
      <c r="CO6" s="296"/>
      <c r="CP6" s="296"/>
      <c r="CQ6" s="296"/>
      <c r="CR6" s="296"/>
      <c r="CS6" s="296"/>
      <c r="CT6" s="298">
        <v>46692</v>
      </c>
    </row>
    <row r="7" spans="1:98" s="295" customFormat="1" ht="22.5" customHeight="1">
      <c r="A7" s="296" t="s">
        <v>8671</v>
      </c>
      <c r="B7" s="296" t="s">
        <v>8672</v>
      </c>
      <c r="C7" s="297">
        <v>50</v>
      </c>
      <c r="D7" s="296" t="s">
        <v>4339</v>
      </c>
      <c r="E7" s="296" t="s">
        <v>191</v>
      </c>
      <c r="F7" s="296" t="s">
        <v>112</v>
      </c>
      <c r="G7" s="296"/>
      <c r="H7" s="297">
        <v>1</v>
      </c>
      <c r="I7" s="296"/>
      <c r="J7" s="296"/>
      <c r="K7" s="296"/>
      <c r="L7" s="296"/>
      <c r="M7" s="297">
        <v>1</v>
      </c>
      <c r="N7" s="296"/>
      <c r="O7" s="296"/>
      <c r="P7" s="296"/>
      <c r="Q7" s="296"/>
      <c r="R7" s="297">
        <v>1</v>
      </c>
      <c r="S7" s="297">
        <v>1</v>
      </c>
      <c r="T7" s="296"/>
      <c r="U7" s="296"/>
      <c r="V7" s="296"/>
      <c r="W7" s="297">
        <v>15</v>
      </c>
      <c r="X7" s="297">
        <v>16</v>
      </c>
      <c r="Y7" s="297">
        <v>17</v>
      </c>
      <c r="Z7" s="297">
        <v>13</v>
      </c>
      <c r="AA7" s="297">
        <v>13</v>
      </c>
      <c r="AB7" s="297">
        <v>8</v>
      </c>
      <c r="AC7" s="297">
        <v>1</v>
      </c>
      <c r="AD7" s="296"/>
      <c r="AE7" s="296"/>
      <c r="AF7" s="296"/>
      <c r="AG7" s="296"/>
      <c r="AH7" s="296"/>
      <c r="AI7" s="342"/>
      <c r="AJ7" s="342"/>
      <c r="AK7" s="297">
        <v>1</v>
      </c>
      <c r="AL7" s="296"/>
      <c r="AM7" s="296"/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7">
        <v>1</v>
      </c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7">
        <v>1</v>
      </c>
      <c r="CL7" s="296"/>
      <c r="CM7" s="296"/>
      <c r="CN7" s="296"/>
      <c r="CO7" s="296"/>
      <c r="CP7" s="296"/>
      <c r="CQ7" s="296"/>
      <c r="CR7" s="296"/>
      <c r="CS7" s="296"/>
      <c r="CT7" s="298">
        <v>46692</v>
      </c>
    </row>
    <row r="8" spans="1:98" s="295" customFormat="1" ht="24" customHeight="1">
      <c r="A8" s="296" t="s">
        <v>8673</v>
      </c>
      <c r="B8" s="296" t="s">
        <v>8674</v>
      </c>
      <c r="C8" s="297">
        <v>56</v>
      </c>
      <c r="D8" s="296" t="s">
        <v>1180</v>
      </c>
      <c r="E8" s="296" t="s">
        <v>8675</v>
      </c>
      <c r="F8" s="296" t="s">
        <v>107</v>
      </c>
      <c r="G8" s="296"/>
      <c r="H8" s="297">
        <v>1</v>
      </c>
      <c r="I8" s="296"/>
      <c r="J8" s="296"/>
      <c r="K8" s="296"/>
      <c r="L8" s="296"/>
      <c r="M8" s="297">
        <v>1</v>
      </c>
      <c r="N8" s="296"/>
      <c r="O8" s="296"/>
      <c r="P8" s="296"/>
      <c r="Q8" s="297">
        <v>1</v>
      </c>
      <c r="R8" s="296"/>
      <c r="S8" s="296"/>
      <c r="T8" s="297">
        <v>1</v>
      </c>
      <c r="U8" s="296"/>
      <c r="V8" s="296"/>
      <c r="W8" s="297">
        <v>16</v>
      </c>
      <c r="X8" s="297">
        <v>17</v>
      </c>
      <c r="Y8" s="297">
        <v>19</v>
      </c>
      <c r="Z8" s="297">
        <v>10</v>
      </c>
      <c r="AA8" s="297">
        <v>9</v>
      </c>
      <c r="AB8" s="297">
        <v>9</v>
      </c>
      <c r="AC8" s="297">
        <v>1</v>
      </c>
      <c r="AD8" s="296"/>
      <c r="AE8" s="296"/>
      <c r="AF8" s="296"/>
      <c r="AG8" s="296"/>
      <c r="AH8" s="296"/>
      <c r="AI8" s="297">
        <v>1</v>
      </c>
      <c r="AJ8" s="296"/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7">
        <v>1</v>
      </c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7">
        <v>1</v>
      </c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7">
        <v>1</v>
      </c>
      <c r="CC8" s="296"/>
      <c r="CD8" s="296"/>
      <c r="CE8" s="297">
        <v>1</v>
      </c>
      <c r="CF8" s="296"/>
      <c r="CG8" s="296"/>
      <c r="CH8" s="296"/>
      <c r="CI8" s="296"/>
      <c r="CJ8" s="296"/>
      <c r="CK8" s="297">
        <v>1</v>
      </c>
      <c r="CL8" s="296"/>
      <c r="CM8" s="296"/>
      <c r="CN8" s="296"/>
      <c r="CO8" s="296"/>
      <c r="CP8" s="296"/>
      <c r="CQ8" s="296"/>
      <c r="CR8" s="296"/>
      <c r="CS8" s="296"/>
      <c r="CT8" s="298">
        <v>46692</v>
      </c>
    </row>
    <row r="9" spans="1:98" s="295" customFormat="1" ht="21" customHeight="1">
      <c r="A9" s="296" t="s">
        <v>8676</v>
      </c>
      <c r="B9" s="296" t="s">
        <v>8677</v>
      </c>
      <c r="C9" s="297">
        <v>48</v>
      </c>
      <c r="D9" s="296" t="s">
        <v>8678</v>
      </c>
      <c r="E9" s="296" t="s">
        <v>8679</v>
      </c>
      <c r="F9" s="296" t="s">
        <v>112</v>
      </c>
      <c r="G9" s="296"/>
      <c r="H9" s="296"/>
      <c r="I9" s="296"/>
      <c r="J9" s="297">
        <v>1</v>
      </c>
      <c r="K9" s="296"/>
      <c r="L9" s="296"/>
      <c r="M9" s="297">
        <v>1</v>
      </c>
      <c r="N9" s="296"/>
      <c r="O9" s="296"/>
      <c r="P9" s="296"/>
      <c r="Q9" s="297">
        <v>1</v>
      </c>
      <c r="R9" s="296"/>
      <c r="S9" s="296"/>
      <c r="T9" s="296"/>
      <c r="U9" s="296"/>
      <c r="V9" s="297">
        <v>1</v>
      </c>
      <c r="W9" s="297">
        <v>16</v>
      </c>
      <c r="X9" s="297">
        <v>26</v>
      </c>
      <c r="Y9" s="297">
        <v>27</v>
      </c>
      <c r="Z9" s="297">
        <v>5</v>
      </c>
      <c r="AA9" s="297">
        <v>3</v>
      </c>
      <c r="AB9" s="297">
        <v>3</v>
      </c>
      <c r="AC9" s="296"/>
      <c r="AD9" s="296"/>
      <c r="AE9" s="296"/>
      <c r="AF9" s="296"/>
      <c r="AG9" s="296"/>
      <c r="AH9" s="297">
        <v>1</v>
      </c>
      <c r="AI9" s="297">
        <v>1</v>
      </c>
      <c r="AJ9" s="296"/>
      <c r="AK9" s="297">
        <v>1</v>
      </c>
      <c r="AL9" s="296"/>
      <c r="AM9" s="296"/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7">
        <v>1</v>
      </c>
      <c r="AX9" s="296"/>
      <c r="AY9" s="296"/>
      <c r="AZ9" s="296"/>
      <c r="BA9" s="297">
        <v>1</v>
      </c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7">
        <v>1</v>
      </c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7">
        <v>1</v>
      </c>
      <c r="CC9" s="296"/>
      <c r="CD9" s="296"/>
      <c r="CE9" s="342"/>
      <c r="CF9" s="342"/>
      <c r="CG9" s="296"/>
      <c r="CH9" s="296"/>
      <c r="CI9" s="296"/>
      <c r="CJ9" s="296"/>
      <c r="CK9" s="297">
        <v>1</v>
      </c>
      <c r="CL9" s="296"/>
      <c r="CM9" s="296"/>
      <c r="CN9" s="296"/>
      <c r="CO9" s="296"/>
      <c r="CP9" s="296"/>
      <c r="CQ9" s="296"/>
      <c r="CR9" s="296"/>
      <c r="CS9" s="296"/>
      <c r="CT9" s="298">
        <v>46692</v>
      </c>
    </row>
    <row r="10" spans="1:98" s="295" customFormat="1" ht="21" customHeight="1">
      <c r="A10" s="296" t="s">
        <v>8680</v>
      </c>
      <c r="B10" s="296" t="s">
        <v>8681</v>
      </c>
      <c r="C10" s="297">
        <v>26</v>
      </c>
      <c r="D10" s="296" t="s">
        <v>8682</v>
      </c>
      <c r="E10" s="296" t="s">
        <v>8683</v>
      </c>
      <c r="F10" s="296" t="s">
        <v>112</v>
      </c>
      <c r="G10" s="296"/>
      <c r="H10" s="296"/>
      <c r="I10" s="297">
        <v>1</v>
      </c>
      <c r="J10" s="296"/>
      <c r="K10" s="296"/>
      <c r="L10" s="296"/>
      <c r="M10" s="297">
        <v>1</v>
      </c>
      <c r="N10" s="296"/>
      <c r="O10" s="296"/>
      <c r="P10" s="296"/>
      <c r="Q10" s="297">
        <v>1</v>
      </c>
      <c r="R10" s="296"/>
      <c r="S10" s="296"/>
      <c r="T10" s="297">
        <v>1</v>
      </c>
      <c r="U10" s="296"/>
      <c r="V10" s="296"/>
      <c r="W10" s="297">
        <v>13</v>
      </c>
      <c r="X10" s="297">
        <v>18</v>
      </c>
      <c r="Y10" s="297">
        <v>19</v>
      </c>
      <c r="Z10" s="297">
        <v>3</v>
      </c>
      <c r="AA10" s="297">
        <v>3</v>
      </c>
      <c r="AB10" s="297">
        <v>2</v>
      </c>
      <c r="AC10" s="296"/>
      <c r="AD10" s="296"/>
      <c r="AE10" s="297">
        <v>1</v>
      </c>
      <c r="AF10" s="296"/>
      <c r="AG10" s="297">
        <v>1</v>
      </c>
      <c r="AH10" s="297">
        <v>1</v>
      </c>
      <c r="AI10" s="297">
        <v>1</v>
      </c>
      <c r="AJ10" s="296"/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7">
        <v>1</v>
      </c>
      <c r="AX10" s="296"/>
      <c r="AY10" s="296"/>
      <c r="AZ10" s="296"/>
      <c r="BA10" s="297">
        <v>1</v>
      </c>
      <c r="BB10" s="296"/>
      <c r="BC10" s="296"/>
      <c r="BD10" s="296"/>
      <c r="BE10" s="296"/>
      <c r="BF10" s="296"/>
      <c r="BG10" s="296"/>
      <c r="BH10" s="296"/>
      <c r="BI10" s="296"/>
      <c r="BJ10" s="297">
        <v>1</v>
      </c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7">
        <v>1</v>
      </c>
      <c r="BY10" s="297">
        <v>1</v>
      </c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7">
        <v>1</v>
      </c>
      <c r="CL10" s="296"/>
      <c r="CM10" s="296"/>
      <c r="CN10" s="296"/>
      <c r="CO10" s="296"/>
      <c r="CP10" s="296"/>
      <c r="CQ10" s="296"/>
      <c r="CR10" s="296"/>
      <c r="CS10" s="296"/>
      <c r="CT10" s="296" t="s">
        <v>8684</v>
      </c>
    </row>
    <row r="11" spans="1:98" s="295" customFormat="1" ht="18" customHeight="1">
      <c r="A11" s="296" t="s">
        <v>8685</v>
      </c>
      <c r="B11" s="296" t="s">
        <v>8686</v>
      </c>
      <c r="C11" s="297">
        <v>32</v>
      </c>
      <c r="D11" s="296" t="s">
        <v>8682</v>
      </c>
      <c r="E11" s="296" t="s">
        <v>8687</v>
      </c>
      <c r="F11" s="296" t="s">
        <v>181</v>
      </c>
      <c r="G11" s="296"/>
      <c r="H11" s="297">
        <v>1</v>
      </c>
      <c r="I11" s="296"/>
      <c r="J11" s="296"/>
      <c r="K11" s="296"/>
      <c r="L11" s="296"/>
      <c r="M11" s="297">
        <v>1</v>
      </c>
      <c r="N11" s="296"/>
      <c r="O11" s="296"/>
      <c r="P11" s="296"/>
      <c r="Q11" s="296"/>
      <c r="R11" s="297">
        <v>1</v>
      </c>
      <c r="S11" s="296"/>
      <c r="T11" s="296"/>
      <c r="U11" s="297">
        <v>1</v>
      </c>
      <c r="V11" s="296"/>
      <c r="W11" s="297">
        <v>12</v>
      </c>
      <c r="X11" s="297">
        <v>15</v>
      </c>
      <c r="Y11" s="297">
        <v>20</v>
      </c>
      <c r="Z11" s="297">
        <v>4</v>
      </c>
      <c r="AA11" s="297">
        <v>3</v>
      </c>
      <c r="AB11" s="297">
        <v>3</v>
      </c>
      <c r="AC11" s="296"/>
      <c r="AD11" s="296"/>
      <c r="AE11" s="297">
        <v>1</v>
      </c>
      <c r="AF11" s="296"/>
      <c r="AG11" s="296"/>
      <c r="AH11" s="296"/>
      <c r="AI11" s="297">
        <v>1</v>
      </c>
      <c r="AJ11" s="296"/>
      <c r="AK11" s="297">
        <v>1</v>
      </c>
      <c r="AL11" s="296"/>
      <c r="AM11" s="296"/>
      <c r="AN11" s="296"/>
      <c r="AO11" s="296"/>
      <c r="AP11" s="296"/>
      <c r="AQ11" s="296"/>
      <c r="AR11" s="296"/>
      <c r="AS11" s="296"/>
      <c r="AT11" s="297">
        <v>1</v>
      </c>
      <c r="AU11" s="296"/>
      <c r="AV11" s="296"/>
      <c r="AW11" s="297">
        <v>1</v>
      </c>
      <c r="AX11" s="296"/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7">
        <v>1</v>
      </c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7">
        <v>1</v>
      </c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6"/>
      <c r="CS11" s="296"/>
      <c r="CT11" s="298">
        <v>46692</v>
      </c>
    </row>
    <row r="12" spans="1:98" s="295" customFormat="1" ht="18.75" customHeight="1">
      <c r="A12" s="296" t="s">
        <v>8688</v>
      </c>
      <c r="B12" s="296" t="s">
        <v>8689</v>
      </c>
      <c r="C12" s="297">
        <v>49</v>
      </c>
      <c r="D12" s="296" t="s">
        <v>4339</v>
      </c>
      <c r="E12" s="296" t="s">
        <v>8690</v>
      </c>
      <c r="F12" s="296" t="s">
        <v>112</v>
      </c>
      <c r="G12" s="296"/>
      <c r="H12" s="297">
        <v>1</v>
      </c>
      <c r="I12" s="296"/>
      <c r="J12" s="296"/>
      <c r="K12" s="296"/>
      <c r="L12" s="296"/>
      <c r="M12" s="296"/>
      <c r="N12" s="296"/>
      <c r="O12" s="297">
        <v>1</v>
      </c>
      <c r="P12" s="296"/>
      <c r="Q12" s="296"/>
      <c r="R12" s="297">
        <v>1</v>
      </c>
      <c r="S12" s="296"/>
      <c r="T12" s="297">
        <v>1</v>
      </c>
      <c r="U12" s="296"/>
      <c r="V12" s="296"/>
      <c r="W12" s="297">
        <v>17</v>
      </c>
      <c r="X12" s="297">
        <v>20</v>
      </c>
      <c r="Y12" s="297">
        <v>20</v>
      </c>
      <c r="Z12" s="297">
        <v>6</v>
      </c>
      <c r="AA12" s="297">
        <v>6</v>
      </c>
      <c r="AB12" s="297">
        <v>6</v>
      </c>
      <c r="AC12" s="296"/>
      <c r="AD12" s="296"/>
      <c r="AE12" s="296"/>
      <c r="AF12" s="296"/>
      <c r="AG12" s="296"/>
      <c r="AH12" s="297">
        <v>1</v>
      </c>
      <c r="AI12" s="297">
        <v>1</v>
      </c>
      <c r="AJ12" s="296"/>
      <c r="AK12" s="296"/>
      <c r="AL12" s="296"/>
      <c r="AM12" s="297">
        <v>1</v>
      </c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6"/>
      <c r="BK12" s="297">
        <v>1</v>
      </c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6"/>
      <c r="CS12" s="296"/>
      <c r="CT12" s="298">
        <v>46692</v>
      </c>
    </row>
    <row r="13" spans="1:98" s="295" customFormat="1" ht="16.5" customHeight="1">
      <c r="A13" s="296" t="s">
        <v>8691</v>
      </c>
      <c r="B13" s="296" t="s">
        <v>8692</v>
      </c>
      <c r="C13" s="297">
        <v>42</v>
      </c>
      <c r="D13" s="296" t="s">
        <v>8693</v>
      </c>
      <c r="E13" s="296" t="s">
        <v>8694</v>
      </c>
      <c r="F13" s="296" t="s">
        <v>181</v>
      </c>
      <c r="G13" s="297">
        <v>1</v>
      </c>
      <c r="H13" s="296"/>
      <c r="I13" s="296"/>
      <c r="J13" s="296"/>
      <c r="K13" s="296"/>
      <c r="L13" s="296"/>
      <c r="M13" s="297">
        <v>1</v>
      </c>
      <c r="N13" s="296"/>
      <c r="O13" s="296"/>
      <c r="P13" s="296"/>
      <c r="Q13" s="296"/>
      <c r="R13" s="297">
        <v>1</v>
      </c>
      <c r="S13" s="296"/>
      <c r="T13" s="296"/>
      <c r="U13" s="296"/>
      <c r="V13" s="297">
        <v>1</v>
      </c>
      <c r="W13" s="297">
        <v>18</v>
      </c>
      <c r="X13" s="297">
        <v>20</v>
      </c>
      <c r="Y13" s="297">
        <v>23</v>
      </c>
      <c r="Z13" s="297">
        <v>4</v>
      </c>
      <c r="AA13" s="297">
        <v>4</v>
      </c>
      <c r="AB13" s="297">
        <v>4</v>
      </c>
      <c r="AC13" s="296"/>
      <c r="AD13" s="297">
        <v>1</v>
      </c>
      <c r="AE13" s="296"/>
      <c r="AF13" s="296"/>
      <c r="AG13" s="296"/>
      <c r="AH13" s="296"/>
      <c r="AI13" s="297">
        <v>1</v>
      </c>
      <c r="AJ13" s="296"/>
      <c r="AK13" s="297">
        <v>1</v>
      </c>
      <c r="AL13" s="296"/>
      <c r="AM13" s="296"/>
      <c r="AN13" s="296"/>
      <c r="AO13" s="296"/>
      <c r="AP13" s="296"/>
      <c r="AQ13" s="296"/>
      <c r="AR13" s="296"/>
      <c r="AS13" s="296"/>
      <c r="AT13" s="297">
        <v>1</v>
      </c>
      <c r="AU13" s="296"/>
      <c r="AV13" s="296"/>
      <c r="AW13" s="297">
        <v>1</v>
      </c>
      <c r="AX13" s="296"/>
      <c r="AY13" s="296"/>
      <c r="AZ13" s="296"/>
      <c r="BA13" s="297">
        <v>1</v>
      </c>
      <c r="BB13" s="296"/>
      <c r="BC13" s="296"/>
      <c r="BD13" s="296"/>
      <c r="BE13" s="296"/>
      <c r="BF13" s="296"/>
      <c r="BG13" s="296"/>
      <c r="BH13" s="296"/>
      <c r="BI13" s="296"/>
      <c r="BJ13" s="296"/>
      <c r="BK13" s="297">
        <v>1</v>
      </c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6"/>
      <c r="CS13" s="296"/>
      <c r="CT13" s="298">
        <v>46692</v>
      </c>
    </row>
    <row r="14" spans="1:98" s="295" customFormat="1" ht="18.75" customHeight="1">
      <c r="A14" s="296" t="s">
        <v>8695</v>
      </c>
      <c r="B14" s="296" t="s">
        <v>8696</v>
      </c>
      <c r="C14" s="297">
        <v>45</v>
      </c>
      <c r="D14" s="296" t="s">
        <v>8697</v>
      </c>
      <c r="E14" s="296" t="s">
        <v>8698</v>
      </c>
      <c r="F14" s="296" t="s">
        <v>112</v>
      </c>
      <c r="G14" s="296"/>
      <c r="H14" s="296"/>
      <c r="I14" s="297">
        <v>1</v>
      </c>
      <c r="J14" s="296"/>
      <c r="K14" s="296"/>
      <c r="L14" s="296"/>
      <c r="M14" s="296"/>
      <c r="N14" s="296"/>
      <c r="O14" s="297">
        <v>1</v>
      </c>
      <c r="P14" s="296"/>
      <c r="Q14" s="296"/>
      <c r="R14" s="297">
        <v>1</v>
      </c>
      <c r="S14" s="296"/>
      <c r="T14" s="297">
        <v>1</v>
      </c>
      <c r="U14" s="296"/>
      <c r="V14" s="296"/>
      <c r="W14" s="297">
        <v>13</v>
      </c>
      <c r="X14" s="297">
        <v>16</v>
      </c>
      <c r="Y14" s="297">
        <v>16</v>
      </c>
      <c r="Z14" s="297">
        <v>6</v>
      </c>
      <c r="AA14" s="297">
        <v>6</v>
      </c>
      <c r="AB14" s="297">
        <v>6</v>
      </c>
      <c r="AC14" s="296"/>
      <c r="AD14" s="297">
        <v>1</v>
      </c>
      <c r="AE14" s="297">
        <v>1</v>
      </c>
      <c r="AF14" s="296"/>
      <c r="AG14" s="297">
        <v>1</v>
      </c>
      <c r="AH14" s="297">
        <v>1</v>
      </c>
      <c r="AI14" s="297">
        <v>1</v>
      </c>
      <c r="AJ14" s="296"/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6"/>
      <c r="AX14" s="297">
        <v>1</v>
      </c>
      <c r="AY14" s="296"/>
      <c r="AZ14" s="296"/>
      <c r="BA14" s="297">
        <v>1</v>
      </c>
      <c r="BB14" s="296"/>
      <c r="BC14" s="296"/>
      <c r="BD14" s="296"/>
      <c r="BE14" s="296"/>
      <c r="BF14" s="296"/>
      <c r="BG14" s="296"/>
      <c r="BH14" s="296"/>
      <c r="BI14" s="296"/>
      <c r="BJ14" s="296"/>
      <c r="BK14" s="297">
        <v>1</v>
      </c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7">
        <v>1</v>
      </c>
      <c r="CD14" s="297">
        <v>2024</v>
      </c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6"/>
      <c r="CS14" s="296"/>
      <c r="CT14" s="298">
        <v>46692</v>
      </c>
    </row>
    <row r="15" spans="1:98" s="295" customFormat="1" ht="16.5" customHeight="1">
      <c r="A15" s="296" t="s">
        <v>8699</v>
      </c>
      <c r="B15" s="296" t="s">
        <v>8700</v>
      </c>
      <c r="C15" s="297">
        <v>27</v>
      </c>
      <c r="D15" s="296" t="s">
        <v>8682</v>
      </c>
      <c r="E15" s="296" t="s">
        <v>8701</v>
      </c>
      <c r="F15" s="296" t="s">
        <v>112</v>
      </c>
      <c r="G15" s="296"/>
      <c r="H15" s="296"/>
      <c r="I15" s="297">
        <v>1</v>
      </c>
      <c r="J15" s="296"/>
      <c r="K15" s="296"/>
      <c r="L15" s="296"/>
      <c r="M15" s="297">
        <v>1</v>
      </c>
      <c r="N15" s="296"/>
      <c r="O15" s="296"/>
      <c r="P15" s="296"/>
      <c r="Q15" s="297">
        <v>1</v>
      </c>
      <c r="R15" s="296"/>
      <c r="S15" s="296"/>
      <c r="T15" s="296"/>
      <c r="U15" s="297">
        <v>1</v>
      </c>
      <c r="V15" s="296"/>
      <c r="W15" s="297">
        <v>15</v>
      </c>
      <c r="X15" s="297">
        <v>18</v>
      </c>
      <c r="Y15" s="297">
        <v>20</v>
      </c>
      <c r="Z15" s="297">
        <v>5</v>
      </c>
      <c r="AA15" s="297">
        <v>2</v>
      </c>
      <c r="AB15" s="297">
        <v>2</v>
      </c>
      <c r="AC15" s="296"/>
      <c r="AD15" s="296"/>
      <c r="AE15" s="297">
        <v>1</v>
      </c>
      <c r="AF15" s="296"/>
      <c r="AG15" s="296"/>
      <c r="AH15" s="297">
        <v>1</v>
      </c>
      <c r="AI15" s="297">
        <v>1</v>
      </c>
      <c r="AJ15" s="296"/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7">
        <v>1</v>
      </c>
      <c r="AX15" s="296"/>
      <c r="AY15" s="296"/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7">
        <v>1</v>
      </c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7">
        <v>1</v>
      </c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6"/>
      <c r="CS15" s="296"/>
      <c r="CT15" s="298">
        <v>46692</v>
      </c>
    </row>
    <row r="16" spans="1:98" s="295" customFormat="1" ht="18.75" customHeight="1">
      <c r="A16" s="296" t="s">
        <v>8702</v>
      </c>
      <c r="B16" s="296" t="s">
        <v>8703</v>
      </c>
      <c r="C16" s="297">
        <v>19</v>
      </c>
      <c r="D16" s="296" t="s">
        <v>8704</v>
      </c>
      <c r="E16" s="296" t="s">
        <v>8705</v>
      </c>
      <c r="F16" s="296" t="s">
        <v>107</v>
      </c>
      <c r="G16" s="296"/>
      <c r="H16" s="296"/>
      <c r="I16" s="296"/>
      <c r="J16" s="297">
        <v>1</v>
      </c>
      <c r="K16" s="296"/>
      <c r="L16" s="296"/>
      <c r="M16" s="297">
        <v>1</v>
      </c>
      <c r="N16" s="296"/>
      <c r="O16" s="296"/>
      <c r="P16" s="296"/>
      <c r="Q16" s="297">
        <v>1</v>
      </c>
      <c r="R16" s="296"/>
      <c r="S16" s="296"/>
      <c r="T16" s="296"/>
      <c r="U16" s="297">
        <v>1</v>
      </c>
      <c r="V16" s="296"/>
      <c r="W16" s="297">
        <v>14</v>
      </c>
      <c r="X16" s="297">
        <v>18</v>
      </c>
      <c r="Y16" s="297">
        <v>18</v>
      </c>
      <c r="Z16" s="297">
        <v>1</v>
      </c>
      <c r="AA16" s="297">
        <v>1</v>
      </c>
      <c r="AB16" s="297">
        <v>1</v>
      </c>
      <c r="AC16" s="296"/>
      <c r="AD16" s="296"/>
      <c r="AE16" s="297">
        <v>1</v>
      </c>
      <c r="AF16" s="296"/>
      <c r="AG16" s="297">
        <v>1</v>
      </c>
      <c r="AH16" s="296"/>
      <c r="AI16" s="297">
        <v>1</v>
      </c>
      <c r="AJ16" s="296"/>
      <c r="AK16" s="297">
        <v>1</v>
      </c>
      <c r="AL16" s="296"/>
      <c r="AM16" s="296"/>
      <c r="AN16" s="296"/>
      <c r="AO16" s="296"/>
      <c r="AP16" s="296"/>
      <c r="AQ16" s="296"/>
      <c r="AR16" s="296"/>
      <c r="AS16" s="296"/>
      <c r="AT16" s="297">
        <v>1</v>
      </c>
      <c r="AU16" s="296"/>
      <c r="AV16" s="296"/>
      <c r="AW16" s="297">
        <v>1</v>
      </c>
      <c r="AX16" s="296"/>
      <c r="AY16" s="296"/>
      <c r="AZ16" s="296"/>
      <c r="BA16" s="297">
        <v>1</v>
      </c>
      <c r="BB16" s="296"/>
      <c r="BC16" s="296"/>
      <c r="BD16" s="296"/>
      <c r="BE16" s="296"/>
      <c r="BF16" s="296"/>
      <c r="BG16" s="296"/>
      <c r="BH16" s="296"/>
      <c r="BI16" s="296"/>
      <c r="BJ16" s="296"/>
      <c r="BK16" s="297">
        <v>1</v>
      </c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7">
        <v>1</v>
      </c>
      <c r="CC16" s="296"/>
      <c r="CD16" s="296"/>
      <c r="CE16" s="297">
        <v>1</v>
      </c>
      <c r="CF16" s="296"/>
      <c r="CG16" s="296"/>
      <c r="CH16" s="296"/>
      <c r="CI16" s="296"/>
      <c r="CJ16" s="296"/>
      <c r="CK16" s="297">
        <v>1</v>
      </c>
      <c r="CL16" s="296"/>
      <c r="CM16" s="296"/>
      <c r="CN16" s="296"/>
      <c r="CO16" s="296"/>
      <c r="CP16" s="296"/>
      <c r="CQ16" s="296"/>
      <c r="CR16" s="296"/>
      <c r="CS16" s="296"/>
      <c r="CT16" s="298">
        <v>46692</v>
      </c>
    </row>
    <row r="17" spans="1:98" s="295" customFormat="1">
      <c r="A17" s="296" t="s">
        <v>8706</v>
      </c>
      <c r="B17" s="296" t="s">
        <v>8707</v>
      </c>
      <c r="C17" s="297">
        <v>22</v>
      </c>
      <c r="D17" s="296" t="s">
        <v>8704</v>
      </c>
      <c r="E17" s="296" t="s">
        <v>8708</v>
      </c>
      <c r="F17" s="296" t="s">
        <v>127</v>
      </c>
      <c r="G17" s="296"/>
      <c r="H17" s="296"/>
      <c r="I17" s="296"/>
      <c r="J17" s="297">
        <v>1</v>
      </c>
      <c r="K17" s="296"/>
      <c r="L17" s="296"/>
      <c r="M17" s="297">
        <v>1</v>
      </c>
      <c r="N17" s="296"/>
      <c r="O17" s="296"/>
      <c r="P17" s="296"/>
      <c r="Q17" s="297">
        <v>1</v>
      </c>
      <c r="R17" s="296"/>
      <c r="S17" s="296"/>
      <c r="T17" s="297">
        <v>1</v>
      </c>
      <c r="U17" s="296"/>
      <c r="V17" s="296"/>
      <c r="W17" s="297">
        <v>15</v>
      </c>
      <c r="X17" s="297">
        <v>18</v>
      </c>
      <c r="Y17" s="297">
        <v>19</v>
      </c>
      <c r="Z17" s="297">
        <v>1</v>
      </c>
      <c r="AA17" s="297">
        <v>1</v>
      </c>
      <c r="AB17" s="297">
        <v>1</v>
      </c>
      <c r="AC17" s="296"/>
      <c r="AD17" s="296"/>
      <c r="AE17" s="296"/>
      <c r="AF17" s="296"/>
      <c r="AG17" s="297">
        <v>1</v>
      </c>
      <c r="AH17" s="297">
        <v>1</v>
      </c>
      <c r="AI17" s="296"/>
      <c r="AJ17" s="297">
        <v>1</v>
      </c>
      <c r="AK17" s="297">
        <v>1</v>
      </c>
      <c r="AL17" s="296"/>
      <c r="AM17" s="296"/>
      <c r="AN17" s="296"/>
      <c r="AO17" s="296"/>
      <c r="AP17" s="296"/>
      <c r="AQ17" s="296"/>
      <c r="AR17" s="296"/>
      <c r="AS17" s="296"/>
      <c r="AT17" s="297">
        <v>1</v>
      </c>
      <c r="AU17" s="296"/>
      <c r="AV17" s="296"/>
      <c r="AW17" s="297">
        <v>1</v>
      </c>
      <c r="AX17" s="296"/>
      <c r="AY17" s="296"/>
      <c r="AZ17" s="296"/>
      <c r="BA17" s="297">
        <v>1</v>
      </c>
      <c r="BB17" s="296"/>
      <c r="BC17" s="296"/>
      <c r="BD17" s="296"/>
      <c r="BE17" s="296"/>
      <c r="BF17" s="296"/>
      <c r="BG17" s="296"/>
      <c r="BH17" s="296"/>
      <c r="BI17" s="296"/>
      <c r="BJ17" s="296"/>
      <c r="BK17" s="297">
        <v>1</v>
      </c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7">
        <v>1</v>
      </c>
      <c r="CC17" s="296"/>
      <c r="CD17" s="296"/>
      <c r="CE17" s="297">
        <v>1</v>
      </c>
      <c r="CF17" s="296"/>
      <c r="CG17" s="296"/>
      <c r="CH17" s="296"/>
      <c r="CI17" s="296"/>
      <c r="CJ17" s="296"/>
      <c r="CK17" s="297">
        <v>1</v>
      </c>
      <c r="CL17" s="296"/>
      <c r="CM17" s="296"/>
      <c r="CN17" s="296"/>
      <c r="CO17" s="296"/>
      <c r="CP17" s="296"/>
      <c r="CQ17" s="296"/>
      <c r="CR17" s="296"/>
      <c r="CS17" s="296"/>
      <c r="CT17" s="298">
        <v>46692</v>
      </c>
    </row>
    <row r="18" spans="1:98" s="295" customFormat="1" ht="18.75" customHeight="1">
      <c r="A18" s="296" t="s">
        <v>8709</v>
      </c>
      <c r="B18" s="296" t="s">
        <v>6062</v>
      </c>
      <c r="C18" s="297">
        <v>21</v>
      </c>
      <c r="D18" s="296" t="s">
        <v>8710</v>
      </c>
      <c r="E18" s="296" t="s">
        <v>8711</v>
      </c>
      <c r="F18" s="296" t="s">
        <v>112</v>
      </c>
      <c r="G18" s="297">
        <v>1</v>
      </c>
      <c r="H18" s="296"/>
      <c r="I18" s="296"/>
      <c r="J18" s="296"/>
      <c r="K18" s="296"/>
      <c r="L18" s="296"/>
      <c r="M18" s="297">
        <v>1</v>
      </c>
      <c r="N18" s="296"/>
      <c r="O18" s="296"/>
      <c r="P18" s="296"/>
      <c r="Q18" s="297">
        <v>1</v>
      </c>
      <c r="R18" s="296"/>
      <c r="S18" s="296"/>
      <c r="T18" s="296"/>
      <c r="U18" s="297">
        <v>1</v>
      </c>
      <c r="V18" s="296"/>
      <c r="W18" s="297">
        <v>16</v>
      </c>
      <c r="X18" s="297">
        <v>17</v>
      </c>
      <c r="Y18" s="296" t="s">
        <v>191</v>
      </c>
      <c r="Z18" s="297">
        <v>0</v>
      </c>
      <c r="AA18" s="297">
        <v>0</v>
      </c>
      <c r="AB18" s="297">
        <v>0</v>
      </c>
      <c r="AC18" s="296"/>
      <c r="AD18" s="296"/>
      <c r="AE18" s="296"/>
      <c r="AF18" s="296"/>
      <c r="AG18" s="296"/>
      <c r="AH18" s="297">
        <v>1</v>
      </c>
      <c r="AI18" s="297">
        <v>1</v>
      </c>
      <c r="AJ18" s="296"/>
      <c r="AK18" s="297">
        <v>1</v>
      </c>
      <c r="AL18" s="296"/>
      <c r="AM18" s="296"/>
      <c r="AN18" s="296"/>
      <c r="AO18" s="296"/>
      <c r="AP18" s="296"/>
      <c r="AQ18" s="296"/>
      <c r="AR18" s="296"/>
      <c r="AS18" s="296"/>
      <c r="AT18" s="297">
        <v>1</v>
      </c>
      <c r="AU18" s="296"/>
      <c r="AV18" s="296"/>
      <c r="AW18" s="297">
        <v>1</v>
      </c>
      <c r="AX18" s="296"/>
      <c r="AY18" s="296"/>
      <c r="AZ18" s="296"/>
      <c r="BA18" s="297">
        <v>1</v>
      </c>
      <c r="BB18" s="296"/>
      <c r="BC18" s="296"/>
      <c r="BD18" s="296"/>
      <c r="BE18" s="296"/>
      <c r="BF18" s="296"/>
      <c r="BG18" s="296"/>
      <c r="BH18" s="296"/>
      <c r="BI18" s="296"/>
      <c r="BJ18" s="296"/>
      <c r="BK18" s="297">
        <v>1</v>
      </c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7">
        <v>1</v>
      </c>
      <c r="BZ18" s="296"/>
      <c r="CA18" s="296"/>
      <c r="CB18" s="297">
        <v>1</v>
      </c>
      <c r="CC18" s="296"/>
      <c r="CD18" s="296"/>
      <c r="CE18" s="297">
        <v>1</v>
      </c>
      <c r="CF18" s="296"/>
      <c r="CG18" s="296"/>
      <c r="CH18" s="296"/>
      <c r="CI18" s="296"/>
      <c r="CJ18" s="296"/>
      <c r="CK18" s="297">
        <v>1</v>
      </c>
      <c r="CL18" s="296"/>
      <c r="CM18" s="296"/>
      <c r="CN18" s="296"/>
      <c r="CO18" s="296"/>
      <c r="CP18" s="296"/>
      <c r="CQ18" s="296"/>
      <c r="CR18" s="296"/>
      <c r="CS18" s="296"/>
      <c r="CT18" s="298">
        <v>46692</v>
      </c>
    </row>
    <row r="19" spans="1:98" s="295" customFormat="1">
      <c r="A19" s="296" t="s">
        <v>8712</v>
      </c>
      <c r="B19" s="296" t="s">
        <v>8713</v>
      </c>
      <c r="C19" s="297">
        <v>34</v>
      </c>
      <c r="D19" s="296" t="s">
        <v>8714</v>
      </c>
      <c r="E19" s="296" t="s">
        <v>8715</v>
      </c>
      <c r="F19" s="296" t="s">
        <v>112</v>
      </c>
      <c r="G19" s="296"/>
      <c r="H19" s="296"/>
      <c r="I19" s="296"/>
      <c r="J19" s="297">
        <v>1</v>
      </c>
      <c r="K19" s="296"/>
      <c r="L19" s="296"/>
      <c r="M19" s="297">
        <v>1</v>
      </c>
      <c r="N19" s="296"/>
      <c r="O19" s="296"/>
      <c r="P19" s="296"/>
      <c r="Q19" s="342"/>
      <c r="R19" s="342"/>
      <c r="S19" s="296"/>
      <c r="T19" s="296"/>
      <c r="U19" s="296"/>
      <c r="V19" s="297">
        <v>1</v>
      </c>
      <c r="W19" s="297">
        <v>12</v>
      </c>
      <c r="X19" s="297">
        <v>19</v>
      </c>
      <c r="Y19" s="297">
        <v>23</v>
      </c>
      <c r="Z19" s="297">
        <v>4</v>
      </c>
      <c r="AA19" s="297">
        <v>3</v>
      </c>
      <c r="AB19" s="297">
        <v>3</v>
      </c>
      <c r="AC19" s="297">
        <v>1</v>
      </c>
      <c r="AD19" s="296"/>
      <c r="AE19" s="296"/>
      <c r="AF19" s="296"/>
      <c r="AG19" s="296"/>
      <c r="AH19" s="296"/>
      <c r="AI19" s="297">
        <v>1</v>
      </c>
      <c r="AJ19" s="296"/>
      <c r="AK19" s="297">
        <v>1</v>
      </c>
      <c r="AL19" s="296"/>
      <c r="AM19" s="296"/>
      <c r="AN19" s="296"/>
      <c r="AO19" s="296"/>
      <c r="AP19" s="296"/>
      <c r="AQ19" s="296"/>
      <c r="AR19" s="296"/>
      <c r="AS19" s="296"/>
      <c r="AT19" s="297">
        <v>1</v>
      </c>
      <c r="AU19" s="296"/>
      <c r="AV19" s="296"/>
      <c r="AW19" s="297">
        <v>1</v>
      </c>
      <c r="AX19" s="296"/>
      <c r="AY19" s="296"/>
      <c r="AZ19" s="296"/>
      <c r="BA19" s="296"/>
      <c r="BB19" s="297">
        <v>1</v>
      </c>
      <c r="BC19" s="296"/>
      <c r="BD19" s="296"/>
      <c r="BE19" s="296"/>
      <c r="BF19" s="296"/>
      <c r="BG19" s="297">
        <v>1</v>
      </c>
      <c r="BH19" s="296"/>
      <c r="BI19" s="296"/>
      <c r="BJ19" s="296"/>
      <c r="BK19" s="297">
        <v>1</v>
      </c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7">
        <v>1</v>
      </c>
      <c r="CD19" s="297">
        <v>2024</v>
      </c>
      <c r="CE19" s="296"/>
      <c r="CF19" s="297">
        <v>1</v>
      </c>
      <c r="CG19" s="298">
        <v>45566</v>
      </c>
      <c r="CH19" s="296"/>
      <c r="CI19" s="297">
        <v>1</v>
      </c>
      <c r="CJ19" s="296"/>
      <c r="CK19" s="297">
        <v>1</v>
      </c>
      <c r="CL19" s="296"/>
      <c r="CM19" s="296"/>
      <c r="CN19" s="296"/>
      <c r="CO19" s="296"/>
      <c r="CP19" s="296"/>
      <c r="CQ19" s="296"/>
      <c r="CR19" s="296"/>
      <c r="CS19" s="296"/>
      <c r="CT19" s="298">
        <v>46692</v>
      </c>
    </row>
    <row r="20" spans="1:98" s="295" customFormat="1">
      <c r="A20" s="296" t="s">
        <v>8716</v>
      </c>
      <c r="B20" s="296" t="s">
        <v>8717</v>
      </c>
      <c r="C20" s="297">
        <v>27</v>
      </c>
      <c r="D20" s="296" t="s">
        <v>6229</v>
      </c>
      <c r="E20" s="296" t="s">
        <v>8718</v>
      </c>
      <c r="F20" s="296" t="s">
        <v>112</v>
      </c>
      <c r="G20" s="296"/>
      <c r="H20" s="296"/>
      <c r="I20" s="297">
        <v>1</v>
      </c>
      <c r="J20" s="296"/>
      <c r="K20" s="296"/>
      <c r="L20" s="296"/>
      <c r="M20" s="297">
        <v>1</v>
      </c>
      <c r="N20" s="296"/>
      <c r="O20" s="296"/>
      <c r="P20" s="296"/>
      <c r="Q20" s="297">
        <v>1</v>
      </c>
      <c r="R20" s="296"/>
      <c r="S20" s="296"/>
      <c r="T20" s="297">
        <v>1</v>
      </c>
      <c r="U20" s="296"/>
      <c r="V20" s="296"/>
      <c r="W20" s="297">
        <v>15</v>
      </c>
      <c r="X20" s="297">
        <v>18</v>
      </c>
      <c r="Y20" s="297">
        <v>19</v>
      </c>
      <c r="Z20" s="297">
        <v>3</v>
      </c>
      <c r="AA20" s="297">
        <v>3</v>
      </c>
      <c r="AB20" s="297">
        <v>3</v>
      </c>
      <c r="AC20" s="296"/>
      <c r="AD20" s="296"/>
      <c r="AE20" s="296"/>
      <c r="AF20" s="296"/>
      <c r="AG20" s="296"/>
      <c r="AH20" s="296"/>
      <c r="AI20" s="342"/>
      <c r="AJ20" s="342"/>
      <c r="AK20" s="297">
        <v>1</v>
      </c>
      <c r="AL20" s="296"/>
      <c r="AM20" s="296"/>
      <c r="AN20" s="296"/>
      <c r="AO20" s="296"/>
      <c r="AP20" s="296"/>
      <c r="AQ20" s="296"/>
      <c r="AR20" s="296"/>
      <c r="AS20" s="296"/>
      <c r="AT20" s="297">
        <v>1</v>
      </c>
      <c r="AU20" s="296"/>
      <c r="AV20" s="296"/>
      <c r="AW20" s="297">
        <v>1</v>
      </c>
      <c r="AX20" s="296"/>
      <c r="AY20" s="296"/>
      <c r="AZ20" s="296"/>
      <c r="BA20" s="297">
        <v>1</v>
      </c>
      <c r="BB20" s="296"/>
      <c r="BC20" s="296"/>
      <c r="BD20" s="296"/>
      <c r="BE20" s="296"/>
      <c r="BF20" s="296"/>
      <c r="BG20" s="296"/>
      <c r="BH20" s="296"/>
      <c r="BI20" s="296"/>
      <c r="BJ20" s="296"/>
      <c r="BK20" s="297">
        <v>1</v>
      </c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7">
        <v>1</v>
      </c>
      <c r="CC20" s="296"/>
      <c r="CD20" s="296"/>
      <c r="CE20" s="297">
        <v>1</v>
      </c>
      <c r="CF20" s="296"/>
      <c r="CG20" s="296"/>
      <c r="CH20" s="296"/>
      <c r="CI20" s="296"/>
      <c r="CJ20" s="296"/>
      <c r="CK20" s="297">
        <v>1</v>
      </c>
      <c r="CL20" s="296"/>
      <c r="CM20" s="296"/>
      <c r="CN20" s="296"/>
      <c r="CO20" s="296"/>
      <c r="CP20" s="296"/>
      <c r="CQ20" s="296"/>
      <c r="CR20" s="296"/>
      <c r="CS20" s="296"/>
      <c r="CT20" s="298">
        <v>46692</v>
      </c>
    </row>
    <row r="21" spans="1:98" s="295" customFormat="1" ht="18" customHeight="1">
      <c r="A21" s="296" t="s">
        <v>8719</v>
      </c>
      <c r="B21" s="296" t="s">
        <v>8720</v>
      </c>
      <c r="C21" s="297">
        <v>29</v>
      </c>
      <c r="D21" s="296" t="s">
        <v>4339</v>
      </c>
      <c r="E21" s="296" t="s">
        <v>8721</v>
      </c>
      <c r="F21" s="296" t="s">
        <v>112</v>
      </c>
      <c r="G21" s="296"/>
      <c r="H21" s="297">
        <v>1</v>
      </c>
      <c r="I21" s="296"/>
      <c r="J21" s="296"/>
      <c r="K21" s="296"/>
      <c r="L21" s="296"/>
      <c r="M21" s="296"/>
      <c r="N21" s="296"/>
      <c r="O21" s="297">
        <v>1</v>
      </c>
      <c r="P21" s="296"/>
      <c r="Q21" s="296"/>
      <c r="R21" s="297">
        <v>1</v>
      </c>
      <c r="S21" s="296"/>
      <c r="T21" s="296"/>
      <c r="U21" s="297">
        <v>1</v>
      </c>
      <c r="V21" s="296"/>
      <c r="W21" s="297">
        <v>15</v>
      </c>
      <c r="X21" s="297">
        <v>18</v>
      </c>
      <c r="Y21" s="297">
        <v>25</v>
      </c>
      <c r="Z21" s="297">
        <v>2</v>
      </c>
      <c r="AA21" s="297">
        <v>2</v>
      </c>
      <c r="AB21" s="297">
        <v>2</v>
      </c>
      <c r="AC21" s="297">
        <v>1</v>
      </c>
      <c r="AD21" s="296"/>
      <c r="AE21" s="296"/>
      <c r="AF21" s="296"/>
      <c r="AG21" s="296"/>
      <c r="AH21" s="296"/>
      <c r="AI21" s="297">
        <v>1</v>
      </c>
      <c r="AJ21" s="296"/>
      <c r="AK21" s="297">
        <v>1</v>
      </c>
      <c r="AL21" s="296"/>
      <c r="AM21" s="296"/>
      <c r="AN21" s="296"/>
      <c r="AO21" s="296"/>
      <c r="AP21" s="296"/>
      <c r="AQ21" s="296"/>
      <c r="AR21" s="296"/>
      <c r="AS21" s="296"/>
      <c r="AT21" s="297">
        <v>1</v>
      </c>
      <c r="AU21" s="296"/>
      <c r="AV21" s="296"/>
      <c r="AW21" s="297">
        <v>1</v>
      </c>
      <c r="AX21" s="296"/>
      <c r="AY21" s="296"/>
      <c r="AZ21" s="296"/>
      <c r="BA21" s="297">
        <v>1</v>
      </c>
      <c r="BB21" s="296"/>
      <c r="BC21" s="296"/>
      <c r="BD21" s="296"/>
      <c r="BE21" s="296"/>
      <c r="BF21" s="296"/>
      <c r="BG21" s="296"/>
      <c r="BH21" s="296"/>
      <c r="BI21" s="296"/>
      <c r="BJ21" s="296"/>
      <c r="BK21" s="297">
        <v>1</v>
      </c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342"/>
      <c r="CC21" s="342"/>
      <c r="CD21" s="296"/>
      <c r="CE21" s="342"/>
      <c r="CF21" s="342"/>
      <c r="CG21" s="296"/>
      <c r="CH21" s="296"/>
      <c r="CI21" s="296"/>
      <c r="CJ21" s="296"/>
      <c r="CK21" s="297">
        <v>1</v>
      </c>
      <c r="CL21" s="296"/>
      <c r="CM21" s="296"/>
      <c r="CN21" s="296"/>
      <c r="CO21" s="296"/>
      <c r="CP21" s="296"/>
      <c r="CQ21" s="296"/>
      <c r="CR21" s="296"/>
      <c r="CS21" s="296"/>
      <c r="CT21" s="298">
        <v>46692</v>
      </c>
    </row>
    <row r="22" spans="1:98" s="295" customFormat="1" ht="18.75" customHeight="1">
      <c r="A22" s="296" t="s">
        <v>8722</v>
      </c>
      <c r="B22" s="296" t="s">
        <v>8723</v>
      </c>
      <c r="C22" s="297">
        <v>46</v>
      </c>
      <c r="D22" s="296" t="s">
        <v>4339</v>
      </c>
      <c r="E22" s="296" t="s">
        <v>8724</v>
      </c>
      <c r="F22" s="296" t="s">
        <v>181</v>
      </c>
      <c r="G22" s="296"/>
      <c r="H22" s="296"/>
      <c r="I22" s="296"/>
      <c r="J22" s="297">
        <v>1</v>
      </c>
      <c r="K22" s="296"/>
      <c r="L22" s="296"/>
      <c r="M22" s="297">
        <v>1</v>
      </c>
      <c r="N22" s="296"/>
      <c r="O22" s="296"/>
      <c r="P22" s="296"/>
      <c r="Q22" s="296"/>
      <c r="R22" s="297">
        <v>1</v>
      </c>
      <c r="S22" s="296"/>
      <c r="T22" s="296"/>
      <c r="U22" s="296"/>
      <c r="V22" s="297">
        <v>1</v>
      </c>
      <c r="W22" s="297">
        <v>15</v>
      </c>
      <c r="X22" s="297">
        <v>28</v>
      </c>
      <c r="Y22" s="297">
        <v>35</v>
      </c>
      <c r="Z22" s="297">
        <v>2</v>
      </c>
      <c r="AA22" s="297">
        <v>2</v>
      </c>
      <c r="AB22" s="297">
        <v>2</v>
      </c>
      <c r="AC22" s="297">
        <v>1</v>
      </c>
      <c r="AD22" s="296"/>
      <c r="AE22" s="296"/>
      <c r="AF22" s="296"/>
      <c r="AG22" s="296"/>
      <c r="AH22" s="296"/>
      <c r="AI22" s="297">
        <v>1</v>
      </c>
      <c r="AJ22" s="296"/>
      <c r="AK22" s="297">
        <v>1</v>
      </c>
      <c r="AL22" s="296"/>
      <c r="AM22" s="296"/>
      <c r="AN22" s="296"/>
      <c r="AO22" s="296"/>
      <c r="AP22" s="296"/>
      <c r="AQ22" s="296"/>
      <c r="AR22" s="296"/>
      <c r="AS22" s="296"/>
      <c r="AT22" s="297">
        <v>1</v>
      </c>
      <c r="AU22" s="296"/>
      <c r="AV22" s="296"/>
      <c r="AW22" s="296"/>
      <c r="AX22" s="297">
        <v>1</v>
      </c>
      <c r="AY22" s="296"/>
      <c r="AZ22" s="296"/>
      <c r="BA22" s="297">
        <v>1</v>
      </c>
      <c r="BB22" s="296"/>
      <c r="BC22" s="296"/>
      <c r="BD22" s="296"/>
      <c r="BE22" s="296"/>
      <c r="BF22" s="296"/>
      <c r="BG22" s="296"/>
      <c r="BH22" s="296"/>
      <c r="BI22" s="296"/>
      <c r="BJ22" s="296"/>
      <c r="BK22" s="297">
        <v>1</v>
      </c>
      <c r="BL22" s="296"/>
      <c r="BM22" s="296"/>
      <c r="BN22" s="296"/>
      <c r="BO22" s="296" t="s">
        <v>8725</v>
      </c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7">
        <v>1</v>
      </c>
      <c r="CC22" s="296"/>
      <c r="CD22" s="296"/>
      <c r="CE22" s="296"/>
      <c r="CF22" s="297">
        <v>1</v>
      </c>
      <c r="CG22" s="296" t="s">
        <v>8726</v>
      </c>
      <c r="CH22" s="296"/>
      <c r="CI22" s="296"/>
      <c r="CJ22" s="296"/>
      <c r="CK22" s="297">
        <v>1</v>
      </c>
      <c r="CL22" s="296"/>
      <c r="CM22" s="296"/>
      <c r="CN22" s="296"/>
      <c r="CO22" s="296"/>
      <c r="CP22" s="296"/>
      <c r="CQ22" s="296"/>
      <c r="CR22" s="296"/>
      <c r="CS22" s="296"/>
      <c r="CT22" s="298">
        <v>46692</v>
      </c>
    </row>
    <row r="23" spans="1:98" s="295" customFormat="1" ht="23.25" customHeight="1">
      <c r="A23" s="296" t="s">
        <v>8727</v>
      </c>
      <c r="B23" s="296" t="s">
        <v>8728</v>
      </c>
      <c r="C23" s="297">
        <v>25</v>
      </c>
      <c r="D23" s="296" t="s">
        <v>8714</v>
      </c>
      <c r="E23" s="296" t="s">
        <v>8729</v>
      </c>
      <c r="F23" s="296" t="s">
        <v>112</v>
      </c>
      <c r="G23" s="296"/>
      <c r="H23" s="297">
        <v>1</v>
      </c>
      <c r="I23" s="296"/>
      <c r="J23" s="296"/>
      <c r="K23" s="296"/>
      <c r="L23" s="297">
        <v>1</v>
      </c>
      <c r="M23" s="296"/>
      <c r="N23" s="296"/>
      <c r="O23" s="296"/>
      <c r="P23" s="296"/>
      <c r="Q23" s="296" t="s">
        <v>191</v>
      </c>
      <c r="R23" s="296"/>
      <c r="S23" s="296"/>
      <c r="T23" s="296"/>
      <c r="U23" s="297">
        <v>1</v>
      </c>
      <c r="V23" s="296"/>
      <c r="W23" s="297">
        <v>14</v>
      </c>
      <c r="X23" s="297">
        <v>20</v>
      </c>
      <c r="Y23" s="296" t="s">
        <v>191</v>
      </c>
      <c r="Z23" s="297">
        <v>0</v>
      </c>
      <c r="AA23" s="297">
        <v>0</v>
      </c>
      <c r="AB23" s="297">
        <v>0</v>
      </c>
      <c r="AC23" s="296"/>
      <c r="AD23" s="297">
        <v>1</v>
      </c>
      <c r="AE23" s="297">
        <v>1</v>
      </c>
      <c r="AF23" s="296"/>
      <c r="AG23" s="296"/>
      <c r="AH23" s="296"/>
      <c r="AI23" s="297">
        <v>1</v>
      </c>
      <c r="AJ23" s="296"/>
      <c r="AK23" s="297">
        <v>1</v>
      </c>
      <c r="AL23" s="296"/>
      <c r="AM23" s="296"/>
      <c r="AN23" s="296"/>
      <c r="AO23" s="296"/>
      <c r="AP23" s="296"/>
      <c r="AQ23" s="296"/>
      <c r="AR23" s="296"/>
      <c r="AS23" s="296"/>
      <c r="AT23" s="297">
        <v>1</v>
      </c>
      <c r="AU23" s="296"/>
      <c r="AV23" s="296"/>
      <c r="AW23" s="297">
        <v>1</v>
      </c>
      <c r="AX23" s="296"/>
      <c r="AY23" s="296"/>
      <c r="AZ23" s="296"/>
      <c r="BA23" s="297">
        <v>1</v>
      </c>
      <c r="BB23" s="296"/>
      <c r="BC23" s="296"/>
      <c r="BD23" s="296"/>
      <c r="BE23" s="296"/>
      <c r="BF23" s="296"/>
      <c r="BG23" s="296"/>
      <c r="BH23" s="296"/>
      <c r="BI23" s="296"/>
      <c r="BJ23" s="296"/>
      <c r="BK23" s="297">
        <v>1</v>
      </c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7">
        <v>1</v>
      </c>
      <c r="CC23" s="296"/>
      <c r="CD23" s="296"/>
      <c r="CE23" s="296"/>
      <c r="CF23" s="297">
        <v>1</v>
      </c>
      <c r="CG23" s="298">
        <v>45505</v>
      </c>
      <c r="CH23" s="296"/>
      <c r="CI23" s="296"/>
      <c r="CJ23" s="296"/>
      <c r="CK23" s="297">
        <v>1</v>
      </c>
      <c r="CL23" s="296"/>
      <c r="CM23" s="296"/>
      <c r="CN23" s="296"/>
      <c r="CO23" s="296"/>
      <c r="CP23" s="296"/>
      <c r="CQ23" s="296"/>
      <c r="CR23" s="296"/>
      <c r="CS23" s="296"/>
      <c r="CT23" s="298">
        <v>46692</v>
      </c>
    </row>
    <row r="24" spans="1:98" s="295" customFormat="1" ht="19.5" customHeight="1">
      <c r="A24" s="296" t="s">
        <v>8730</v>
      </c>
      <c r="B24" s="296" t="s">
        <v>8731</v>
      </c>
      <c r="C24" s="297">
        <v>54</v>
      </c>
      <c r="D24" s="296" t="s">
        <v>8682</v>
      </c>
      <c r="E24" s="296" t="s">
        <v>8732</v>
      </c>
      <c r="F24" s="296" t="s">
        <v>112</v>
      </c>
      <c r="G24" s="296"/>
      <c r="H24" s="297">
        <v>1</v>
      </c>
      <c r="I24" s="296"/>
      <c r="J24" s="296"/>
      <c r="K24" s="296"/>
      <c r="L24" s="296"/>
      <c r="M24" s="297">
        <v>1</v>
      </c>
      <c r="N24" s="296"/>
      <c r="O24" s="296"/>
      <c r="P24" s="296"/>
      <c r="Q24" s="297">
        <v>1</v>
      </c>
      <c r="R24" s="296"/>
      <c r="S24" s="296"/>
      <c r="T24" s="297">
        <v>1</v>
      </c>
      <c r="U24" s="296"/>
      <c r="V24" s="296"/>
      <c r="W24" s="297">
        <v>15</v>
      </c>
      <c r="X24" s="297">
        <v>18</v>
      </c>
      <c r="Y24" s="297">
        <v>21</v>
      </c>
      <c r="Z24" s="297">
        <v>15</v>
      </c>
      <c r="AA24" s="297">
        <v>15</v>
      </c>
      <c r="AB24" s="297">
        <v>11</v>
      </c>
      <c r="AC24" s="297">
        <v>1</v>
      </c>
      <c r="AD24" s="296"/>
      <c r="AE24" s="296"/>
      <c r="AF24" s="296"/>
      <c r="AG24" s="296"/>
      <c r="AH24" s="296"/>
      <c r="AI24" s="342"/>
      <c r="AJ24" s="342"/>
      <c r="AK24" s="297">
        <v>1</v>
      </c>
      <c r="AL24" s="296"/>
      <c r="AM24" s="296"/>
      <c r="AN24" s="296"/>
      <c r="AO24" s="296"/>
      <c r="AP24" s="296"/>
      <c r="AQ24" s="296"/>
      <c r="AR24" s="296"/>
      <c r="AS24" s="296"/>
      <c r="AT24" s="297">
        <v>1</v>
      </c>
      <c r="AU24" s="296"/>
      <c r="AV24" s="296"/>
      <c r="AW24" s="297">
        <v>1</v>
      </c>
      <c r="AX24" s="296"/>
      <c r="AY24" s="296"/>
      <c r="AZ24" s="296"/>
      <c r="BA24" s="342"/>
      <c r="BB24" s="342"/>
      <c r="BC24" s="296"/>
      <c r="BD24" s="296"/>
      <c r="BE24" s="296"/>
      <c r="BF24" s="296"/>
      <c r="BG24" s="296"/>
      <c r="BH24" s="296"/>
      <c r="BI24" s="296"/>
      <c r="BJ24" s="296"/>
      <c r="BK24" s="297">
        <v>1</v>
      </c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7">
        <v>1</v>
      </c>
      <c r="CC24" s="296"/>
      <c r="CD24" s="296"/>
      <c r="CE24" s="296"/>
      <c r="CF24" s="297">
        <v>1</v>
      </c>
      <c r="CG24" s="296" t="s">
        <v>8733</v>
      </c>
      <c r="CH24" s="296"/>
      <c r="CI24" s="296"/>
      <c r="CJ24" s="296"/>
      <c r="CK24" s="297">
        <v>1</v>
      </c>
      <c r="CL24" s="296"/>
      <c r="CM24" s="296"/>
      <c r="CN24" s="296"/>
      <c r="CO24" s="296"/>
      <c r="CP24" s="296"/>
      <c r="CQ24" s="296"/>
      <c r="CR24" s="296"/>
      <c r="CS24" s="296"/>
      <c r="CT24" s="298">
        <v>46692</v>
      </c>
    </row>
    <row r="25" spans="1:98" s="295" customFormat="1" ht="21" customHeight="1">
      <c r="A25" s="296" t="s">
        <v>8734</v>
      </c>
      <c r="B25" s="296" t="s">
        <v>8735</v>
      </c>
      <c r="C25" s="297">
        <v>33</v>
      </c>
      <c r="D25" s="296" t="s">
        <v>8714</v>
      </c>
      <c r="E25" s="296" t="s">
        <v>8736</v>
      </c>
      <c r="F25" s="296" t="s">
        <v>112</v>
      </c>
      <c r="G25" s="296"/>
      <c r="H25" s="297">
        <v>1</v>
      </c>
      <c r="I25" s="296"/>
      <c r="J25" s="296"/>
      <c r="K25" s="296"/>
      <c r="L25" s="296"/>
      <c r="M25" s="297">
        <v>1</v>
      </c>
      <c r="N25" s="296"/>
      <c r="O25" s="296"/>
      <c r="P25" s="296"/>
      <c r="Q25" s="297">
        <v>1</v>
      </c>
      <c r="R25" s="296"/>
      <c r="S25" s="296"/>
      <c r="T25" s="296"/>
      <c r="U25" s="296"/>
      <c r="V25" s="297">
        <v>1</v>
      </c>
      <c r="W25" s="297">
        <v>15</v>
      </c>
      <c r="X25" s="297">
        <v>22</v>
      </c>
      <c r="Y25" s="297">
        <v>30</v>
      </c>
      <c r="Z25" s="297">
        <v>2</v>
      </c>
      <c r="AA25" s="297">
        <v>2</v>
      </c>
      <c r="AB25" s="297">
        <v>3</v>
      </c>
      <c r="AC25" s="297">
        <v>1</v>
      </c>
      <c r="AD25" s="296"/>
      <c r="AE25" s="296"/>
      <c r="AF25" s="296"/>
      <c r="AG25" s="296"/>
      <c r="AH25" s="296"/>
      <c r="AI25" s="297">
        <v>1</v>
      </c>
      <c r="AJ25" s="296"/>
      <c r="AK25" s="297">
        <v>1</v>
      </c>
      <c r="AL25" s="296"/>
      <c r="AM25" s="296"/>
      <c r="AN25" s="296"/>
      <c r="AO25" s="296"/>
      <c r="AP25" s="296"/>
      <c r="AQ25" s="296"/>
      <c r="AR25" s="296"/>
      <c r="AS25" s="296"/>
      <c r="AT25" s="297">
        <v>1</v>
      </c>
      <c r="AU25" s="296"/>
      <c r="AV25" s="296"/>
      <c r="AW25" s="297">
        <v>1</v>
      </c>
      <c r="AX25" s="296"/>
      <c r="AY25" s="296"/>
      <c r="AZ25" s="296"/>
      <c r="BA25" s="297">
        <v>1</v>
      </c>
      <c r="BB25" s="296"/>
      <c r="BC25" s="296"/>
      <c r="BD25" s="296"/>
      <c r="BE25" s="296"/>
      <c r="BF25" s="296"/>
      <c r="BG25" s="296"/>
      <c r="BH25" s="296"/>
      <c r="BI25" s="296"/>
      <c r="BJ25" s="296"/>
      <c r="BK25" s="297">
        <v>1</v>
      </c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7">
        <v>1</v>
      </c>
      <c r="CC25" s="296"/>
      <c r="CD25" s="296"/>
      <c r="CE25" s="342"/>
      <c r="CF25" s="342"/>
      <c r="CG25" s="296"/>
      <c r="CH25" s="296"/>
      <c r="CI25" s="296"/>
      <c r="CJ25" s="296"/>
      <c r="CK25" s="297">
        <v>1</v>
      </c>
      <c r="CL25" s="296"/>
      <c r="CM25" s="296"/>
      <c r="CN25" s="296"/>
      <c r="CO25" s="296"/>
      <c r="CP25" s="296"/>
      <c r="CQ25" s="296"/>
      <c r="CR25" s="296"/>
      <c r="CS25" s="296"/>
      <c r="CT25" s="298">
        <v>46692</v>
      </c>
    </row>
    <row r="26" spans="1:98" s="295" customFormat="1" ht="20.25" customHeight="1">
      <c r="A26" s="296" t="s">
        <v>8737</v>
      </c>
      <c r="B26" s="296" t="s">
        <v>8738</v>
      </c>
      <c r="C26" s="297">
        <v>35</v>
      </c>
      <c r="D26" s="296" t="s">
        <v>1539</v>
      </c>
      <c r="E26" s="296" t="s">
        <v>191</v>
      </c>
      <c r="F26" s="296" t="s">
        <v>112</v>
      </c>
      <c r="G26" s="296"/>
      <c r="H26" s="296"/>
      <c r="I26" s="297">
        <v>1</v>
      </c>
      <c r="J26" s="296"/>
      <c r="K26" s="296"/>
      <c r="L26" s="296"/>
      <c r="M26" s="296"/>
      <c r="N26" s="296"/>
      <c r="O26" s="297">
        <v>1</v>
      </c>
      <c r="P26" s="296"/>
      <c r="Q26" s="297">
        <v>1</v>
      </c>
      <c r="R26" s="296"/>
      <c r="S26" s="296"/>
      <c r="T26" s="297">
        <v>1</v>
      </c>
      <c r="U26" s="296"/>
      <c r="V26" s="296"/>
      <c r="W26" s="342"/>
      <c r="X26" s="342"/>
      <c r="Y26" s="342"/>
      <c r="Z26" s="297">
        <v>5</v>
      </c>
      <c r="AA26" s="297">
        <v>5</v>
      </c>
      <c r="AB26" s="297">
        <v>5</v>
      </c>
      <c r="AC26" s="296"/>
      <c r="AD26" s="296"/>
      <c r="AE26" s="297">
        <v>1</v>
      </c>
      <c r="AF26" s="296"/>
      <c r="AG26" s="296"/>
      <c r="AH26" s="296"/>
      <c r="AI26" s="297">
        <v>1</v>
      </c>
      <c r="AJ26" s="296"/>
      <c r="AK26" s="296"/>
      <c r="AL26" s="297">
        <v>1</v>
      </c>
      <c r="AM26" s="296"/>
      <c r="AN26" s="296"/>
      <c r="AO26" s="297">
        <v>1</v>
      </c>
      <c r="AP26" s="296"/>
      <c r="AQ26" s="296"/>
      <c r="AR26" s="296"/>
      <c r="AS26" s="297">
        <v>1</v>
      </c>
      <c r="AT26" s="297">
        <v>1</v>
      </c>
      <c r="AU26" s="296"/>
      <c r="AV26" s="296"/>
      <c r="AW26" s="297">
        <v>1</v>
      </c>
      <c r="AX26" s="296"/>
      <c r="AY26" s="296"/>
      <c r="AZ26" s="296"/>
      <c r="BA26" s="297">
        <v>1</v>
      </c>
      <c r="BB26" s="296"/>
      <c r="BC26" s="296"/>
      <c r="BD26" s="296"/>
      <c r="BE26" s="296"/>
      <c r="BF26" s="296"/>
      <c r="BG26" s="296"/>
      <c r="BH26" s="296"/>
      <c r="BI26" s="296"/>
      <c r="BJ26" s="297">
        <v>1</v>
      </c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7">
        <v>1</v>
      </c>
      <c r="BY26" s="297">
        <v>1</v>
      </c>
      <c r="BZ26" s="296"/>
      <c r="CA26" s="296"/>
      <c r="CB26" s="297">
        <v>1</v>
      </c>
      <c r="CC26" s="296"/>
      <c r="CD26" s="296"/>
      <c r="CE26" s="297">
        <v>1</v>
      </c>
      <c r="CF26" s="296"/>
      <c r="CG26" s="296"/>
      <c r="CH26" s="296"/>
      <c r="CI26" s="296"/>
      <c r="CJ26" s="296"/>
      <c r="CK26" s="296"/>
      <c r="CL26" s="296"/>
      <c r="CM26" s="296"/>
      <c r="CN26" s="297">
        <v>1</v>
      </c>
      <c r="CO26" s="296"/>
      <c r="CP26" s="296"/>
      <c r="CQ26" s="296"/>
      <c r="CR26" s="296"/>
      <c r="CS26" s="296"/>
      <c r="CT26" s="343">
        <v>45962</v>
      </c>
    </row>
    <row r="27" spans="1:98" s="295" customFormat="1" ht="17.25" customHeight="1">
      <c r="A27" s="296" t="s">
        <v>8739</v>
      </c>
      <c r="B27" s="296" t="s">
        <v>8362</v>
      </c>
      <c r="C27" s="297">
        <v>23</v>
      </c>
      <c r="D27" s="296" t="s">
        <v>8714</v>
      </c>
      <c r="E27" s="296" t="s">
        <v>8740</v>
      </c>
      <c r="F27" s="296" t="s">
        <v>112</v>
      </c>
      <c r="G27" s="296"/>
      <c r="H27" s="296"/>
      <c r="I27" s="296"/>
      <c r="J27" s="297">
        <v>1</v>
      </c>
      <c r="K27" s="296"/>
      <c r="L27" s="297">
        <v>1</v>
      </c>
      <c r="M27" s="296"/>
      <c r="N27" s="296"/>
      <c r="O27" s="296"/>
      <c r="P27" s="296"/>
      <c r="Q27" s="296" t="s">
        <v>191</v>
      </c>
      <c r="R27" s="296"/>
      <c r="S27" s="296"/>
      <c r="T27" s="296"/>
      <c r="U27" s="296"/>
      <c r="V27" s="297">
        <v>1</v>
      </c>
      <c r="W27" s="297">
        <v>15</v>
      </c>
      <c r="X27" s="297">
        <v>17</v>
      </c>
      <c r="Y27" s="296" t="s">
        <v>191</v>
      </c>
      <c r="Z27" s="297">
        <v>0</v>
      </c>
      <c r="AA27" s="297">
        <v>0</v>
      </c>
      <c r="AB27" s="297">
        <v>0</v>
      </c>
      <c r="AC27" s="297">
        <v>1</v>
      </c>
      <c r="AD27" s="296"/>
      <c r="AE27" s="296"/>
      <c r="AF27" s="296"/>
      <c r="AG27" s="296"/>
      <c r="AH27" s="296"/>
      <c r="AI27" s="297">
        <v>1</v>
      </c>
      <c r="AJ27" s="296"/>
      <c r="AK27" s="297">
        <v>1</v>
      </c>
      <c r="AL27" s="296"/>
      <c r="AM27" s="296"/>
      <c r="AN27" s="296"/>
      <c r="AO27" s="296"/>
      <c r="AP27" s="296"/>
      <c r="AQ27" s="296"/>
      <c r="AR27" s="296"/>
      <c r="AS27" s="296"/>
      <c r="AT27" s="297">
        <v>1</v>
      </c>
      <c r="AU27" s="296"/>
      <c r="AV27" s="296"/>
      <c r="AW27" s="297">
        <v>1</v>
      </c>
      <c r="AX27" s="296"/>
      <c r="AY27" s="296"/>
      <c r="AZ27" s="296"/>
      <c r="BA27" s="297">
        <v>1</v>
      </c>
      <c r="BB27" s="296"/>
      <c r="BC27" s="296"/>
      <c r="BD27" s="296"/>
      <c r="BE27" s="296"/>
      <c r="BF27" s="296"/>
      <c r="BG27" s="296"/>
      <c r="BH27" s="296"/>
      <c r="BI27" s="296"/>
      <c r="BJ27" s="296"/>
      <c r="BK27" s="297">
        <v>1</v>
      </c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7">
        <v>1</v>
      </c>
      <c r="CC27" s="296"/>
      <c r="CD27" s="296"/>
      <c r="CE27" s="297">
        <v>1</v>
      </c>
      <c r="CF27" s="296"/>
      <c r="CG27" s="296"/>
      <c r="CH27" s="296"/>
      <c r="CI27" s="296"/>
      <c r="CJ27" s="296"/>
      <c r="CK27" s="296"/>
      <c r="CL27" s="296"/>
      <c r="CM27" s="296"/>
      <c r="CN27" s="297">
        <v>1</v>
      </c>
      <c r="CO27" s="296"/>
      <c r="CP27" s="296"/>
      <c r="CQ27" s="296"/>
      <c r="CR27" s="296"/>
      <c r="CS27" s="296"/>
      <c r="CT27" s="298">
        <v>46692</v>
      </c>
    </row>
  </sheetData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9"/>
  <sheetViews>
    <sheetView workbookViewId="0">
      <selection activeCell="I16" sqref="I16"/>
    </sheetView>
  </sheetViews>
  <sheetFormatPr defaultRowHeight="15"/>
  <cols>
    <col min="1" max="1" width="13.5703125" customWidth="1"/>
    <col min="12" max="12" width="13.5703125" customWidth="1"/>
    <col min="13" max="13" width="16.42578125" customWidth="1"/>
    <col min="33" max="33" width="13.42578125" customWidth="1"/>
  </cols>
  <sheetData>
    <row r="2" spans="1:33" s="337" customFormat="1" ht="29.25">
      <c r="A2" s="592" t="s">
        <v>351</v>
      </c>
      <c r="B2" s="593" t="s">
        <v>352</v>
      </c>
      <c r="C2" s="593"/>
      <c r="D2" s="593"/>
      <c r="E2" s="593"/>
      <c r="F2" s="562" t="s">
        <v>353</v>
      </c>
      <c r="G2" s="562"/>
      <c r="H2" s="562"/>
      <c r="I2" s="325"/>
      <c r="J2" s="325"/>
      <c r="K2" s="562" t="s">
        <v>354</v>
      </c>
      <c r="L2" s="562"/>
      <c r="M2" s="562"/>
      <c r="N2" s="562"/>
      <c r="O2" s="562"/>
      <c r="P2" s="562"/>
      <c r="Q2" s="562" t="s">
        <v>355</v>
      </c>
      <c r="R2" s="562"/>
      <c r="S2" s="562"/>
      <c r="T2" s="562"/>
      <c r="U2" s="562" t="s">
        <v>356</v>
      </c>
      <c r="V2" s="562"/>
      <c r="W2" s="562"/>
      <c r="X2" s="562"/>
      <c r="Y2" s="562"/>
      <c r="Z2" s="562"/>
      <c r="AA2" s="562" t="s">
        <v>357</v>
      </c>
      <c r="AB2" s="562"/>
      <c r="AC2" s="562"/>
      <c r="AD2" s="562"/>
      <c r="AE2" s="562"/>
      <c r="AF2" s="384" t="s">
        <v>356</v>
      </c>
      <c r="AG2" s="325"/>
    </row>
    <row r="3" spans="1:33" s="337" customFormat="1" ht="23.25" customHeight="1">
      <c r="A3" s="592"/>
      <c r="B3" s="345" t="s">
        <v>358</v>
      </c>
      <c r="C3" s="345" t="s">
        <v>359</v>
      </c>
      <c r="D3" s="345" t="s">
        <v>360</v>
      </c>
      <c r="E3" s="345" t="s">
        <v>361</v>
      </c>
      <c r="F3" s="385" t="s">
        <v>3106</v>
      </c>
      <c r="G3" s="385" t="s">
        <v>358</v>
      </c>
      <c r="H3" s="386" t="s">
        <v>362</v>
      </c>
      <c r="I3" s="385" t="s">
        <v>3429</v>
      </c>
      <c r="J3" s="387" t="s">
        <v>361</v>
      </c>
      <c r="K3" s="385" t="s">
        <v>96</v>
      </c>
      <c r="L3" s="385" t="s">
        <v>84</v>
      </c>
      <c r="M3" s="385" t="s">
        <v>98</v>
      </c>
      <c r="N3" s="385" t="s">
        <v>38</v>
      </c>
      <c r="O3" s="385" t="s">
        <v>930</v>
      </c>
      <c r="P3" s="387" t="s">
        <v>361</v>
      </c>
      <c r="Q3" s="385" t="s">
        <v>91</v>
      </c>
      <c r="R3" s="385" t="s">
        <v>362</v>
      </c>
      <c r="S3" s="385" t="s">
        <v>363</v>
      </c>
      <c r="T3" s="387" t="s">
        <v>361</v>
      </c>
      <c r="U3" s="385" t="s">
        <v>364</v>
      </c>
      <c r="V3" s="385" t="s">
        <v>91</v>
      </c>
      <c r="W3" s="385" t="s">
        <v>365</v>
      </c>
      <c r="X3" s="385" t="s">
        <v>366</v>
      </c>
      <c r="Y3" s="385" t="s">
        <v>367</v>
      </c>
      <c r="Z3" s="325"/>
      <c r="AA3" s="345" t="s">
        <v>96</v>
      </c>
      <c r="AB3" s="345" t="s">
        <v>97</v>
      </c>
      <c r="AC3" s="345" t="s">
        <v>98</v>
      </c>
      <c r="AD3" s="335" t="s">
        <v>360</v>
      </c>
      <c r="AE3" s="345" t="s">
        <v>369</v>
      </c>
      <c r="AF3" s="385" t="s">
        <v>365</v>
      </c>
      <c r="AG3" s="388" t="s">
        <v>3430</v>
      </c>
    </row>
    <row r="4" spans="1:33" s="337" customFormat="1">
      <c r="A4" s="389" t="s">
        <v>1361</v>
      </c>
      <c r="B4" s="390">
        <v>1</v>
      </c>
      <c r="C4" s="325"/>
      <c r="D4" s="325"/>
      <c r="E4" s="390">
        <v>1</v>
      </c>
      <c r="F4" s="325"/>
      <c r="G4" s="353">
        <v>1</v>
      </c>
      <c r="H4" s="325"/>
      <c r="I4" s="325"/>
      <c r="J4" s="391">
        <v>1</v>
      </c>
      <c r="K4" s="325"/>
      <c r="L4" s="325"/>
      <c r="M4" s="325"/>
      <c r="N4" s="325"/>
      <c r="O4" s="325"/>
      <c r="P4" s="391">
        <v>0</v>
      </c>
      <c r="Q4" s="325"/>
      <c r="R4" s="325"/>
      <c r="S4" s="325"/>
      <c r="T4" s="391">
        <v>0</v>
      </c>
      <c r="U4" s="325"/>
      <c r="V4" s="325"/>
      <c r="W4" s="325"/>
      <c r="X4" s="325"/>
      <c r="Y4" s="325"/>
      <c r="Z4" s="325"/>
      <c r="AA4" s="353">
        <v>1</v>
      </c>
      <c r="AB4" s="325"/>
      <c r="AC4" s="325"/>
      <c r="AD4" s="325"/>
      <c r="AE4" s="354">
        <v>1</v>
      </c>
      <c r="AF4" s="325"/>
      <c r="AG4" s="325"/>
    </row>
    <row r="5" spans="1:33" s="337" customFormat="1">
      <c r="A5" s="389" t="s">
        <v>8741</v>
      </c>
      <c r="B5" s="390">
        <v>8</v>
      </c>
      <c r="C5" s="325"/>
      <c r="D5" s="325"/>
      <c r="E5" s="390">
        <v>8</v>
      </c>
      <c r="F5" s="353">
        <v>1</v>
      </c>
      <c r="G5" s="353">
        <v>7</v>
      </c>
      <c r="H5" s="325"/>
      <c r="I5" s="325"/>
      <c r="J5" s="391">
        <v>8</v>
      </c>
      <c r="K5" s="325"/>
      <c r="L5" s="325"/>
      <c r="M5" s="325"/>
      <c r="N5" s="325"/>
      <c r="O5" s="325"/>
      <c r="P5" s="391">
        <v>0</v>
      </c>
      <c r="Q5" s="353">
        <v>1</v>
      </c>
      <c r="R5" s="325"/>
      <c r="S5" s="353">
        <v>3</v>
      </c>
      <c r="T5" s="391">
        <v>4</v>
      </c>
      <c r="U5" s="325"/>
      <c r="V5" s="325"/>
      <c r="W5" s="325"/>
      <c r="X5" s="325"/>
      <c r="Y5" s="325"/>
      <c r="Z5" s="325"/>
      <c r="AA5" s="353">
        <v>7</v>
      </c>
      <c r="AB5" s="325"/>
      <c r="AC5" s="325"/>
      <c r="AD5" s="353">
        <v>1</v>
      </c>
      <c r="AE5" s="354">
        <v>8</v>
      </c>
      <c r="AF5" s="325"/>
      <c r="AG5" s="325"/>
    </row>
    <row r="6" spans="1:33" s="337" customFormat="1" ht="21.75" customHeight="1">
      <c r="A6" s="389" t="s">
        <v>2467</v>
      </c>
      <c r="B6" s="390">
        <v>3</v>
      </c>
      <c r="C6" s="390">
        <v>1</v>
      </c>
      <c r="D6" s="325"/>
      <c r="E6" s="390">
        <v>4</v>
      </c>
      <c r="F6" s="353">
        <v>1</v>
      </c>
      <c r="G6" s="353">
        <v>3</v>
      </c>
      <c r="H6" s="325"/>
      <c r="I6" s="325"/>
      <c r="J6" s="391">
        <v>4</v>
      </c>
      <c r="K6" s="325"/>
      <c r="L6" s="325"/>
      <c r="M6" s="325"/>
      <c r="N6" s="325"/>
      <c r="O6" s="325"/>
      <c r="P6" s="391">
        <v>0</v>
      </c>
      <c r="Q6" s="353">
        <v>1</v>
      </c>
      <c r="R6" s="325"/>
      <c r="S6" s="353">
        <v>2</v>
      </c>
      <c r="T6" s="391">
        <v>3</v>
      </c>
      <c r="U6" s="325"/>
      <c r="V6" s="325"/>
      <c r="W6" s="325"/>
      <c r="X6" s="325"/>
      <c r="Y6" s="325"/>
      <c r="Z6" s="325"/>
      <c r="AA6" s="353">
        <v>3</v>
      </c>
      <c r="AB6" s="325"/>
      <c r="AC6" s="325"/>
      <c r="AD6" s="353">
        <v>1</v>
      </c>
      <c r="AE6" s="354">
        <v>4</v>
      </c>
      <c r="AF6" s="325"/>
      <c r="AG6" s="325"/>
    </row>
    <row r="7" spans="1:33" s="337" customFormat="1">
      <c r="A7" s="389" t="s">
        <v>4225</v>
      </c>
      <c r="B7" s="390">
        <v>5</v>
      </c>
      <c r="C7" s="390">
        <v>1</v>
      </c>
      <c r="D7" s="390">
        <v>1</v>
      </c>
      <c r="E7" s="390">
        <v>7</v>
      </c>
      <c r="F7" s="325"/>
      <c r="G7" s="353">
        <v>5</v>
      </c>
      <c r="H7" s="325"/>
      <c r="I7" s="325"/>
      <c r="J7" s="391">
        <v>5</v>
      </c>
      <c r="K7" s="353">
        <v>2</v>
      </c>
      <c r="L7" s="325"/>
      <c r="M7" s="325"/>
      <c r="N7" s="325"/>
      <c r="O7" s="325"/>
      <c r="P7" s="391">
        <v>2</v>
      </c>
      <c r="Q7" s="325"/>
      <c r="R7" s="325"/>
      <c r="S7" s="325"/>
      <c r="T7" s="391">
        <v>0</v>
      </c>
      <c r="U7" s="325"/>
      <c r="V7" s="325"/>
      <c r="W7" s="325"/>
      <c r="X7" s="325"/>
      <c r="Y7" s="325"/>
      <c r="Z7" s="325"/>
      <c r="AA7" s="353">
        <v>7</v>
      </c>
      <c r="AB7" s="325"/>
      <c r="AC7" s="325"/>
      <c r="AD7" s="325"/>
      <c r="AE7" s="354">
        <v>7</v>
      </c>
      <c r="AF7" s="325"/>
      <c r="AG7" s="325"/>
    </row>
    <row r="8" spans="1:33" s="337" customFormat="1">
      <c r="A8" s="382" t="s">
        <v>8229</v>
      </c>
      <c r="B8" s="390">
        <v>4</v>
      </c>
      <c r="C8" s="325"/>
      <c r="D8" s="325"/>
      <c r="E8" s="390">
        <v>4</v>
      </c>
      <c r="F8" s="325"/>
      <c r="G8" s="390">
        <v>1</v>
      </c>
      <c r="H8" s="390">
        <v>2</v>
      </c>
      <c r="I8" s="325"/>
      <c r="J8" s="391">
        <v>3</v>
      </c>
      <c r="K8" s="392">
        <v>1</v>
      </c>
      <c r="L8" s="355"/>
      <c r="M8" s="355"/>
      <c r="N8" s="355"/>
      <c r="O8" s="355"/>
      <c r="P8" s="391">
        <v>1</v>
      </c>
      <c r="Q8" s="355"/>
      <c r="R8" s="355"/>
      <c r="S8" s="392">
        <v>1</v>
      </c>
      <c r="T8" s="391">
        <v>1</v>
      </c>
      <c r="U8" s="355"/>
      <c r="V8" s="355"/>
      <c r="W8" s="355"/>
      <c r="X8" s="355"/>
      <c r="Y8" s="355"/>
      <c r="Z8" s="355"/>
      <c r="AA8" s="353">
        <v>4</v>
      </c>
      <c r="AB8" s="325"/>
      <c r="AC8" s="325"/>
      <c r="AD8" s="325"/>
      <c r="AE8" s="354">
        <v>4</v>
      </c>
      <c r="AF8" s="325"/>
      <c r="AG8" s="325"/>
    </row>
    <row r="9" spans="1:33" s="337" customFormat="1">
      <c r="A9" s="393" t="s">
        <v>376</v>
      </c>
      <c r="B9" s="390">
        <v>21</v>
      </c>
      <c r="C9" s="390">
        <v>2</v>
      </c>
      <c r="D9" s="390">
        <v>1</v>
      </c>
      <c r="E9" s="390">
        <v>24</v>
      </c>
      <c r="F9" s="390">
        <v>2</v>
      </c>
      <c r="G9" s="390">
        <v>17</v>
      </c>
      <c r="H9" s="390">
        <v>2</v>
      </c>
      <c r="I9" s="390">
        <v>0</v>
      </c>
      <c r="J9" s="391">
        <v>21</v>
      </c>
      <c r="K9" s="392">
        <v>3</v>
      </c>
      <c r="L9" s="392">
        <v>0</v>
      </c>
      <c r="M9" s="392">
        <v>0</v>
      </c>
      <c r="N9" s="392">
        <v>0</v>
      </c>
      <c r="O9" s="392">
        <v>0</v>
      </c>
      <c r="P9" s="391">
        <v>3</v>
      </c>
      <c r="Q9" s="392">
        <v>2</v>
      </c>
      <c r="R9" s="392">
        <v>0</v>
      </c>
      <c r="S9" s="392">
        <v>6</v>
      </c>
      <c r="T9" s="391">
        <v>8</v>
      </c>
      <c r="U9" s="392">
        <v>0</v>
      </c>
      <c r="V9" s="392">
        <v>0</v>
      </c>
      <c r="W9" s="392">
        <v>0</v>
      </c>
      <c r="X9" s="392">
        <v>0</v>
      </c>
      <c r="Y9" s="392">
        <v>0</v>
      </c>
      <c r="Z9" s="392">
        <v>0</v>
      </c>
      <c r="AA9" s="353">
        <v>22</v>
      </c>
      <c r="AB9" s="353">
        <v>0</v>
      </c>
      <c r="AC9" s="353">
        <v>0</v>
      </c>
      <c r="AD9" s="353">
        <v>2</v>
      </c>
      <c r="AE9" s="354">
        <v>24</v>
      </c>
      <c r="AF9" s="353">
        <v>0</v>
      </c>
      <c r="AG9" s="353">
        <v>0</v>
      </c>
    </row>
  </sheetData>
  <mergeCells count="7">
    <mergeCell ref="AA2:AE2"/>
    <mergeCell ref="A2:A3"/>
    <mergeCell ref="B2:E2"/>
    <mergeCell ref="F2:H2"/>
    <mergeCell ref="K2:P2"/>
    <mergeCell ref="Q2:T2"/>
    <mergeCell ref="U2:Z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5"/>
  <sheetViews>
    <sheetView topLeftCell="BE1" workbookViewId="0">
      <selection activeCell="BX5" sqref="BX5"/>
    </sheetView>
  </sheetViews>
  <sheetFormatPr defaultRowHeight="15"/>
  <cols>
    <col min="1" max="1" width="11.85546875" customWidth="1"/>
    <col min="2" max="2" width="17.85546875" customWidth="1"/>
    <col min="4" max="4" width="12.7109375" customWidth="1"/>
    <col min="5" max="5" width="17.7109375" customWidth="1"/>
    <col min="6" max="6" width="15.140625" customWidth="1"/>
    <col min="39" max="39" width="11.7109375" customWidth="1"/>
  </cols>
  <sheetData>
    <row r="1" spans="1:98" ht="15.75" thickBot="1">
      <c r="A1" s="283" t="s">
        <v>8742</v>
      </c>
      <c r="B1" s="284"/>
      <c r="C1" s="285" t="s">
        <v>8743</v>
      </c>
      <c r="D1" s="286"/>
      <c r="E1" s="284"/>
      <c r="F1" s="284"/>
      <c r="G1" s="538" t="s">
        <v>2</v>
      </c>
      <c r="H1" s="539"/>
      <c r="I1" s="539"/>
      <c r="J1" s="539"/>
      <c r="K1" s="540"/>
      <c r="L1" s="535" t="s">
        <v>3</v>
      </c>
      <c r="M1" s="536"/>
      <c r="N1" s="536"/>
      <c r="O1" s="536"/>
      <c r="P1" s="537"/>
      <c r="Q1" s="541"/>
      <c r="R1" s="542"/>
      <c r="S1" s="543" t="s">
        <v>5</v>
      </c>
      <c r="T1" s="544"/>
      <c r="U1" s="544"/>
      <c r="V1" s="545"/>
      <c r="W1" s="538" t="s">
        <v>6</v>
      </c>
      <c r="X1" s="539"/>
      <c r="Y1" s="539"/>
      <c r="Z1" s="539"/>
      <c r="AA1" s="539"/>
      <c r="AB1" s="540"/>
      <c r="AC1" s="543" t="s">
        <v>7</v>
      </c>
      <c r="AD1" s="544"/>
      <c r="AE1" s="544"/>
      <c r="AF1" s="544"/>
      <c r="AG1" s="544"/>
      <c r="AH1" s="545"/>
      <c r="AI1" s="546" t="s">
        <v>8</v>
      </c>
      <c r="AJ1" s="547"/>
      <c r="AK1" s="543" t="s">
        <v>9</v>
      </c>
      <c r="AL1" s="544"/>
      <c r="AM1" s="545"/>
      <c r="AN1" s="543" t="s">
        <v>10</v>
      </c>
      <c r="AO1" s="544"/>
      <c r="AP1" s="545"/>
      <c r="AQ1" s="543" t="s">
        <v>11</v>
      </c>
      <c r="AR1" s="544"/>
      <c r="AS1" s="545"/>
      <c r="AT1" s="546" t="s">
        <v>12</v>
      </c>
      <c r="AU1" s="547"/>
      <c r="AV1" s="535" t="s">
        <v>13</v>
      </c>
      <c r="AW1" s="536"/>
      <c r="AX1" s="536"/>
      <c r="AY1" s="536"/>
      <c r="AZ1" s="537"/>
      <c r="BA1" s="538" t="s">
        <v>8129</v>
      </c>
      <c r="BB1" s="539"/>
      <c r="BC1" s="540"/>
      <c r="BD1" s="543" t="s">
        <v>3542</v>
      </c>
      <c r="BE1" s="544"/>
      <c r="BF1" s="545"/>
      <c r="BG1" s="284"/>
      <c r="BH1" s="284"/>
      <c r="BI1" s="546" t="s">
        <v>16</v>
      </c>
      <c r="BJ1" s="548"/>
      <c r="BK1" s="548"/>
      <c r="BL1" s="548"/>
      <c r="BM1" s="548"/>
      <c r="BN1" s="548"/>
      <c r="BO1" s="547"/>
      <c r="BP1" s="543" t="s">
        <v>8130</v>
      </c>
      <c r="BQ1" s="544"/>
      <c r="BR1" s="545"/>
      <c r="BS1" s="535" t="s">
        <v>18</v>
      </c>
      <c r="BT1" s="537"/>
      <c r="BU1" s="284"/>
      <c r="BV1" s="284"/>
      <c r="BW1" s="546" t="s">
        <v>8131</v>
      </c>
      <c r="BX1" s="548"/>
      <c r="BY1" s="548"/>
      <c r="BZ1" s="548"/>
      <c r="CA1" s="547"/>
      <c r="CB1" s="287" t="s">
        <v>8132</v>
      </c>
      <c r="CC1" s="286"/>
      <c r="CD1" s="284"/>
      <c r="CE1" s="538" t="s">
        <v>8133</v>
      </c>
      <c r="CF1" s="539"/>
      <c r="CG1" s="540"/>
      <c r="CH1" s="535" t="s">
        <v>6832</v>
      </c>
      <c r="CI1" s="537"/>
      <c r="CJ1" s="284"/>
      <c r="CK1" s="546" t="s">
        <v>16</v>
      </c>
      <c r="CL1" s="548"/>
      <c r="CM1" s="548"/>
      <c r="CN1" s="547"/>
      <c r="CO1" s="543" t="s">
        <v>24</v>
      </c>
      <c r="CP1" s="545"/>
      <c r="CQ1" s="287" t="s">
        <v>25</v>
      </c>
      <c r="CR1" s="286"/>
      <c r="CS1" s="284"/>
      <c r="CT1" s="284"/>
    </row>
    <row r="2" spans="1:98" ht="30.75" thickBot="1">
      <c r="A2" s="288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90" t="s">
        <v>15</v>
      </c>
      <c r="BH2" s="289"/>
      <c r="BI2" s="289" t="s">
        <v>5582</v>
      </c>
      <c r="BJ2" s="546" t="s">
        <v>78</v>
      </c>
      <c r="BK2" s="547"/>
      <c r="BL2" s="543" t="s">
        <v>354</v>
      </c>
      <c r="BM2" s="544"/>
      <c r="BN2" s="544"/>
      <c r="BO2" s="545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89"/>
      <c r="CI2" s="289"/>
      <c r="CJ2" s="289"/>
      <c r="CK2" s="289"/>
      <c r="CL2" s="289"/>
      <c r="CM2" s="289"/>
      <c r="CN2" s="289"/>
      <c r="CO2" s="289"/>
      <c r="CP2" s="289"/>
      <c r="CQ2" s="289"/>
      <c r="CR2" s="289"/>
      <c r="CS2" s="289" t="s">
        <v>893</v>
      </c>
      <c r="CT2" s="289"/>
    </row>
    <row r="3" spans="1:98" ht="60.75" thickBot="1">
      <c r="A3" s="338" t="s">
        <v>28</v>
      </c>
      <c r="B3" s="339" t="s">
        <v>29</v>
      </c>
      <c r="C3" s="339" t="s">
        <v>30</v>
      </c>
      <c r="D3" s="339" t="s">
        <v>31</v>
      </c>
      <c r="E3" s="339" t="s">
        <v>32</v>
      </c>
      <c r="F3" s="339" t="s">
        <v>33</v>
      </c>
      <c r="G3" s="339" t="s">
        <v>34</v>
      </c>
      <c r="H3" s="339" t="s">
        <v>35</v>
      </c>
      <c r="I3" s="339" t="s">
        <v>36</v>
      </c>
      <c r="J3" s="339" t="s">
        <v>37</v>
      </c>
      <c r="K3" s="339" t="s">
        <v>38</v>
      </c>
      <c r="L3" s="339" t="s">
        <v>39</v>
      </c>
      <c r="M3" s="339" t="s">
        <v>40</v>
      </c>
      <c r="N3" s="339" t="s">
        <v>41</v>
      </c>
      <c r="O3" s="339" t="s">
        <v>42</v>
      </c>
      <c r="P3" s="339" t="s">
        <v>43</v>
      </c>
      <c r="Q3" s="339" t="s">
        <v>44</v>
      </c>
      <c r="R3" s="339" t="s">
        <v>45</v>
      </c>
      <c r="S3" s="339" t="s">
        <v>46</v>
      </c>
      <c r="T3" s="339" t="s">
        <v>47</v>
      </c>
      <c r="U3" s="339" t="s">
        <v>48</v>
      </c>
      <c r="V3" s="339" t="s">
        <v>49</v>
      </c>
      <c r="W3" s="339" t="s">
        <v>50</v>
      </c>
      <c r="X3" s="339" t="s">
        <v>51</v>
      </c>
      <c r="Y3" s="339" t="s">
        <v>52</v>
      </c>
      <c r="Z3" s="339" t="s">
        <v>53</v>
      </c>
      <c r="AA3" s="339" t="s">
        <v>54</v>
      </c>
      <c r="AB3" s="339" t="s">
        <v>55</v>
      </c>
      <c r="AC3" s="339" t="s">
        <v>56</v>
      </c>
      <c r="AD3" s="339" t="s">
        <v>57</v>
      </c>
      <c r="AE3" s="339" t="s">
        <v>58</v>
      </c>
      <c r="AF3" s="339" t="s">
        <v>59</v>
      </c>
      <c r="AG3" s="339" t="s">
        <v>60</v>
      </c>
      <c r="AH3" s="339" t="s">
        <v>61</v>
      </c>
      <c r="AI3" s="339" t="s">
        <v>62</v>
      </c>
      <c r="AJ3" s="339" t="s">
        <v>63</v>
      </c>
      <c r="AK3" s="339" t="s">
        <v>64</v>
      </c>
      <c r="AL3" s="339" t="s">
        <v>65</v>
      </c>
      <c r="AM3" s="340" t="s">
        <v>66</v>
      </c>
      <c r="AN3" s="339" t="s">
        <v>8464</v>
      </c>
      <c r="AO3" s="339" t="s">
        <v>68</v>
      </c>
      <c r="AP3" s="339" t="s">
        <v>69</v>
      </c>
      <c r="AQ3" s="339" t="s">
        <v>70</v>
      </c>
      <c r="AR3" s="339" t="s">
        <v>71</v>
      </c>
      <c r="AS3" s="339" t="s">
        <v>360</v>
      </c>
      <c r="AT3" s="339" t="s">
        <v>56</v>
      </c>
      <c r="AU3" s="339" t="s">
        <v>73</v>
      </c>
      <c r="AV3" s="339" t="s">
        <v>46</v>
      </c>
      <c r="AW3" s="339" t="s">
        <v>895</v>
      </c>
      <c r="AX3" s="339" t="s">
        <v>75</v>
      </c>
      <c r="AY3" s="339" t="s">
        <v>76</v>
      </c>
      <c r="AZ3" s="339" t="s">
        <v>77</v>
      </c>
      <c r="BA3" s="339" t="s">
        <v>56</v>
      </c>
      <c r="BB3" s="339" t="s">
        <v>78</v>
      </c>
      <c r="BC3" s="339" t="s">
        <v>5582</v>
      </c>
      <c r="BD3" s="339" t="s">
        <v>79</v>
      </c>
      <c r="BE3" s="339" t="s">
        <v>80</v>
      </c>
      <c r="BF3" s="339" t="s">
        <v>38</v>
      </c>
      <c r="BG3" s="339" t="s">
        <v>81</v>
      </c>
      <c r="BH3" s="339" t="s">
        <v>82</v>
      </c>
      <c r="BI3" s="339" t="s">
        <v>83</v>
      </c>
      <c r="BJ3" s="339" t="s">
        <v>83</v>
      </c>
      <c r="BK3" s="339" t="s">
        <v>81</v>
      </c>
      <c r="BL3" s="339" t="s">
        <v>96</v>
      </c>
      <c r="BM3" s="339" t="s">
        <v>84</v>
      </c>
      <c r="BN3" s="339" t="s">
        <v>85</v>
      </c>
      <c r="BO3" s="339" t="s">
        <v>86</v>
      </c>
      <c r="BP3" s="339" t="s">
        <v>73</v>
      </c>
      <c r="BQ3" s="339" t="s">
        <v>87</v>
      </c>
      <c r="BR3" s="339" t="s">
        <v>56</v>
      </c>
      <c r="BS3" s="339" t="s">
        <v>83</v>
      </c>
      <c r="BT3" s="339" t="s">
        <v>88</v>
      </c>
      <c r="BU3" s="339" t="s">
        <v>89</v>
      </c>
      <c r="BV3" s="289"/>
      <c r="BW3" s="339" t="s">
        <v>90</v>
      </c>
      <c r="BX3" s="339" t="s">
        <v>91</v>
      </c>
      <c r="BY3" s="339" t="s">
        <v>8532</v>
      </c>
      <c r="BZ3" s="339" t="s">
        <v>93</v>
      </c>
      <c r="CA3" s="339" t="s">
        <v>94</v>
      </c>
      <c r="CB3" s="339" t="s">
        <v>56</v>
      </c>
      <c r="CC3" s="339" t="s">
        <v>73</v>
      </c>
      <c r="CD3" s="339" t="s">
        <v>22</v>
      </c>
      <c r="CE3" s="339" t="s">
        <v>56</v>
      </c>
      <c r="CF3" s="339" t="s">
        <v>73</v>
      </c>
      <c r="CG3" s="339" t="s">
        <v>1275</v>
      </c>
      <c r="CH3" s="339" t="s">
        <v>83</v>
      </c>
      <c r="CI3" s="339" t="s">
        <v>88</v>
      </c>
      <c r="CJ3" s="339" t="s">
        <v>896</v>
      </c>
      <c r="CK3" s="339" t="s">
        <v>96</v>
      </c>
      <c r="CL3" s="339" t="s">
        <v>97</v>
      </c>
      <c r="CM3" s="339" t="s">
        <v>98</v>
      </c>
      <c r="CN3" s="339" t="s">
        <v>360</v>
      </c>
      <c r="CO3" s="339" t="s">
        <v>73</v>
      </c>
      <c r="CP3" s="339" t="s">
        <v>56</v>
      </c>
      <c r="CQ3" s="339" t="s">
        <v>99</v>
      </c>
      <c r="CR3" s="339" t="s">
        <v>56</v>
      </c>
      <c r="CS3" s="289"/>
      <c r="CT3" s="339" t="s">
        <v>100</v>
      </c>
    </row>
    <row r="4" spans="1:98" s="295" customFormat="1" ht="26.25" customHeight="1">
      <c r="A4" s="379" t="s">
        <v>8661</v>
      </c>
      <c r="B4" s="379" t="s">
        <v>8744</v>
      </c>
      <c r="C4" s="380">
        <v>31</v>
      </c>
      <c r="D4" s="379" t="s">
        <v>1149</v>
      </c>
      <c r="E4" s="379" t="s">
        <v>8745</v>
      </c>
      <c r="F4" s="379" t="s">
        <v>389</v>
      </c>
      <c r="G4" s="379"/>
      <c r="H4" s="380">
        <v>1</v>
      </c>
      <c r="I4" s="379"/>
      <c r="J4" s="379"/>
      <c r="K4" s="379"/>
      <c r="L4" s="379"/>
      <c r="M4" s="380">
        <v>1</v>
      </c>
      <c r="N4" s="379"/>
      <c r="O4" s="379"/>
      <c r="P4" s="379"/>
      <c r="Q4" s="380">
        <v>1</v>
      </c>
      <c r="R4" s="379"/>
      <c r="S4" s="379"/>
      <c r="T4" s="379"/>
      <c r="U4" s="379"/>
      <c r="V4" s="380">
        <v>1</v>
      </c>
      <c r="W4" s="394"/>
      <c r="X4" s="380">
        <v>24</v>
      </c>
      <c r="Y4" s="380">
        <v>24</v>
      </c>
      <c r="Z4" s="380">
        <v>2</v>
      </c>
      <c r="AA4" s="380">
        <v>2</v>
      </c>
      <c r="AB4" s="380">
        <v>1</v>
      </c>
      <c r="AC4" s="379"/>
      <c r="AD4" s="379"/>
      <c r="AE4" s="379"/>
      <c r="AF4" s="379"/>
      <c r="AG4" s="379"/>
      <c r="AH4" s="380">
        <v>1</v>
      </c>
      <c r="AI4" s="380">
        <v>1</v>
      </c>
      <c r="AJ4" s="379"/>
      <c r="AK4" s="379"/>
      <c r="AL4" s="380">
        <v>1</v>
      </c>
      <c r="AM4" s="379"/>
      <c r="AN4" s="379"/>
      <c r="AO4" s="394"/>
      <c r="AP4" s="394"/>
      <c r="AQ4" s="379" t="s">
        <v>251</v>
      </c>
      <c r="AR4" s="395">
        <v>45536</v>
      </c>
      <c r="AS4" s="379"/>
      <c r="AT4" s="380">
        <v>1</v>
      </c>
      <c r="AU4" s="379"/>
      <c r="AV4" s="379"/>
      <c r="AW4" s="379"/>
      <c r="AX4" s="380">
        <v>1</v>
      </c>
      <c r="AY4" s="379"/>
      <c r="AZ4" s="379"/>
      <c r="BA4" s="380">
        <v>1</v>
      </c>
      <c r="BB4" s="379"/>
      <c r="BC4" s="379"/>
      <c r="BD4" s="379"/>
      <c r="BE4" s="379"/>
      <c r="BF4" s="379"/>
      <c r="BG4" s="379"/>
      <c r="BH4" s="379"/>
      <c r="BI4" s="379"/>
      <c r="BJ4" s="379"/>
      <c r="BK4" s="380">
        <v>1</v>
      </c>
      <c r="BL4" s="379"/>
      <c r="BM4" s="379"/>
      <c r="BN4" s="379"/>
      <c r="BO4" s="379"/>
      <c r="BP4" s="379"/>
      <c r="BQ4" s="379"/>
      <c r="BR4" s="379"/>
      <c r="BS4" s="379"/>
      <c r="BT4" s="379"/>
      <c r="BU4" s="379"/>
      <c r="BV4" s="379"/>
      <c r="BW4" s="379"/>
      <c r="BX4" s="379"/>
      <c r="BY4" s="379"/>
      <c r="BZ4" s="379"/>
      <c r="CA4" s="379"/>
      <c r="CB4" s="380">
        <v>1</v>
      </c>
      <c r="CC4" s="379"/>
      <c r="CD4" s="379"/>
      <c r="CE4" s="380">
        <v>1</v>
      </c>
      <c r="CF4" s="379"/>
      <c r="CG4" s="379"/>
      <c r="CH4" s="379"/>
      <c r="CI4" s="379"/>
      <c r="CJ4" s="379"/>
      <c r="CK4" s="380">
        <v>1</v>
      </c>
      <c r="CL4" s="379"/>
      <c r="CM4" s="379"/>
      <c r="CN4" s="379"/>
      <c r="CO4" s="379"/>
      <c r="CP4" s="379"/>
      <c r="CQ4" s="379"/>
      <c r="CR4" s="379"/>
      <c r="CS4" s="379"/>
      <c r="CT4" s="381">
        <v>46692</v>
      </c>
    </row>
    <row r="5" spans="1:98" s="295" customFormat="1" ht="24.75" customHeight="1">
      <c r="A5" s="296" t="s">
        <v>8664</v>
      </c>
      <c r="B5" s="296" t="s">
        <v>8746</v>
      </c>
      <c r="C5" s="297">
        <v>36</v>
      </c>
      <c r="D5" s="296" t="s">
        <v>8747</v>
      </c>
      <c r="E5" s="296" t="s">
        <v>8748</v>
      </c>
      <c r="F5" s="296" t="s">
        <v>8749</v>
      </c>
      <c r="G5" s="296"/>
      <c r="H5" s="296"/>
      <c r="I5" s="296"/>
      <c r="J5" s="297">
        <v>1</v>
      </c>
      <c r="K5" s="296"/>
      <c r="L5" s="296"/>
      <c r="M5" s="297">
        <v>1</v>
      </c>
      <c r="N5" s="296"/>
      <c r="O5" s="296"/>
      <c r="P5" s="296"/>
      <c r="Q5" s="297">
        <v>1</v>
      </c>
      <c r="R5" s="296"/>
      <c r="S5" s="296"/>
      <c r="T5" s="296"/>
      <c r="U5" s="297">
        <v>1</v>
      </c>
      <c r="V5" s="296"/>
      <c r="W5" s="297">
        <v>12</v>
      </c>
      <c r="X5" s="297">
        <v>25</v>
      </c>
      <c r="Y5" s="297">
        <v>27</v>
      </c>
      <c r="Z5" s="297">
        <v>3</v>
      </c>
      <c r="AA5" s="297">
        <v>3</v>
      </c>
      <c r="AB5" s="297">
        <v>1</v>
      </c>
      <c r="AC5" s="297">
        <v>1</v>
      </c>
      <c r="AD5" s="296"/>
      <c r="AE5" s="296"/>
      <c r="AF5" s="296"/>
      <c r="AG5" s="296"/>
      <c r="AH5" s="296"/>
      <c r="AI5" s="297">
        <v>1</v>
      </c>
      <c r="AJ5" s="296"/>
      <c r="AK5" s="297">
        <v>1</v>
      </c>
      <c r="AL5" s="296"/>
      <c r="AM5" s="296"/>
      <c r="AN5" s="296"/>
      <c r="AO5" s="296"/>
      <c r="AP5" s="296"/>
      <c r="AQ5" s="296"/>
      <c r="AR5" s="296"/>
      <c r="AS5" s="296"/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7">
        <v>1</v>
      </c>
      <c r="BK5" s="296"/>
      <c r="BL5" s="296"/>
      <c r="BM5" s="296"/>
      <c r="BN5" s="296"/>
      <c r="BO5" s="296"/>
      <c r="BP5" s="296"/>
      <c r="BQ5" s="296"/>
      <c r="BR5" s="297">
        <v>1</v>
      </c>
      <c r="BS5" s="296"/>
      <c r="BT5" s="296"/>
      <c r="BU5" s="296"/>
      <c r="BV5" s="296"/>
      <c r="BW5" s="296"/>
      <c r="BX5" s="296" t="s">
        <v>930</v>
      </c>
      <c r="BY5" s="296"/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6"/>
      <c r="CL5" s="296"/>
      <c r="CM5" s="296"/>
      <c r="CN5" s="297">
        <v>1</v>
      </c>
      <c r="CO5" s="296"/>
      <c r="CP5" s="296"/>
      <c r="CQ5" s="296"/>
      <c r="CR5" s="296"/>
      <c r="CS5" s="296"/>
      <c r="CT5" s="296" t="s">
        <v>7097</v>
      </c>
    </row>
    <row r="6" spans="1:98" s="295" customFormat="1" ht="25.5" customHeight="1">
      <c r="A6" s="296" t="s">
        <v>8668</v>
      </c>
      <c r="B6" s="296" t="s">
        <v>8750</v>
      </c>
      <c r="C6" s="297">
        <v>51</v>
      </c>
      <c r="D6" s="296" t="s">
        <v>1107</v>
      </c>
      <c r="E6" s="296" t="s">
        <v>8751</v>
      </c>
      <c r="F6" s="296" t="s">
        <v>112</v>
      </c>
      <c r="G6" s="296"/>
      <c r="H6" s="296"/>
      <c r="I6" s="296"/>
      <c r="J6" s="297">
        <v>1</v>
      </c>
      <c r="K6" s="296"/>
      <c r="L6" s="296"/>
      <c r="M6" s="297">
        <v>1</v>
      </c>
      <c r="N6" s="296"/>
      <c r="O6" s="296"/>
      <c r="P6" s="296"/>
      <c r="Q6" s="297">
        <v>1</v>
      </c>
      <c r="R6" s="296"/>
      <c r="S6" s="296"/>
      <c r="T6" s="296"/>
      <c r="U6" s="296"/>
      <c r="V6" s="297">
        <v>1</v>
      </c>
      <c r="W6" s="297">
        <v>12</v>
      </c>
      <c r="X6" s="297">
        <v>16</v>
      </c>
      <c r="Y6" s="297">
        <v>43</v>
      </c>
      <c r="Z6" s="297">
        <v>2</v>
      </c>
      <c r="AA6" s="297">
        <v>0</v>
      </c>
      <c r="AB6" s="297">
        <v>0</v>
      </c>
      <c r="AC6" s="297">
        <v>1</v>
      </c>
      <c r="AD6" s="296"/>
      <c r="AE6" s="296"/>
      <c r="AF6" s="296"/>
      <c r="AG6" s="296"/>
      <c r="AH6" s="296"/>
      <c r="AI6" s="297">
        <v>1</v>
      </c>
      <c r="AJ6" s="296"/>
      <c r="AK6" s="297">
        <v>1</v>
      </c>
      <c r="AL6" s="296"/>
      <c r="AM6" s="296"/>
      <c r="AN6" s="296"/>
      <c r="AO6" s="296"/>
      <c r="AP6" s="296"/>
      <c r="AQ6" s="296"/>
      <c r="AR6" s="296"/>
      <c r="AS6" s="296"/>
      <c r="AT6" s="297">
        <v>1</v>
      </c>
      <c r="AU6" s="296"/>
      <c r="AV6" s="296"/>
      <c r="AW6" s="297">
        <v>1</v>
      </c>
      <c r="AX6" s="296"/>
      <c r="AY6" s="296"/>
      <c r="AZ6" s="296"/>
      <c r="BA6" s="296"/>
      <c r="BB6" s="297">
        <v>1</v>
      </c>
      <c r="BC6" s="296"/>
      <c r="BD6" s="296"/>
      <c r="BE6" s="296"/>
      <c r="BF6" s="296"/>
      <c r="BG6" s="297">
        <v>1</v>
      </c>
      <c r="BH6" s="296"/>
      <c r="BI6" s="296"/>
      <c r="BJ6" s="296"/>
      <c r="BK6" s="297">
        <v>1</v>
      </c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7">
        <v>1</v>
      </c>
      <c r="CL6" s="296"/>
      <c r="CM6" s="296"/>
      <c r="CN6" s="296"/>
      <c r="CO6" s="296"/>
      <c r="CP6" s="296"/>
      <c r="CQ6" s="296"/>
      <c r="CR6" s="296"/>
      <c r="CS6" s="296"/>
      <c r="CT6" s="298">
        <v>46692</v>
      </c>
    </row>
    <row r="7" spans="1:98" s="295" customFormat="1" ht="26.25" customHeight="1">
      <c r="A7" s="296" t="s">
        <v>8671</v>
      </c>
      <c r="B7" s="296" t="s">
        <v>8752</v>
      </c>
      <c r="C7" s="297">
        <v>26</v>
      </c>
      <c r="D7" s="296" t="s">
        <v>1162</v>
      </c>
      <c r="E7" s="296" t="s">
        <v>8753</v>
      </c>
      <c r="F7" s="296" t="s">
        <v>145</v>
      </c>
      <c r="G7" s="296"/>
      <c r="H7" s="297">
        <v>1</v>
      </c>
      <c r="I7" s="296"/>
      <c r="J7" s="296"/>
      <c r="K7" s="296"/>
      <c r="L7" s="296"/>
      <c r="M7" s="297">
        <v>1</v>
      </c>
      <c r="N7" s="296"/>
      <c r="O7" s="296"/>
      <c r="P7" s="296"/>
      <c r="Q7" s="297">
        <v>1</v>
      </c>
      <c r="R7" s="296"/>
      <c r="S7" s="296"/>
      <c r="T7" s="296"/>
      <c r="U7" s="297">
        <v>1</v>
      </c>
      <c r="V7" s="296"/>
      <c r="W7" s="342"/>
      <c r="X7" s="297">
        <v>16</v>
      </c>
      <c r="Y7" s="297">
        <v>23</v>
      </c>
      <c r="Z7" s="297">
        <v>1</v>
      </c>
      <c r="AA7" s="297">
        <v>1</v>
      </c>
      <c r="AB7" s="297">
        <v>1</v>
      </c>
      <c r="AC7" s="297">
        <v>1</v>
      </c>
      <c r="AD7" s="296"/>
      <c r="AE7" s="296"/>
      <c r="AF7" s="296"/>
      <c r="AG7" s="296"/>
      <c r="AH7" s="296"/>
      <c r="AI7" s="297">
        <v>1</v>
      </c>
      <c r="AJ7" s="296"/>
      <c r="AK7" s="297">
        <v>1</v>
      </c>
      <c r="AL7" s="296"/>
      <c r="AM7" s="296"/>
      <c r="AN7" s="296"/>
      <c r="AO7" s="296"/>
      <c r="AP7" s="296"/>
      <c r="AQ7" s="296"/>
      <c r="AR7" s="296"/>
      <c r="AS7" s="296"/>
      <c r="AT7" s="297">
        <v>1</v>
      </c>
      <c r="AU7" s="296"/>
      <c r="AV7" s="296"/>
      <c r="AW7" s="297">
        <v>1</v>
      </c>
      <c r="AX7" s="296"/>
      <c r="AY7" s="296"/>
      <c r="AZ7" s="296"/>
      <c r="BA7" s="297">
        <v>1</v>
      </c>
      <c r="BB7" s="296"/>
      <c r="BC7" s="296"/>
      <c r="BD7" s="296"/>
      <c r="BE7" s="296"/>
      <c r="BF7" s="296"/>
      <c r="BG7" s="296"/>
      <c r="BH7" s="296"/>
      <c r="BI7" s="296"/>
      <c r="BJ7" s="296"/>
      <c r="BK7" s="297">
        <v>1</v>
      </c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7">
        <v>1</v>
      </c>
      <c r="BZ7" s="296"/>
      <c r="CA7" s="296"/>
      <c r="CB7" s="297">
        <v>1</v>
      </c>
      <c r="CC7" s="296"/>
      <c r="CD7" s="296"/>
      <c r="CE7" s="297">
        <v>1</v>
      </c>
      <c r="CF7" s="296"/>
      <c r="CG7" s="296"/>
      <c r="CH7" s="296"/>
      <c r="CI7" s="296"/>
      <c r="CJ7" s="296"/>
      <c r="CK7" s="297">
        <v>1</v>
      </c>
      <c r="CL7" s="296"/>
      <c r="CM7" s="296"/>
      <c r="CN7" s="296"/>
      <c r="CO7" s="296"/>
      <c r="CP7" s="296"/>
      <c r="CQ7" s="296"/>
      <c r="CR7" s="296"/>
      <c r="CS7" s="296"/>
      <c r="CT7" s="296" t="s">
        <v>7097</v>
      </c>
    </row>
    <row r="8" spans="1:98" s="295" customFormat="1" ht="22.5" customHeight="1">
      <c r="A8" s="296" t="s">
        <v>8673</v>
      </c>
      <c r="B8" s="296" t="s">
        <v>8754</v>
      </c>
      <c r="C8" s="297">
        <v>36</v>
      </c>
      <c r="D8" s="296" t="s">
        <v>1162</v>
      </c>
      <c r="E8" s="296" t="s">
        <v>8755</v>
      </c>
      <c r="F8" s="296" t="s">
        <v>2675</v>
      </c>
      <c r="G8" s="297">
        <v>1</v>
      </c>
      <c r="H8" s="296"/>
      <c r="I8" s="296"/>
      <c r="J8" s="296"/>
      <c r="K8" s="296"/>
      <c r="L8" s="296"/>
      <c r="M8" s="297">
        <v>1</v>
      </c>
      <c r="N8" s="296"/>
      <c r="O8" s="296"/>
      <c r="P8" s="296"/>
      <c r="Q8" s="297">
        <v>1</v>
      </c>
      <c r="R8" s="296"/>
      <c r="S8" s="296"/>
      <c r="T8" s="296"/>
      <c r="U8" s="296"/>
      <c r="V8" s="297">
        <v>1</v>
      </c>
      <c r="W8" s="297">
        <v>13</v>
      </c>
      <c r="X8" s="297">
        <v>21</v>
      </c>
      <c r="Y8" s="297">
        <v>28</v>
      </c>
      <c r="Z8" s="297">
        <v>3</v>
      </c>
      <c r="AA8" s="297">
        <v>3</v>
      </c>
      <c r="AB8" s="297">
        <v>3</v>
      </c>
      <c r="AC8" s="297">
        <v>1</v>
      </c>
      <c r="AD8" s="296"/>
      <c r="AE8" s="296"/>
      <c r="AF8" s="296"/>
      <c r="AG8" s="296"/>
      <c r="AH8" s="296"/>
      <c r="AI8" s="297">
        <v>1</v>
      </c>
      <c r="AJ8" s="296"/>
      <c r="AK8" s="297">
        <v>1</v>
      </c>
      <c r="AL8" s="296"/>
      <c r="AM8" s="296"/>
      <c r="AN8" s="296"/>
      <c r="AO8" s="296"/>
      <c r="AP8" s="296"/>
      <c r="AQ8" s="296"/>
      <c r="AR8" s="296"/>
      <c r="AS8" s="296"/>
      <c r="AT8" s="297">
        <v>1</v>
      </c>
      <c r="AU8" s="296"/>
      <c r="AV8" s="296"/>
      <c r="AW8" s="297">
        <v>1</v>
      </c>
      <c r="AX8" s="296"/>
      <c r="AY8" s="296"/>
      <c r="AZ8" s="296"/>
      <c r="BA8" s="296"/>
      <c r="BB8" s="297">
        <v>1</v>
      </c>
      <c r="BC8" s="296"/>
      <c r="BD8" s="296"/>
      <c r="BE8" s="296"/>
      <c r="BF8" s="296"/>
      <c r="BG8" s="297">
        <v>1</v>
      </c>
      <c r="BH8" s="296"/>
      <c r="BI8" s="296"/>
      <c r="BJ8" s="296"/>
      <c r="BK8" s="297">
        <v>1</v>
      </c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7">
        <v>1</v>
      </c>
      <c r="CC8" s="296"/>
      <c r="CD8" s="296"/>
      <c r="CE8" s="296"/>
      <c r="CF8" s="297">
        <v>1</v>
      </c>
      <c r="CG8" s="296"/>
      <c r="CH8" s="296"/>
      <c r="CI8" s="297">
        <v>1</v>
      </c>
      <c r="CJ8" s="296"/>
      <c r="CK8" s="296"/>
      <c r="CL8" s="296"/>
      <c r="CM8" s="296"/>
      <c r="CN8" s="297">
        <v>1</v>
      </c>
      <c r="CO8" s="296"/>
      <c r="CP8" s="296"/>
      <c r="CQ8" s="296"/>
      <c r="CR8" s="296"/>
      <c r="CS8" s="296"/>
      <c r="CT8" s="298">
        <v>46692</v>
      </c>
    </row>
    <row r="9" spans="1:98" s="295" customFormat="1" ht="19.5" customHeight="1">
      <c r="A9" s="296" t="s">
        <v>8676</v>
      </c>
      <c r="B9" s="296" t="s">
        <v>8756</v>
      </c>
      <c r="C9" s="297">
        <v>49</v>
      </c>
      <c r="D9" s="296" t="s">
        <v>8757</v>
      </c>
      <c r="E9" s="296" t="s">
        <v>8758</v>
      </c>
      <c r="F9" s="296" t="s">
        <v>112</v>
      </c>
      <c r="G9" s="296"/>
      <c r="H9" s="296"/>
      <c r="I9" s="296"/>
      <c r="J9" s="297">
        <v>1</v>
      </c>
      <c r="K9" s="296"/>
      <c r="L9" s="296"/>
      <c r="M9" s="297">
        <v>1</v>
      </c>
      <c r="N9" s="296"/>
      <c r="O9" s="296"/>
      <c r="P9" s="296"/>
      <c r="Q9" s="297">
        <v>1</v>
      </c>
      <c r="R9" s="296"/>
      <c r="S9" s="296"/>
      <c r="T9" s="297">
        <v>1</v>
      </c>
      <c r="U9" s="296"/>
      <c r="V9" s="296"/>
      <c r="W9" s="297">
        <v>16</v>
      </c>
      <c r="X9" s="297">
        <v>17</v>
      </c>
      <c r="Y9" s="297">
        <v>17</v>
      </c>
      <c r="Z9" s="297">
        <v>10</v>
      </c>
      <c r="AA9" s="297">
        <v>10</v>
      </c>
      <c r="AB9" s="297">
        <v>10</v>
      </c>
      <c r="AC9" s="296"/>
      <c r="AD9" s="296"/>
      <c r="AE9" s="297">
        <v>1</v>
      </c>
      <c r="AF9" s="296"/>
      <c r="AG9" s="297">
        <v>1</v>
      </c>
      <c r="AH9" s="297">
        <v>1</v>
      </c>
      <c r="AI9" s="297">
        <v>1</v>
      </c>
      <c r="AJ9" s="296"/>
      <c r="AK9" s="297">
        <v>1</v>
      </c>
      <c r="AL9" s="296"/>
      <c r="AM9" s="296"/>
      <c r="AN9" s="296"/>
      <c r="AO9" s="296"/>
      <c r="AP9" s="296"/>
      <c r="AQ9" s="296"/>
      <c r="AR9" s="296"/>
      <c r="AS9" s="296"/>
      <c r="AT9" s="297">
        <v>1</v>
      </c>
      <c r="AU9" s="296"/>
      <c r="AV9" s="296"/>
      <c r="AW9" s="297">
        <v>1</v>
      </c>
      <c r="AX9" s="296"/>
      <c r="AY9" s="296"/>
      <c r="AZ9" s="296"/>
      <c r="BA9" s="297">
        <v>1</v>
      </c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7">
        <v>1</v>
      </c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7">
        <v>1</v>
      </c>
      <c r="CC9" s="296"/>
      <c r="CD9" s="296"/>
      <c r="CE9" s="297">
        <v>1</v>
      </c>
      <c r="CF9" s="296"/>
      <c r="CG9" s="296"/>
      <c r="CH9" s="296"/>
      <c r="CI9" s="296"/>
      <c r="CJ9" s="296"/>
      <c r="CK9" s="297">
        <v>1</v>
      </c>
      <c r="CL9" s="296"/>
      <c r="CM9" s="296"/>
      <c r="CN9" s="296"/>
      <c r="CO9" s="296"/>
      <c r="CP9" s="296"/>
      <c r="CQ9" s="296"/>
      <c r="CR9" s="296"/>
      <c r="CS9" s="296"/>
      <c r="CT9" s="298">
        <v>46692</v>
      </c>
    </row>
    <row r="10" spans="1:98" s="295" customFormat="1" ht="18" customHeight="1">
      <c r="A10" s="296" t="s">
        <v>8680</v>
      </c>
      <c r="B10" s="296" t="s">
        <v>8759</v>
      </c>
      <c r="C10" s="297">
        <v>36</v>
      </c>
      <c r="D10" s="296" t="s">
        <v>1162</v>
      </c>
      <c r="E10" s="296" t="s">
        <v>8760</v>
      </c>
      <c r="F10" s="296" t="s">
        <v>112</v>
      </c>
      <c r="G10" s="296"/>
      <c r="H10" s="296"/>
      <c r="I10" s="297">
        <v>1</v>
      </c>
      <c r="J10" s="296"/>
      <c r="K10" s="296"/>
      <c r="L10" s="296"/>
      <c r="M10" s="296"/>
      <c r="N10" s="296"/>
      <c r="O10" s="297">
        <v>1</v>
      </c>
      <c r="P10" s="296"/>
      <c r="Q10" s="296"/>
      <c r="R10" s="297">
        <v>1</v>
      </c>
      <c r="S10" s="296"/>
      <c r="T10" s="296"/>
      <c r="U10" s="296"/>
      <c r="V10" s="297">
        <v>1</v>
      </c>
      <c r="W10" s="297">
        <v>14</v>
      </c>
      <c r="X10" s="297">
        <v>17</v>
      </c>
      <c r="Y10" s="297">
        <v>22</v>
      </c>
      <c r="Z10" s="297">
        <v>4</v>
      </c>
      <c r="AA10" s="297">
        <v>2</v>
      </c>
      <c r="AB10" s="297">
        <v>2</v>
      </c>
      <c r="AC10" s="296"/>
      <c r="AD10" s="296"/>
      <c r="AE10" s="296"/>
      <c r="AF10" s="296"/>
      <c r="AG10" s="296"/>
      <c r="AH10" s="297">
        <v>1</v>
      </c>
      <c r="AI10" s="297">
        <v>1</v>
      </c>
      <c r="AJ10" s="296"/>
      <c r="AK10" s="297">
        <v>1</v>
      </c>
      <c r="AL10" s="296"/>
      <c r="AM10" s="296"/>
      <c r="AN10" s="296"/>
      <c r="AO10" s="296"/>
      <c r="AP10" s="296"/>
      <c r="AQ10" s="296"/>
      <c r="AR10" s="296"/>
      <c r="AS10" s="296"/>
      <c r="AT10" s="297">
        <v>1</v>
      </c>
      <c r="AU10" s="296"/>
      <c r="AV10" s="296"/>
      <c r="AW10" s="296"/>
      <c r="AX10" s="297">
        <v>1</v>
      </c>
      <c r="AY10" s="296"/>
      <c r="AZ10" s="296"/>
      <c r="BA10" s="296"/>
      <c r="BB10" s="297">
        <v>1</v>
      </c>
      <c r="BC10" s="296"/>
      <c r="BD10" s="296"/>
      <c r="BE10" s="296"/>
      <c r="BF10" s="296"/>
      <c r="BG10" s="297">
        <v>1</v>
      </c>
      <c r="BH10" s="296"/>
      <c r="BI10" s="296"/>
      <c r="BJ10" s="296"/>
      <c r="BK10" s="297">
        <v>1</v>
      </c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7">
        <v>1</v>
      </c>
      <c r="CC10" s="296"/>
      <c r="CD10" s="296"/>
      <c r="CE10" s="297">
        <v>1</v>
      </c>
      <c r="CF10" s="296"/>
      <c r="CG10" s="296"/>
      <c r="CH10" s="296"/>
      <c r="CI10" s="296"/>
      <c r="CJ10" s="296"/>
      <c r="CK10" s="297">
        <v>1</v>
      </c>
      <c r="CL10" s="296"/>
      <c r="CM10" s="296"/>
      <c r="CN10" s="296"/>
      <c r="CO10" s="296"/>
      <c r="CP10" s="296"/>
      <c r="CQ10" s="296"/>
      <c r="CR10" s="296"/>
      <c r="CS10" s="296"/>
      <c r="CT10" s="298">
        <v>46692</v>
      </c>
    </row>
    <row r="11" spans="1:98" s="295" customFormat="1" ht="15.75" customHeight="1">
      <c r="A11" s="296" t="s">
        <v>8685</v>
      </c>
      <c r="B11" s="296" t="s">
        <v>8761</v>
      </c>
      <c r="C11" s="297">
        <v>29</v>
      </c>
      <c r="D11" s="296" t="s">
        <v>2642</v>
      </c>
      <c r="E11" s="296" t="s">
        <v>8762</v>
      </c>
      <c r="F11" s="296" t="s">
        <v>107</v>
      </c>
      <c r="G11" s="296"/>
      <c r="H11" s="296"/>
      <c r="I11" s="296"/>
      <c r="J11" s="297">
        <v>1</v>
      </c>
      <c r="K11" s="296"/>
      <c r="L11" s="297">
        <v>1</v>
      </c>
      <c r="M11" s="296"/>
      <c r="N11" s="296"/>
      <c r="O11" s="296"/>
      <c r="P11" s="296"/>
      <c r="Q11" s="296" t="s">
        <v>191</v>
      </c>
      <c r="R11" s="296"/>
      <c r="S11" s="296"/>
      <c r="T11" s="296"/>
      <c r="U11" s="297">
        <v>1</v>
      </c>
      <c r="V11" s="296"/>
      <c r="W11" s="297">
        <v>13</v>
      </c>
      <c r="X11" s="396" t="s">
        <v>191</v>
      </c>
      <c r="Y11" s="296" t="s">
        <v>191</v>
      </c>
      <c r="Z11" s="297">
        <v>0</v>
      </c>
      <c r="AA11" s="297">
        <v>0</v>
      </c>
      <c r="AB11" s="297">
        <v>0</v>
      </c>
      <c r="AC11" s="297">
        <v>1</v>
      </c>
      <c r="AD11" s="296"/>
      <c r="AE11" s="296"/>
      <c r="AF11" s="296"/>
      <c r="AG11" s="296"/>
      <c r="AH11" s="296"/>
      <c r="AI11" s="297">
        <v>1</v>
      </c>
      <c r="AJ11" s="296"/>
      <c r="AK11" s="297">
        <v>1</v>
      </c>
      <c r="AL11" s="296"/>
      <c r="AM11" s="296"/>
      <c r="AN11" s="296"/>
      <c r="AO11" s="296"/>
      <c r="AP11" s="296"/>
      <c r="AQ11" s="296"/>
      <c r="AR11" s="296"/>
      <c r="AS11" s="296"/>
      <c r="AT11" s="297">
        <v>1</v>
      </c>
      <c r="AU11" s="296"/>
      <c r="AV11" s="297">
        <v>1</v>
      </c>
      <c r="AW11" s="296"/>
      <c r="AX11" s="296"/>
      <c r="AY11" s="296"/>
      <c r="AZ11" s="296"/>
      <c r="BA11" s="297">
        <v>1</v>
      </c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 t="s">
        <v>4549</v>
      </c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7">
        <v>1</v>
      </c>
      <c r="CC11" s="296"/>
      <c r="CD11" s="296"/>
      <c r="CE11" s="297">
        <v>1</v>
      </c>
      <c r="CF11" s="296"/>
      <c r="CG11" s="296"/>
      <c r="CH11" s="296"/>
      <c r="CI11" s="296"/>
      <c r="CJ11" s="296"/>
      <c r="CK11" s="297">
        <v>1</v>
      </c>
      <c r="CL11" s="296"/>
      <c r="CM11" s="296"/>
      <c r="CN11" s="296"/>
      <c r="CO11" s="296"/>
      <c r="CP11" s="296"/>
      <c r="CQ11" s="296"/>
      <c r="CR11" s="296"/>
      <c r="CS11" s="296"/>
      <c r="CT11" s="298">
        <v>46692</v>
      </c>
    </row>
    <row r="12" spans="1:98" s="295" customFormat="1" ht="19.5" customHeight="1">
      <c r="A12" s="296" t="s">
        <v>8688</v>
      </c>
      <c r="B12" s="296" t="s">
        <v>8763</v>
      </c>
      <c r="C12" s="297">
        <v>28</v>
      </c>
      <c r="D12" s="296" t="s">
        <v>8764</v>
      </c>
      <c r="E12" s="296" t="s">
        <v>8765</v>
      </c>
      <c r="F12" s="296" t="s">
        <v>624</v>
      </c>
      <c r="G12" s="296"/>
      <c r="H12" s="296"/>
      <c r="I12" s="296"/>
      <c r="J12" s="297">
        <v>1</v>
      </c>
      <c r="K12" s="296"/>
      <c r="L12" s="296"/>
      <c r="M12" s="296"/>
      <c r="N12" s="297">
        <v>1</v>
      </c>
      <c r="O12" s="296"/>
      <c r="P12" s="296"/>
      <c r="Q12" s="297">
        <v>1</v>
      </c>
      <c r="R12" s="296"/>
      <c r="S12" s="296"/>
      <c r="T12" s="296"/>
      <c r="U12" s="297">
        <v>1</v>
      </c>
      <c r="V12" s="296"/>
      <c r="W12" s="297">
        <v>16</v>
      </c>
      <c r="X12" s="297">
        <v>22</v>
      </c>
      <c r="Y12" s="296" t="s">
        <v>191</v>
      </c>
      <c r="Z12" s="297">
        <v>0</v>
      </c>
      <c r="AA12" s="297">
        <v>0</v>
      </c>
      <c r="AB12" s="297">
        <v>0</v>
      </c>
      <c r="AC12" s="297">
        <v>1</v>
      </c>
      <c r="AD12" s="296"/>
      <c r="AE12" s="296"/>
      <c r="AF12" s="296"/>
      <c r="AG12" s="296"/>
      <c r="AH12" s="296"/>
      <c r="AI12" s="297">
        <v>1</v>
      </c>
      <c r="AJ12" s="296"/>
      <c r="AK12" s="296"/>
      <c r="AL12" s="296"/>
      <c r="AM12" s="297">
        <v>1</v>
      </c>
      <c r="AN12" s="296"/>
      <c r="AO12" s="296"/>
      <c r="AP12" s="296"/>
      <c r="AQ12" s="296"/>
      <c r="AR12" s="296"/>
      <c r="AS12" s="296"/>
      <c r="AT12" s="297">
        <v>1</v>
      </c>
      <c r="AU12" s="296"/>
      <c r="AV12" s="296"/>
      <c r="AW12" s="297">
        <v>1</v>
      </c>
      <c r="AX12" s="296"/>
      <c r="AY12" s="296"/>
      <c r="AZ12" s="296"/>
      <c r="BA12" s="297">
        <v>1</v>
      </c>
      <c r="BB12" s="296"/>
      <c r="BC12" s="296"/>
      <c r="BD12" s="296"/>
      <c r="BE12" s="296"/>
      <c r="BF12" s="296"/>
      <c r="BG12" s="296"/>
      <c r="BH12" s="296"/>
      <c r="BI12" s="296"/>
      <c r="BJ12" s="296"/>
      <c r="BK12" s="297">
        <v>1</v>
      </c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7">
        <v>1</v>
      </c>
      <c r="CC12" s="296"/>
      <c r="CD12" s="296"/>
      <c r="CE12" s="297">
        <v>1</v>
      </c>
      <c r="CF12" s="296"/>
      <c r="CG12" s="296"/>
      <c r="CH12" s="296"/>
      <c r="CI12" s="296"/>
      <c r="CJ12" s="296"/>
      <c r="CK12" s="297">
        <v>1</v>
      </c>
      <c r="CL12" s="296"/>
      <c r="CM12" s="296"/>
      <c r="CN12" s="296"/>
      <c r="CO12" s="296"/>
      <c r="CP12" s="296"/>
      <c r="CQ12" s="296"/>
      <c r="CR12" s="296"/>
      <c r="CS12" s="296"/>
      <c r="CT12" s="298">
        <v>46692</v>
      </c>
    </row>
    <row r="13" spans="1:98" s="295" customFormat="1" ht="21" customHeight="1">
      <c r="A13" s="296" t="s">
        <v>8691</v>
      </c>
      <c r="B13" s="296" t="s">
        <v>8766</v>
      </c>
      <c r="C13" s="297">
        <v>44</v>
      </c>
      <c r="D13" s="296" t="s">
        <v>1539</v>
      </c>
      <c r="E13" s="296" t="s">
        <v>8767</v>
      </c>
      <c r="F13" s="296" t="s">
        <v>107</v>
      </c>
      <c r="G13" s="296"/>
      <c r="H13" s="296"/>
      <c r="I13" s="297">
        <v>1</v>
      </c>
      <c r="J13" s="296"/>
      <c r="K13" s="296"/>
      <c r="L13" s="296"/>
      <c r="M13" s="297">
        <v>1</v>
      </c>
      <c r="N13" s="296"/>
      <c r="O13" s="296"/>
      <c r="P13" s="296"/>
      <c r="Q13" s="297">
        <v>1</v>
      </c>
      <c r="R13" s="296"/>
      <c r="S13" s="296"/>
      <c r="T13" s="297">
        <v>1</v>
      </c>
      <c r="U13" s="296"/>
      <c r="V13" s="296"/>
      <c r="W13" s="342"/>
      <c r="X13" s="297">
        <v>14</v>
      </c>
      <c r="Y13" s="297">
        <v>15</v>
      </c>
      <c r="Z13" s="297">
        <v>3</v>
      </c>
      <c r="AA13" s="297">
        <v>3</v>
      </c>
      <c r="AB13" s="297">
        <v>3</v>
      </c>
      <c r="AC13" s="296"/>
      <c r="AD13" s="297">
        <v>1</v>
      </c>
      <c r="AE13" s="296"/>
      <c r="AF13" s="296"/>
      <c r="AG13" s="296"/>
      <c r="AH13" s="296"/>
      <c r="AI13" s="297">
        <v>1</v>
      </c>
      <c r="AJ13" s="296"/>
      <c r="AK13" s="297">
        <v>1</v>
      </c>
      <c r="AL13" s="296"/>
      <c r="AM13" s="296"/>
      <c r="AN13" s="296"/>
      <c r="AO13" s="296"/>
      <c r="AP13" s="296"/>
      <c r="AQ13" s="296"/>
      <c r="AR13" s="296"/>
      <c r="AS13" s="296"/>
      <c r="AT13" s="296"/>
      <c r="AU13" s="297">
        <v>1</v>
      </c>
      <c r="AV13" s="296"/>
      <c r="AW13" s="296"/>
      <c r="AX13" s="296"/>
      <c r="AY13" s="296"/>
      <c r="AZ13" s="297">
        <v>1</v>
      </c>
      <c r="BA13" s="297">
        <v>1</v>
      </c>
      <c r="BB13" s="296"/>
      <c r="BC13" s="296"/>
      <c r="BD13" s="296"/>
      <c r="BE13" s="296"/>
      <c r="BF13" s="296"/>
      <c r="BG13" s="296"/>
      <c r="BH13" s="296"/>
      <c r="BI13" s="296"/>
      <c r="BJ13" s="296"/>
      <c r="BK13" s="297">
        <v>1</v>
      </c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7">
        <v>1</v>
      </c>
      <c r="CC13" s="296"/>
      <c r="CD13" s="296"/>
      <c r="CE13" s="297">
        <v>1</v>
      </c>
      <c r="CF13" s="296"/>
      <c r="CG13" s="296"/>
      <c r="CH13" s="296"/>
      <c r="CI13" s="296"/>
      <c r="CJ13" s="296"/>
      <c r="CK13" s="297">
        <v>1</v>
      </c>
      <c r="CL13" s="296"/>
      <c r="CM13" s="296"/>
      <c r="CN13" s="296"/>
      <c r="CO13" s="296"/>
      <c r="CP13" s="296"/>
      <c r="CQ13" s="296"/>
      <c r="CR13" s="296"/>
      <c r="CS13" s="296"/>
      <c r="CT13" s="298">
        <v>46692</v>
      </c>
    </row>
    <row r="14" spans="1:98" s="295" customFormat="1" ht="20.25" customHeight="1">
      <c r="A14" s="296" t="s">
        <v>8695</v>
      </c>
      <c r="B14" s="296" t="s">
        <v>8768</v>
      </c>
      <c r="C14" s="297">
        <v>44</v>
      </c>
      <c r="D14" s="296" t="s">
        <v>1149</v>
      </c>
      <c r="E14" s="296" t="s">
        <v>8769</v>
      </c>
      <c r="F14" s="296" t="s">
        <v>274</v>
      </c>
      <c r="G14" s="296"/>
      <c r="H14" s="296"/>
      <c r="I14" s="297">
        <v>1</v>
      </c>
      <c r="J14" s="296"/>
      <c r="K14" s="296"/>
      <c r="L14" s="296"/>
      <c r="M14" s="297">
        <v>1</v>
      </c>
      <c r="N14" s="296"/>
      <c r="O14" s="296"/>
      <c r="P14" s="296"/>
      <c r="Q14" s="296"/>
      <c r="R14" s="297">
        <v>1</v>
      </c>
      <c r="S14" s="297">
        <v>1</v>
      </c>
      <c r="T14" s="296"/>
      <c r="U14" s="296"/>
      <c r="V14" s="296"/>
      <c r="W14" s="342"/>
      <c r="X14" s="297">
        <v>17</v>
      </c>
      <c r="Y14" s="297">
        <v>19</v>
      </c>
      <c r="Z14" s="297">
        <v>8</v>
      </c>
      <c r="AA14" s="297">
        <v>8</v>
      </c>
      <c r="AB14" s="297">
        <v>8</v>
      </c>
      <c r="AC14" s="296"/>
      <c r="AD14" s="297">
        <v>1</v>
      </c>
      <c r="AE14" s="297">
        <v>1</v>
      </c>
      <c r="AF14" s="296"/>
      <c r="AG14" s="296"/>
      <c r="AH14" s="297">
        <v>1</v>
      </c>
      <c r="AI14" s="297">
        <v>1</v>
      </c>
      <c r="AJ14" s="296"/>
      <c r="AK14" s="297">
        <v>1</v>
      </c>
      <c r="AL14" s="296"/>
      <c r="AM14" s="296"/>
      <c r="AN14" s="296"/>
      <c r="AO14" s="296"/>
      <c r="AP14" s="296"/>
      <c r="AQ14" s="296"/>
      <c r="AR14" s="296"/>
      <c r="AS14" s="296"/>
      <c r="AT14" s="297">
        <v>1</v>
      </c>
      <c r="AU14" s="296"/>
      <c r="AV14" s="296"/>
      <c r="AW14" s="296"/>
      <c r="AX14" s="297">
        <v>1</v>
      </c>
      <c r="AY14" s="296"/>
      <c r="AZ14" s="296"/>
      <c r="BA14" s="297">
        <v>1</v>
      </c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7">
        <v>1</v>
      </c>
      <c r="BM14" s="296"/>
      <c r="BN14" s="296"/>
      <c r="BO14" s="296" t="s">
        <v>8770</v>
      </c>
      <c r="BP14" s="296"/>
      <c r="BQ14" s="296"/>
      <c r="BR14" s="296"/>
      <c r="BS14" s="296"/>
      <c r="BT14" s="296"/>
      <c r="BU14" s="296"/>
      <c r="BV14" s="296"/>
      <c r="BW14" s="296"/>
      <c r="BX14" s="296"/>
      <c r="BY14" s="297">
        <v>1</v>
      </c>
      <c r="BZ14" s="296"/>
      <c r="CA14" s="296"/>
      <c r="CB14" s="297">
        <v>1</v>
      </c>
      <c r="CC14" s="296"/>
      <c r="CD14" s="296"/>
      <c r="CE14" s="297">
        <v>1</v>
      </c>
      <c r="CF14" s="296"/>
      <c r="CG14" s="296"/>
      <c r="CH14" s="296"/>
      <c r="CI14" s="296"/>
      <c r="CJ14" s="296"/>
      <c r="CK14" s="297">
        <v>1</v>
      </c>
      <c r="CL14" s="296"/>
      <c r="CM14" s="296"/>
      <c r="CN14" s="296"/>
      <c r="CO14" s="296"/>
      <c r="CP14" s="296"/>
      <c r="CQ14" s="296"/>
      <c r="CR14" s="296"/>
      <c r="CS14" s="296"/>
      <c r="CT14" s="343">
        <v>45689</v>
      </c>
    </row>
    <row r="15" spans="1:98" s="295" customFormat="1" ht="22.5" customHeight="1">
      <c r="A15" s="296" t="s">
        <v>8699</v>
      </c>
      <c r="B15" s="296" t="s">
        <v>8771</v>
      </c>
      <c r="C15" s="297">
        <v>40</v>
      </c>
      <c r="D15" s="296" t="s">
        <v>8772</v>
      </c>
      <c r="E15" s="296" t="s">
        <v>8773</v>
      </c>
      <c r="F15" s="296" t="s">
        <v>112</v>
      </c>
      <c r="G15" s="296"/>
      <c r="H15" s="296"/>
      <c r="I15" s="297">
        <v>1</v>
      </c>
      <c r="J15" s="296"/>
      <c r="K15" s="296"/>
      <c r="L15" s="296"/>
      <c r="M15" s="297">
        <v>1</v>
      </c>
      <c r="N15" s="296"/>
      <c r="O15" s="296"/>
      <c r="P15" s="296"/>
      <c r="Q15" s="296"/>
      <c r="R15" s="297">
        <v>1</v>
      </c>
      <c r="S15" s="296"/>
      <c r="T15" s="297">
        <v>1</v>
      </c>
      <c r="U15" s="296"/>
      <c r="V15" s="296"/>
      <c r="W15" s="297">
        <v>13</v>
      </c>
      <c r="X15" s="297">
        <v>17</v>
      </c>
      <c r="Y15" s="297">
        <v>20</v>
      </c>
      <c r="Z15" s="297">
        <v>6</v>
      </c>
      <c r="AA15" s="297">
        <v>6</v>
      </c>
      <c r="AB15" s="297">
        <v>6</v>
      </c>
      <c r="AC15" s="297">
        <v>1</v>
      </c>
      <c r="AD15" s="296"/>
      <c r="AE15" s="296"/>
      <c r="AF15" s="296"/>
      <c r="AG15" s="296"/>
      <c r="AH15" s="296"/>
      <c r="AI15" s="297">
        <v>1</v>
      </c>
      <c r="AJ15" s="296"/>
      <c r="AK15" s="297">
        <v>1</v>
      </c>
      <c r="AL15" s="296"/>
      <c r="AM15" s="296"/>
      <c r="AN15" s="296"/>
      <c r="AO15" s="296"/>
      <c r="AP15" s="296"/>
      <c r="AQ15" s="296"/>
      <c r="AR15" s="296"/>
      <c r="AS15" s="296"/>
      <c r="AT15" s="297">
        <v>1</v>
      </c>
      <c r="AU15" s="296"/>
      <c r="AV15" s="296"/>
      <c r="AW15" s="297">
        <v>1</v>
      </c>
      <c r="AX15" s="296"/>
      <c r="AY15" s="296"/>
      <c r="AZ15" s="296"/>
      <c r="BA15" s="297">
        <v>1</v>
      </c>
      <c r="BB15" s="296"/>
      <c r="BC15" s="296"/>
      <c r="BD15" s="296"/>
      <c r="BE15" s="296"/>
      <c r="BF15" s="296"/>
      <c r="BG15" s="296"/>
      <c r="BH15" s="296"/>
      <c r="BI15" s="296"/>
      <c r="BJ15" s="296"/>
      <c r="BK15" s="297">
        <v>1</v>
      </c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7">
        <v>1</v>
      </c>
      <c r="CC15" s="296"/>
      <c r="CD15" s="296"/>
      <c r="CE15" s="297">
        <v>1</v>
      </c>
      <c r="CF15" s="296"/>
      <c r="CG15" s="296"/>
      <c r="CH15" s="296"/>
      <c r="CI15" s="296"/>
      <c r="CJ15" s="296"/>
      <c r="CK15" s="297">
        <v>1</v>
      </c>
      <c r="CL15" s="296"/>
      <c r="CM15" s="296"/>
      <c r="CN15" s="296"/>
      <c r="CO15" s="296"/>
      <c r="CP15" s="296"/>
      <c r="CQ15" s="296"/>
      <c r="CR15" s="296"/>
      <c r="CS15" s="296"/>
      <c r="CT15" s="298">
        <v>46692</v>
      </c>
    </row>
  </sheetData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B6" sqref="B6"/>
    </sheetView>
  </sheetViews>
  <sheetFormatPr defaultRowHeight="15"/>
  <cols>
    <col min="1" max="1" width="15" customWidth="1"/>
    <col min="19" max="19" width="11.5703125" customWidth="1"/>
  </cols>
  <sheetData>
    <row r="1" spans="1:33" ht="30" thickBot="1">
      <c r="A1" s="587" t="s">
        <v>351</v>
      </c>
      <c r="B1" s="589" t="s">
        <v>352</v>
      </c>
      <c r="C1" s="590"/>
      <c r="D1" s="590"/>
      <c r="E1" s="591"/>
      <c r="F1" s="535" t="s">
        <v>353</v>
      </c>
      <c r="G1" s="536"/>
      <c r="H1" s="537"/>
      <c r="I1" s="284"/>
      <c r="J1" s="284"/>
      <c r="K1" s="535" t="s">
        <v>354</v>
      </c>
      <c r="L1" s="536"/>
      <c r="M1" s="536"/>
      <c r="N1" s="536"/>
      <c r="O1" s="536"/>
      <c r="P1" s="537"/>
      <c r="Q1" s="535" t="s">
        <v>355</v>
      </c>
      <c r="R1" s="536"/>
      <c r="S1" s="536"/>
      <c r="T1" s="537"/>
      <c r="U1" s="535" t="s">
        <v>356</v>
      </c>
      <c r="V1" s="536"/>
      <c r="W1" s="536"/>
      <c r="X1" s="536"/>
      <c r="Y1" s="536"/>
      <c r="Z1" s="537"/>
      <c r="AA1" s="535" t="s">
        <v>357</v>
      </c>
      <c r="AB1" s="536"/>
      <c r="AC1" s="536"/>
      <c r="AD1" s="536"/>
      <c r="AE1" s="537"/>
      <c r="AF1" s="368" t="s">
        <v>356</v>
      </c>
      <c r="AG1" s="284"/>
    </row>
    <row r="2" spans="1:33" ht="22.5" customHeight="1" thickBot="1">
      <c r="A2" s="588"/>
      <c r="B2" s="300" t="s">
        <v>358</v>
      </c>
      <c r="C2" s="300" t="s">
        <v>359</v>
      </c>
      <c r="D2" s="300" t="s">
        <v>360</v>
      </c>
      <c r="E2" s="300" t="s">
        <v>361</v>
      </c>
      <c r="F2" s="369" t="s">
        <v>3106</v>
      </c>
      <c r="G2" s="369" t="s">
        <v>358</v>
      </c>
      <c r="H2" s="370" t="s">
        <v>362</v>
      </c>
      <c r="I2" s="369" t="s">
        <v>3429</v>
      </c>
      <c r="J2" s="371" t="s">
        <v>361</v>
      </c>
      <c r="K2" s="369" t="s">
        <v>96</v>
      </c>
      <c r="L2" s="369" t="s">
        <v>84</v>
      </c>
      <c r="M2" s="369" t="s">
        <v>98</v>
      </c>
      <c r="N2" s="369" t="s">
        <v>38</v>
      </c>
      <c r="O2" s="369" t="s">
        <v>930</v>
      </c>
      <c r="P2" s="371" t="s">
        <v>361</v>
      </c>
      <c r="Q2" s="369" t="s">
        <v>91</v>
      </c>
      <c r="R2" s="369" t="s">
        <v>362</v>
      </c>
      <c r="S2" s="369" t="s">
        <v>363</v>
      </c>
      <c r="T2" s="371" t="s">
        <v>361</v>
      </c>
      <c r="U2" s="369" t="s">
        <v>364</v>
      </c>
      <c r="V2" s="369" t="s">
        <v>91</v>
      </c>
      <c r="W2" s="369" t="s">
        <v>365</v>
      </c>
      <c r="X2" s="369" t="s">
        <v>366</v>
      </c>
      <c r="Y2" s="369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69" t="s">
        <v>365</v>
      </c>
      <c r="AG2" s="372" t="s">
        <v>3430</v>
      </c>
    </row>
    <row r="3" spans="1:33" ht="25.5" customHeight="1" thickBot="1">
      <c r="A3" s="373" t="s">
        <v>8774</v>
      </c>
      <c r="B3" s="374">
        <v>2</v>
      </c>
      <c r="C3" s="289"/>
      <c r="D3" s="374">
        <v>1</v>
      </c>
      <c r="E3" s="374">
        <v>3</v>
      </c>
      <c r="F3" s="289"/>
      <c r="G3" s="310">
        <v>2</v>
      </c>
      <c r="H3" s="310">
        <v>1</v>
      </c>
      <c r="I3" s="289"/>
      <c r="J3" s="375">
        <v>3</v>
      </c>
      <c r="K3" s="289"/>
      <c r="L3" s="289"/>
      <c r="M3" s="289"/>
      <c r="N3" s="289"/>
      <c r="O3" s="289"/>
      <c r="P3" s="375">
        <v>0</v>
      </c>
      <c r="Q3" s="289"/>
      <c r="R3" s="289"/>
      <c r="S3" s="310">
        <v>1</v>
      </c>
      <c r="T3" s="375">
        <v>1</v>
      </c>
      <c r="U3" s="289"/>
      <c r="V3" s="289"/>
      <c r="W3" s="289"/>
      <c r="X3" s="289"/>
      <c r="Y3" s="289"/>
      <c r="Z3" s="289"/>
      <c r="AA3" s="310">
        <v>3</v>
      </c>
      <c r="AB3" s="289"/>
      <c r="AC3" s="289"/>
      <c r="AD3" s="289"/>
      <c r="AE3" s="311">
        <v>3</v>
      </c>
      <c r="AF3" s="289"/>
      <c r="AG3" s="289"/>
    </row>
    <row r="4" spans="1:33" ht="22.5" customHeight="1" thickBot="1">
      <c r="A4" s="373" t="s">
        <v>1270</v>
      </c>
      <c r="B4" s="374">
        <v>4</v>
      </c>
      <c r="C4" s="374">
        <v>1</v>
      </c>
      <c r="D4" s="289"/>
      <c r="E4" s="374">
        <v>5</v>
      </c>
      <c r="F4" s="310">
        <v>1</v>
      </c>
      <c r="G4" s="310">
        <v>4</v>
      </c>
      <c r="H4" s="289"/>
      <c r="I4" s="289"/>
      <c r="J4" s="375">
        <v>5</v>
      </c>
      <c r="K4" s="289"/>
      <c r="L4" s="289"/>
      <c r="M4" s="289"/>
      <c r="N4" s="289"/>
      <c r="O4" s="289"/>
      <c r="P4" s="375">
        <v>0</v>
      </c>
      <c r="Q4" s="289"/>
      <c r="R4" s="289"/>
      <c r="S4" s="289"/>
      <c r="T4" s="375">
        <v>0</v>
      </c>
      <c r="U4" s="289"/>
      <c r="V4" s="289"/>
      <c r="W4" s="289"/>
      <c r="X4" s="289"/>
      <c r="Y4" s="289"/>
      <c r="Z4" s="289"/>
      <c r="AA4" s="310">
        <v>3</v>
      </c>
      <c r="AB4" s="289"/>
      <c r="AC4" s="289"/>
      <c r="AD4" s="310">
        <v>2</v>
      </c>
      <c r="AE4" s="311">
        <v>5</v>
      </c>
      <c r="AF4" s="289"/>
      <c r="AG4" s="289"/>
    </row>
    <row r="5" spans="1:33" ht="19.5" customHeight="1" thickBot="1">
      <c r="A5" s="398" t="s">
        <v>7272</v>
      </c>
      <c r="B5" s="374">
        <v>3</v>
      </c>
      <c r="C5" s="289"/>
      <c r="D5" s="289"/>
      <c r="E5" s="374">
        <v>3</v>
      </c>
      <c r="F5" s="310">
        <v>1</v>
      </c>
      <c r="G5" s="289"/>
      <c r="H5" s="289"/>
      <c r="I5" s="289"/>
      <c r="J5" s="375">
        <v>1</v>
      </c>
      <c r="K5" s="310">
        <v>2</v>
      </c>
      <c r="L5" s="289"/>
      <c r="M5" s="289"/>
      <c r="N5" s="289"/>
      <c r="O5" s="289"/>
      <c r="P5" s="375">
        <v>2</v>
      </c>
      <c r="Q5" s="289"/>
      <c r="R5" s="289"/>
      <c r="S5" s="310">
        <v>1</v>
      </c>
      <c r="T5" s="375">
        <v>1</v>
      </c>
      <c r="U5" s="289"/>
      <c r="V5" s="289"/>
      <c r="W5" s="289"/>
      <c r="X5" s="289"/>
      <c r="Y5" s="289"/>
      <c r="Z5" s="289"/>
      <c r="AA5" s="310">
        <v>3</v>
      </c>
      <c r="AB5" s="289"/>
      <c r="AC5" s="289"/>
      <c r="AD5" s="289"/>
      <c r="AE5" s="311">
        <v>3</v>
      </c>
      <c r="AF5" s="289"/>
      <c r="AG5" s="289"/>
    </row>
    <row r="6" spans="1:33" ht="15.75" thickBot="1">
      <c r="A6" s="382" t="s">
        <v>8452</v>
      </c>
      <c r="B6" s="397">
        <v>1</v>
      </c>
      <c r="C6" s="289"/>
      <c r="D6" s="289"/>
      <c r="E6" s="374">
        <v>1</v>
      </c>
      <c r="F6" s="289"/>
      <c r="G6" s="374">
        <v>1</v>
      </c>
      <c r="H6" s="289"/>
      <c r="I6" s="289"/>
      <c r="J6" s="375">
        <v>1</v>
      </c>
      <c r="K6" s="314"/>
      <c r="L6" s="314"/>
      <c r="M6" s="314"/>
      <c r="N6" s="314"/>
      <c r="O6" s="314"/>
      <c r="P6" s="375">
        <v>0</v>
      </c>
      <c r="Q6" s="314"/>
      <c r="R6" s="314"/>
      <c r="S6" s="314"/>
      <c r="T6" s="375">
        <v>0</v>
      </c>
      <c r="U6" s="314"/>
      <c r="V6" s="314"/>
      <c r="W6" s="314"/>
      <c r="X6" s="314"/>
      <c r="Y6" s="314"/>
      <c r="Z6" s="314"/>
      <c r="AA6" s="310">
        <v>1</v>
      </c>
      <c r="AB6" s="289"/>
      <c r="AC6" s="289"/>
      <c r="AD6" s="289"/>
      <c r="AE6" s="311">
        <v>1</v>
      </c>
      <c r="AF6" s="289"/>
      <c r="AG6" s="289"/>
    </row>
    <row r="7" spans="1:33" ht="15.75" thickBot="1">
      <c r="A7" s="383" t="s">
        <v>376</v>
      </c>
      <c r="B7" s="374">
        <v>10</v>
      </c>
      <c r="C7" s="374">
        <v>1</v>
      </c>
      <c r="D7" s="374">
        <v>1</v>
      </c>
      <c r="E7" s="374">
        <v>12</v>
      </c>
      <c r="F7" s="374">
        <v>2</v>
      </c>
      <c r="G7" s="374">
        <v>7</v>
      </c>
      <c r="H7" s="374">
        <v>1</v>
      </c>
      <c r="I7" s="374">
        <v>0</v>
      </c>
      <c r="J7" s="375">
        <v>10</v>
      </c>
      <c r="K7" s="317">
        <v>2</v>
      </c>
      <c r="L7" s="317">
        <v>0</v>
      </c>
      <c r="M7" s="317">
        <v>0</v>
      </c>
      <c r="N7" s="317">
        <v>0</v>
      </c>
      <c r="O7" s="317">
        <v>0</v>
      </c>
      <c r="P7" s="375">
        <v>2</v>
      </c>
      <c r="Q7" s="317">
        <v>0</v>
      </c>
      <c r="R7" s="317">
        <v>0</v>
      </c>
      <c r="S7" s="317">
        <v>2</v>
      </c>
      <c r="T7" s="375">
        <v>2</v>
      </c>
      <c r="U7" s="317">
        <v>0</v>
      </c>
      <c r="V7" s="317">
        <v>0</v>
      </c>
      <c r="W7" s="317">
        <v>0</v>
      </c>
      <c r="X7" s="317">
        <v>0</v>
      </c>
      <c r="Y7" s="317">
        <v>0</v>
      </c>
      <c r="Z7" s="317">
        <v>0</v>
      </c>
      <c r="AA7" s="310">
        <v>10</v>
      </c>
      <c r="AB7" s="310">
        <v>0</v>
      </c>
      <c r="AC7" s="310">
        <v>0</v>
      </c>
      <c r="AD7" s="310">
        <v>2</v>
      </c>
      <c r="AE7" s="311">
        <v>12</v>
      </c>
      <c r="AF7" s="310">
        <v>0</v>
      </c>
      <c r="AG7" s="310"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"/>
  <sheetViews>
    <sheetView workbookViewId="0">
      <selection activeCell="E2" sqref="E2"/>
    </sheetView>
  </sheetViews>
  <sheetFormatPr defaultRowHeight="15"/>
  <cols>
    <col min="2" max="2" width="21.28515625" customWidth="1"/>
    <col min="5" max="5" width="17.5703125" customWidth="1"/>
  </cols>
  <sheetData>
    <row r="1" spans="1:98" s="327" customFormat="1">
      <c r="A1" s="324" t="s">
        <v>8742</v>
      </c>
      <c r="B1" s="325"/>
      <c r="C1" s="324" t="s">
        <v>8775</v>
      </c>
      <c r="D1" s="325"/>
      <c r="E1" s="325"/>
      <c r="F1" s="325"/>
      <c r="G1" s="561" t="s">
        <v>2</v>
      </c>
      <c r="H1" s="561"/>
      <c r="I1" s="561"/>
      <c r="J1" s="561"/>
      <c r="K1" s="561"/>
      <c r="L1" s="562" t="s">
        <v>3</v>
      </c>
      <c r="M1" s="562"/>
      <c r="N1" s="562"/>
      <c r="O1" s="562"/>
      <c r="P1" s="562"/>
      <c r="Q1" s="565"/>
      <c r="R1" s="565"/>
      <c r="S1" s="564" t="s">
        <v>5</v>
      </c>
      <c r="T1" s="564"/>
      <c r="U1" s="564"/>
      <c r="V1" s="564"/>
      <c r="W1" s="561" t="s">
        <v>6</v>
      </c>
      <c r="X1" s="561"/>
      <c r="Y1" s="561"/>
      <c r="Z1" s="561"/>
      <c r="AA1" s="561"/>
      <c r="AB1" s="561"/>
      <c r="AC1" s="564" t="s">
        <v>7</v>
      </c>
      <c r="AD1" s="564"/>
      <c r="AE1" s="564"/>
      <c r="AF1" s="564"/>
      <c r="AG1" s="564"/>
      <c r="AH1" s="564"/>
      <c r="AI1" s="563" t="s">
        <v>8</v>
      </c>
      <c r="AJ1" s="563"/>
      <c r="AK1" s="564" t="s">
        <v>9</v>
      </c>
      <c r="AL1" s="564"/>
      <c r="AM1" s="564"/>
      <c r="AN1" s="564" t="s">
        <v>10</v>
      </c>
      <c r="AO1" s="564"/>
      <c r="AP1" s="564"/>
      <c r="AQ1" s="564" t="s">
        <v>11</v>
      </c>
      <c r="AR1" s="564"/>
      <c r="AS1" s="564"/>
      <c r="AT1" s="563" t="s">
        <v>12</v>
      </c>
      <c r="AU1" s="563"/>
      <c r="AV1" s="562" t="s">
        <v>13</v>
      </c>
      <c r="AW1" s="562"/>
      <c r="AX1" s="562"/>
      <c r="AY1" s="562"/>
      <c r="AZ1" s="562"/>
      <c r="BA1" s="561" t="s">
        <v>8129</v>
      </c>
      <c r="BB1" s="561"/>
      <c r="BC1" s="561"/>
      <c r="BD1" s="564" t="s">
        <v>3542</v>
      </c>
      <c r="BE1" s="564"/>
      <c r="BF1" s="564"/>
      <c r="BG1" s="325"/>
      <c r="BH1" s="325"/>
      <c r="BI1" s="563" t="s">
        <v>16</v>
      </c>
      <c r="BJ1" s="563"/>
      <c r="BK1" s="563"/>
      <c r="BL1" s="563"/>
      <c r="BM1" s="563"/>
      <c r="BN1" s="563"/>
      <c r="BO1" s="563"/>
      <c r="BP1" s="564" t="s">
        <v>8130</v>
      </c>
      <c r="BQ1" s="564"/>
      <c r="BR1" s="564"/>
      <c r="BS1" s="562" t="s">
        <v>18</v>
      </c>
      <c r="BT1" s="562"/>
      <c r="BU1" s="325"/>
      <c r="BV1" s="325"/>
      <c r="BW1" s="563" t="s">
        <v>8131</v>
      </c>
      <c r="BX1" s="563"/>
      <c r="BY1" s="563"/>
      <c r="BZ1" s="563"/>
      <c r="CA1" s="563"/>
      <c r="CB1" s="326" t="s">
        <v>8132</v>
      </c>
      <c r="CC1" s="325"/>
      <c r="CD1" s="325"/>
      <c r="CE1" s="561" t="s">
        <v>8133</v>
      </c>
      <c r="CF1" s="561"/>
      <c r="CG1" s="561"/>
      <c r="CH1" s="562" t="s">
        <v>6832</v>
      </c>
      <c r="CI1" s="562"/>
      <c r="CJ1" s="325"/>
      <c r="CK1" s="563" t="s">
        <v>16</v>
      </c>
      <c r="CL1" s="563"/>
      <c r="CM1" s="563"/>
      <c r="CN1" s="563"/>
      <c r="CO1" s="564" t="s">
        <v>24</v>
      </c>
      <c r="CP1" s="564"/>
      <c r="CQ1" s="326" t="s">
        <v>25</v>
      </c>
      <c r="CR1" s="325"/>
      <c r="CS1" s="325"/>
      <c r="CT1" s="325"/>
    </row>
    <row r="2" spans="1:98" s="327" customFormat="1" ht="30">
      <c r="A2" s="325"/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6" t="s">
        <v>15</v>
      </c>
      <c r="BH2" s="325"/>
      <c r="BI2" s="325" t="s">
        <v>5582</v>
      </c>
      <c r="BJ2" s="563" t="s">
        <v>78</v>
      </c>
      <c r="BK2" s="563"/>
      <c r="BL2" s="564" t="s">
        <v>354</v>
      </c>
      <c r="BM2" s="564"/>
      <c r="BN2" s="564"/>
      <c r="BO2" s="564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 t="s">
        <v>893</v>
      </c>
      <c r="CT2" s="325"/>
    </row>
    <row r="3" spans="1:98" s="327" customFormat="1" ht="26.25" customHeight="1">
      <c r="A3" s="328" t="s">
        <v>28</v>
      </c>
      <c r="B3" s="328" t="s">
        <v>29</v>
      </c>
      <c r="C3" s="328" t="s">
        <v>30</v>
      </c>
      <c r="D3" s="328" t="s">
        <v>31</v>
      </c>
      <c r="E3" s="328" t="s">
        <v>32</v>
      </c>
      <c r="F3" s="328" t="s">
        <v>33</v>
      </c>
      <c r="G3" s="328" t="s">
        <v>34</v>
      </c>
      <c r="H3" s="328" t="s">
        <v>35</v>
      </c>
      <c r="I3" s="328" t="s">
        <v>36</v>
      </c>
      <c r="J3" s="328" t="s">
        <v>37</v>
      </c>
      <c r="K3" s="328" t="s">
        <v>38</v>
      </c>
      <c r="L3" s="328" t="s">
        <v>39</v>
      </c>
      <c r="M3" s="328" t="s">
        <v>40</v>
      </c>
      <c r="N3" s="328" t="s">
        <v>41</v>
      </c>
      <c r="O3" s="328" t="s">
        <v>42</v>
      </c>
      <c r="P3" s="328" t="s">
        <v>43</v>
      </c>
      <c r="Q3" s="328" t="s">
        <v>44</v>
      </c>
      <c r="R3" s="328" t="s">
        <v>45</v>
      </c>
      <c r="S3" s="328" t="s">
        <v>46</v>
      </c>
      <c r="T3" s="328" t="s">
        <v>47</v>
      </c>
      <c r="U3" s="328" t="s">
        <v>48</v>
      </c>
      <c r="V3" s="328" t="s">
        <v>49</v>
      </c>
      <c r="W3" s="328" t="s">
        <v>50</v>
      </c>
      <c r="X3" s="328" t="s">
        <v>51</v>
      </c>
      <c r="Y3" s="328" t="s">
        <v>52</v>
      </c>
      <c r="Z3" s="328" t="s">
        <v>53</v>
      </c>
      <c r="AA3" s="328" t="s">
        <v>54</v>
      </c>
      <c r="AB3" s="328" t="s">
        <v>55</v>
      </c>
      <c r="AC3" s="328" t="s">
        <v>56</v>
      </c>
      <c r="AD3" s="328" t="s">
        <v>57</v>
      </c>
      <c r="AE3" s="328" t="s">
        <v>58</v>
      </c>
      <c r="AF3" s="328" t="s">
        <v>59</v>
      </c>
      <c r="AG3" s="328" t="s">
        <v>60</v>
      </c>
      <c r="AH3" s="328" t="s">
        <v>61</v>
      </c>
      <c r="AI3" s="328" t="s">
        <v>62</v>
      </c>
      <c r="AJ3" s="328" t="s">
        <v>63</v>
      </c>
      <c r="AK3" s="328" t="s">
        <v>64</v>
      </c>
      <c r="AL3" s="328" t="s">
        <v>65</v>
      </c>
      <c r="AM3" s="344" t="s">
        <v>66</v>
      </c>
      <c r="AN3" s="328" t="s">
        <v>8464</v>
      </c>
      <c r="AO3" s="328" t="s">
        <v>68</v>
      </c>
      <c r="AP3" s="328" t="s">
        <v>69</v>
      </c>
      <c r="AQ3" s="328" t="s">
        <v>70</v>
      </c>
      <c r="AR3" s="328" t="s">
        <v>71</v>
      </c>
      <c r="AS3" s="328" t="s">
        <v>360</v>
      </c>
      <c r="AT3" s="328" t="s">
        <v>56</v>
      </c>
      <c r="AU3" s="328" t="s">
        <v>73</v>
      </c>
      <c r="AV3" s="328" t="s">
        <v>46</v>
      </c>
      <c r="AW3" s="328" t="s">
        <v>895</v>
      </c>
      <c r="AX3" s="328" t="s">
        <v>75</v>
      </c>
      <c r="AY3" s="328" t="s">
        <v>76</v>
      </c>
      <c r="AZ3" s="328" t="s">
        <v>77</v>
      </c>
      <c r="BA3" s="328" t="s">
        <v>56</v>
      </c>
      <c r="BB3" s="328" t="s">
        <v>78</v>
      </c>
      <c r="BC3" s="328" t="s">
        <v>5582</v>
      </c>
      <c r="BD3" s="328" t="s">
        <v>79</v>
      </c>
      <c r="BE3" s="328" t="s">
        <v>80</v>
      </c>
      <c r="BF3" s="328" t="s">
        <v>38</v>
      </c>
      <c r="BG3" s="328" t="s">
        <v>81</v>
      </c>
      <c r="BH3" s="328" t="s">
        <v>82</v>
      </c>
      <c r="BI3" s="328" t="s">
        <v>83</v>
      </c>
      <c r="BJ3" s="328" t="s">
        <v>83</v>
      </c>
      <c r="BK3" s="328" t="s">
        <v>81</v>
      </c>
      <c r="BL3" s="328" t="s">
        <v>96</v>
      </c>
      <c r="BM3" s="328" t="s">
        <v>84</v>
      </c>
      <c r="BN3" s="328" t="s">
        <v>85</v>
      </c>
      <c r="BO3" s="328" t="s">
        <v>86</v>
      </c>
      <c r="BP3" s="328" t="s">
        <v>73</v>
      </c>
      <c r="BQ3" s="328" t="s">
        <v>87</v>
      </c>
      <c r="BR3" s="328" t="s">
        <v>56</v>
      </c>
      <c r="BS3" s="328" t="s">
        <v>83</v>
      </c>
      <c r="BT3" s="328" t="s">
        <v>88</v>
      </c>
      <c r="BU3" s="324" t="s">
        <v>89</v>
      </c>
      <c r="BV3" s="325"/>
      <c r="BW3" s="328" t="s">
        <v>90</v>
      </c>
      <c r="BX3" s="328" t="s">
        <v>91</v>
      </c>
      <c r="BY3" s="328" t="s">
        <v>8532</v>
      </c>
      <c r="BZ3" s="328" t="s">
        <v>93</v>
      </c>
      <c r="CA3" s="328" t="s">
        <v>94</v>
      </c>
      <c r="CB3" s="328" t="s">
        <v>56</v>
      </c>
      <c r="CC3" s="328" t="s">
        <v>73</v>
      </c>
      <c r="CD3" s="328" t="s">
        <v>22</v>
      </c>
      <c r="CE3" s="328" t="s">
        <v>56</v>
      </c>
      <c r="CF3" s="328" t="s">
        <v>73</v>
      </c>
      <c r="CG3" s="328" t="s">
        <v>1275</v>
      </c>
      <c r="CH3" s="328" t="s">
        <v>83</v>
      </c>
      <c r="CI3" s="328" t="s">
        <v>88</v>
      </c>
      <c r="CJ3" s="328" t="s">
        <v>896</v>
      </c>
      <c r="CK3" s="328" t="s">
        <v>96</v>
      </c>
      <c r="CL3" s="328" t="s">
        <v>97</v>
      </c>
      <c r="CM3" s="328" t="s">
        <v>98</v>
      </c>
      <c r="CN3" s="328" t="s">
        <v>360</v>
      </c>
      <c r="CO3" s="328" t="s">
        <v>73</v>
      </c>
      <c r="CP3" s="328" t="s">
        <v>56</v>
      </c>
      <c r="CQ3" s="328" t="s">
        <v>99</v>
      </c>
      <c r="CR3" s="328" t="s">
        <v>56</v>
      </c>
      <c r="CS3" s="325"/>
      <c r="CT3" s="328" t="s">
        <v>100</v>
      </c>
    </row>
    <row r="4" spans="1:98" s="295" customFormat="1" ht="22.5" customHeight="1">
      <c r="A4" s="296" t="s">
        <v>8776</v>
      </c>
      <c r="B4" s="296" t="s">
        <v>8777</v>
      </c>
      <c r="C4" s="297">
        <v>27</v>
      </c>
      <c r="D4" s="296" t="s">
        <v>923</v>
      </c>
      <c r="E4" s="296" t="s">
        <v>8778</v>
      </c>
      <c r="F4" s="296" t="s">
        <v>112</v>
      </c>
      <c r="G4" s="296"/>
      <c r="H4" s="297">
        <v>1</v>
      </c>
      <c r="I4" s="296"/>
      <c r="J4" s="296"/>
      <c r="K4" s="296"/>
      <c r="L4" s="296"/>
      <c r="M4" s="296"/>
      <c r="N4" s="296"/>
      <c r="O4" s="297">
        <v>1</v>
      </c>
      <c r="P4" s="296"/>
      <c r="Q4" s="342"/>
      <c r="R4" s="342"/>
      <c r="S4" s="296"/>
      <c r="T4" s="297">
        <v>1</v>
      </c>
      <c r="U4" s="296"/>
      <c r="V4" s="296"/>
      <c r="W4" s="297">
        <v>13</v>
      </c>
      <c r="X4" s="297">
        <v>18</v>
      </c>
      <c r="Y4" s="297">
        <v>19</v>
      </c>
      <c r="Z4" s="297">
        <v>4</v>
      </c>
      <c r="AA4" s="297">
        <v>3</v>
      </c>
      <c r="AB4" s="297">
        <v>0</v>
      </c>
      <c r="AC4" s="296"/>
      <c r="AD4" s="296"/>
      <c r="AE4" s="297">
        <v>1</v>
      </c>
      <c r="AF4" s="296"/>
      <c r="AG4" s="297">
        <v>1</v>
      </c>
      <c r="AH4" s="297">
        <v>1</v>
      </c>
      <c r="AI4" s="297">
        <v>1</v>
      </c>
      <c r="AJ4" s="296"/>
      <c r="AK4" s="296"/>
      <c r="AL4" s="297">
        <v>1</v>
      </c>
      <c r="AM4" s="296"/>
      <c r="AN4" s="296"/>
      <c r="AO4" s="297">
        <v>1</v>
      </c>
      <c r="AP4" s="296"/>
      <c r="AQ4" s="296"/>
      <c r="AR4" s="296"/>
      <c r="AS4" s="297">
        <v>1</v>
      </c>
      <c r="AT4" s="297">
        <v>1</v>
      </c>
      <c r="AU4" s="296"/>
      <c r="AV4" s="296"/>
      <c r="AW4" s="297">
        <v>1</v>
      </c>
      <c r="AX4" s="296"/>
      <c r="AY4" s="296"/>
      <c r="AZ4" s="296"/>
      <c r="BA4" s="296"/>
      <c r="BB4" s="297">
        <v>1</v>
      </c>
      <c r="BC4" s="296"/>
      <c r="BD4" s="296"/>
      <c r="BE4" s="296"/>
      <c r="BF4" s="296"/>
      <c r="BG4" s="297">
        <v>1</v>
      </c>
      <c r="BH4" s="296"/>
      <c r="BI4" s="296"/>
      <c r="BJ4" s="296"/>
      <c r="BK4" s="297">
        <v>1</v>
      </c>
      <c r="BL4" s="296"/>
      <c r="BM4" s="296"/>
      <c r="BN4" s="296"/>
      <c r="BO4" s="296" t="s">
        <v>8779</v>
      </c>
      <c r="BP4" s="296"/>
      <c r="BQ4" s="296"/>
      <c r="BR4" s="296"/>
      <c r="BS4" s="296"/>
      <c r="BT4" s="296"/>
      <c r="BU4" s="296"/>
      <c r="BV4" s="296"/>
      <c r="BW4" s="296"/>
      <c r="BX4" s="296"/>
      <c r="BY4" s="297">
        <v>1</v>
      </c>
      <c r="BZ4" s="296"/>
      <c r="CA4" s="296"/>
      <c r="CB4" s="297">
        <v>1</v>
      </c>
      <c r="CC4" s="296"/>
      <c r="CD4" s="296"/>
      <c r="CE4" s="297">
        <v>1</v>
      </c>
      <c r="CF4" s="296"/>
      <c r="CG4" s="296"/>
      <c r="CH4" s="296"/>
      <c r="CI4" s="296"/>
      <c r="CJ4" s="296"/>
      <c r="CK4" s="297">
        <v>1</v>
      </c>
      <c r="CL4" s="296"/>
      <c r="CM4" s="296"/>
      <c r="CN4" s="296"/>
      <c r="CO4" s="296"/>
      <c r="CP4" s="296"/>
      <c r="CQ4" s="296"/>
      <c r="CR4" s="296"/>
      <c r="CS4" s="296"/>
      <c r="CT4" s="298">
        <v>46692</v>
      </c>
    </row>
    <row r="5" spans="1:98" s="295" customFormat="1" ht="18" customHeight="1">
      <c r="A5" s="296" t="s">
        <v>8780</v>
      </c>
      <c r="B5" s="296" t="s">
        <v>8781</v>
      </c>
      <c r="C5" s="297">
        <v>46</v>
      </c>
      <c r="D5" s="296" t="s">
        <v>8782</v>
      </c>
      <c r="E5" s="296" t="s">
        <v>191</v>
      </c>
      <c r="F5" s="296" t="s">
        <v>112</v>
      </c>
      <c r="G5" s="297">
        <v>1</v>
      </c>
      <c r="H5" s="296"/>
      <c r="I5" s="296"/>
      <c r="J5" s="296"/>
      <c r="K5" s="296"/>
      <c r="L5" s="296"/>
      <c r="M5" s="297">
        <v>1</v>
      </c>
      <c r="N5" s="296"/>
      <c r="O5" s="296"/>
      <c r="P5" s="296"/>
      <c r="Q5" s="296"/>
      <c r="R5" s="297">
        <v>1</v>
      </c>
      <c r="S5" s="296"/>
      <c r="T5" s="297">
        <v>1</v>
      </c>
      <c r="U5" s="296"/>
      <c r="V5" s="296"/>
      <c r="W5" s="297">
        <v>18</v>
      </c>
      <c r="X5" s="342"/>
      <c r="Y5" s="342"/>
      <c r="Z5" s="297">
        <v>9</v>
      </c>
      <c r="AA5" s="297">
        <v>9</v>
      </c>
      <c r="AB5" s="297">
        <v>9</v>
      </c>
      <c r="AC5" s="297">
        <v>1</v>
      </c>
      <c r="AD5" s="296"/>
      <c r="AE5" s="296"/>
      <c r="AF5" s="296"/>
      <c r="AG5" s="296"/>
      <c r="AH5" s="296"/>
      <c r="AI5" s="297">
        <v>1</v>
      </c>
      <c r="AJ5" s="296"/>
      <c r="AK5" s="296"/>
      <c r="AL5" s="297">
        <v>1</v>
      </c>
      <c r="AM5" s="296"/>
      <c r="AN5" s="296"/>
      <c r="AO5" s="297">
        <v>1</v>
      </c>
      <c r="AP5" s="296"/>
      <c r="AQ5" s="296"/>
      <c r="AR5" s="296"/>
      <c r="AS5" s="297">
        <v>1</v>
      </c>
      <c r="AT5" s="297">
        <v>1</v>
      </c>
      <c r="AU5" s="296"/>
      <c r="AV5" s="296"/>
      <c r="AW5" s="297">
        <v>1</v>
      </c>
      <c r="AX5" s="296"/>
      <c r="AY5" s="296"/>
      <c r="AZ5" s="296"/>
      <c r="BA5" s="297">
        <v>1</v>
      </c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7">
        <v>1</v>
      </c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7">
        <v>1</v>
      </c>
      <c r="BZ5" s="296"/>
      <c r="CA5" s="296"/>
      <c r="CB5" s="297">
        <v>1</v>
      </c>
      <c r="CC5" s="296"/>
      <c r="CD5" s="296"/>
      <c r="CE5" s="297">
        <v>1</v>
      </c>
      <c r="CF5" s="296"/>
      <c r="CG5" s="296"/>
      <c r="CH5" s="296"/>
      <c r="CI5" s="296"/>
      <c r="CJ5" s="296"/>
      <c r="CK5" s="297">
        <v>1</v>
      </c>
      <c r="CL5" s="296"/>
      <c r="CM5" s="296"/>
      <c r="CN5" s="296"/>
      <c r="CO5" s="296"/>
      <c r="CP5" s="296"/>
      <c r="CQ5" s="296"/>
      <c r="CR5" s="296"/>
      <c r="CS5" s="296"/>
      <c r="CT5" s="298">
        <v>46692</v>
      </c>
    </row>
    <row r="6" spans="1:98" s="295" customFormat="1" ht="15.75" customHeight="1">
      <c r="A6" s="296" t="s">
        <v>8783</v>
      </c>
      <c r="B6" s="296" t="s">
        <v>8784</v>
      </c>
      <c r="C6" s="297">
        <v>44</v>
      </c>
      <c r="D6" s="296" t="s">
        <v>8785</v>
      </c>
      <c r="E6" s="296" t="s">
        <v>8786</v>
      </c>
      <c r="F6" s="296" t="s">
        <v>112</v>
      </c>
      <c r="G6" s="296"/>
      <c r="H6" s="297">
        <v>1</v>
      </c>
      <c r="I6" s="296"/>
      <c r="J6" s="296"/>
      <c r="K6" s="296"/>
      <c r="L6" s="296"/>
      <c r="M6" s="296"/>
      <c r="N6" s="296"/>
      <c r="O6" s="296"/>
      <c r="P6" s="297">
        <v>1</v>
      </c>
      <c r="Q6" s="342"/>
      <c r="R6" s="342"/>
      <c r="S6" s="296"/>
      <c r="T6" s="296"/>
      <c r="U6" s="297">
        <v>1</v>
      </c>
      <c r="V6" s="296"/>
      <c r="W6" s="297">
        <v>13</v>
      </c>
      <c r="X6" s="297">
        <v>16</v>
      </c>
      <c r="Y6" s="297">
        <v>16</v>
      </c>
      <c r="Z6" s="297">
        <v>11</v>
      </c>
      <c r="AA6" s="297">
        <v>9</v>
      </c>
      <c r="AB6" s="297">
        <v>7</v>
      </c>
      <c r="AC6" s="296"/>
      <c r="AD6" s="296"/>
      <c r="AE6" s="297">
        <v>1</v>
      </c>
      <c r="AF6" s="296"/>
      <c r="AG6" s="296"/>
      <c r="AH6" s="296"/>
      <c r="AI6" s="296"/>
      <c r="AJ6" s="297">
        <v>1</v>
      </c>
      <c r="AK6" s="296"/>
      <c r="AL6" s="297">
        <v>1</v>
      </c>
      <c r="AM6" s="296"/>
      <c r="AN6" s="296"/>
      <c r="AO6" s="297">
        <v>1</v>
      </c>
      <c r="AP6" s="296"/>
      <c r="AQ6" s="296"/>
      <c r="AR6" s="296"/>
      <c r="AS6" s="297">
        <v>1</v>
      </c>
      <c r="AT6" s="297">
        <v>1</v>
      </c>
      <c r="AU6" s="296"/>
      <c r="AV6" s="296"/>
      <c r="AW6" s="297">
        <v>1</v>
      </c>
      <c r="AX6" s="296"/>
      <c r="AY6" s="296"/>
      <c r="AZ6" s="296"/>
      <c r="BA6" s="296"/>
      <c r="BB6" s="297">
        <v>1</v>
      </c>
      <c r="BC6" s="296"/>
      <c r="BD6" s="296"/>
      <c r="BE6" s="296"/>
      <c r="BF6" s="296"/>
      <c r="BG6" s="296"/>
      <c r="BH6" s="296"/>
      <c r="BI6" s="296"/>
      <c r="BJ6" s="296"/>
      <c r="BK6" s="297">
        <v>1</v>
      </c>
      <c r="BL6" s="296"/>
      <c r="BM6" s="296"/>
      <c r="BN6" s="296"/>
      <c r="BO6" s="296" t="s">
        <v>8770</v>
      </c>
      <c r="BP6" s="296"/>
      <c r="BQ6" s="296"/>
      <c r="BR6" s="296"/>
      <c r="BS6" s="296"/>
      <c r="BT6" s="296"/>
      <c r="BU6" s="296"/>
      <c r="BV6" s="296"/>
      <c r="BW6" s="296"/>
      <c r="BX6" s="296"/>
      <c r="BY6" s="297">
        <v>1</v>
      </c>
      <c r="BZ6" s="296"/>
      <c r="CA6" s="296"/>
      <c r="CB6" s="297">
        <v>1</v>
      </c>
      <c r="CC6" s="296"/>
      <c r="CD6" s="296"/>
      <c r="CE6" s="297">
        <v>1</v>
      </c>
      <c r="CF6" s="296"/>
      <c r="CG6" s="296"/>
      <c r="CH6" s="296"/>
      <c r="CI6" s="296"/>
      <c r="CJ6" s="296"/>
      <c r="CK6" s="296"/>
      <c r="CL6" s="296"/>
      <c r="CM6" s="296"/>
      <c r="CN6" s="297">
        <v>1</v>
      </c>
      <c r="CO6" s="296"/>
      <c r="CP6" s="296"/>
      <c r="CQ6" s="296"/>
      <c r="CR6" s="296"/>
      <c r="CS6" s="296"/>
      <c r="CT6" s="298">
        <v>46692</v>
      </c>
    </row>
  </sheetData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opLeftCell="S1" workbookViewId="0">
      <selection activeCell="AB11" sqref="AB11"/>
    </sheetView>
  </sheetViews>
  <sheetFormatPr defaultRowHeight="15"/>
  <cols>
    <col min="1" max="1" width="19.140625" customWidth="1"/>
    <col min="12" max="12" width="12" customWidth="1"/>
    <col min="13" max="13" width="15.5703125" customWidth="1"/>
    <col min="19" max="19" width="12.7109375" customWidth="1"/>
    <col min="24" max="24" width="14.28515625" customWidth="1"/>
    <col min="25" max="25" width="14.5703125" customWidth="1"/>
    <col min="28" max="28" width="16.28515625" customWidth="1"/>
    <col min="29" max="29" width="13.5703125" customWidth="1"/>
    <col min="30" max="30" width="16.28515625" customWidth="1"/>
    <col min="32" max="32" width="16.7109375" customWidth="1"/>
    <col min="33" max="33" width="14.42578125" customWidth="1"/>
  </cols>
  <sheetData>
    <row r="1" spans="1:33" ht="15.75" thickBot="1">
      <c r="A1" s="551" t="s">
        <v>351</v>
      </c>
      <c r="B1" s="553" t="s">
        <v>352</v>
      </c>
      <c r="C1" s="554"/>
      <c r="D1" s="554"/>
      <c r="E1" s="555"/>
      <c r="F1" s="543" t="s">
        <v>353</v>
      </c>
      <c r="G1" s="544"/>
      <c r="H1" s="545"/>
      <c r="I1" s="284"/>
      <c r="J1" s="284"/>
      <c r="K1" s="543" t="s">
        <v>354</v>
      </c>
      <c r="L1" s="544"/>
      <c r="M1" s="544"/>
      <c r="N1" s="544"/>
      <c r="O1" s="544"/>
      <c r="P1" s="545"/>
      <c r="Q1" s="543" t="s">
        <v>355</v>
      </c>
      <c r="R1" s="544"/>
      <c r="S1" s="544"/>
      <c r="T1" s="545"/>
      <c r="U1" s="543" t="s">
        <v>356</v>
      </c>
      <c r="V1" s="544"/>
      <c r="W1" s="544"/>
      <c r="X1" s="544"/>
      <c r="Y1" s="544"/>
      <c r="Z1" s="545"/>
      <c r="AA1" s="543" t="s">
        <v>357</v>
      </c>
      <c r="AB1" s="544"/>
      <c r="AC1" s="544"/>
      <c r="AD1" s="544"/>
      <c r="AE1" s="545"/>
      <c r="AF1" s="299" t="s">
        <v>356</v>
      </c>
      <c r="AG1" s="284"/>
    </row>
    <row r="2" spans="1:33" ht="22.5" customHeight="1" thickBot="1">
      <c r="A2" s="552"/>
      <c r="B2" s="300" t="s">
        <v>358</v>
      </c>
      <c r="C2" s="300" t="s">
        <v>359</v>
      </c>
      <c r="D2" s="300" t="s">
        <v>360</v>
      </c>
      <c r="E2" s="300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289"/>
      <c r="AA2" s="300" t="s">
        <v>96</v>
      </c>
      <c r="AB2" s="300" t="s">
        <v>97</v>
      </c>
      <c r="AC2" s="300" t="s">
        <v>98</v>
      </c>
      <c r="AD2" s="304" t="s">
        <v>360</v>
      </c>
      <c r="AE2" s="300" t="s">
        <v>369</v>
      </c>
      <c r="AF2" s="301" t="s">
        <v>365</v>
      </c>
      <c r="AG2" s="305" t="s">
        <v>3430</v>
      </c>
    </row>
    <row r="3" spans="1:33" ht="24" customHeight="1" thickBot="1">
      <c r="A3" s="306" t="s">
        <v>8787</v>
      </c>
      <c r="B3" s="289"/>
      <c r="C3" s="307">
        <v>1</v>
      </c>
      <c r="D3" s="289"/>
      <c r="E3" s="307">
        <v>1</v>
      </c>
      <c r="F3" s="289"/>
      <c r="G3" s="309">
        <v>1</v>
      </c>
      <c r="H3" s="289"/>
      <c r="I3" s="289"/>
      <c r="J3" s="308">
        <v>1</v>
      </c>
      <c r="K3" s="289"/>
      <c r="L3" s="289"/>
      <c r="M3" s="289"/>
      <c r="N3" s="289"/>
      <c r="O3" s="289"/>
      <c r="P3" s="308">
        <v>0</v>
      </c>
      <c r="Q3" s="289"/>
      <c r="R3" s="289"/>
      <c r="S3" s="309">
        <v>1</v>
      </c>
      <c r="T3" s="308">
        <v>1</v>
      </c>
      <c r="U3" s="289"/>
      <c r="V3" s="289"/>
      <c r="W3" s="289"/>
      <c r="X3" s="289"/>
      <c r="Y3" s="289"/>
      <c r="Z3" s="289"/>
      <c r="AA3" s="310">
        <v>1</v>
      </c>
      <c r="AB3" s="289">
        <v>0</v>
      </c>
      <c r="AC3" s="289">
        <v>0</v>
      </c>
      <c r="AD3" s="289">
        <v>0</v>
      </c>
      <c r="AE3" s="311">
        <v>1</v>
      </c>
      <c r="AF3" s="289">
        <v>0</v>
      </c>
      <c r="AG3" s="289">
        <v>0</v>
      </c>
    </row>
    <row r="4" spans="1:33" ht="22.5" customHeight="1" thickBot="1">
      <c r="A4" s="306" t="s">
        <v>7183</v>
      </c>
      <c r="B4" s="289"/>
      <c r="C4" s="289"/>
      <c r="D4" s="289"/>
      <c r="E4" s="307">
        <v>0</v>
      </c>
      <c r="F4" s="289"/>
      <c r="G4" s="289"/>
      <c r="H4" s="289"/>
      <c r="I4" s="289"/>
      <c r="J4" s="308">
        <v>0</v>
      </c>
      <c r="K4" s="289"/>
      <c r="L4" s="289"/>
      <c r="M4" s="289"/>
      <c r="N4" s="289"/>
      <c r="O4" s="289"/>
      <c r="P4" s="308">
        <v>0</v>
      </c>
      <c r="Q4" s="289"/>
      <c r="R4" s="289"/>
      <c r="S4" s="289"/>
      <c r="T4" s="308">
        <v>0</v>
      </c>
      <c r="U4" s="289"/>
      <c r="V4" s="289"/>
      <c r="W4" s="289"/>
      <c r="X4" s="289"/>
      <c r="Y4" s="289"/>
      <c r="Z4" s="289"/>
      <c r="AA4" s="289">
        <v>0</v>
      </c>
      <c r="AB4" s="289">
        <v>0</v>
      </c>
      <c r="AC4" s="289">
        <v>0</v>
      </c>
      <c r="AD4" s="289">
        <v>0</v>
      </c>
      <c r="AE4" s="311">
        <v>0</v>
      </c>
      <c r="AF4" s="289">
        <v>0</v>
      </c>
      <c r="AG4" s="289">
        <v>0</v>
      </c>
    </row>
    <row r="5" spans="1:33" ht="21" customHeight="1" thickBot="1">
      <c r="A5" s="306" t="s">
        <v>1444</v>
      </c>
      <c r="B5" s="289"/>
      <c r="C5" s="307">
        <v>2</v>
      </c>
      <c r="D5" s="289"/>
      <c r="E5" s="307">
        <v>2</v>
      </c>
      <c r="F5" s="289"/>
      <c r="G5" s="309">
        <v>1</v>
      </c>
      <c r="H5" s="309">
        <v>1</v>
      </c>
      <c r="I5" s="289"/>
      <c r="J5" s="308">
        <v>2</v>
      </c>
      <c r="K5" s="289"/>
      <c r="L5" s="289"/>
      <c r="M5" s="289"/>
      <c r="N5" s="289"/>
      <c r="O5" s="289"/>
      <c r="P5" s="308">
        <v>0</v>
      </c>
      <c r="Q5" s="289"/>
      <c r="R5" s="289"/>
      <c r="S5" s="309">
        <v>2</v>
      </c>
      <c r="T5" s="308">
        <v>2</v>
      </c>
      <c r="U5" s="289"/>
      <c r="V5" s="289"/>
      <c r="W5" s="289"/>
      <c r="X5" s="289"/>
      <c r="Y5" s="289"/>
      <c r="Z5" s="289"/>
      <c r="AA5" s="310">
        <v>2</v>
      </c>
      <c r="AB5" s="289">
        <v>0</v>
      </c>
      <c r="AC5" s="289">
        <v>0</v>
      </c>
      <c r="AD5" s="289">
        <v>0</v>
      </c>
      <c r="AE5" s="311">
        <v>2</v>
      </c>
      <c r="AF5" s="289">
        <v>0</v>
      </c>
      <c r="AG5" s="289">
        <v>0</v>
      </c>
    </row>
    <row r="6" spans="1:33" ht="15.75" thickBot="1">
      <c r="A6" s="316" t="s">
        <v>376</v>
      </c>
      <c r="B6" s="307">
        <v>0</v>
      </c>
      <c r="C6" s="307">
        <v>3</v>
      </c>
      <c r="D6" s="307">
        <v>0</v>
      </c>
      <c r="E6" s="307">
        <v>3</v>
      </c>
      <c r="F6" s="307">
        <v>0</v>
      </c>
      <c r="G6" s="307">
        <v>2</v>
      </c>
      <c r="H6" s="307">
        <v>1</v>
      </c>
      <c r="I6" s="307">
        <v>0</v>
      </c>
      <c r="J6" s="308">
        <v>3</v>
      </c>
      <c r="K6" s="313">
        <v>0</v>
      </c>
      <c r="L6" s="313">
        <v>0</v>
      </c>
      <c r="M6" s="313">
        <v>0</v>
      </c>
      <c r="N6" s="313">
        <v>0</v>
      </c>
      <c r="O6" s="313">
        <v>0</v>
      </c>
      <c r="P6" s="308">
        <v>0</v>
      </c>
      <c r="Q6" s="313">
        <v>0</v>
      </c>
      <c r="R6" s="313">
        <v>0</v>
      </c>
      <c r="S6" s="313">
        <v>3</v>
      </c>
      <c r="T6" s="308">
        <v>3</v>
      </c>
      <c r="U6" s="313">
        <v>0</v>
      </c>
      <c r="V6" s="313">
        <v>0</v>
      </c>
      <c r="W6" s="313">
        <v>0</v>
      </c>
      <c r="X6" s="313">
        <v>0</v>
      </c>
      <c r="Y6" s="313">
        <v>0</v>
      </c>
      <c r="Z6" s="313">
        <v>0</v>
      </c>
      <c r="AA6" s="310">
        <v>3</v>
      </c>
      <c r="AB6" s="310">
        <v>0</v>
      </c>
      <c r="AC6" s="310">
        <v>0</v>
      </c>
      <c r="AD6" s="310">
        <v>0</v>
      </c>
      <c r="AE6" s="311">
        <v>3</v>
      </c>
      <c r="AF6" s="310">
        <v>0</v>
      </c>
      <c r="AG6" s="310"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7"/>
  <sheetViews>
    <sheetView workbookViewId="0">
      <selection activeCell="J3" sqref="J3"/>
    </sheetView>
  </sheetViews>
  <sheetFormatPr defaultRowHeight="15"/>
  <cols>
    <col min="1" max="1" width="13" customWidth="1"/>
    <col min="2" max="2" width="27.140625" customWidth="1"/>
    <col min="90" max="90" width="11.28515625" customWidth="1"/>
    <col min="91" max="91" width="10.7109375" customWidth="1"/>
    <col min="92" max="92" width="10.85546875" customWidth="1"/>
    <col min="98" max="98" width="17.5703125" customWidth="1"/>
  </cols>
  <sheetData>
    <row r="1" spans="1:98">
      <c r="A1" s="413" t="s">
        <v>8793</v>
      </c>
      <c r="B1" s="414"/>
      <c r="C1" s="413" t="s">
        <v>8794</v>
      </c>
      <c r="D1" s="414"/>
      <c r="E1" s="414"/>
      <c r="F1" s="414"/>
      <c r="G1" s="595" t="s">
        <v>2</v>
      </c>
      <c r="H1" s="595"/>
      <c r="I1" s="595"/>
      <c r="J1" s="595"/>
      <c r="K1" s="595"/>
      <c r="L1" s="594" t="s">
        <v>3</v>
      </c>
      <c r="M1" s="594"/>
      <c r="N1" s="594"/>
      <c r="O1" s="594"/>
      <c r="P1" s="594"/>
      <c r="Q1" s="596"/>
      <c r="R1" s="596"/>
      <c r="S1" s="597" t="s">
        <v>5</v>
      </c>
      <c r="T1" s="597"/>
      <c r="U1" s="597"/>
      <c r="V1" s="597"/>
      <c r="W1" s="595" t="s">
        <v>6</v>
      </c>
      <c r="X1" s="595"/>
      <c r="Y1" s="595"/>
      <c r="Z1" s="595"/>
      <c r="AA1" s="595"/>
      <c r="AB1" s="595"/>
      <c r="AC1" s="597" t="s">
        <v>7</v>
      </c>
      <c r="AD1" s="597"/>
      <c r="AE1" s="597"/>
      <c r="AF1" s="597"/>
      <c r="AG1" s="597"/>
      <c r="AH1" s="597"/>
      <c r="AI1" s="598" t="s">
        <v>8</v>
      </c>
      <c r="AJ1" s="598"/>
      <c r="AK1" s="597" t="s">
        <v>9</v>
      </c>
      <c r="AL1" s="597"/>
      <c r="AM1" s="597"/>
      <c r="AN1" s="597" t="s">
        <v>10</v>
      </c>
      <c r="AO1" s="597"/>
      <c r="AP1" s="597"/>
      <c r="AQ1" s="597" t="s">
        <v>11</v>
      </c>
      <c r="AR1" s="597"/>
      <c r="AS1" s="597"/>
      <c r="AT1" s="598" t="s">
        <v>12</v>
      </c>
      <c r="AU1" s="598"/>
      <c r="AV1" s="594" t="s">
        <v>13</v>
      </c>
      <c r="AW1" s="594"/>
      <c r="AX1" s="594"/>
      <c r="AY1" s="594"/>
      <c r="AZ1" s="594"/>
      <c r="BA1" s="595" t="s">
        <v>8129</v>
      </c>
      <c r="BB1" s="595"/>
      <c r="BC1" s="595"/>
      <c r="BD1" s="597" t="s">
        <v>3542</v>
      </c>
      <c r="BE1" s="597"/>
      <c r="BF1" s="597"/>
      <c r="BG1" s="414"/>
      <c r="BH1" s="414"/>
      <c r="BI1" s="598" t="s">
        <v>16</v>
      </c>
      <c r="BJ1" s="598"/>
      <c r="BK1" s="598"/>
      <c r="BL1" s="598"/>
      <c r="BM1" s="598"/>
      <c r="BN1" s="598"/>
      <c r="BO1" s="598"/>
      <c r="BP1" s="597" t="s">
        <v>8130</v>
      </c>
      <c r="BQ1" s="597"/>
      <c r="BR1" s="597"/>
      <c r="BS1" s="594" t="s">
        <v>18</v>
      </c>
      <c r="BT1" s="594"/>
      <c r="BU1" s="414"/>
      <c r="BV1" s="414"/>
      <c r="BW1" s="598" t="s">
        <v>8131</v>
      </c>
      <c r="BX1" s="598"/>
      <c r="BY1" s="598"/>
      <c r="BZ1" s="598"/>
      <c r="CA1" s="598"/>
      <c r="CB1" s="415" t="s">
        <v>8132</v>
      </c>
      <c r="CC1" s="414"/>
      <c r="CD1" s="414"/>
      <c r="CE1" s="595" t="s">
        <v>8133</v>
      </c>
      <c r="CF1" s="595"/>
      <c r="CG1" s="595"/>
      <c r="CH1" s="594" t="s">
        <v>6832</v>
      </c>
      <c r="CI1" s="594"/>
      <c r="CJ1" s="414"/>
      <c r="CK1" s="598" t="s">
        <v>16</v>
      </c>
      <c r="CL1" s="598"/>
      <c r="CM1" s="598"/>
      <c r="CN1" s="598"/>
      <c r="CO1" s="597" t="s">
        <v>24</v>
      </c>
      <c r="CP1" s="597"/>
      <c r="CQ1" s="415" t="s">
        <v>25</v>
      </c>
      <c r="CR1" s="414"/>
      <c r="CS1" s="414"/>
      <c r="CT1" s="414"/>
    </row>
    <row r="2" spans="1:98" ht="30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4"/>
      <c r="BD2" s="414"/>
      <c r="BE2" s="414"/>
      <c r="BF2" s="414"/>
      <c r="BG2" s="415" t="s">
        <v>15</v>
      </c>
      <c r="BH2" s="414"/>
      <c r="BI2" s="414" t="s">
        <v>5582</v>
      </c>
      <c r="BJ2" s="598" t="s">
        <v>78</v>
      </c>
      <c r="BK2" s="598"/>
      <c r="BL2" s="597" t="s">
        <v>354</v>
      </c>
      <c r="BM2" s="597"/>
      <c r="BN2" s="597"/>
      <c r="BO2" s="597"/>
      <c r="BP2" s="414"/>
      <c r="BQ2" s="414"/>
      <c r="BR2" s="414"/>
      <c r="BS2" s="414"/>
      <c r="BT2" s="414"/>
      <c r="BU2" s="414"/>
      <c r="BV2" s="414"/>
      <c r="BW2" s="414"/>
      <c r="BX2" s="414"/>
      <c r="BY2" s="414"/>
      <c r="BZ2" s="414"/>
      <c r="CA2" s="414"/>
      <c r="CB2" s="414"/>
      <c r="CC2" s="414"/>
      <c r="CD2" s="414"/>
      <c r="CE2" s="414"/>
      <c r="CF2" s="414"/>
      <c r="CG2" s="414"/>
      <c r="CH2" s="414"/>
      <c r="CI2" s="414"/>
      <c r="CJ2" s="414"/>
      <c r="CK2" s="414"/>
      <c r="CL2" s="414"/>
      <c r="CM2" s="414"/>
      <c r="CN2" s="414"/>
      <c r="CO2" s="414"/>
      <c r="CP2" s="414"/>
      <c r="CQ2" s="414"/>
      <c r="CR2" s="414"/>
      <c r="CS2" s="414" t="s">
        <v>893</v>
      </c>
      <c r="CT2" s="414"/>
    </row>
    <row r="3" spans="1:98" ht="53.25" customHeight="1">
      <c r="A3" s="416" t="s">
        <v>28</v>
      </c>
      <c r="B3" s="416" t="s">
        <v>29</v>
      </c>
      <c r="C3" s="416" t="s">
        <v>30</v>
      </c>
      <c r="D3" s="416" t="s">
        <v>31</v>
      </c>
      <c r="E3" s="416" t="s">
        <v>32</v>
      </c>
      <c r="F3" s="416" t="s">
        <v>33</v>
      </c>
      <c r="G3" s="416" t="s">
        <v>34</v>
      </c>
      <c r="H3" s="416" t="s">
        <v>35</v>
      </c>
      <c r="I3" s="416" t="s">
        <v>36</v>
      </c>
      <c r="J3" s="416" t="s">
        <v>37</v>
      </c>
      <c r="K3" s="416" t="s">
        <v>38</v>
      </c>
      <c r="L3" s="416" t="s">
        <v>39</v>
      </c>
      <c r="M3" s="416" t="s">
        <v>40</v>
      </c>
      <c r="N3" s="416" t="s">
        <v>41</v>
      </c>
      <c r="O3" s="416" t="s">
        <v>42</v>
      </c>
      <c r="P3" s="416" t="s">
        <v>43</v>
      </c>
      <c r="Q3" s="416" t="s">
        <v>44</v>
      </c>
      <c r="R3" s="416" t="s">
        <v>45</v>
      </c>
      <c r="S3" s="416" t="s">
        <v>46</v>
      </c>
      <c r="T3" s="416" t="s">
        <v>47</v>
      </c>
      <c r="U3" s="416" t="s">
        <v>48</v>
      </c>
      <c r="V3" s="416" t="s">
        <v>49</v>
      </c>
      <c r="W3" s="416" t="s">
        <v>50</v>
      </c>
      <c r="X3" s="416" t="s">
        <v>51</v>
      </c>
      <c r="Y3" s="416" t="s">
        <v>52</v>
      </c>
      <c r="Z3" s="416" t="s">
        <v>53</v>
      </c>
      <c r="AA3" s="416" t="s">
        <v>54</v>
      </c>
      <c r="AB3" s="416" t="s">
        <v>55</v>
      </c>
      <c r="AC3" s="416" t="s">
        <v>56</v>
      </c>
      <c r="AD3" s="416" t="s">
        <v>57</v>
      </c>
      <c r="AE3" s="416" t="s">
        <v>58</v>
      </c>
      <c r="AF3" s="416" t="s">
        <v>59</v>
      </c>
      <c r="AG3" s="416" t="s">
        <v>60</v>
      </c>
      <c r="AH3" s="416" t="s">
        <v>61</v>
      </c>
      <c r="AI3" s="416" t="s">
        <v>62</v>
      </c>
      <c r="AJ3" s="416" t="s">
        <v>63</v>
      </c>
      <c r="AK3" s="416" t="s">
        <v>64</v>
      </c>
      <c r="AL3" s="416" t="s">
        <v>65</v>
      </c>
      <c r="AM3" s="359" t="s">
        <v>66</v>
      </c>
      <c r="AN3" s="416" t="s">
        <v>8464</v>
      </c>
      <c r="AO3" s="416" t="s">
        <v>68</v>
      </c>
      <c r="AP3" s="416" t="s">
        <v>69</v>
      </c>
      <c r="AQ3" s="416" t="s">
        <v>70</v>
      </c>
      <c r="AR3" s="416" t="s">
        <v>8795</v>
      </c>
      <c r="AS3" s="416" t="s">
        <v>360</v>
      </c>
      <c r="AT3" s="416" t="s">
        <v>56</v>
      </c>
      <c r="AU3" s="416" t="s">
        <v>73</v>
      </c>
      <c r="AV3" s="416" t="s">
        <v>46</v>
      </c>
      <c r="AW3" s="416" t="s">
        <v>895</v>
      </c>
      <c r="AX3" s="416" t="s">
        <v>75</v>
      </c>
      <c r="AY3" s="416" t="s">
        <v>76</v>
      </c>
      <c r="AZ3" s="416" t="s">
        <v>77</v>
      </c>
      <c r="BA3" s="416" t="s">
        <v>56</v>
      </c>
      <c r="BB3" s="416" t="s">
        <v>78</v>
      </c>
      <c r="BC3" s="416" t="s">
        <v>5582</v>
      </c>
      <c r="BD3" s="416" t="s">
        <v>79</v>
      </c>
      <c r="BE3" s="416" t="s">
        <v>80</v>
      </c>
      <c r="BF3" s="416" t="s">
        <v>38</v>
      </c>
      <c r="BG3" s="416" t="s">
        <v>81</v>
      </c>
      <c r="BH3" s="416" t="s">
        <v>82</v>
      </c>
      <c r="BI3" s="416" t="s">
        <v>83</v>
      </c>
      <c r="BJ3" s="416" t="s">
        <v>83</v>
      </c>
      <c r="BK3" s="416" t="s">
        <v>81</v>
      </c>
      <c r="BL3" s="416" t="s">
        <v>96</v>
      </c>
      <c r="BM3" s="416" t="s">
        <v>84</v>
      </c>
      <c r="BN3" s="416" t="s">
        <v>85</v>
      </c>
      <c r="BO3" s="416" t="s">
        <v>86</v>
      </c>
      <c r="BP3" s="416" t="s">
        <v>73</v>
      </c>
      <c r="BQ3" s="416" t="s">
        <v>87</v>
      </c>
      <c r="BR3" s="416" t="s">
        <v>56</v>
      </c>
      <c r="BS3" s="416" t="s">
        <v>83</v>
      </c>
      <c r="BT3" s="416" t="s">
        <v>88</v>
      </c>
      <c r="BU3" s="416" t="s">
        <v>89</v>
      </c>
      <c r="BV3" s="414"/>
      <c r="BW3" s="416" t="s">
        <v>90</v>
      </c>
      <c r="BX3" s="416" t="s">
        <v>91</v>
      </c>
      <c r="BY3" s="416" t="s">
        <v>8532</v>
      </c>
      <c r="BZ3" s="416" t="s">
        <v>93</v>
      </c>
      <c r="CA3" s="416" t="s">
        <v>94</v>
      </c>
      <c r="CB3" s="416" t="s">
        <v>56</v>
      </c>
      <c r="CC3" s="416" t="s">
        <v>73</v>
      </c>
      <c r="CD3" s="416" t="s">
        <v>22</v>
      </c>
      <c r="CE3" s="416" t="s">
        <v>56</v>
      </c>
      <c r="CF3" s="416" t="s">
        <v>73</v>
      </c>
      <c r="CG3" s="416" t="s">
        <v>1275</v>
      </c>
      <c r="CH3" s="416" t="s">
        <v>83</v>
      </c>
      <c r="CI3" s="416" t="s">
        <v>88</v>
      </c>
      <c r="CJ3" s="416" t="s">
        <v>896</v>
      </c>
      <c r="CK3" s="416" t="s">
        <v>96</v>
      </c>
      <c r="CL3" s="416" t="s">
        <v>97</v>
      </c>
      <c r="CM3" s="416" t="s">
        <v>98</v>
      </c>
      <c r="CN3" s="416" t="s">
        <v>360</v>
      </c>
      <c r="CO3" s="416" t="s">
        <v>73</v>
      </c>
      <c r="CP3" s="416" t="s">
        <v>56</v>
      </c>
      <c r="CQ3" s="416" t="s">
        <v>99</v>
      </c>
      <c r="CR3" s="416" t="s">
        <v>56</v>
      </c>
      <c r="CS3" s="414"/>
      <c r="CT3" s="416" t="s">
        <v>100</v>
      </c>
    </row>
    <row r="4" spans="1:98" ht="22.5" customHeight="1">
      <c r="A4" s="409" t="s">
        <v>8796</v>
      </c>
      <c r="B4" s="409" t="s">
        <v>8797</v>
      </c>
      <c r="C4" s="410">
        <v>48</v>
      </c>
      <c r="D4" s="409" t="s">
        <v>8798</v>
      </c>
      <c r="E4" s="409" t="s">
        <v>8799</v>
      </c>
      <c r="F4" s="409" t="s">
        <v>112</v>
      </c>
      <c r="G4" s="409"/>
      <c r="H4" s="410">
        <v>1</v>
      </c>
      <c r="I4" s="409"/>
      <c r="J4" s="409"/>
      <c r="K4" s="409"/>
      <c r="L4" s="409"/>
      <c r="M4" s="410">
        <v>1</v>
      </c>
      <c r="N4" s="409"/>
      <c r="O4" s="409"/>
      <c r="P4" s="409"/>
      <c r="Q4" s="409"/>
      <c r="R4" s="410">
        <v>1</v>
      </c>
      <c r="S4" s="409"/>
      <c r="T4" s="410">
        <v>1</v>
      </c>
      <c r="U4" s="409"/>
      <c r="V4" s="409"/>
      <c r="W4" s="410">
        <v>14</v>
      </c>
      <c r="X4" s="410">
        <v>16</v>
      </c>
      <c r="Y4" s="409" t="s">
        <v>191</v>
      </c>
      <c r="Z4" s="410">
        <v>1</v>
      </c>
      <c r="AA4" s="410">
        <v>0</v>
      </c>
      <c r="AB4" s="410">
        <v>0</v>
      </c>
      <c r="AC4" s="409"/>
      <c r="AD4" s="409"/>
      <c r="AE4" s="409"/>
      <c r="AF4" s="409"/>
      <c r="AG4" s="410">
        <v>1</v>
      </c>
      <c r="AH4" s="410">
        <v>1</v>
      </c>
      <c r="AI4" s="410">
        <v>1</v>
      </c>
      <c r="AJ4" s="409"/>
      <c r="AK4" s="410">
        <v>1</v>
      </c>
      <c r="AL4" s="409"/>
      <c r="AM4" s="409"/>
      <c r="AN4" s="409"/>
      <c r="AO4" s="409"/>
      <c r="AP4" s="409"/>
      <c r="AQ4" s="409"/>
      <c r="AR4" s="409"/>
      <c r="AS4" s="409"/>
      <c r="AT4" s="410">
        <v>1</v>
      </c>
      <c r="AU4" s="409"/>
      <c r="AV4" s="409"/>
      <c r="AW4" s="410">
        <v>1</v>
      </c>
      <c r="AX4" s="409"/>
      <c r="AY4" s="409"/>
      <c r="AZ4" s="409"/>
      <c r="BA4" s="410">
        <v>1</v>
      </c>
      <c r="BB4" s="409"/>
      <c r="BC4" s="409"/>
      <c r="BD4" s="409"/>
      <c r="BE4" s="409"/>
      <c r="BF4" s="409"/>
      <c r="BG4" s="409"/>
      <c r="BH4" s="409"/>
      <c r="BI4" s="409"/>
      <c r="BJ4" s="409"/>
      <c r="BK4" s="410">
        <v>1</v>
      </c>
      <c r="BL4" s="409"/>
      <c r="BM4" s="409"/>
      <c r="BN4" s="409"/>
      <c r="BO4" s="409"/>
      <c r="BP4" s="409"/>
      <c r="BQ4" s="409"/>
      <c r="BR4" s="409"/>
      <c r="BS4" s="409"/>
      <c r="BT4" s="409"/>
      <c r="BU4" s="409"/>
      <c r="BV4" s="409"/>
      <c r="BW4" s="409"/>
      <c r="BX4" s="409"/>
      <c r="BY4" s="410">
        <v>1</v>
      </c>
      <c r="BZ4" s="409"/>
      <c r="CA4" s="409"/>
      <c r="CB4" s="410">
        <v>1</v>
      </c>
      <c r="CC4" s="409"/>
      <c r="CD4" s="409"/>
      <c r="CE4" s="410">
        <v>1</v>
      </c>
      <c r="CF4" s="409"/>
      <c r="CG4" s="409"/>
      <c r="CH4" s="409"/>
      <c r="CI4" s="409"/>
      <c r="CJ4" s="409"/>
      <c r="CK4" s="409"/>
      <c r="CL4" s="409"/>
      <c r="CM4" s="409"/>
      <c r="CN4" s="410">
        <v>1</v>
      </c>
      <c r="CO4" s="409"/>
      <c r="CP4" s="409"/>
      <c r="CQ4" s="409"/>
      <c r="CR4" s="409"/>
      <c r="CS4" s="409"/>
      <c r="CT4" s="411">
        <v>46722</v>
      </c>
    </row>
    <row r="5" spans="1:98" ht="21" customHeight="1">
      <c r="A5" s="409" t="s">
        <v>8800</v>
      </c>
      <c r="B5" s="409" t="s">
        <v>4680</v>
      </c>
      <c r="C5" s="410">
        <v>33</v>
      </c>
      <c r="D5" s="409" t="s">
        <v>8801</v>
      </c>
      <c r="E5" s="409" t="s">
        <v>8802</v>
      </c>
      <c r="F5" s="409" t="s">
        <v>112</v>
      </c>
      <c r="G5" s="409"/>
      <c r="H5" s="410">
        <v>1</v>
      </c>
      <c r="I5" s="409"/>
      <c r="J5" s="409"/>
      <c r="K5" s="409"/>
      <c r="L5" s="409"/>
      <c r="M5" s="410">
        <v>1</v>
      </c>
      <c r="N5" s="409"/>
      <c r="O5" s="409"/>
      <c r="P5" s="409"/>
      <c r="Q5" s="409"/>
      <c r="R5" s="410">
        <v>1</v>
      </c>
      <c r="S5" s="409"/>
      <c r="T5" s="409"/>
      <c r="U5" s="410">
        <v>1</v>
      </c>
      <c r="V5" s="409"/>
      <c r="W5" s="410">
        <v>13</v>
      </c>
      <c r="X5" s="412"/>
      <c r="Y5" s="410">
        <v>18</v>
      </c>
      <c r="Z5" s="410">
        <v>6</v>
      </c>
      <c r="AA5" s="410">
        <v>6</v>
      </c>
      <c r="AB5" s="410">
        <v>6</v>
      </c>
      <c r="AC5" s="409"/>
      <c r="AD5" s="409"/>
      <c r="AE5" s="410">
        <v>1</v>
      </c>
      <c r="AF5" s="409"/>
      <c r="AG5" s="409"/>
      <c r="AH5" s="410">
        <v>1</v>
      </c>
      <c r="AI5" s="410">
        <v>1</v>
      </c>
      <c r="AJ5" s="409"/>
      <c r="AK5" s="410">
        <v>1</v>
      </c>
      <c r="AL5" s="409"/>
      <c r="AM5" s="409"/>
      <c r="AN5" s="409"/>
      <c r="AO5" s="409"/>
      <c r="AP5" s="409"/>
      <c r="AQ5" s="409"/>
      <c r="AR5" s="409"/>
      <c r="AS5" s="409"/>
      <c r="AT5" s="410">
        <v>1</v>
      </c>
      <c r="AU5" s="409"/>
      <c r="AV5" s="409"/>
      <c r="AW5" s="410">
        <v>1</v>
      </c>
      <c r="AX5" s="409"/>
      <c r="AY5" s="409"/>
      <c r="AZ5" s="409"/>
      <c r="BA5" s="410">
        <v>1</v>
      </c>
      <c r="BB5" s="409"/>
      <c r="BC5" s="409"/>
      <c r="BD5" s="409"/>
      <c r="BE5" s="409"/>
      <c r="BF5" s="409"/>
      <c r="BG5" s="409"/>
      <c r="BH5" s="409"/>
      <c r="BI5" s="409"/>
      <c r="BJ5" s="409"/>
      <c r="BK5" s="410">
        <v>1</v>
      </c>
      <c r="BL5" s="409"/>
      <c r="BM5" s="409"/>
      <c r="BN5" s="409"/>
      <c r="BO5" s="409"/>
      <c r="BP5" s="409"/>
      <c r="BQ5" s="409"/>
      <c r="BR5" s="409"/>
      <c r="BS5" s="409"/>
      <c r="BT5" s="409"/>
      <c r="BU5" s="409"/>
      <c r="BV5" s="409"/>
      <c r="BW5" s="409"/>
      <c r="BX5" s="409"/>
      <c r="BY5" s="409"/>
      <c r="BZ5" s="409"/>
      <c r="CA5" s="409"/>
      <c r="CB5" s="410">
        <v>1</v>
      </c>
      <c r="CC5" s="409"/>
      <c r="CD5" s="409"/>
      <c r="CE5" s="410">
        <v>1</v>
      </c>
      <c r="CF5" s="409"/>
      <c r="CG5" s="409"/>
      <c r="CH5" s="409"/>
      <c r="CI5" s="409"/>
      <c r="CJ5" s="409"/>
      <c r="CK5" s="409"/>
      <c r="CL5" s="409"/>
      <c r="CM5" s="409"/>
      <c r="CN5" s="410">
        <v>1</v>
      </c>
      <c r="CO5" s="409"/>
      <c r="CP5" s="409"/>
      <c r="CQ5" s="409"/>
      <c r="CR5" s="409"/>
      <c r="CS5" s="409"/>
      <c r="CT5" s="411">
        <v>46722</v>
      </c>
    </row>
    <row r="6" spans="1:98" ht="18.75" customHeight="1">
      <c r="A6" s="409" t="s">
        <v>8803</v>
      </c>
      <c r="B6" s="409" t="s">
        <v>8804</v>
      </c>
      <c r="C6" s="410">
        <v>23</v>
      </c>
      <c r="D6" s="409" t="s">
        <v>8805</v>
      </c>
      <c r="E6" s="409" t="s">
        <v>8806</v>
      </c>
      <c r="F6" s="409" t="s">
        <v>112</v>
      </c>
      <c r="G6" s="409"/>
      <c r="H6" s="409"/>
      <c r="I6" s="409"/>
      <c r="J6" s="410">
        <v>1</v>
      </c>
      <c r="K6" s="409"/>
      <c r="L6" s="409"/>
      <c r="M6" s="410">
        <v>1</v>
      </c>
      <c r="N6" s="409"/>
      <c r="O6" s="409"/>
      <c r="P6" s="409"/>
      <c r="Q6" s="409"/>
      <c r="R6" s="410">
        <v>1</v>
      </c>
      <c r="S6" s="409"/>
      <c r="T6" s="410">
        <v>1</v>
      </c>
      <c r="U6" s="409"/>
      <c r="V6" s="409"/>
      <c r="W6" s="410">
        <v>14</v>
      </c>
      <c r="X6" s="410">
        <v>17</v>
      </c>
      <c r="Y6" s="410">
        <v>18</v>
      </c>
      <c r="Z6" s="410">
        <v>2</v>
      </c>
      <c r="AA6" s="410">
        <v>2</v>
      </c>
      <c r="AB6" s="410">
        <v>2</v>
      </c>
      <c r="AC6" s="409"/>
      <c r="AD6" s="409"/>
      <c r="AE6" s="410">
        <v>1</v>
      </c>
      <c r="AF6" s="409"/>
      <c r="AG6" s="410">
        <v>1</v>
      </c>
      <c r="AH6" s="410">
        <v>1</v>
      </c>
      <c r="AI6" s="410">
        <v>1</v>
      </c>
      <c r="AJ6" s="409"/>
      <c r="AK6" s="410">
        <v>1</v>
      </c>
      <c r="AL6" s="409"/>
      <c r="AM6" s="409"/>
      <c r="AN6" s="409"/>
      <c r="AO6" s="409"/>
      <c r="AP6" s="409"/>
      <c r="AQ6" s="409"/>
      <c r="AR6" s="409"/>
      <c r="AS6" s="409"/>
      <c r="AT6" s="410">
        <v>1</v>
      </c>
      <c r="AU6" s="409"/>
      <c r="AV6" s="409"/>
      <c r="AW6" s="410">
        <v>1</v>
      </c>
      <c r="AX6" s="409"/>
      <c r="AY6" s="409"/>
      <c r="AZ6" s="409"/>
      <c r="BA6" s="410">
        <v>1</v>
      </c>
      <c r="BB6" s="409"/>
      <c r="BC6" s="409"/>
      <c r="BD6" s="409"/>
      <c r="BE6" s="409"/>
      <c r="BF6" s="409"/>
      <c r="BG6" s="409"/>
      <c r="BH6" s="409"/>
      <c r="BI6" s="409"/>
      <c r="BJ6" s="409"/>
      <c r="BK6" s="409"/>
      <c r="BL6" s="409"/>
      <c r="BM6" s="409"/>
      <c r="BN6" s="409"/>
      <c r="BO6" s="409" t="s">
        <v>7460</v>
      </c>
      <c r="BP6" s="409"/>
      <c r="BQ6" s="409"/>
      <c r="BR6" s="409"/>
      <c r="BS6" s="409"/>
      <c r="BT6" s="409"/>
      <c r="BU6" s="409"/>
      <c r="BV6" s="409"/>
      <c r="BW6" s="409"/>
      <c r="BX6" s="409"/>
      <c r="BY6" s="410">
        <v>1</v>
      </c>
      <c r="BZ6" s="409"/>
      <c r="CA6" s="409"/>
      <c r="CB6" s="410">
        <v>1</v>
      </c>
      <c r="CC6" s="409"/>
      <c r="CD6" s="409"/>
      <c r="CE6" s="410">
        <v>1</v>
      </c>
      <c r="CF6" s="409"/>
      <c r="CG6" s="409"/>
      <c r="CH6" s="409"/>
      <c r="CI6" s="409"/>
      <c r="CJ6" s="409"/>
      <c r="CK6" s="410">
        <v>1</v>
      </c>
      <c r="CL6" s="409"/>
      <c r="CM6" s="409"/>
      <c r="CN6" s="409"/>
      <c r="CO6" s="409"/>
      <c r="CP6" s="409"/>
      <c r="CQ6" s="409"/>
      <c r="CR6" s="409"/>
      <c r="CS6" s="409"/>
      <c r="CT6" s="409" t="s">
        <v>8807</v>
      </c>
    </row>
    <row r="7" spans="1:98" ht="16.5" customHeight="1">
      <c r="A7" s="409" t="s">
        <v>8808</v>
      </c>
      <c r="B7" s="409" t="s">
        <v>8809</v>
      </c>
      <c r="C7" s="410">
        <v>83</v>
      </c>
      <c r="D7" s="409" t="s">
        <v>8810</v>
      </c>
      <c r="E7" s="409" t="s">
        <v>191</v>
      </c>
      <c r="F7" s="409" t="s">
        <v>145</v>
      </c>
      <c r="G7" s="409"/>
      <c r="H7" s="409"/>
      <c r="I7" s="410">
        <v>1</v>
      </c>
      <c r="J7" s="409"/>
      <c r="K7" s="409"/>
      <c r="L7" s="409"/>
      <c r="M7" s="409"/>
      <c r="N7" s="409"/>
      <c r="O7" s="409"/>
      <c r="P7" s="410">
        <v>1</v>
      </c>
      <c r="Q7" s="409"/>
      <c r="R7" s="410">
        <v>1</v>
      </c>
      <c r="S7" s="410">
        <v>1</v>
      </c>
      <c r="T7" s="409"/>
      <c r="U7" s="409"/>
      <c r="V7" s="409"/>
      <c r="W7" s="412"/>
      <c r="X7" s="412"/>
      <c r="Y7" s="412"/>
      <c r="Z7" s="410">
        <v>4</v>
      </c>
      <c r="AA7" s="410">
        <v>3</v>
      </c>
      <c r="AB7" s="410">
        <v>3</v>
      </c>
      <c r="AC7" s="409"/>
      <c r="AD7" s="410">
        <v>1</v>
      </c>
      <c r="AE7" s="410">
        <v>1</v>
      </c>
      <c r="AF7" s="409"/>
      <c r="AG7" s="409"/>
      <c r="AH7" s="409"/>
      <c r="AI7" s="410">
        <v>1</v>
      </c>
      <c r="AJ7" s="409"/>
      <c r="AK7" s="410">
        <v>1</v>
      </c>
      <c r="AL7" s="409"/>
      <c r="AM7" s="409"/>
      <c r="AN7" s="409"/>
      <c r="AO7" s="409"/>
      <c r="AP7" s="409"/>
      <c r="AQ7" s="409"/>
      <c r="AR7" s="409"/>
      <c r="AS7" s="409"/>
      <c r="AT7" s="410">
        <v>1</v>
      </c>
      <c r="AU7" s="409"/>
      <c r="AV7" s="409"/>
      <c r="AW7" s="410">
        <v>1</v>
      </c>
      <c r="AX7" s="409"/>
      <c r="AY7" s="409"/>
      <c r="AZ7" s="409"/>
      <c r="BA7" s="410">
        <v>1</v>
      </c>
      <c r="BB7" s="409"/>
      <c r="BC7" s="409"/>
      <c r="BD7" s="409"/>
      <c r="BE7" s="409"/>
      <c r="BF7" s="409"/>
      <c r="BG7" s="409"/>
      <c r="BH7" s="409"/>
      <c r="BI7" s="409"/>
      <c r="BJ7" s="409"/>
      <c r="BK7" s="409"/>
      <c r="BL7" s="409"/>
      <c r="BM7" s="410">
        <v>1</v>
      </c>
      <c r="BN7" s="409"/>
      <c r="BO7" s="409"/>
      <c r="BP7" s="409"/>
      <c r="BQ7" s="409"/>
      <c r="BR7" s="409"/>
      <c r="BS7" s="409"/>
      <c r="BT7" s="409"/>
      <c r="BU7" s="409"/>
      <c r="BV7" s="409"/>
      <c r="BW7" s="409"/>
      <c r="BX7" s="409"/>
      <c r="BY7" s="409"/>
      <c r="BZ7" s="409"/>
      <c r="CA7" s="410">
        <v>1</v>
      </c>
      <c r="CB7" s="410">
        <v>1</v>
      </c>
      <c r="CC7" s="409"/>
      <c r="CD7" s="409"/>
      <c r="CE7" s="410">
        <v>1</v>
      </c>
      <c r="CF7" s="409"/>
      <c r="CG7" s="409"/>
      <c r="CH7" s="409"/>
      <c r="CI7" s="409"/>
      <c r="CJ7" s="409"/>
      <c r="CK7" s="410">
        <v>1</v>
      </c>
      <c r="CL7" s="409"/>
      <c r="CM7" s="409"/>
      <c r="CN7" s="409"/>
      <c r="CO7" s="409"/>
      <c r="CP7" s="409"/>
      <c r="CQ7" s="409"/>
      <c r="CR7" s="409"/>
      <c r="CS7" s="409"/>
      <c r="CT7" s="409" t="s">
        <v>8811</v>
      </c>
    </row>
    <row r="8" spans="1:98" ht="17.25" customHeight="1">
      <c r="A8" s="409" t="s">
        <v>8812</v>
      </c>
      <c r="B8" s="409" t="s">
        <v>8813</v>
      </c>
      <c r="C8" s="410">
        <v>49</v>
      </c>
      <c r="D8" s="409" t="s">
        <v>8814</v>
      </c>
      <c r="E8" s="409" t="s">
        <v>8815</v>
      </c>
      <c r="F8" s="409" t="s">
        <v>112</v>
      </c>
      <c r="G8" s="409"/>
      <c r="H8" s="410">
        <v>1</v>
      </c>
      <c r="I8" s="409"/>
      <c r="J8" s="409"/>
      <c r="K8" s="409"/>
      <c r="L8" s="409"/>
      <c r="M8" s="409"/>
      <c r="N8" s="409"/>
      <c r="O8" s="410">
        <v>1</v>
      </c>
      <c r="P8" s="409"/>
      <c r="Q8" s="410">
        <v>1</v>
      </c>
      <c r="R8" s="409"/>
      <c r="S8" s="409"/>
      <c r="T8" s="409"/>
      <c r="U8" s="410">
        <v>1</v>
      </c>
      <c r="V8" s="409"/>
      <c r="W8" s="412"/>
      <c r="X8" s="412"/>
      <c r="Y8" s="410">
        <v>1</v>
      </c>
      <c r="Z8" s="410">
        <v>4</v>
      </c>
      <c r="AA8" s="410">
        <v>4</v>
      </c>
      <c r="AB8" s="410">
        <v>4</v>
      </c>
      <c r="AC8" s="410">
        <v>1</v>
      </c>
      <c r="AD8" s="409"/>
      <c r="AE8" s="409"/>
      <c r="AF8" s="409"/>
      <c r="AG8" s="409"/>
      <c r="AH8" s="409"/>
      <c r="AI8" s="410">
        <v>1</v>
      </c>
      <c r="AJ8" s="409"/>
      <c r="AK8" s="409"/>
      <c r="AL8" s="409"/>
      <c r="AM8" s="410">
        <v>1</v>
      </c>
      <c r="AN8" s="409"/>
      <c r="AO8" s="409"/>
      <c r="AP8" s="409"/>
      <c r="AQ8" s="409"/>
      <c r="AR8" s="409"/>
      <c r="AS8" s="409"/>
      <c r="AT8" s="410">
        <v>1</v>
      </c>
      <c r="AU8" s="409"/>
      <c r="AV8" s="409"/>
      <c r="AW8" s="409"/>
      <c r="AX8" s="410">
        <v>1</v>
      </c>
      <c r="AY8" s="409"/>
      <c r="AZ8" s="409"/>
      <c r="BA8" s="409"/>
      <c r="BB8" s="410">
        <v>1</v>
      </c>
      <c r="BC8" s="409"/>
      <c r="BD8" s="409"/>
      <c r="BE8" s="409"/>
      <c r="BF8" s="409"/>
      <c r="BG8" s="410">
        <v>1</v>
      </c>
      <c r="BH8" s="409"/>
      <c r="BI8" s="409"/>
      <c r="BJ8" s="409"/>
      <c r="BK8" s="409"/>
      <c r="BL8" s="410">
        <v>1</v>
      </c>
      <c r="BM8" s="409"/>
      <c r="BN8" s="409"/>
      <c r="BO8" s="409"/>
      <c r="BP8" s="409"/>
      <c r="BQ8" s="409"/>
      <c r="BR8" s="409"/>
      <c r="BS8" s="409"/>
      <c r="BT8" s="409"/>
      <c r="BU8" s="409"/>
      <c r="BV8" s="409"/>
      <c r="BW8" s="409"/>
      <c r="BX8" s="409"/>
      <c r="BY8" s="409"/>
      <c r="BZ8" s="409"/>
      <c r="CA8" s="409"/>
      <c r="CB8" s="410">
        <v>1</v>
      </c>
      <c r="CC8" s="409"/>
      <c r="CD8" s="409"/>
      <c r="CE8" s="410">
        <v>1</v>
      </c>
      <c r="CF8" s="409"/>
      <c r="CG8" s="409"/>
      <c r="CH8" s="409"/>
      <c r="CI8" s="409"/>
      <c r="CJ8" s="409"/>
      <c r="CK8" s="410">
        <v>1</v>
      </c>
      <c r="CL8" s="409"/>
      <c r="CM8" s="409"/>
      <c r="CN8" s="409"/>
      <c r="CO8" s="409"/>
      <c r="CP8" s="409"/>
      <c r="CQ8" s="409"/>
      <c r="CR8" s="409"/>
      <c r="CS8" s="409"/>
      <c r="CT8" s="411">
        <v>46722</v>
      </c>
    </row>
    <row r="9" spans="1:98" ht="15" customHeight="1">
      <c r="A9" s="409" t="s">
        <v>8816</v>
      </c>
      <c r="B9" s="409" t="s">
        <v>8817</v>
      </c>
      <c r="C9" s="410">
        <v>56</v>
      </c>
      <c r="D9" s="409" t="s">
        <v>8818</v>
      </c>
      <c r="E9" s="409" t="s">
        <v>8819</v>
      </c>
      <c r="F9" s="409" t="s">
        <v>112</v>
      </c>
      <c r="G9" s="409"/>
      <c r="H9" s="410">
        <v>1</v>
      </c>
      <c r="I9" s="409"/>
      <c r="J9" s="409"/>
      <c r="K9" s="409"/>
      <c r="L9" s="409"/>
      <c r="M9" s="409"/>
      <c r="N9" s="409"/>
      <c r="O9" s="409"/>
      <c r="P9" s="410">
        <v>1</v>
      </c>
      <c r="Q9" s="409"/>
      <c r="R9" s="410">
        <v>1</v>
      </c>
      <c r="S9" s="409"/>
      <c r="T9" s="409"/>
      <c r="U9" s="410">
        <v>1</v>
      </c>
      <c r="V9" s="409"/>
      <c r="W9" s="410">
        <v>15</v>
      </c>
      <c r="X9" s="410">
        <v>17</v>
      </c>
      <c r="Y9" s="410">
        <v>20</v>
      </c>
      <c r="Z9" s="410">
        <v>2</v>
      </c>
      <c r="AA9" s="410">
        <v>2</v>
      </c>
      <c r="AB9" s="410">
        <v>2</v>
      </c>
      <c r="AC9" s="409"/>
      <c r="AD9" s="409"/>
      <c r="AE9" s="409"/>
      <c r="AF9" s="409"/>
      <c r="AG9" s="410">
        <v>1</v>
      </c>
      <c r="AH9" s="410">
        <v>1</v>
      </c>
      <c r="AI9" s="410">
        <v>1</v>
      </c>
      <c r="AJ9" s="409"/>
      <c r="AK9" s="410">
        <v>1</v>
      </c>
      <c r="AL9" s="409"/>
      <c r="AM9" s="409"/>
      <c r="AN9" s="409"/>
      <c r="AO9" s="409"/>
      <c r="AP9" s="409"/>
      <c r="AQ9" s="409"/>
      <c r="AR9" s="409"/>
      <c r="AS9" s="409"/>
      <c r="AT9" s="410">
        <v>1</v>
      </c>
      <c r="AU9" s="409"/>
      <c r="AV9" s="409"/>
      <c r="AW9" s="409"/>
      <c r="AX9" s="410">
        <v>1</v>
      </c>
      <c r="AY9" s="409"/>
      <c r="AZ9" s="409"/>
      <c r="BA9" s="409"/>
      <c r="BB9" s="410">
        <v>1</v>
      </c>
      <c r="BC9" s="409"/>
      <c r="BD9" s="409"/>
      <c r="BE9" s="409"/>
      <c r="BF9" s="409"/>
      <c r="BG9" s="410">
        <v>1</v>
      </c>
      <c r="BH9" s="409"/>
      <c r="BI9" s="409"/>
      <c r="BJ9" s="409"/>
      <c r="BK9" s="409"/>
      <c r="BL9" s="410">
        <v>1</v>
      </c>
      <c r="BM9" s="409"/>
      <c r="BN9" s="409"/>
      <c r="BO9" s="409"/>
      <c r="BP9" s="409"/>
      <c r="BQ9" s="409"/>
      <c r="BR9" s="409"/>
      <c r="BS9" s="409"/>
      <c r="BT9" s="409"/>
      <c r="BU9" s="409"/>
      <c r="BV9" s="409"/>
      <c r="BW9" s="409"/>
      <c r="BX9" s="409"/>
      <c r="BY9" s="409"/>
      <c r="BZ9" s="409"/>
      <c r="CA9" s="409"/>
      <c r="CB9" s="410">
        <v>1</v>
      </c>
      <c r="CC9" s="409"/>
      <c r="CD9" s="409"/>
      <c r="CE9" s="410">
        <v>1</v>
      </c>
      <c r="CF9" s="409"/>
      <c r="CG9" s="409"/>
      <c r="CH9" s="409"/>
      <c r="CI9" s="409"/>
      <c r="CJ9" s="409"/>
      <c r="CK9" s="410">
        <v>1</v>
      </c>
      <c r="CL9" s="409"/>
      <c r="CM9" s="409"/>
      <c r="CN9" s="409"/>
      <c r="CO9" s="409"/>
      <c r="CP9" s="409"/>
      <c r="CQ9" s="409"/>
      <c r="CR9" s="409"/>
      <c r="CS9" s="409"/>
      <c r="CT9" s="411">
        <v>46722</v>
      </c>
    </row>
    <row r="10" spans="1:98" ht="13.5" customHeight="1">
      <c r="A10" s="409" t="s">
        <v>8820</v>
      </c>
      <c r="B10" s="409" t="s">
        <v>8821</v>
      </c>
      <c r="C10" s="410">
        <v>30</v>
      </c>
      <c r="D10" s="409" t="s">
        <v>7599</v>
      </c>
      <c r="E10" s="409" t="s">
        <v>8822</v>
      </c>
      <c r="F10" s="409" t="s">
        <v>112</v>
      </c>
      <c r="G10" s="410">
        <v>1</v>
      </c>
      <c r="H10" s="409"/>
      <c r="I10" s="409"/>
      <c r="J10" s="409"/>
      <c r="K10" s="409"/>
      <c r="L10" s="409"/>
      <c r="M10" s="410">
        <v>1</v>
      </c>
      <c r="N10" s="409"/>
      <c r="O10" s="409"/>
      <c r="P10" s="409"/>
      <c r="Q10" s="409"/>
      <c r="R10" s="410">
        <v>1</v>
      </c>
      <c r="S10" s="409"/>
      <c r="T10" s="410">
        <v>1</v>
      </c>
      <c r="U10" s="409"/>
      <c r="V10" s="409"/>
      <c r="W10" s="410">
        <v>13</v>
      </c>
      <c r="X10" s="410">
        <v>15</v>
      </c>
      <c r="Y10" s="410">
        <v>15</v>
      </c>
      <c r="Z10" s="410">
        <v>2</v>
      </c>
      <c r="AA10" s="410">
        <v>2</v>
      </c>
      <c r="AB10" s="410">
        <v>2</v>
      </c>
      <c r="AC10" s="409"/>
      <c r="AD10" s="410">
        <v>1</v>
      </c>
      <c r="AE10" s="410">
        <v>1</v>
      </c>
      <c r="AF10" s="409"/>
      <c r="AG10" s="410">
        <v>1</v>
      </c>
      <c r="AH10" s="410">
        <v>1</v>
      </c>
      <c r="AI10" s="410">
        <v>1</v>
      </c>
      <c r="AJ10" s="409"/>
      <c r="AK10" s="410">
        <v>1</v>
      </c>
      <c r="AL10" s="409"/>
      <c r="AM10" s="409"/>
      <c r="AN10" s="409"/>
      <c r="AO10" s="409"/>
      <c r="AP10" s="409"/>
      <c r="AQ10" s="409"/>
      <c r="AR10" s="409"/>
      <c r="AS10" s="409"/>
      <c r="AT10" s="410">
        <v>1</v>
      </c>
      <c r="AU10" s="409"/>
      <c r="AV10" s="409"/>
      <c r="AW10" s="410">
        <v>1</v>
      </c>
      <c r="AX10" s="409"/>
      <c r="AY10" s="409"/>
      <c r="AZ10" s="409"/>
      <c r="BA10" s="410">
        <v>1</v>
      </c>
      <c r="BB10" s="409"/>
      <c r="BC10" s="409"/>
      <c r="BD10" s="409"/>
      <c r="BE10" s="409"/>
      <c r="BF10" s="409"/>
      <c r="BG10" s="409"/>
      <c r="BH10" s="409"/>
      <c r="BI10" s="409"/>
      <c r="BJ10" s="409"/>
      <c r="BK10" s="410">
        <v>1</v>
      </c>
      <c r="BL10" s="409"/>
      <c r="BM10" s="409"/>
      <c r="BN10" s="409"/>
      <c r="BO10" s="409"/>
      <c r="BP10" s="409"/>
      <c r="BQ10" s="409"/>
      <c r="BR10" s="409"/>
      <c r="BS10" s="409"/>
      <c r="BT10" s="409"/>
      <c r="BU10" s="409"/>
      <c r="BV10" s="409"/>
      <c r="BW10" s="409"/>
      <c r="BX10" s="409"/>
      <c r="BY10" s="409"/>
      <c r="BZ10" s="409"/>
      <c r="CA10" s="409"/>
      <c r="CB10" s="410">
        <v>1</v>
      </c>
      <c r="CC10" s="409"/>
      <c r="CD10" s="409"/>
      <c r="CE10" s="410">
        <v>1</v>
      </c>
      <c r="CF10" s="409"/>
      <c r="CG10" s="409"/>
      <c r="CH10" s="409"/>
      <c r="CI10" s="409"/>
      <c r="CJ10" s="409"/>
      <c r="CK10" s="410">
        <v>1</v>
      </c>
      <c r="CL10" s="409"/>
      <c r="CM10" s="409"/>
      <c r="CN10" s="409"/>
      <c r="CO10" s="409"/>
      <c r="CP10" s="409"/>
      <c r="CQ10" s="409"/>
      <c r="CR10" s="409"/>
      <c r="CS10" s="409"/>
      <c r="CT10" s="411">
        <v>46722</v>
      </c>
    </row>
    <row r="11" spans="1:98" ht="16.5" customHeight="1">
      <c r="A11" s="409" t="s">
        <v>8823</v>
      </c>
      <c r="B11" s="409" t="s">
        <v>8824</v>
      </c>
      <c r="C11" s="410">
        <v>45</v>
      </c>
      <c r="D11" s="409" t="s">
        <v>8825</v>
      </c>
      <c r="E11" s="409" t="s">
        <v>191</v>
      </c>
      <c r="F11" s="409" t="s">
        <v>662</v>
      </c>
      <c r="G11" s="409"/>
      <c r="H11" s="410">
        <v>1</v>
      </c>
      <c r="I11" s="409"/>
      <c r="J11" s="409"/>
      <c r="K11" s="409"/>
      <c r="L11" s="409"/>
      <c r="M11" s="410">
        <v>1</v>
      </c>
      <c r="N11" s="409"/>
      <c r="O11" s="409"/>
      <c r="P11" s="409"/>
      <c r="Q11" s="409"/>
      <c r="R11" s="410">
        <v>1</v>
      </c>
      <c r="S11" s="409"/>
      <c r="T11" s="410">
        <v>1</v>
      </c>
      <c r="U11" s="409"/>
      <c r="V11" s="409"/>
      <c r="W11" s="410">
        <v>13</v>
      </c>
      <c r="X11" s="410">
        <v>15</v>
      </c>
      <c r="Y11" s="410">
        <v>16</v>
      </c>
      <c r="Z11" s="410">
        <v>10</v>
      </c>
      <c r="AA11" s="410">
        <v>9</v>
      </c>
      <c r="AB11" s="410">
        <v>6</v>
      </c>
      <c r="AC11" s="409"/>
      <c r="AD11" s="409"/>
      <c r="AE11" s="410">
        <v>1</v>
      </c>
      <c r="AF11" s="409"/>
      <c r="AG11" s="410">
        <v>1</v>
      </c>
      <c r="AH11" s="410">
        <v>1</v>
      </c>
      <c r="AI11" s="410">
        <v>1</v>
      </c>
      <c r="AJ11" s="409"/>
      <c r="AK11" s="410">
        <v>1</v>
      </c>
      <c r="AL11" s="409"/>
      <c r="AM11" s="409"/>
      <c r="AN11" s="409"/>
      <c r="AO11" s="409"/>
      <c r="AP11" s="409"/>
      <c r="AQ11" s="409"/>
      <c r="AR11" s="409"/>
      <c r="AS11" s="409"/>
      <c r="AT11" s="410">
        <v>1</v>
      </c>
      <c r="AU11" s="409"/>
      <c r="AV11" s="409"/>
      <c r="AW11" s="409"/>
      <c r="AX11" s="410">
        <v>1</v>
      </c>
      <c r="AY11" s="409"/>
      <c r="AZ11" s="409"/>
      <c r="BA11" s="410">
        <v>1</v>
      </c>
      <c r="BB11" s="409"/>
      <c r="BC11" s="409"/>
      <c r="BD11" s="409"/>
      <c r="BE11" s="409"/>
      <c r="BF11" s="409"/>
      <c r="BG11" s="409"/>
      <c r="BH11" s="409"/>
      <c r="BI11" s="409"/>
      <c r="BJ11" s="409"/>
      <c r="BK11" s="410">
        <v>1</v>
      </c>
      <c r="BL11" s="409"/>
      <c r="BM11" s="409"/>
      <c r="BN11" s="409"/>
      <c r="BO11" s="409"/>
      <c r="BP11" s="409"/>
      <c r="BQ11" s="409"/>
      <c r="BR11" s="409"/>
      <c r="BS11" s="409"/>
      <c r="BT11" s="409"/>
      <c r="BU11" s="409"/>
      <c r="BV11" s="409"/>
      <c r="BW11" s="409"/>
      <c r="BX11" s="409"/>
      <c r="BY11" s="409"/>
      <c r="BZ11" s="409"/>
      <c r="CA11" s="409"/>
      <c r="CB11" s="410">
        <v>1</v>
      </c>
      <c r="CC11" s="409"/>
      <c r="CD11" s="409"/>
      <c r="CE11" s="410">
        <v>1</v>
      </c>
      <c r="CF11" s="409"/>
      <c r="CG11" s="409"/>
      <c r="CH11" s="409"/>
      <c r="CI11" s="409"/>
      <c r="CJ11" s="409"/>
      <c r="CK11" s="410">
        <v>1</v>
      </c>
      <c r="CL11" s="409"/>
      <c r="CM11" s="409"/>
      <c r="CN11" s="409"/>
      <c r="CO11" s="409"/>
      <c r="CP11" s="409"/>
      <c r="CQ11" s="409"/>
      <c r="CR11" s="409"/>
      <c r="CS11" s="409"/>
      <c r="CT11" s="411">
        <v>46722</v>
      </c>
    </row>
    <row r="12" spans="1:98" ht="15" customHeight="1">
      <c r="A12" s="409" t="s">
        <v>8826</v>
      </c>
      <c r="B12" s="409" t="s">
        <v>531</v>
      </c>
      <c r="C12" s="410">
        <v>26</v>
      </c>
      <c r="D12" s="409" t="s">
        <v>8827</v>
      </c>
      <c r="E12" s="409" t="s">
        <v>8828</v>
      </c>
      <c r="F12" s="409" t="s">
        <v>112</v>
      </c>
      <c r="G12" s="409"/>
      <c r="H12" s="409"/>
      <c r="I12" s="410">
        <v>1</v>
      </c>
      <c r="J12" s="409"/>
      <c r="K12" s="409"/>
      <c r="L12" s="409"/>
      <c r="M12" s="409"/>
      <c r="N12" s="409"/>
      <c r="O12" s="410">
        <v>1</v>
      </c>
      <c r="P12" s="409"/>
      <c r="Q12" s="409"/>
      <c r="R12" s="410">
        <v>1</v>
      </c>
      <c r="S12" s="409"/>
      <c r="T12" s="409"/>
      <c r="U12" s="410">
        <v>1</v>
      </c>
      <c r="V12" s="409"/>
      <c r="W12" s="410">
        <v>11</v>
      </c>
      <c r="X12" s="410">
        <v>18</v>
      </c>
      <c r="Y12" s="410">
        <v>19</v>
      </c>
      <c r="Z12" s="410">
        <v>1</v>
      </c>
      <c r="AA12" s="410">
        <v>1</v>
      </c>
      <c r="AB12" s="410">
        <v>1</v>
      </c>
      <c r="AC12" s="409"/>
      <c r="AD12" s="409"/>
      <c r="AE12" s="410">
        <v>1</v>
      </c>
      <c r="AF12" s="409"/>
      <c r="AG12" s="409"/>
      <c r="AH12" s="410">
        <v>1</v>
      </c>
      <c r="AI12" s="410">
        <v>1</v>
      </c>
      <c r="AJ12" s="409"/>
      <c r="AK12" s="410">
        <v>1</v>
      </c>
      <c r="AL12" s="409"/>
      <c r="AM12" s="409"/>
      <c r="AN12" s="409"/>
      <c r="AO12" s="409"/>
      <c r="AP12" s="409"/>
      <c r="AQ12" s="409"/>
      <c r="AR12" s="409"/>
      <c r="AS12" s="409"/>
      <c r="AT12" s="410">
        <v>1</v>
      </c>
      <c r="AU12" s="409"/>
      <c r="AV12" s="409"/>
      <c r="AW12" s="410">
        <v>1</v>
      </c>
      <c r="AX12" s="409"/>
      <c r="AY12" s="409"/>
      <c r="AZ12" s="409"/>
      <c r="BA12" s="410">
        <v>1</v>
      </c>
      <c r="BB12" s="409"/>
      <c r="BC12" s="409"/>
      <c r="BD12" s="409"/>
      <c r="BE12" s="409"/>
      <c r="BF12" s="409"/>
      <c r="BG12" s="409"/>
      <c r="BH12" s="409"/>
      <c r="BI12" s="409"/>
      <c r="BJ12" s="409"/>
      <c r="BK12" s="410">
        <v>1</v>
      </c>
      <c r="BL12" s="409"/>
      <c r="BM12" s="409"/>
      <c r="BN12" s="409"/>
      <c r="BO12" s="409"/>
      <c r="BP12" s="409"/>
      <c r="BQ12" s="409"/>
      <c r="BR12" s="409"/>
      <c r="BS12" s="409"/>
      <c r="BT12" s="409"/>
      <c r="BU12" s="409"/>
      <c r="BV12" s="409"/>
      <c r="BW12" s="409"/>
      <c r="BX12" s="409"/>
      <c r="BY12" s="409"/>
      <c r="BZ12" s="409"/>
      <c r="CA12" s="409"/>
      <c r="CB12" s="410">
        <v>1</v>
      </c>
      <c r="CC12" s="409"/>
      <c r="CD12" s="409"/>
      <c r="CE12" s="410">
        <v>1</v>
      </c>
      <c r="CF12" s="409"/>
      <c r="CG12" s="409"/>
      <c r="CH12" s="409"/>
      <c r="CI12" s="409"/>
      <c r="CJ12" s="409"/>
      <c r="CK12" s="410">
        <v>1</v>
      </c>
      <c r="CL12" s="409"/>
      <c r="CM12" s="409"/>
      <c r="CN12" s="409"/>
      <c r="CO12" s="409"/>
      <c r="CP12" s="409"/>
      <c r="CQ12" s="409"/>
      <c r="CR12" s="409"/>
      <c r="CS12" s="409"/>
      <c r="CT12" s="411">
        <v>46722</v>
      </c>
    </row>
    <row r="13" spans="1:98" ht="13.5" customHeight="1">
      <c r="A13" s="409" t="s">
        <v>8829</v>
      </c>
      <c r="B13" s="409" t="s">
        <v>8830</v>
      </c>
      <c r="C13" s="410">
        <v>31</v>
      </c>
      <c r="D13" s="409" t="s">
        <v>7599</v>
      </c>
      <c r="E13" s="409" t="s">
        <v>8831</v>
      </c>
      <c r="F13" s="409" t="s">
        <v>112</v>
      </c>
      <c r="G13" s="409"/>
      <c r="H13" s="410">
        <v>1</v>
      </c>
      <c r="I13" s="409"/>
      <c r="J13" s="409"/>
      <c r="K13" s="409"/>
      <c r="L13" s="409"/>
      <c r="M13" s="409"/>
      <c r="N13" s="409"/>
      <c r="O13" s="410">
        <v>1</v>
      </c>
      <c r="P13" s="409"/>
      <c r="Q13" s="410">
        <v>1</v>
      </c>
      <c r="R13" s="409"/>
      <c r="S13" s="409"/>
      <c r="T13" s="409"/>
      <c r="U13" s="410">
        <v>1</v>
      </c>
      <c r="V13" s="409"/>
      <c r="W13" s="410">
        <v>17</v>
      </c>
      <c r="X13" s="410">
        <v>18</v>
      </c>
      <c r="Y13" s="410">
        <v>19</v>
      </c>
      <c r="Z13" s="410">
        <v>3</v>
      </c>
      <c r="AA13" s="410">
        <v>3</v>
      </c>
      <c r="AB13" s="410">
        <v>3</v>
      </c>
      <c r="AC13" s="409"/>
      <c r="AD13" s="409"/>
      <c r="AE13" s="410">
        <v>1</v>
      </c>
      <c r="AF13" s="409"/>
      <c r="AG13" s="410">
        <v>1</v>
      </c>
      <c r="AH13" s="410">
        <v>1</v>
      </c>
      <c r="AI13" s="410">
        <v>1</v>
      </c>
      <c r="AJ13" s="409"/>
      <c r="AK13" s="410">
        <v>1</v>
      </c>
      <c r="AL13" s="409"/>
      <c r="AM13" s="409"/>
      <c r="AN13" s="409"/>
      <c r="AO13" s="409"/>
      <c r="AP13" s="409"/>
      <c r="AQ13" s="409"/>
      <c r="AR13" s="409"/>
      <c r="AS13" s="409"/>
      <c r="AT13" s="410">
        <v>1</v>
      </c>
      <c r="AU13" s="409"/>
      <c r="AV13" s="409"/>
      <c r="AW13" s="410">
        <v>1</v>
      </c>
      <c r="AX13" s="409"/>
      <c r="AY13" s="409"/>
      <c r="AZ13" s="409"/>
      <c r="BA13" s="410">
        <v>1</v>
      </c>
      <c r="BB13" s="409"/>
      <c r="BC13" s="409"/>
      <c r="BD13" s="409"/>
      <c r="BE13" s="409"/>
      <c r="BF13" s="409"/>
      <c r="BG13" s="409"/>
      <c r="BH13" s="409"/>
      <c r="BI13" s="409"/>
      <c r="BJ13" s="409"/>
      <c r="BK13" s="410">
        <v>1</v>
      </c>
      <c r="BL13" s="409"/>
      <c r="BM13" s="409"/>
      <c r="BN13" s="409"/>
      <c r="BO13" s="409"/>
      <c r="BP13" s="409"/>
      <c r="BQ13" s="409"/>
      <c r="BR13" s="409"/>
      <c r="BS13" s="409"/>
      <c r="BT13" s="409"/>
      <c r="BU13" s="409"/>
      <c r="BV13" s="409"/>
      <c r="BW13" s="409"/>
      <c r="BX13" s="409"/>
      <c r="BY13" s="409"/>
      <c r="BZ13" s="409"/>
      <c r="CA13" s="409"/>
      <c r="CB13" s="409"/>
      <c r="CC13" s="410">
        <v>1</v>
      </c>
      <c r="CD13" s="410">
        <v>2004</v>
      </c>
      <c r="CE13" s="410">
        <v>1</v>
      </c>
      <c r="CF13" s="409"/>
      <c r="CG13" s="409"/>
      <c r="CH13" s="409"/>
      <c r="CI13" s="409"/>
      <c r="CJ13" s="409"/>
      <c r="CK13" s="410">
        <v>1</v>
      </c>
      <c r="CL13" s="409"/>
      <c r="CM13" s="409"/>
      <c r="CN13" s="409"/>
      <c r="CO13" s="409"/>
      <c r="CP13" s="409"/>
      <c r="CQ13" s="409"/>
      <c r="CR13" s="409"/>
      <c r="CS13" s="409"/>
      <c r="CT13" s="411">
        <v>46722</v>
      </c>
    </row>
    <row r="14" spans="1:98" ht="14.25" customHeight="1">
      <c r="A14" s="409" t="s">
        <v>8832</v>
      </c>
      <c r="B14" s="409" t="s">
        <v>1696</v>
      </c>
      <c r="C14" s="410">
        <v>39</v>
      </c>
      <c r="D14" s="409" t="s">
        <v>4272</v>
      </c>
      <c r="E14" s="409" t="s">
        <v>8833</v>
      </c>
      <c r="F14" s="409" t="s">
        <v>112</v>
      </c>
      <c r="G14" s="409"/>
      <c r="H14" s="410">
        <v>1</v>
      </c>
      <c r="I14" s="409"/>
      <c r="J14" s="409"/>
      <c r="K14" s="409"/>
      <c r="L14" s="409"/>
      <c r="M14" s="410">
        <v>1</v>
      </c>
      <c r="N14" s="409"/>
      <c r="O14" s="409"/>
      <c r="P14" s="409"/>
      <c r="Q14" s="410">
        <v>1</v>
      </c>
      <c r="R14" s="409"/>
      <c r="S14" s="409"/>
      <c r="T14" s="409"/>
      <c r="U14" s="410">
        <v>1</v>
      </c>
      <c r="V14" s="409"/>
      <c r="W14" s="410">
        <v>16</v>
      </c>
      <c r="X14" s="410">
        <v>19</v>
      </c>
      <c r="Y14" s="410">
        <v>23</v>
      </c>
      <c r="Z14" s="410">
        <v>9</v>
      </c>
      <c r="AA14" s="410">
        <v>9</v>
      </c>
      <c r="AB14" s="410">
        <v>9</v>
      </c>
      <c r="AC14" s="409"/>
      <c r="AD14" s="409"/>
      <c r="AE14" s="410">
        <v>1</v>
      </c>
      <c r="AF14" s="409"/>
      <c r="AG14" s="410">
        <v>1</v>
      </c>
      <c r="AH14" s="410">
        <v>1</v>
      </c>
      <c r="AI14" s="410">
        <v>1</v>
      </c>
      <c r="AJ14" s="409"/>
      <c r="AK14" s="410">
        <v>1</v>
      </c>
      <c r="AL14" s="409"/>
      <c r="AM14" s="409"/>
      <c r="AN14" s="409"/>
      <c r="AO14" s="409"/>
      <c r="AP14" s="409"/>
      <c r="AQ14" s="409"/>
      <c r="AR14" s="409"/>
      <c r="AS14" s="409"/>
      <c r="AT14" s="410">
        <v>1</v>
      </c>
      <c r="AU14" s="409"/>
      <c r="AV14" s="409"/>
      <c r="AW14" s="410">
        <v>1</v>
      </c>
      <c r="AX14" s="409"/>
      <c r="AY14" s="409"/>
      <c r="AZ14" s="409"/>
      <c r="BA14" s="410">
        <v>1</v>
      </c>
      <c r="BB14" s="409"/>
      <c r="BC14" s="409"/>
      <c r="BD14" s="409"/>
      <c r="BE14" s="409"/>
      <c r="BF14" s="409"/>
      <c r="BG14" s="409"/>
      <c r="BH14" s="409"/>
      <c r="BI14" s="409"/>
      <c r="BJ14" s="409"/>
      <c r="BK14" s="410">
        <v>1</v>
      </c>
      <c r="BL14" s="409"/>
      <c r="BM14" s="409"/>
      <c r="BN14" s="409"/>
      <c r="BO14" s="409"/>
      <c r="BP14" s="409"/>
      <c r="BQ14" s="409"/>
      <c r="BR14" s="409"/>
      <c r="BS14" s="409"/>
      <c r="BT14" s="409"/>
      <c r="BU14" s="409"/>
      <c r="BV14" s="409"/>
      <c r="BW14" s="409"/>
      <c r="BX14" s="409"/>
      <c r="BY14" s="409"/>
      <c r="BZ14" s="409"/>
      <c r="CA14" s="409"/>
      <c r="CB14" s="410">
        <v>1</v>
      </c>
      <c r="CC14" s="409"/>
      <c r="CD14" s="409"/>
      <c r="CE14" s="410">
        <v>1</v>
      </c>
      <c r="CF14" s="409"/>
      <c r="CG14" s="409"/>
      <c r="CH14" s="409"/>
      <c r="CI14" s="409"/>
      <c r="CJ14" s="409"/>
      <c r="CK14" s="410">
        <v>1</v>
      </c>
      <c r="CL14" s="409"/>
      <c r="CM14" s="409"/>
      <c r="CN14" s="409"/>
      <c r="CO14" s="409"/>
      <c r="CP14" s="409"/>
      <c r="CQ14" s="409"/>
      <c r="CR14" s="409"/>
      <c r="CS14" s="409"/>
      <c r="CT14" s="411">
        <v>46722</v>
      </c>
    </row>
    <row r="15" spans="1:98" ht="14.25" customHeight="1">
      <c r="A15" s="409" t="s">
        <v>8834</v>
      </c>
      <c r="B15" s="409" t="s">
        <v>8835</v>
      </c>
      <c r="C15" s="410">
        <v>30</v>
      </c>
      <c r="D15" s="409" t="s">
        <v>8836</v>
      </c>
      <c r="E15" s="409" t="s">
        <v>8837</v>
      </c>
      <c r="F15" s="409" t="s">
        <v>112</v>
      </c>
      <c r="G15" s="409"/>
      <c r="H15" s="410">
        <v>1</v>
      </c>
      <c r="I15" s="409"/>
      <c r="J15" s="409"/>
      <c r="K15" s="409"/>
      <c r="L15" s="409"/>
      <c r="M15" s="410">
        <v>1</v>
      </c>
      <c r="N15" s="409"/>
      <c r="O15" s="409"/>
      <c r="P15" s="409"/>
      <c r="Q15" s="409"/>
      <c r="R15" s="410">
        <v>1</v>
      </c>
      <c r="S15" s="409"/>
      <c r="T15" s="410">
        <v>1</v>
      </c>
      <c r="U15" s="409"/>
      <c r="V15" s="409"/>
      <c r="W15" s="410">
        <v>15</v>
      </c>
      <c r="X15" s="410">
        <v>15</v>
      </c>
      <c r="Y15" s="410">
        <v>24</v>
      </c>
      <c r="Z15" s="410">
        <v>2</v>
      </c>
      <c r="AA15" s="410">
        <v>2</v>
      </c>
      <c r="AB15" s="410">
        <v>2</v>
      </c>
      <c r="AC15" s="409"/>
      <c r="AD15" s="409"/>
      <c r="AE15" s="410">
        <v>1</v>
      </c>
      <c r="AF15" s="409"/>
      <c r="AG15" s="409"/>
      <c r="AH15" s="410">
        <v>1</v>
      </c>
      <c r="AI15" s="410">
        <v>1</v>
      </c>
      <c r="AJ15" s="409"/>
      <c r="AK15" s="410">
        <v>1</v>
      </c>
      <c r="AL15" s="409"/>
      <c r="AM15" s="409"/>
      <c r="AN15" s="409"/>
      <c r="AO15" s="409"/>
      <c r="AP15" s="409"/>
      <c r="AQ15" s="409"/>
      <c r="AR15" s="409"/>
      <c r="AS15" s="409"/>
      <c r="AT15" s="410">
        <v>1</v>
      </c>
      <c r="AU15" s="409"/>
      <c r="AV15" s="409"/>
      <c r="AW15" s="410">
        <v>1</v>
      </c>
      <c r="AX15" s="409"/>
      <c r="AY15" s="409"/>
      <c r="AZ15" s="409"/>
      <c r="BA15" s="410">
        <v>1</v>
      </c>
      <c r="BB15" s="409"/>
      <c r="BC15" s="409"/>
      <c r="BD15" s="409"/>
      <c r="BE15" s="409"/>
      <c r="BF15" s="409"/>
      <c r="BG15" s="409"/>
      <c r="BH15" s="409"/>
      <c r="BI15" s="409"/>
      <c r="BJ15" s="409"/>
      <c r="BK15" s="410">
        <v>1</v>
      </c>
      <c r="BL15" s="409"/>
      <c r="BM15" s="409"/>
      <c r="BN15" s="409"/>
      <c r="BO15" s="409"/>
      <c r="BP15" s="409"/>
      <c r="BQ15" s="409"/>
      <c r="BR15" s="409"/>
      <c r="BS15" s="409"/>
      <c r="BT15" s="409"/>
      <c r="BU15" s="409"/>
      <c r="BV15" s="409"/>
      <c r="BW15" s="409"/>
      <c r="BX15" s="409"/>
      <c r="BY15" s="409"/>
      <c r="BZ15" s="409"/>
      <c r="CA15" s="409"/>
      <c r="CB15" s="410">
        <v>1</v>
      </c>
      <c r="CC15" s="409"/>
      <c r="CD15" s="409"/>
      <c r="CE15" s="410">
        <v>1</v>
      </c>
      <c r="CF15" s="409"/>
      <c r="CG15" s="409"/>
      <c r="CH15" s="409"/>
      <c r="CI15" s="409"/>
      <c r="CJ15" s="409"/>
      <c r="CK15" s="410">
        <v>1</v>
      </c>
      <c r="CL15" s="409"/>
      <c r="CM15" s="409"/>
      <c r="CN15" s="409"/>
      <c r="CO15" s="409"/>
      <c r="CP15" s="409"/>
      <c r="CQ15" s="409"/>
      <c r="CR15" s="409"/>
      <c r="CS15" s="409"/>
      <c r="CT15" s="411">
        <v>46722</v>
      </c>
    </row>
    <row r="16" spans="1:98" ht="12" customHeight="1">
      <c r="A16" s="409" t="s">
        <v>8838</v>
      </c>
      <c r="B16" s="409" t="s">
        <v>4338</v>
      </c>
      <c r="C16" s="410">
        <v>41</v>
      </c>
      <c r="D16" s="409" t="s">
        <v>8839</v>
      </c>
      <c r="E16" s="409" t="s">
        <v>8840</v>
      </c>
      <c r="F16" s="409" t="s">
        <v>112</v>
      </c>
      <c r="G16" s="410">
        <v>1</v>
      </c>
      <c r="H16" s="409"/>
      <c r="I16" s="409"/>
      <c r="J16" s="409"/>
      <c r="K16" s="409"/>
      <c r="L16" s="409"/>
      <c r="M16" s="410">
        <v>1</v>
      </c>
      <c r="N16" s="409"/>
      <c r="O16" s="409"/>
      <c r="P16" s="409"/>
      <c r="Q16" s="410">
        <v>1</v>
      </c>
      <c r="R16" s="409"/>
      <c r="S16" s="409"/>
      <c r="T16" s="410">
        <v>1</v>
      </c>
      <c r="U16" s="409"/>
      <c r="V16" s="409"/>
      <c r="W16" s="410">
        <v>17</v>
      </c>
      <c r="X16" s="410">
        <v>18</v>
      </c>
      <c r="Y16" s="410">
        <v>18</v>
      </c>
      <c r="Z16" s="410">
        <v>4</v>
      </c>
      <c r="AA16" s="410">
        <v>4</v>
      </c>
      <c r="AB16" s="410">
        <v>4</v>
      </c>
      <c r="AC16" s="409"/>
      <c r="AD16" s="409"/>
      <c r="AE16" s="410">
        <v>1</v>
      </c>
      <c r="AF16" s="409"/>
      <c r="AG16" s="410">
        <v>1</v>
      </c>
      <c r="AH16" s="410">
        <v>1</v>
      </c>
      <c r="AI16" s="410">
        <v>1</v>
      </c>
      <c r="AJ16" s="409"/>
      <c r="AK16" s="409"/>
      <c r="AL16" s="409"/>
      <c r="AM16" s="410">
        <v>1</v>
      </c>
      <c r="AN16" s="409"/>
      <c r="AO16" s="409"/>
      <c r="AP16" s="409"/>
      <c r="AQ16" s="409"/>
      <c r="AR16" s="409"/>
      <c r="AS16" s="409"/>
      <c r="AT16" s="410">
        <v>1</v>
      </c>
      <c r="AU16" s="409"/>
      <c r="AV16" s="409"/>
      <c r="AW16" s="410">
        <v>1</v>
      </c>
      <c r="AX16" s="409"/>
      <c r="AY16" s="409"/>
      <c r="AZ16" s="409"/>
      <c r="BA16" s="410">
        <v>1</v>
      </c>
      <c r="BB16" s="409"/>
      <c r="BC16" s="409"/>
      <c r="BD16" s="409"/>
      <c r="BE16" s="409"/>
      <c r="BF16" s="409"/>
      <c r="BG16" s="409"/>
      <c r="BH16" s="409"/>
      <c r="BI16" s="409"/>
      <c r="BJ16" s="409"/>
      <c r="BK16" s="410">
        <v>1</v>
      </c>
      <c r="BL16" s="409"/>
      <c r="BM16" s="409"/>
      <c r="BN16" s="409"/>
      <c r="BO16" s="409"/>
      <c r="BP16" s="409"/>
      <c r="BQ16" s="409"/>
      <c r="BR16" s="409"/>
      <c r="BS16" s="409"/>
      <c r="BT16" s="409"/>
      <c r="BU16" s="409"/>
      <c r="BV16" s="409"/>
      <c r="BW16" s="409"/>
      <c r="BX16" s="409"/>
      <c r="BY16" s="409"/>
      <c r="BZ16" s="409"/>
      <c r="CA16" s="409"/>
      <c r="CB16" s="410">
        <v>1</v>
      </c>
      <c r="CC16" s="409"/>
      <c r="CD16" s="409"/>
      <c r="CE16" s="410">
        <v>1</v>
      </c>
      <c r="CF16" s="409"/>
      <c r="CG16" s="409"/>
      <c r="CH16" s="409"/>
      <c r="CI16" s="409"/>
      <c r="CJ16" s="409"/>
      <c r="CK16" s="410">
        <v>1</v>
      </c>
      <c r="CL16" s="409"/>
      <c r="CM16" s="409"/>
      <c r="CN16" s="409"/>
      <c r="CO16" s="409"/>
      <c r="CP16" s="409"/>
      <c r="CQ16" s="409"/>
      <c r="CR16" s="409"/>
      <c r="CS16" s="409"/>
      <c r="CT16" s="411">
        <v>46722</v>
      </c>
    </row>
    <row r="17" spans="1:98" ht="12" customHeight="1">
      <c r="A17" s="409" t="s">
        <v>8841</v>
      </c>
      <c r="B17" s="409" t="s">
        <v>8842</v>
      </c>
      <c r="C17" s="410">
        <v>34</v>
      </c>
      <c r="D17" s="409" t="s">
        <v>8818</v>
      </c>
      <c r="E17" s="409" t="s">
        <v>8843</v>
      </c>
      <c r="F17" s="409" t="s">
        <v>145</v>
      </c>
      <c r="G17" s="409"/>
      <c r="H17" s="410">
        <v>1</v>
      </c>
      <c r="I17" s="409"/>
      <c r="J17" s="409"/>
      <c r="K17" s="409"/>
      <c r="L17" s="409"/>
      <c r="M17" s="410">
        <v>1</v>
      </c>
      <c r="N17" s="409"/>
      <c r="O17" s="409"/>
      <c r="P17" s="409"/>
      <c r="Q17" s="410">
        <v>1</v>
      </c>
      <c r="R17" s="409"/>
      <c r="S17" s="409"/>
      <c r="T17" s="410">
        <v>1</v>
      </c>
      <c r="U17" s="409"/>
      <c r="V17" s="409"/>
      <c r="W17" s="410">
        <v>14</v>
      </c>
      <c r="X17" s="410">
        <v>15</v>
      </c>
      <c r="Y17" s="410">
        <v>15</v>
      </c>
      <c r="Z17" s="410">
        <v>6</v>
      </c>
      <c r="AA17" s="410">
        <v>5</v>
      </c>
      <c r="AB17" s="410">
        <v>5</v>
      </c>
      <c r="AC17" s="409"/>
      <c r="AD17" s="409"/>
      <c r="AE17" s="409"/>
      <c r="AF17" s="409"/>
      <c r="AG17" s="409"/>
      <c r="AH17" s="410">
        <v>1</v>
      </c>
      <c r="AI17" s="410">
        <v>1</v>
      </c>
      <c r="AJ17" s="409"/>
      <c r="AK17" s="410">
        <v>1</v>
      </c>
      <c r="AL17" s="409"/>
      <c r="AM17" s="409"/>
      <c r="AN17" s="409"/>
      <c r="AO17" s="409"/>
      <c r="AP17" s="409"/>
      <c r="AQ17" s="409"/>
      <c r="AR17" s="409"/>
      <c r="AS17" s="409"/>
      <c r="AT17" s="410">
        <v>1</v>
      </c>
      <c r="AU17" s="409"/>
      <c r="AV17" s="409"/>
      <c r="AW17" s="410">
        <v>1</v>
      </c>
      <c r="AX17" s="409"/>
      <c r="AY17" s="409"/>
      <c r="AZ17" s="409"/>
      <c r="BA17" s="409"/>
      <c r="BB17" s="410">
        <v>1</v>
      </c>
      <c r="BC17" s="409"/>
      <c r="BD17" s="409"/>
      <c r="BE17" s="409"/>
      <c r="BF17" s="409"/>
      <c r="BG17" s="410">
        <v>1</v>
      </c>
      <c r="BH17" s="409"/>
      <c r="BI17" s="409"/>
      <c r="BJ17" s="409"/>
      <c r="BK17" s="410">
        <v>1</v>
      </c>
      <c r="BL17" s="409"/>
      <c r="BM17" s="409"/>
      <c r="BN17" s="409"/>
      <c r="BO17" s="409"/>
      <c r="BP17" s="409"/>
      <c r="BQ17" s="409"/>
      <c r="BR17" s="409"/>
      <c r="BS17" s="409"/>
      <c r="BT17" s="409"/>
      <c r="BU17" s="409"/>
      <c r="BV17" s="409"/>
      <c r="BW17" s="409"/>
      <c r="BX17" s="409"/>
      <c r="BY17" s="409"/>
      <c r="BZ17" s="409"/>
      <c r="CA17" s="409"/>
      <c r="CB17" s="409"/>
      <c r="CC17" s="410">
        <v>1</v>
      </c>
      <c r="CD17" s="410">
        <v>2024</v>
      </c>
      <c r="CE17" s="409"/>
      <c r="CF17" s="410">
        <v>1</v>
      </c>
      <c r="CG17" s="410">
        <v>2014</v>
      </c>
      <c r="CH17" s="409"/>
      <c r="CI17" s="410">
        <v>1</v>
      </c>
      <c r="CJ17" s="409"/>
      <c r="CK17" s="410">
        <v>1</v>
      </c>
      <c r="CL17" s="409"/>
      <c r="CM17" s="409"/>
      <c r="CN17" s="409"/>
      <c r="CO17" s="409"/>
      <c r="CP17" s="409"/>
      <c r="CQ17" s="409"/>
      <c r="CR17" s="409"/>
      <c r="CS17" s="409"/>
      <c r="CT17" s="411">
        <v>46722</v>
      </c>
    </row>
  </sheetData>
  <autoFilter ref="A3:CT3"/>
  <mergeCells count="24">
    <mergeCell ref="CE1:CG1"/>
    <mergeCell ref="CH1:CI1"/>
    <mergeCell ref="CK1:CN1"/>
    <mergeCell ref="CO1:CP1"/>
    <mergeCell ref="BJ2:BK2"/>
    <mergeCell ref="BL2:BO2"/>
    <mergeCell ref="BW1:CA1"/>
    <mergeCell ref="BA1:BC1"/>
    <mergeCell ref="BD1:BF1"/>
    <mergeCell ref="BI1:BO1"/>
    <mergeCell ref="BP1:BR1"/>
    <mergeCell ref="BS1:BT1"/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opLeftCell="Q1" workbookViewId="0">
      <selection activeCell="AH9" sqref="AH9"/>
    </sheetView>
  </sheetViews>
  <sheetFormatPr defaultRowHeight="15"/>
  <cols>
    <col min="1" max="1" width="16.28515625" customWidth="1"/>
    <col min="4" max="4" width="10.85546875" customWidth="1"/>
    <col min="12" max="12" width="10.85546875" customWidth="1"/>
    <col min="13" max="13" width="14" customWidth="1"/>
    <col min="19" max="19" width="10.7109375" customWidth="1"/>
    <col min="24" max="24" width="10.28515625" customWidth="1"/>
    <col min="25" max="25" width="11.28515625" customWidth="1"/>
    <col min="28" max="28" width="16.7109375" customWidth="1"/>
    <col min="29" max="29" width="16" customWidth="1"/>
    <col min="30" max="30" width="13.5703125" customWidth="1"/>
  </cols>
  <sheetData>
    <row r="1" spans="1:33" ht="18.75" customHeight="1" thickBot="1">
      <c r="A1" s="602" t="s">
        <v>351</v>
      </c>
      <c r="B1" s="604" t="s">
        <v>352</v>
      </c>
      <c r="C1" s="605"/>
      <c r="D1" s="605"/>
      <c r="E1" s="606"/>
      <c r="F1" s="599" t="s">
        <v>353</v>
      </c>
      <c r="G1" s="600"/>
      <c r="H1" s="601"/>
      <c r="I1" s="426"/>
      <c r="J1" s="426"/>
      <c r="K1" s="599" t="s">
        <v>354</v>
      </c>
      <c r="L1" s="600"/>
      <c r="M1" s="600"/>
      <c r="N1" s="600"/>
      <c r="O1" s="600"/>
      <c r="P1" s="601"/>
      <c r="Q1" s="599" t="s">
        <v>355</v>
      </c>
      <c r="R1" s="600"/>
      <c r="S1" s="600"/>
      <c r="T1" s="601"/>
      <c r="U1" s="599" t="s">
        <v>356</v>
      </c>
      <c r="V1" s="600"/>
      <c r="W1" s="600"/>
      <c r="X1" s="600"/>
      <c r="Y1" s="600"/>
      <c r="Z1" s="601"/>
      <c r="AA1" s="599" t="s">
        <v>357</v>
      </c>
      <c r="AB1" s="600"/>
      <c r="AC1" s="600"/>
      <c r="AD1" s="600"/>
      <c r="AE1" s="601"/>
      <c r="AF1" s="299" t="s">
        <v>356</v>
      </c>
      <c r="AG1" s="426"/>
    </row>
    <row r="2" spans="1:33" ht="27.75" customHeight="1" thickBot="1">
      <c r="A2" s="603"/>
      <c r="B2" s="427" t="s">
        <v>358</v>
      </c>
      <c r="C2" s="427" t="s">
        <v>359</v>
      </c>
      <c r="D2" s="427" t="s">
        <v>360</v>
      </c>
      <c r="E2" s="427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408"/>
      <c r="AA2" s="427" t="s">
        <v>96</v>
      </c>
      <c r="AB2" s="427" t="s">
        <v>97</v>
      </c>
      <c r="AC2" s="427" t="s">
        <v>98</v>
      </c>
      <c r="AD2" s="428" t="s">
        <v>360</v>
      </c>
      <c r="AE2" s="427" t="s">
        <v>369</v>
      </c>
      <c r="AF2" s="301" t="s">
        <v>365</v>
      </c>
      <c r="AG2" s="417" t="s">
        <v>3430</v>
      </c>
    </row>
    <row r="3" spans="1:33" ht="15.75" thickBot="1">
      <c r="A3" s="418" t="s">
        <v>1169</v>
      </c>
      <c r="B3" s="407"/>
      <c r="C3" s="407"/>
      <c r="D3" s="407"/>
      <c r="E3" s="374">
        <v>0</v>
      </c>
      <c r="F3" s="407"/>
      <c r="G3" s="407"/>
      <c r="H3" s="407"/>
      <c r="I3" s="407"/>
      <c r="J3" s="419">
        <v>0</v>
      </c>
      <c r="K3" s="407"/>
      <c r="L3" s="407"/>
      <c r="M3" s="407"/>
      <c r="N3" s="407"/>
      <c r="O3" s="407"/>
      <c r="P3" s="425">
        <v>0</v>
      </c>
      <c r="Q3" s="407"/>
      <c r="R3" s="407"/>
      <c r="S3" s="407"/>
      <c r="T3" s="425">
        <v>0</v>
      </c>
      <c r="U3" s="407"/>
      <c r="V3" s="407"/>
      <c r="W3" s="407"/>
      <c r="X3" s="407"/>
      <c r="Y3" s="407"/>
      <c r="Z3" s="407"/>
      <c r="AA3" s="407"/>
      <c r="AB3" s="407"/>
      <c r="AC3" s="407"/>
      <c r="AD3" s="407"/>
      <c r="AE3" s="311">
        <v>0</v>
      </c>
      <c r="AF3" s="407"/>
      <c r="AG3" s="407"/>
    </row>
    <row r="4" spans="1:33" ht="20.25" customHeight="1" thickBot="1">
      <c r="A4" s="418" t="s">
        <v>8844</v>
      </c>
      <c r="B4" s="374">
        <v>4</v>
      </c>
      <c r="C4" s="407"/>
      <c r="D4" s="407"/>
      <c r="E4" s="374">
        <v>4</v>
      </c>
      <c r="F4" s="407"/>
      <c r="G4" s="421">
        <v>3</v>
      </c>
      <c r="H4" s="407"/>
      <c r="I4" s="407"/>
      <c r="J4" s="419">
        <v>3</v>
      </c>
      <c r="K4" s="407"/>
      <c r="L4" s="407"/>
      <c r="M4" s="407"/>
      <c r="N4" s="407"/>
      <c r="O4" s="421">
        <v>1</v>
      </c>
      <c r="P4" s="425">
        <v>1</v>
      </c>
      <c r="Q4" s="407"/>
      <c r="R4" s="407"/>
      <c r="S4" s="421">
        <v>1</v>
      </c>
      <c r="T4" s="425">
        <v>1</v>
      </c>
      <c r="U4" s="407"/>
      <c r="V4" s="407"/>
      <c r="W4" s="407"/>
      <c r="X4" s="407"/>
      <c r="Y4" s="407"/>
      <c r="Z4" s="407"/>
      <c r="AA4" s="421">
        <v>4</v>
      </c>
      <c r="AB4" s="407"/>
      <c r="AC4" s="407"/>
      <c r="AD4" s="407"/>
      <c r="AE4" s="311">
        <v>4</v>
      </c>
      <c r="AF4" s="407"/>
      <c r="AG4" s="407"/>
    </row>
    <row r="5" spans="1:33" ht="22.5" customHeight="1" thickBot="1">
      <c r="A5" s="418" t="s">
        <v>2467</v>
      </c>
      <c r="B5" s="374">
        <v>4</v>
      </c>
      <c r="C5" s="407"/>
      <c r="D5" s="407"/>
      <c r="E5" s="374">
        <v>4</v>
      </c>
      <c r="F5" s="407"/>
      <c r="G5" s="421">
        <v>4</v>
      </c>
      <c r="H5" s="407"/>
      <c r="I5" s="407"/>
      <c r="J5" s="419">
        <v>4</v>
      </c>
      <c r="K5" s="407"/>
      <c r="L5" s="407"/>
      <c r="M5" s="407"/>
      <c r="N5" s="407"/>
      <c r="O5" s="407"/>
      <c r="P5" s="425">
        <v>0</v>
      </c>
      <c r="Q5" s="407"/>
      <c r="R5" s="407"/>
      <c r="S5" s="407"/>
      <c r="T5" s="425">
        <v>0</v>
      </c>
      <c r="U5" s="407"/>
      <c r="V5" s="407"/>
      <c r="W5" s="407"/>
      <c r="X5" s="407"/>
      <c r="Y5" s="407"/>
      <c r="Z5" s="407"/>
      <c r="AA5" s="421">
        <v>3</v>
      </c>
      <c r="AB5" s="407"/>
      <c r="AC5" s="407"/>
      <c r="AD5" s="421">
        <v>1</v>
      </c>
      <c r="AE5" s="311">
        <v>4</v>
      </c>
      <c r="AF5" s="407"/>
      <c r="AG5" s="407"/>
    </row>
    <row r="6" spans="1:33" ht="21.75" customHeight="1" thickBot="1">
      <c r="A6" s="430" t="s">
        <v>1096</v>
      </c>
      <c r="B6" s="374">
        <v>2</v>
      </c>
      <c r="C6" s="407"/>
      <c r="D6" s="374">
        <v>2</v>
      </c>
      <c r="E6" s="374">
        <v>4</v>
      </c>
      <c r="F6" s="407"/>
      <c r="G6" s="421">
        <v>3</v>
      </c>
      <c r="H6" s="407"/>
      <c r="I6" s="407"/>
      <c r="J6" s="419">
        <v>3</v>
      </c>
      <c r="K6" s="421">
        <v>1</v>
      </c>
      <c r="L6" s="407"/>
      <c r="M6" s="407"/>
      <c r="N6" s="407"/>
      <c r="O6" s="407"/>
      <c r="P6" s="425">
        <v>1</v>
      </c>
      <c r="Q6" s="407"/>
      <c r="R6" s="407"/>
      <c r="S6" s="421">
        <v>1</v>
      </c>
      <c r="T6" s="425">
        <v>1</v>
      </c>
      <c r="U6" s="407"/>
      <c r="V6" s="407"/>
      <c r="W6" s="407"/>
      <c r="X6" s="407"/>
      <c r="Y6" s="407"/>
      <c r="Z6" s="407"/>
      <c r="AA6" s="421">
        <v>3</v>
      </c>
      <c r="AB6" s="407"/>
      <c r="AC6" s="407"/>
      <c r="AD6" s="421">
        <v>1</v>
      </c>
      <c r="AE6" s="311">
        <v>4</v>
      </c>
      <c r="AF6" s="407"/>
      <c r="AG6" s="407"/>
    </row>
    <row r="7" spans="1:33" ht="21.75" customHeight="1" thickBot="1">
      <c r="A7" s="432" t="s">
        <v>8452</v>
      </c>
      <c r="B7" s="397">
        <v>1</v>
      </c>
      <c r="C7" s="407"/>
      <c r="D7" s="407"/>
      <c r="E7" s="374">
        <v>1</v>
      </c>
      <c r="F7" s="407"/>
      <c r="G7" s="407"/>
      <c r="H7" s="407"/>
      <c r="I7" s="407"/>
      <c r="J7" s="419">
        <v>0</v>
      </c>
      <c r="K7" s="424">
        <v>1</v>
      </c>
      <c r="L7" s="423"/>
      <c r="M7" s="423"/>
      <c r="N7" s="423"/>
      <c r="O7" s="423"/>
      <c r="P7" s="425">
        <v>1</v>
      </c>
      <c r="Q7" s="423"/>
      <c r="R7" s="423"/>
      <c r="S7" s="423"/>
      <c r="T7" s="425">
        <v>0</v>
      </c>
      <c r="U7" s="423"/>
      <c r="V7" s="423"/>
      <c r="W7" s="423"/>
      <c r="X7" s="423"/>
      <c r="Y7" s="423"/>
      <c r="Z7" s="423"/>
      <c r="AA7" s="421">
        <v>1</v>
      </c>
      <c r="AB7" s="407"/>
      <c r="AC7" s="407"/>
      <c r="AD7" s="407"/>
      <c r="AE7" s="311">
        <v>1</v>
      </c>
      <c r="AF7" s="407"/>
      <c r="AG7" s="407"/>
    </row>
    <row r="8" spans="1:33" ht="18.75" customHeight="1" thickBot="1">
      <c r="A8" s="432" t="s">
        <v>556</v>
      </c>
      <c r="B8" s="397">
        <v>1</v>
      </c>
      <c r="C8" s="407"/>
      <c r="D8" s="407"/>
      <c r="E8" s="374">
        <v>1</v>
      </c>
      <c r="F8" s="407"/>
      <c r="G8" s="407"/>
      <c r="H8" s="407"/>
      <c r="I8" s="407"/>
      <c r="J8" s="419">
        <v>0</v>
      </c>
      <c r="K8" s="423"/>
      <c r="L8" s="424">
        <v>1</v>
      </c>
      <c r="M8" s="423"/>
      <c r="N8" s="423"/>
      <c r="O8" s="423"/>
      <c r="P8" s="425">
        <v>1</v>
      </c>
      <c r="Q8" s="423"/>
      <c r="R8" s="423"/>
      <c r="S8" s="423"/>
      <c r="T8" s="425">
        <v>0</v>
      </c>
      <c r="U8" s="423"/>
      <c r="V8" s="423"/>
      <c r="W8" s="423"/>
      <c r="X8" s="423"/>
      <c r="Y8" s="423"/>
      <c r="Z8" s="424" t="s">
        <v>8845</v>
      </c>
      <c r="AA8" s="421">
        <v>1</v>
      </c>
      <c r="AB8" s="407"/>
      <c r="AC8" s="407"/>
      <c r="AD8" s="407"/>
      <c r="AE8" s="311">
        <v>1</v>
      </c>
      <c r="AF8" s="407"/>
      <c r="AG8" s="407"/>
    </row>
    <row r="9" spans="1:33" ht="15.75" thickBot="1">
      <c r="A9" s="431" t="s">
        <v>376</v>
      </c>
      <c r="B9" s="307">
        <v>12</v>
      </c>
      <c r="C9" s="307">
        <v>0</v>
      </c>
      <c r="D9" s="307">
        <v>2</v>
      </c>
      <c r="E9" s="307">
        <v>14</v>
      </c>
      <c r="F9" s="307">
        <v>0</v>
      </c>
      <c r="G9" s="307">
        <v>10</v>
      </c>
      <c r="H9" s="307">
        <v>0</v>
      </c>
      <c r="I9" s="307">
        <v>0</v>
      </c>
      <c r="J9" s="419">
        <v>10</v>
      </c>
      <c r="K9" s="422">
        <v>2</v>
      </c>
      <c r="L9" s="422">
        <v>1</v>
      </c>
      <c r="M9" s="422">
        <v>0</v>
      </c>
      <c r="N9" s="422">
        <v>0</v>
      </c>
      <c r="O9" s="422">
        <v>1</v>
      </c>
      <c r="P9" s="419">
        <v>4</v>
      </c>
      <c r="Q9" s="422">
        <v>0</v>
      </c>
      <c r="R9" s="422">
        <v>0</v>
      </c>
      <c r="S9" s="422">
        <v>2</v>
      </c>
      <c r="T9" s="419">
        <v>2</v>
      </c>
      <c r="U9" s="422">
        <v>0</v>
      </c>
      <c r="V9" s="422">
        <v>0</v>
      </c>
      <c r="W9" s="422">
        <v>0</v>
      </c>
      <c r="X9" s="422">
        <v>0</v>
      </c>
      <c r="Y9" s="422">
        <v>0</v>
      </c>
      <c r="Z9" s="422">
        <v>0</v>
      </c>
      <c r="AA9" s="420">
        <v>12</v>
      </c>
      <c r="AB9" s="420">
        <v>0</v>
      </c>
      <c r="AC9" s="420">
        <v>0</v>
      </c>
      <c r="AD9" s="420">
        <v>2</v>
      </c>
      <c r="AE9" s="429">
        <v>14</v>
      </c>
      <c r="AF9" s="420">
        <v>0</v>
      </c>
      <c r="AG9" s="420">
        <v>0</v>
      </c>
    </row>
  </sheetData>
  <mergeCells count="7">
    <mergeCell ref="AA1:AE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8"/>
  <sheetViews>
    <sheetView workbookViewId="0">
      <selection activeCell="E9" sqref="E9"/>
    </sheetView>
  </sheetViews>
  <sheetFormatPr defaultRowHeight="15"/>
  <cols>
    <col min="2" max="2" width="25.28515625" customWidth="1"/>
    <col min="4" max="4" width="11.85546875" customWidth="1"/>
    <col min="5" max="5" width="16.140625" customWidth="1"/>
    <col min="6" max="6" width="13.28515625" customWidth="1"/>
  </cols>
  <sheetData>
    <row r="1" spans="1:98" ht="15.75" thickBot="1">
      <c r="A1" s="446" t="s">
        <v>8848</v>
      </c>
      <c r="B1" s="447"/>
      <c r="C1" s="448" t="s">
        <v>1445</v>
      </c>
      <c r="D1" s="447"/>
      <c r="E1" s="447"/>
      <c r="F1" s="447"/>
      <c r="G1" s="607" t="s">
        <v>2</v>
      </c>
      <c r="H1" s="608"/>
      <c r="I1" s="608"/>
      <c r="J1" s="608"/>
      <c r="K1" s="609"/>
      <c r="L1" s="610" t="s">
        <v>3</v>
      </c>
      <c r="M1" s="620"/>
      <c r="N1" s="620"/>
      <c r="O1" s="620"/>
      <c r="P1" s="611"/>
      <c r="Q1" s="621"/>
      <c r="R1" s="622"/>
      <c r="S1" s="599" t="s">
        <v>5</v>
      </c>
      <c r="T1" s="600"/>
      <c r="U1" s="600"/>
      <c r="V1" s="601"/>
      <c r="W1" s="607" t="s">
        <v>6</v>
      </c>
      <c r="X1" s="608"/>
      <c r="Y1" s="608"/>
      <c r="Z1" s="608"/>
      <c r="AA1" s="608"/>
      <c r="AB1" s="609"/>
      <c r="AC1" s="599" t="s">
        <v>7</v>
      </c>
      <c r="AD1" s="600"/>
      <c r="AE1" s="600"/>
      <c r="AF1" s="600"/>
      <c r="AG1" s="600"/>
      <c r="AH1" s="601"/>
      <c r="AI1" s="612" t="s">
        <v>8</v>
      </c>
      <c r="AJ1" s="614"/>
      <c r="AK1" s="599" t="s">
        <v>9</v>
      </c>
      <c r="AL1" s="600"/>
      <c r="AM1" s="601"/>
      <c r="AN1" s="599" t="s">
        <v>10</v>
      </c>
      <c r="AO1" s="600"/>
      <c r="AP1" s="601"/>
      <c r="AQ1" s="599" t="s">
        <v>11</v>
      </c>
      <c r="AR1" s="600"/>
      <c r="AS1" s="601"/>
      <c r="AT1" s="612" t="s">
        <v>12</v>
      </c>
      <c r="AU1" s="614"/>
      <c r="AV1" s="610" t="s">
        <v>13</v>
      </c>
      <c r="AW1" s="620"/>
      <c r="AX1" s="620"/>
      <c r="AY1" s="620"/>
      <c r="AZ1" s="611"/>
      <c r="BA1" s="607" t="s">
        <v>8129</v>
      </c>
      <c r="BB1" s="608"/>
      <c r="BC1" s="609"/>
      <c r="BD1" s="599" t="s">
        <v>3542</v>
      </c>
      <c r="BE1" s="600"/>
      <c r="BF1" s="601"/>
      <c r="BG1" s="447"/>
      <c r="BH1" s="447"/>
      <c r="BI1" s="612" t="s">
        <v>16</v>
      </c>
      <c r="BJ1" s="613"/>
      <c r="BK1" s="613"/>
      <c r="BL1" s="613"/>
      <c r="BM1" s="613"/>
      <c r="BN1" s="613"/>
      <c r="BO1" s="614"/>
      <c r="BP1" s="599" t="s">
        <v>8130</v>
      </c>
      <c r="BQ1" s="600"/>
      <c r="BR1" s="601"/>
      <c r="BS1" s="610" t="s">
        <v>18</v>
      </c>
      <c r="BT1" s="611"/>
      <c r="BU1" s="447"/>
      <c r="BV1" s="447"/>
      <c r="BW1" s="612" t="s">
        <v>8131</v>
      </c>
      <c r="BX1" s="613"/>
      <c r="BY1" s="613"/>
      <c r="BZ1" s="613"/>
      <c r="CA1" s="614"/>
      <c r="CB1" s="449" t="s">
        <v>8132</v>
      </c>
      <c r="CC1" s="447"/>
      <c r="CD1" s="447"/>
      <c r="CE1" s="607" t="s">
        <v>8133</v>
      </c>
      <c r="CF1" s="608"/>
      <c r="CG1" s="609"/>
      <c r="CH1" s="610" t="s">
        <v>6832</v>
      </c>
      <c r="CI1" s="611"/>
      <c r="CJ1" s="447"/>
      <c r="CK1" s="612" t="s">
        <v>16</v>
      </c>
      <c r="CL1" s="613"/>
      <c r="CM1" s="613"/>
      <c r="CN1" s="614"/>
      <c r="CO1" s="599" t="s">
        <v>24</v>
      </c>
      <c r="CP1" s="601"/>
      <c r="CQ1" s="449" t="s">
        <v>25</v>
      </c>
      <c r="CR1" s="447"/>
      <c r="CS1" s="447"/>
      <c r="CT1" s="447"/>
    </row>
    <row r="2" spans="1:98" ht="18" customHeight="1">
      <c r="A2" s="451"/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L2" s="450"/>
      <c r="AM2" s="450"/>
      <c r="AN2" s="450"/>
      <c r="AO2" s="450"/>
      <c r="AP2" s="450"/>
      <c r="AQ2" s="450"/>
      <c r="AR2" s="450"/>
      <c r="AS2" s="450"/>
      <c r="AT2" s="450"/>
      <c r="AU2" s="450"/>
      <c r="AV2" s="450"/>
      <c r="AW2" s="450"/>
      <c r="AX2" s="450"/>
      <c r="AY2" s="450"/>
      <c r="AZ2" s="450"/>
      <c r="BA2" s="450"/>
      <c r="BB2" s="450"/>
      <c r="BC2" s="450"/>
      <c r="BD2" s="450"/>
      <c r="BE2" s="450"/>
      <c r="BF2" s="450"/>
      <c r="BG2" s="452" t="s">
        <v>15</v>
      </c>
      <c r="BH2" s="450"/>
      <c r="BI2" s="450" t="s">
        <v>5582</v>
      </c>
      <c r="BJ2" s="615" t="s">
        <v>78</v>
      </c>
      <c r="BK2" s="616"/>
      <c r="BL2" s="617" t="s">
        <v>354</v>
      </c>
      <c r="BM2" s="618"/>
      <c r="BN2" s="618"/>
      <c r="BO2" s="619"/>
      <c r="BP2" s="450"/>
      <c r="BQ2" s="450"/>
      <c r="BR2" s="450"/>
      <c r="BS2" s="450"/>
      <c r="BT2" s="450"/>
      <c r="BU2" s="450"/>
      <c r="BV2" s="450"/>
      <c r="BW2" s="450"/>
      <c r="BX2" s="450"/>
      <c r="BY2" s="450"/>
      <c r="BZ2" s="450"/>
      <c r="CA2" s="450"/>
      <c r="CB2" s="450"/>
      <c r="CC2" s="450"/>
      <c r="CD2" s="450"/>
      <c r="CE2" s="450"/>
      <c r="CF2" s="450"/>
      <c r="CG2" s="450"/>
      <c r="CH2" s="450"/>
      <c r="CI2" s="450"/>
      <c r="CJ2" s="450"/>
      <c r="CK2" s="450"/>
      <c r="CL2" s="450"/>
      <c r="CM2" s="450"/>
      <c r="CN2" s="450"/>
      <c r="CO2" s="450"/>
      <c r="CP2" s="450"/>
      <c r="CQ2" s="450"/>
      <c r="CR2" s="450"/>
      <c r="CS2" s="450" t="s">
        <v>893</v>
      </c>
      <c r="CT2" s="450"/>
    </row>
    <row r="3" spans="1:98" s="295" customFormat="1" ht="30" customHeight="1">
      <c r="A3" s="416" t="s">
        <v>28</v>
      </c>
      <c r="B3" s="416" t="s">
        <v>29</v>
      </c>
      <c r="C3" s="416" t="s">
        <v>30</v>
      </c>
      <c r="D3" s="416" t="s">
        <v>31</v>
      </c>
      <c r="E3" s="416" t="s">
        <v>32</v>
      </c>
      <c r="F3" s="416" t="s">
        <v>33</v>
      </c>
      <c r="G3" s="416" t="s">
        <v>34</v>
      </c>
      <c r="H3" s="416" t="s">
        <v>35</v>
      </c>
      <c r="I3" s="416" t="s">
        <v>36</v>
      </c>
      <c r="J3" s="416" t="s">
        <v>37</v>
      </c>
      <c r="K3" s="416" t="s">
        <v>38</v>
      </c>
      <c r="L3" s="416" t="s">
        <v>39</v>
      </c>
      <c r="M3" s="416" t="s">
        <v>40</v>
      </c>
      <c r="N3" s="416" t="s">
        <v>41</v>
      </c>
      <c r="O3" s="416" t="s">
        <v>42</v>
      </c>
      <c r="P3" s="416" t="s">
        <v>43</v>
      </c>
      <c r="Q3" s="416" t="s">
        <v>44</v>
      </c>
      <c r="R3" s="416" t="s">
        <v>45</v>
      </c>
      <c r="S3" s="416" t="s">
        <v>46</v>
      </c>
      <c r="T3" s="416" t="s">
        <v>47</v>
      </c>
      <c r="U3" s="416" t="s">
        <v>48</v>
      </c>
      <c r="V3" s="416" t="s">
        <v>49</v>
      </c>
      <c r="W3" s="416" t="s">
        <v>50</v>
      </c>
      <c r="X3" s="416" t="s">
        <v>51</v>
      </c>
      <c r="Y3" s="416" t="s">
        <v>52</v>
      </c>
      <c r="Z3" s="416" t="s">
        <v>53</v>
      </c>
      <c r="AA3" s="416" t="s">
        <v>54</v>
      </c>
      <c r="AB3" s="416" t="s">
        <v>55</v>
      </c>
      <c r="AC3" s="416" t="s">
        <v>56</v>
      </c>
      <c r="AD3" s="416" t="s">
        <v>57</v>
      </c>
      <c r="AE3" s="416" t="s">
        <v>58</v>
      </c>
      <c r="AF3" s="416" t="s">
        <v>59</v>
      </c>
      <c r="AG3" s="416" t="s">
        <v>60</v>
      </c>
      <c r="AH3" s="416" t="s">
        <v>61</v>
      </c>
      <c r="AI3" s="416" t="s">
        <v>62</v>
      </c>
      <c r="AJ3" s="416" t="s">
        <v>63</v>
      </c>
      <c r="AK3" s="416" t="s">
        <v>64</v>
      </c>
      <c r="AL3" s="416" t="s">
        <v>65</v>
      </c>
      <c r="AM3" s="405" t="s">
        <v>66</v>
      </c>
      <c r="AN3" s="416" t="s">
        <v>8464</v>
      </c>
      <c r="AO3" s="416" t="s">
        <v>68</v>
      </c>
      <c r="AP3" s="416" t="s">
        <v>69</v>
      </c>
      <c r="AQ3" s="416" t="s">
        <v>70</v>
      </c>
      <c r="AR3" s="416" t="s">
        <v>8795</v>
      </c>
      <c r="AS3" s="416" t="s">
        <v>360</v>
      </c>
      <c r="AT3" s="416" t="s">
        <v>56</v>
      </c>
      <c r="AU3" s="416" t="s">
        <v>73</v>
      </c>
      <c r="AV3" s="416" t="s">
        <v>46</v>
      </c>
      <c r="AW3" s="416" t="s">
        <v>895</v>
      </c>
      <c r="AX3" s="416" t="s">
        <v>75</v>
      </c>
      <c r="AY3" s="416" t="s">
        <v>76</v>
      </c>
      <c r="AZ3" s="416" t="s">
        <v>77</v>
      </c>
      <c r="BA3" s="416" t="s">
        <v>56</v>
      </c>
      <c r="BB3" s="416" t="s">
        <v>78</v>
      </c>
      <c r="BC3" s="416" t="s">
        <v>5582</v>
      </c>
      <c r="BD3" s="416" t="s">
        <v>79</v>
      </c>
      <c r="BE3" s="416" t="s">
        <v>80</v>
      </c>
      <c r="BF3" s="416" t="s">
        <v>38</v>
      </c>
      <c r="BG3" s="416" t="s">
        <v>81</v>
      </c>
      <c r="BH3" s="416" t="s">
        <v>82</v>
      </c>
      <c r="BI3" s="416" t="s">
        <v>83</v>
      </c>
      <c r="BJ3" s="416" t="s">
        <v>83</v>
      </c>
      <c r="BK3" s="416" t="s">
        <v>81</v>
      </c>
      <c r="BL3" s="416" t="s">
        <v>96</v>
      </c>
      <c r="BM3" s="416" t="s">
        <v>84</v>
      </c>
      <c r="BN3" s="416" t="s">
        <v>85</v>
      </c>
      <c r="BO3" s="416" t="s">
        <v>86</v>
      </c>
      <c r="BP3" s="416" t="s">
        <v>73</v>
      </c>
      <c r="BQ3" s="416" t="s">
        <v>87</v>
      </c>
      <c r="BR3" s="416" t="s">
        <v>56</v>
      </c>
      <c r="BS3" s="416" t="s">
        <v>83</v>
      </c>
      <c r="BT3" s="416" t="s">
        <v>88</v>
      </c>
      <c r="BU3" s="416" t="s">
        <v>89</v>
      </c>
      <c r="BV3" s="414"/>
      <c r="BW3" s="416" t="s">
        <v>90</v>
      </c>
      <c r="BX3" s="416" t="s">
        <v>91</v>
      </c>
      <c r="BY3" s="416" t="s">
        <v>8532</v>
      </c>
      <c r="BZ3" s="416" t="s">
        <v>93</v>
      </c>
      <c r="CA3" s="416" t="s">
        <v>94</v>
      </c>
      <c r="CB3" s="416" t="s">
        <v>56</v>
      </c>
      <c r="CC3" s="416" t="s">
        <v>73</v>
      </c>
      <c r="CD3" s="416" t="s">
        <v>22</v>
      </c>
      <c r="CE3" s="416" t="s">
        <v>56</v>
      </c>
      <c r="CF3" s="416" t="s">
        <v>73</v>
      </c>
      <c r="CG3" s="416" t="s">
        <v>1275</v>
      </c>
      <c r="CH3" s="416" t="s">
        <v>83</v>
      </c>
      <c r="CI3" s="416" t="s">
        <v>88</v>
      </c>
      <c r="CJ3" s="416" t="s">
        <v>896</v>
      </c>
      <c r="CK3" s="416" t="s">
        <v>96</v>
      </c>
      <c r="CL3" s="416" t="s">
        <v>97</v>
      </c>
      <c r="CM3" s="416" t="s">
        <v>98</v>
      </c>
      <c r="CN3" s="416" t="s">
        <v>360</v>
      </c>
      <c r="CO3" s="416" t="s">
        <v>73</v>
      </c>
      <c r="CP3" s="416" t="s">
        <v>56</v>
      </c>
      <c r="CQ3" s="416" t="s">
        <v>99</v>
      </c>
      <c r="CR3" s="416" t="s">
        <v>56</v>
      </c>
      <c r="CS3" s="414"/>
      <c r="CT3" s="416" t="s">
        <v>100</v>
      </c>
    </row>
    <row r="4" spans="1:98" s="295" customFormat="1" ht="27" customHeight="1">
      <c r="A4" s="409" t="s">
        <v>8849</v>
      </c>
      <c r="B4" s="409" t="s">
        <v>8850</v>
      </c>
      <c r="C4" s="410">
        <v>45</v>
      </c>
      <c r="D4" s="409" t="s">
        <v>8851</v>
      </c>
      <c r="E4" s="409" t="s">
        <v>8852</v>
      </c>
      <c r="F4" s="409" t="s">
        <v>624</v>
      </c>
      <c r="G4" s="409"/>
      <c r="H4" s="409"/>
      <c r="I4" s="409"/>
      <c r="J4" s="410">
        <v>1</v>
      </c>
      <c r="K4" s="409"/>
      <c r="L4" s="409"/>
      <c r="M4" s="410">
        <v>1</v>
      </c>
      <c r="N4" s="409"/>
      <c r="O4" s="409"/>
      <c r="P4" s="409"/>
      <c r="Q4" s="410">
        <v>1</v>
      </c>
      <c r="R4" s="409"/>
      <c r="S4" s="409"/>
      <c r="T4" s="409"/>
      <c r="U4" s="409"/>
      <c r="V4" s="410">
        <v>1</v>
      </c>
      <c r="W4" s="410">
        <v>15</v>
      </c>
      <c r="X4" s="410">
        <v>24</v>
      </c>
      <c r="Y4" s="410">
        <v>36</v>
      </c>
      <c r="Z4" s="410">
        <v>1</v>
      </c>
      <c r="AA4" s="410">
        <v>1</v>
      </c>
      <c r="AB4" s="410">
        <v>1</v>
      </c>
      <c r="AC4" s="409"/>
      <c r="AD4" s="410">
        <v>1</v>
      </c>
      <c r="AE4" s="409"/>
      <c r="AF4" s="409"/>
      <c r="AG4" s="409"/>
      <c r="AH4" s="409"/>
      <c r="AI4" s="410">
        <v>1</v>
      </c>
      <c r="AJ4" s="409"/>
      <c r="AK4" s="410">
        <v>1</v>
      </c>
      <c r="AL4" s="409"/>
      <c r="AM4" s="409"/>
      <c r="AN4" s="409"/>
      <c r="AO4" s="409"/>
      <c r="AP4" s="409"/>
      <c r="AQ4" s="409"/>
      <c r="AR4" s="409"/>
      <c r="AS4" s="409"/>
      <c r="AT4" s="410">
        <v>1</v>
      </c>
      <c r="AU4" s="409"/>
      <c r="AV4" s="409"/>
      <c r="AW4" s="410">
        <v>1</v>
      </c>
      <c r="AX4" s="409"/>
      <c r="AY4" s="409"/>
      <c r="AZ4" s="409"/>
      <c r="BA4" s="410">
        <v>1</v>
      </c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09"/>
      <c r="BN4" s="409"/>
      <c r="BO4" s="409" t="s">
        <v>930</v>
      </c>
      <c r="BP4" s="409"/>
      <c r="BQ4" s="409"/>
      <c r="BR4" s="409"/>
      <c r="BS4" s="409"/>
      <c r="BT4" s="409"/>
      <c r="BU4" s="410">
        <v>1</v>
      </c>
      <c r="BV4" s="409"/>
      <c r="BW4" s="409"/>
      <c r="BX4" s="409"/>
      <c r="BY4" s="409"/>
      <c r="BZ4" s="410">
        <v>1</v>
      </c>
      <c r="CA4" s="409"/>
      <c r="CB4" s="410">
        <v>1</v>
      </c>
      <c r="CC4" s="409"/>
      <c r="CD4" s="409"/>
      <c r="CE4" s="410">
        <v>1</v>
      </c>
      <c r="CF4" s="409"/>
      <c r="CG4" s="409"/>
      <c r="CH4" s="409"/>
      <c r="CI4" s="409"/>
      <c r="CJ4" s="409"/>
      <c r="CK4" s="409"/>
      <c r="CL4" s="409"/>
      <c r="CM4" s="409"/>
      <c r="CN4" s="410">
        <v>1</v>
      </c>
      <c r="CO4" s="409"/>
      <c r="CP4" s="409"/>
      <c r="CQ4" s="409"/>
      <c r="CR4" s="409"/>
      <c r="CS4" s="409"/>
      <c r="CT4" s="409" t="s">
        <v>8853</v>
      </c>
    </row>
    <row r="5" spans="1:98" s="295" customFormat="1" ht="21" customHeight="1">
      <c r="A5" s="409" t="s">
        <v>8854</v>
      </c>
      <c r="B5" s="409" t="s">
        <v>8855</v>
      </c>
      <c r="C5" s="410">
        <v>50</v>
      </c>
      <c r="D5" s="409" t="s">
        <v>8856</v>
      </c>
      <c r="E5" s="409" t="s">
        <v>8857</v>
      </c>
      <c r="F5" s="409" t="s">
        <v>112</v>
      </c>
      <c r="G5" s="409"/>
      <c r="H5" s="409"/>
      <c r="I5" s="410">
        <v>1</v>
      </c>
      <c r="J5" s="409"/>
      <c r="K5" s="409"/>
      <c r="L5" s="409"/>
      <c r="M5" s="410">
        <v>1</v>
      </c>
      <c r="N5" s="409"/>
      <c r="O5" s="409"/>
      <c r="P5" s="409"/>
      <c r="Q5" s="409"/>
      <c r="R5" s="410">
        <v>1</v>
      </c>
      <c r="S5" s="409"/>
      <c r="T5" s="410">
        <v>1</v>
      </c>
      <c r="U5" s="409"/>
      <c r="V5" s="409"/>
      <c r="W5" s="410">
        <v>16</v>
      </c>
      <c r="X5" s="410">
        <v>18</v>
      </c>
      <c r="Y5" s="410">
        <v>19</v>
      </c>
      <c r="Z5" s="410">
        <v>8</v>
      </c>
      <c r="AA5" s="410">
        <v>7</v>
      </c>
      <c r="AB5" s="410">
        <v>6</v>
      </c>
      <c r="AC5" s="409"/>
      <c r="AD5" s="409"/>
      <c r="AE5" s="410">
        <v>1</v>
      </c>
      <c r="AF5" s="409"/>
      <c r="AG5" s="410">
        <v>1</v>
      </c>
      <c r="AH5" s="410">
        <v>1</v>
      </c>
      <c r="AI5" s="410">
        <v>1</v>
      </c>
      <c r="AJ5" s="409"/>
      <c r="AK5" s="410">
        <v>1</v>
      </c>
      <c r="AL5" s="409"/>
      <c r="AM5" s="409"/>
      <c r="AN5" s="409"/>
      <c r="AO5" s="409"/>
      <c r="AP5" s="409"/>
      <c r="AQ5" s="409"/>
      <c r="AR5" s="409"/>
      <c r="AS5" s="409"/>
      <c r="AT5" s="410">
        <v>1</v>
      </c>
      <c r="AU5" s="409"/>
      <c r="AV5" s="409"/>
      <c r="AW5" s="410">
        <v>1</v>
      </c>
      <c r="AX5" s="409"/>
      <c r="AY5" s="409"/>
      <c r="AZ5" s="409"/>
      <c r="BA5" s="409"/>
      <c r="BB5" s="410">
        <v>1</v>
      </c>
      <c r="BC5" s="409"/>
      <c r="BD5" s="409"/>
      <c r="BE5" s="409"/>
      <c r="BF5" s="409"/>
      <c r="BG5" s="410">
        <v>1</v>
      </c>
      <c r="BH5" s="409"/>
      <c r="BI5" s="409"/>
      <c r="BJ5" s="409"/>
      <c r="BK5" s="409"/>
      <c r="BL5" s="410">
        <v>1</v>
      </c>
      <c r="BM5" s="409"/>
      <c r="BN5" s="409"/>
      <c r="BO5" s="409"/>
      <c r="BP5" s="409"/>
      <c r="BQ5" s="409"/>
      <c r="BR5" s="409"/>
      <c r="BS5" s="409"/>
      <c r="BT5" s="409"/>
      <c r="BU5" s="409"/>
      <c r="BV5" s="409"/>
      <c r="BW5" s="409"/>
      <c r="BX5" s="409"/>
      <c r="BY5" s="410">
        <v>1</v>
      </c>
      <c r="BZ5" s="409"/>
      <c r="CA5" s="409"/>
      <c r="CB5" s="410">
        <v>1</v>
      </c>
      <c r="CC5" s="409"/>
      <c r="CD5" s="409"/>
      <c r="CE5" s="410">
        <v>1</v>
      </c>
      <c r="CF5" s="409"/>
      <c r="CG5" s="409"/>
      <c r="CH5" s="409"/>
      <c r="CI5" s="409"/>
      <c r="CJ5" s="409"/>
      <c r="CK5" s="409"/>
      <c r="CL5" s="409"/>
      <c r="CM5" s="409"/>
      <c r="CN5" s="410">
        <v>1</v>
      </c>
      <c r="CO5" s="409"/>
      <c r="CP5" s="409"/>
      <c r="CQ5" s="409"/>
      <c r="CR5" s="409"/>
      <c r="CS5" s="409"/>
      <c r="CT5" s="409" t="s">
        <v>6581</v>
      </c>
    </row>
    <row r="6" spans="1:98" s="295" customFormat="1" ht="20.25" customHeight="1">
      <c r="A6" s="409" t="s">
        <v>8858</v>
      </c>
      <c r="B6" s="409" t="s">
        <v>8859</v>
      </c>
      <c r="C6" s="410">
        <v>28</v>
      </c>
      <c r="D6" s="409" t="s">
        <v>1149</v>
      </c>
      <c r="E6" s="409" t="s">
        <v>8860</v>
      </c>
      <c r="F6" s="409" t="s">
        <v>330</v>
      </c>
      <c r="G6" s="409"/>
      <c r="H6" s="409"/>
      <c r="I6" s="409"/>
      <c r="J6" s="410">
        <v>1</v>
      </c>
      <c r="K6" s="409"/>
      <c r="L6" s="409"/>
      <c r="M6" s="410">
        <v>1</v>
      </c>
      <c r="N6" s="409"/>
      <c r="O6" s="409"/>
      <c r="P6" s="409"/>
      <c r="Q6" s="410">
        <v>1</v>
      </c>
      <c r="R6" s="409"/>
      <c r="S6" s="409"/>
      <c r="T6" s="409"/>
      <c r="U6" s="409"/>
      <c r="V6" s="410">
        <v>1</v>
      </c>
      <c r="W6" s="410">
        <v>12</v>
      </c>
      <c r="X6" s="410">
        <v>19</v>
      </c>
      <c r="Y6" s="410">
        <v>22</v>
      </c>
      <c r="Z6" s="410">
        <v>3</v>
      </c>
      <c r="AA6" s="410">
        <v>3</v>
      </c>
      <c r="AB6" s="410">
        <v>3</v>
      </c>
      <c r="AC6" s="410">
        <v>1</v>
      </c>
      <c r="AD6" s="409"/>
      <c r="AE6" s="409"/>
      <c r="AF6" s="409"/>
      <c r="AG6" s="409"/>
      <c r="AH6" s="409"/>
      <c r="AI6" s="410">
        <v>1</v>
      </c>
      <c r="AJ6" s="409"/>
      <c r="AK6" s="410">
        <v>1</v>
      </c>
      <c r="AL6" s="409"/>
      <c r="AM6" s="409"/>
      <c r="AN6" s="409"/>
      <c r="AO6" s="409"/>
      <c r="AP6" s="409"/>
      <c r="AQ6" s="409"/>
      <c r="AR6" s="409"/>
      <c r="AS6" s="409"/>
      <c r="AT6" s="410">
        <v>1</v>
      </c>
      <c r="AU6" s="409"/>
      <c r="AV6" s="409"/>
      <c r="AW6" s="409"/>
      <c r="AX6" s="410">
        <v>1</v>
      </c>
      <c r="AY6" s="409"/>
      <c r="AZ6" s="409"/>
      <c r="BA6" s="410">
        <v>1</v>
      </c>
      <c r="BB6" s="409"/>
      <c r="BC6" s="409"/>
      <c r="BD6" s="409"/>
      <c r="BE6" s="409"/>
      <c r="BF6" s="409"/>
      <c r="BG6" s="409"/>
      <c r="BH6" s="409"/>
      <c r="BI6" s="409"/>
      <c r="BJ6" s="410">
        <v>1</v>
      </c>
      <c r="BK6" s="409"/>
      <c r="BL6" s="409"/>
      <c r="BM6" s="409"/>
      <c r="BN6" s="409"/>
      <c r="BO6" s="409"/>
      <c r="BP6" s="409"/>
      <c r="BQ6" s="409"/>
      <c r="BR6" s="409"/>
      <c r="BS6" s="409"/>
      <c r="BT6" s="409"/>
      <c r="BU6" s="409"/>
      <c r="BV6" s="409"/>
      <c r="BW6" s="409"/>
      <c r="BX6" s="410">
        <v>1</v>
      </c>
      <c r="BY6" s="410">
        <v>1</v>
      </c>
      <c r="BZ6" s="409"/>
      <c r="CA6" s="409"/>
      <c r="CB6" s="410">
        <v>1</v>
      </c>
      <c r="CC6" s="409"/>
      <c r="CD6" s="409"/>
      <c r="CE6" s="410">
        <v>1</v>
      </c>
      <c r="CF6" s="409"/>
      <c r="CG6" s="409"/>
      <c r="CH6" s="409"/>
      <c r="CI6" s="409"/>
      <c r="CJ6" s="409"/>
      <c r="CK6" s="409"/>
      <c r="CL6" s="410">
        <v>1</v>
      </c>
      <c r="CM6" s="409"/>
      <c r="CN6" s="409"/>
      <c r="CO6" s="409"/>
      <c r="CP6" s="409"/>
      <c r="CQ6" s="409"/>
      <c r="CR6" s="409"/>
      <c r="CS6" s="409" t="s">
        <v>8861</v>
      </c>
      <c r="CT6" s="411">
        <v>45992</v>
      </c>
    </row>
    <row r="7" spans="1:98" s="295" customFormat="1" ht="18.75" customHeight="1">
      <c r="A7" s="409" t="s">
        <v>8862</v>
      </c>
      <c r="B7" s="409" t="s">
        <v>8863</v>
      </c>
      <c r="C7" s="410">
        <v>34</v>
      </c>
      <c r="D7" s="409" t="s">
        <v>8864</v>
      </c>
      <c r="E7" s="409" t="s">
        <v>8865</v>
      </c>
      <c r="F7" s="409" t="s">
        <v>112</v>
      </c>
      <c r="G7" s="409"/>
      <c r="H7" s="410">
        <v>1</v>
      </c>
      <c r="I7" s="409"/>
      <c r="J7" s="409"/>
      <c r="K7" s="409"/>
      <c r="L7" s="409"/>
      <c r="M7" s="410">
        <v>1</v>
      </c>
      <c r="N7" s="409"/>
      <c r="O7" s="409"/>
      <c r="P7" s="409"/>
      <c r="Q7" s="410">
        <v>1</v>
      </c>
      <c r="R7" s="409"/>
      <c r="S7" s="409"/>
      <c r="T7" s="409"/>
      <c r="U7" s="410">
        <v>1</v>
      </c>
      <c r="V7" s="409"/>
      <c r="W7" s="410">
        <v>14</v>
      </c>
      <c r="X7" s="410">
        <v>24</v>
      </c>
      <c r="Y7" s="410">
        <v>27</v>
      </c>
      <c r="Z7" s="410">
        <v>2</v>
      </c>
      <c r="AA7" s="410">
        <v>2</v>
      </c>
      <c r="AB7" s="410">
        <v>2</v>
      </c>
      <c r="AC7" s="409"/>
      <c r="AD7" s="409"/>
      <c r="AE7" s="410">
        <v>1</v>
      </c>
      <c r="AF7" s="410">
        <v>1</v>
      </c>
      <c r="AG7" s="409"/>
      <c r="AH7" s="410">
        <v>1</v>
      </c>
      <c r="AI7" s="409"/>
      <c r="AJ7" s="410">
        <v>1</v>
      </c>
      <c r="AK7" s="410">
        <v>1</v>
      </c>
      <c r="AL7" s="409"/>
      <c r="AM7" s="409"/>
      <c r="AN7" s="409"/>
      <c r="AO7" s="409"/>
      <c r="AP7" s="409"/>
      <c r="AQ7" s="409"/>
      <c r="AR7" s="409"/>
      <c r="AS7" s="409"/>
      <c r="AT7" s="410">
        <v>1</v>
      </c>
      <c r="AU7" s="409"/>
      <c r="AV7" s="409"/>
      <c r="AW7" s="410">
        <v>1</v>
      </c>
      <c r="AX7" s="409"/>
      <c r="AY7" s="409"/>
      <c r="AZ7" s="409"/>
      <c r="BA7" s="409"/>
      <c r="BB7" s="410">
        <v>1</v>
      </c>
      <c r="BC7" s="409"/>
      <c r="BD7" s="409"/>
      <c r="BE7" s="409"/>
      <c r="BF7" s="409"/>
      <c r="BG7" s="410">
        <v>1</v>
      </c>
      <c r="BH7" s="409"/>
      <c r="BI7" s="409"/>
      <c r="BJ7" s="409"/>
      <c r="BK7" s="410">
        <v>1</v>
      </c>
      <c r="BL7" s="409"/>
      <c r="BM7" s="409"/>
      <c r="BN7" s="409"/>
      <c r="BO7" s="409"/>
      <c r="BP7" s="409"/>
      <c r="BQ7" s="409"/>
      <c r="BR7" s="409"/>
      <c r="BS7" s="409"/>
      <c r="BT7" s="409"/>
      <c r="BU7" s="409"/>
      <c r="BV7" s="409"/>
      <c r="BW7" s="409"/>
      <c r="BX7" s="409"/>
      <c r="BY7" s="409"/>
      <c r="BZ7" s="409"/>
      <c r="CA7" s="409"/>
      <c r="CB7" s="410">
        <v>1</v>
      </c>
      <c r="CC7" s="409"/>
      <c r="CD7" s="409"/>
      <c r="CE7" s="410">
        <v>1</v>
      </c>
      <c r="CF7" s="409"/>
      <c r="CG7" s="409"/>
      <c r="CH7" s="409"/>
      <c r="CI7" s="409"/>
      <c r="CJ7" s="409"/>
      <c r="CK7" s="409"/>
      <c r="CL7" s="409"/>
      <c r="CM7" s="409"/>
      <c r="CN7" s="410">
        <v>1</v>
      </c>
      <c r="CO7" s="409"/>
      <c r="CP7" s="409"/>
      <c r="CQ7" s="409"/>
      <c r="CR7" s="409"/>
      <c r="CS7" s="409"/>
      <c r="CT7" s="411">
        <v>46722</v>
      </c>
    </row>
    <row r="8" spans="1:98" s="295" customFormat="1" ht="20.25" customHeight="1">
      <c r="A8" s="409" t="s">
        <v>8866</v>
      </c>
      <c r="B8" s="409" t="s">
        <v>8867</v>
      </c>
      <c r="C8" s="410">
        <v>28</v>
      </c>
      <c r="D8" s="409" t="s">
        <v>1107</v>
      </c>
      <c r="E8" s="409" t="s">
        <v>8868</v>
      </c>
      <c r="F8" s="409" t="s">
        <v>8869</v>
      </c>
      <c r="G8" s="409"/>
      <c r="H8" s="409"/>
      <c r="I8" s="410">
        <v>1</v>
      </c>
      <c r="J8" s="409"/>
      <c r="K8" s="409"/>
      <c r="L8" s="409"/>
      <c r="M8" s="409"/>
      <c r="N8" s="409"/>
      <c r="O8" s="410">
        <v>1</v>
      </c>
      <c r="P8" s="409"/>
      <c r="Q8" s="409"/>
      <c r="R8" s="410">
        <v>1</v>
      </c>
      <c r="S8" s="409"/>
      <c r="T8" s="409"/>
      <c r="U8" s="409"/>
      <c r="V8" s="410">
        <v>1</v>
      </c>
      <c r="W8" s="410">
        <v>14</v>
      </c>
      <c r="X8" s="410">
        <v>19</v>
      </c>
      <c r="Y8" s="410">
        <v>20</v>
      </c>
      <c r="Z8" s="410">
        <v>1</v>
      </c>
      <c r="AA8" s="410">
        <v>1</v>
      </c>
      <c r="AB8" s="410">
        <v>1</v>
      </c>
      <c r="AC8" s="410">
        <v>1</v>
      </c>
      <c r="AD8" s="409"/>
      <c r="AE8" s="409"/>
      <c r="AF8" s="409"/>
      <c r="AG8" s="409"/>
      <c r="AH8" s="409"/>
      <c r="AI8" s="409"/>
      <c r="AJ8" s="410">
        <v>1</v>
      </c>
      <c r="AK8" s="410">
        <v>1</v>
      </c>
      <c r="AL8" s="409"/>
      <c r="AM8" s="409"/>
      <c r="AN8" s="409"/>
      <c r="AO8" s="409"/>
      <c r="AP8" s="409"/>
      <c r="AQ8" s="409"/>
      <c r="AR8" s="409"/>
      <c r="AS8" s="409"/>
      <c r="AT8" s="410">
        <v>1</v>
      </c>
      <c r="AU8" s="409"/>
      <c r="AV8" s="409"/>
      <c r="AW8" s="409"/>
      <c r="AX8" s="410">
        <v>1</v>
      </c>
      <c r="AY8" s="409"/>
      <c r="AZ8" s="409"/>
      <c r="BA8" s="410">
        <v>1</v>
      </c>
      <c r="BB8" s="409"/>
      <c r="BC8" s="409"/>
      <c r="BD8" s="409"/>
      <c r="BE8" s="409"/>
      <c r="BF8" s="409"/>
      <c r="BG8" s="409"/>
      <c r="BH8" s="409"/>
      <c r="BI8" s="409"/>
      <c r="BJ8" s="409"/>
      <c r="BK8" s="410">
        <v>1</v>
      </c>
      <c r="BL8" s="409"/>
      <c r="BM8" s="409"/>
      <c r="BN8" s="409"/>
      <c r="BO8" s="409"/>
      <c r="BP8" s="409"/>
      <c r="BQ8" s="409"/>
      <c r="BR8" s="409"/>
      <c r="BS8" s="409"/>
      <c r="BT8" s="409"/>
      <c r="BU8" s="409"/>
      <c r="BV8" s="409"/>
      <c r="BW8" s="409"/>
      <c r="BX8" s="409"/>
      <c r="BY8" s="409"/>
      <c r="BZ8" s="409"/>
      <c r="CA8" s="409"/>
      <c r="CB8" s="410">
        <v>1</v>
      </c>
      <c r="CC8" s="409"/>
      <c r="CD8" s="409"/>
      <c r="CE8" s="410">
        <v>1</v>
      </c>
      <c r="CF8" s="409"/>
      <c r="CG8" s="409"/>
      <c r="CH8" s="409"/>
      <c r="CI8" s="409"/>
      <c r="CJ8" s="409"/>
      <c r="CK8" s="410">
        <v>1</v>
      </c>
      <c r="CL8" s="409"/>
      <c r="CM8" s="409"/>
      <c r="CN8" s="409"/>
      <c r="CO8" s="409"/>
      <c r="CP8" s="409"/>
      <c r="CQ8" s="409"/>
      <c r="CR8" s="409"/>
      <c r="CS8" s="409"/>
      <c r="CT8" s="411">
        <v>46722</v>
      </c>
    </row>
  </sheetData>
  <mergeCells count="24">
    <mergeCell ref="AV1:AZ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BA1:BC1"/>
    <mergeCell ref="BD1:BF1"/>
    <mergeCell ref="BI1:BO1"/>
    <mergeCell ref="BP1:BR1"/>
    <mergeCell ref="BS1:BT1"/>
    <mergeCell ref="CE1:CG1"/>
    <mergeCell ref="CH1:CI1"/>
    <mergeCell ref="CK1:CN1"/>
    <mergeCell ref="CO1:CP1"/>
    <mergeCell ref="BJ2:BK2"/>
    <mergeCell ref="BL2:BO2"/>
    <mergeCell ref="BW1:CA1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opLeftCell="Q1" workbookViewId="0">
      <selection activeCell="AG6" sqref="AG6"/>
    </sheetView>
  </sheetViews>
  <sheetFormatPr defaultRowHeight="15"/>
  <cols>
    <col min="1" max="1" width="19.140625" customWidth="1"/>
    <col min="12" max="12" width="11" customWidth="1"/>
    <col min="13" max="13" width="14.42578125" customWidth="1"/>
    <col min="19" max="19" width="11.85546875" customWidth="1"/>
    <col min="24" max="24" width="11.42578125" customWidth="1"/>
    <col min="25" max="25" width="13.28515625" customWidth="1"/>
    <col min="28" max="29" width="15.28515625" customWidth="1"/>
    <col min="33" max="33" width="13.7109375" customWidth="1"/>
  </cols>
  <sheetData>
    <row r="1" spans="1:33" ht="30.75" customHeight="1" thickBot="1">
      <c r="A1" s="602" t="s">
        <v>351</v>
      </c>
      <c r="B1" s="604" t="s">
        <v>352</v>
      </c>
      <c r="C1" s="605"/>
      <c r="D1" s="605"/>
      <c r="E1" s="606"/>
      <c r="F1" s="599" t="s">
        <v>353</v>
      </c>
      <c r="G1" s="600"/>
      <c r="H1" s="601"/>
      <c r="I1" s="447"/>
      <c r="J1" s="447"/>
      <c r="K1" s="599" t="s">
        <v>354</v>
      </c>
      <c r="L1" s="600"/>
      <c r="M1" s="600"/>
      <c r="N1" s="600"/>
      <c r="O1" s="600"/>
      <c r="P1" s="601"/>
      <c r="Q1" s="599" t="s">
        <v>355</v>
      </c>
      <c r="R1" s="600"/>
      <c r="S1" s="600"/>
      <c r="T1" s="601"/>
      <c r="U1" s="599" t="s">
        <v>356</v>
      </c>
      <c r="V1" s="600"/>
      <c r="W1" s="600"/>
      <c r="X1" s="600"/>
      <c r="Y1" s="600"/>
      <c r="Z1" s="601"/>
      <c r="AA1" s="599" t="s">
        <v>357</v>
      </c>
      <c r="AB1" s="600"/>
      <c r="AC1" s="600"/>
      <c r="AD1" s="600"/>
      <c r="AE1" s="601"/>
      <c r="AF1" s="566" t="s">
        <v>356</v>
      </c>
      <c r="AG1" s="567"/>
    </row>
    <row r="2" spans="1:33" ht="30.75" thickBot="1">
      <c r="A2" s="603"/>
      <c r="B2" s="453" t="s">
        <v>358</v>
      </c>
      <c r="C2" s="453" t="s">
        <v>359</v>
      </c>
      <c r="D2" s="453" t="s">
        <v>360</v>
      </c>
      <c r="E2" s="453" t="s">
        <v>361</v>
      </c>
      <c r="F2" s="301" t="s">
        <v>3106</v>
      </c>
      <c r="G2" s="301" t="s">
        <v>358</v>
      </c>
      <c r="H2" s="302" t="s">
        <v>362</v>
      </c>
      <c r="I2" s="301" t="s">
        <v>3429</v>
      </c>
      <c r="J2" s="303" t="s">
        <v>361</v>
      </c>
      <c r="K2" s="301" t="s">
        <v>96</v>
      </c>
      <c r="L2" s="301" t="s">
        <v>84</v>
      </c>
      <c r="M2" s="301" t="s">
        <v>98</v>
      </c>
      <c r="N2" s="301" t="s">
        <v>38</v>
      </c>
      <c r="O2" s="301" t="s">
        <v>930</v>
      </c>
      <c r="P2" s="303" t="s">
        <v>361</v>
      </c>
      <c r="Q2" s="301" t="s">
        <v>91</v>
      </c>
      <c r="R2" s="301" t="s">
        <v>362</v>
      </c>
      <c r="S2" s="301" t="s">
        <v>363</v>
      </c>
      <c r="T2" s="303" t="s">
        <v>361</v>
      </c>
      <c r="U2" s="301" t="s">
        <v>364</v>
      </c>
      <c r="V2" s="301" t="s">
        <v>91</v>
      </c>
      <c r="W2" s="301" t="s">
        <v>365</v>
      </c>
      <c r="X2" s="301" t="s">
        <v>366</v>
      </c>
      <c r="Y2" s="301" t="s">
        <v>367</v>
      </c>
      <c r="Z2" s="407"/>
      <c r="AA2" s="454" t="s">
        <v>96</v>
      </c>
      <c r="AB2" s="454" t="s">
        <v>97</v>
      </c>
      <c r="AC2" s="454" t="s">
        <v>98</v>
      </c>
      <c r="AD2" s="454" t="s">
        <v>360</v>
      </c>
      <c r="AE2" s="454" t="s">
        <v>369</v>
      </c>
      <c r="AF2" s="301" t="s">
        <v>365</v>
      </c>
      <c r="AG2" s="417" t="s">
        <v>3430</v>
      </c>
    </row>
    <row r="3" spans="1:33" ht="22.5" customHeight="1" thickBot="1">
      <c r="A3" s="418" t="s">
        <v>8870</v>
      </c>
      <c r="B3" s="307">
        <v>2</v>
      </c>
      <c r="C3" s="307">
        <v>0</v>
      </c>
      <c r="D3" s="307">
        <v>0</v>
      </c>
      <c r="E3" s="307">
        <v>2</v>
      </c>
      <c r="F3" s="420">
        <v>1</v>
      </c>
      <c r="G3" s="420">
        <v>1</v>
      </c>
      <c r="H3" s="420">
        <v>0</v>
      </c>
      <c r="I3" s="420">
        <v>0</v>
      </c>
      <c r="J3" s="419">
        <v>2</v>
      </c>
      <c r="K3" s="420">
        <v>0</v>
      </c>
      <c r="L3" s="420">
        <v>0</v>
      </c>
      <c r="M3" s="420">
        <v>0</v>
      </c>
      <c r="N3" s="420">
        <v>0</v>
      </c>
      <c r="O3" s="420">
        <v>0</v>
      </c>
      <c r="P3" s="419">
        <v>0</v>
      </c>
      <c r="Q3" s="420">
        <v>1</v>
      </c>
      <c r="R3" s="420">
        <v>0</v>
      </c>
      <c r="S3" s="420">
        <v>1</v>
      </c>
      <c r="T3" s="419">
        <v>2</v>
      </c>
      <c r="U3" s="420">
        <v>0</v>
      </c>
      <c r="V3" s="420">
        <v>0</v>
      </c>
      <c r="W3" s="420">
        <v>0</v>
      </c>
      <c r="X3" s="420">
        <v>0</v>
      </c>
      <c r="Y3" s="420">
        <v>0</v>
      </c>
      <c r="Z3" s="407"/>
      <c r="AA3" s="421">
        <v>1</v>
      </c>
      <c r="AB3" s="421">
        <v>1</v>
      </c>
      <c r="AC3" s="421">
        <v>0</v>
      </c>
      <c r="AD3" s="421">
        <v>0</v>
      </c>
      <c r="AE3" s="311">
        <v>2</v>
      </c>
      <c r="AF3" s="421">
        <v>0</v>
      </c>
      <c r="AG3" s="421">
        <v>1</v>
      </c>
    </row>
    <row r="4" spans="1:33" ht="16.5" customHeight="1" thickBot="1">
      <c r="A4" s="418" t="s">
        <v>1463</v>
      </c>
      <c r="B4" s="307">
        <v>1</v>
      </c>
      <c r="C4" s="307">
        <v>0</v>
      </c>
      <c r="D4" s="307">
        <v>0</v>
      </c>
      <c r="E4" s="307">
        <v>1</v>
      </c>
      <c r="F4" s="420">
        <v>0</v>
      </c>
      <c r="G4" s="420">
        <v>1</v>
      </c>
      <c r="H4" s="420">
        <v>0</v>
      </c>
      <c r="I4" s="420">
        <v>0</v>
      </c>
      <c r="J4" s="419">
        <v>1</v>
      </c>
      <c r="K4" s="420">
        <v>0</v>
      </c>
      <c r="L4" s="420">
        <v>0</v>
      </c>
      <c r="M4" s="420">
        <v>0</v>
      </c>
      <c r="N4" s="420">
        <v>0</v>
      </c>
      <c r="O4" s="420">
        <v>0</v>
      </c>
      <c r="P4" s="419">
        <v>0</v>
      </c>
      <c r="Q4" s="420">
        <v>0</v>
      </c>
      <c r="R4" s="420">
        <v>0</v>
      </c>
      <c r="S4" s="420">
        <v>0</v>
      </c>
      <c r="T4" s="419">
        <v>0</v>
      </c>
      <c r="U4" s="420">
        <v>0</v>
      </c>
      <c r="V4" s="420">
        <v>0</v>
      </c>
      <c r="W4" s="420">
        <v>0</v>
      </c>
      <c r="X4" s="420">
        <v>0</v>
      </c>
      <c r="Y4" s="420">
        <v>0</v>
      </c>
      <c r="Z4" s="407"/>
      <c r="AA4" s="421">
        <v>0</v>
      </c>
      <c r="AB4" s="421">
        <v>0</v>
      </c>
      <c r="AC4" s="421">
        <v>0</v>
      </c>
      <c r="AD4" s="421">
        <v>1</v>
      </c>
      <c r="AE4" s="311">
        <v>1</v>
      </c>
      <c r="AF4" s="421">
        <v>0</v>
      </c>
      <c r="AG4" s="421">
        <v>0</v>
      </c>
    </row>
    <row r="5" spans="1:33" ht="18" customHeight="1" thickBot="1">
      <c r="A5" s="418" t="s">
        <v>1444</v>
      </c>
      <c r="B5" s="307">
        <v>2</v>
      </c>
      <c r="C5" s="307">
        <v>0</v>
      </c>
      <c r="D5" s="307">
        <v>0</v>
      </c>
      <c r="E5" s="307">
        <v>2</v>
      </c>
      <c r="F5" s="420">
        <v>0</v>
      </c>
      <c r="G5" s="420">
        <v>0</v>
      </c>
      <c r="H5" s="420">
        <v>1</v>
      </c>
      <c r="I5" s="420">
        <v>0</v>
      </c>
      <c r="J5" s="419">
        <v>1</v>
      </c>
      <c r="K5" s="420">
        <v>1</v>
      </c>
      <c r="L5" s="420">
        <v>0</v>
      </c>
      <c r="M5" s="420">
        <v>0</v>
      </c>
      <c r="N5" s="420">
        <v>0</v>
      </c>
      <c r="O5" s="420">
        <v>1</v>
      </c>
      <c r="P5" s="419">
        <v>2</v>
      </c>
      <c r="Q5" s="420">
        <v>0</v>
      </c>
      <c r="R5" s="420">
        <v>0</v>
      </c>
      <c r="S5" s="420">
        <v>1</v>
      </c>
      <c r="T5" s="419">
        <v>1</v>
      </c>
      <c r="U5" s="420">
        <v>0</v>
      </c>
      <c r="V5" s="420">
        <v>0</v>
      </c>
      <c r="W5" s="420">
        <v>0</v>
      </c>
      <c r="X5" s="420">
        <v>1</v>
      </c>
      <c r="Y5" s="420">
        <v>0</v>
      </c>
      <c r="Z5" s="407"/>
      <c r="AA5" s="421">
        <v>0</v>
      </c>
      <c r="AB5" s="421">
        <v>0</v>
      </c>
      <c r="AC5" s="421">
        <v>0</v>
      </c>
      <c r="AD5" s="421">
        <v>2</v>
      </c>
      <c r="AE5" s="311">
        <v>2</v>
      </c>
      <c r="AF5" s="421">
        <v>0</v>
      </c>
      <c r="AG5" s="421">
        <v>0</v>
      </c>
    </row>
    <row r="6" spans="1:33" ht="15.75" thickBot="1">
      <c r="A6" s="316" t="s">
        <v>376</v>
      </c>
      <c r="B6" s="307">
        <v>5</v>
      </c>
      <c r="C6" s="307">
        <v>0</v>
      </c>
      <c r="D6" s="307">
        <v>0</v>
      </c>
      <c r="E6" s="307">
        <v>5</v>
      </c>
      <c r="F6" s="307">
        <v>1</v>
      </c>
      <c r="G6" s="307">
        <v>2</v>
      </c>
      <c r="H6" s="307">
        <v>1</v>
      </c>
      <c r="I6" s="307">
        <v>0</v>
      </c>
      <c r="J6" s="419">
        <v>4</v>
      </c>
      <c r="K6" s="422">
        <v>1</v>
      </c>
      <c r="L6" s="422">
        <v>0</v>
      </c>
      <c r="M6" s="422">
        <v>0</v>
      </c>
      <c r="N6" s="422">
        <v>0</v>
      </c>
      <c r="O6" s="422">
        <v>1</v>
      </c>
      <c r="P6" s="419">
        <v>2</v>
      </c>
      <c r="Q6" s="422">
        <v>1</v>
      </c>
      <c r="R6" s="422">
        <v>0</v>
      </c>
      <c r="S6" s="422">
        <v>2</v>
      </c>
      <c r="T6" s="419">
        <v>3</v>
      </c>
      <c r="U6" s="422">
        <v>0</v>
      </c>
      <c r="V6" s="422">
        <v>0</v>
      </c>
      <c r="W6" s="422">
        <v>0</v>
      </c>
      <c r="X6" s="422">
        <v>1</v>
      </c>
      <c r="Y6" s="422">
        <v>0</v>
      </c>
      <c r="Z6" s="422">
        <v>0</v>
      </c>
      <c r="AA6" s="421">
        <v>1</v>
      </c>
      <c r="AB6" s="421">
        <v>1</v>
      </c>
      <c r="AC6" s="421">
        <v>0</v>
      </c>
      <c r="AD6" s="421">
        <v>3</v>
      </c>
      <c r="AE6" s="311">
        <v>5</v>
      </c>
      <c r="AF6" s="421">
        <v>0</v>
      </c>
      <c r="AG6" s="421">
        <v>1</v>
      </c>
    </row>
  </sheetData>
  <mergeCells count="8">
    <mergeCell ref="AA1:AE1"/>
    <mergeCell ref="AF1:AG1"/>
    <mergeCell ref="A1:A2"/>
    <mergeCell ref="B1:E1"/>
    <mergeCell ref="F1:H1"/>
    <mergeCell ref="K1:P1"/>
    <mergeCell ref="Q1:T1"/>
    <mergeCell ref="U1:Z1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3:AG152"/>
  <sheetViews>
    <sheetView tabSelected="1" workbookViewId="0">
      <pane xSplit="2" ySplit="5" topLeftCell="C133" activePane="bottomRight" state="frozen"/>
      <selection pane="topRight" activeCell="C1" sqref="C1"/>
      <selection pane="bottomLeft" activeCell="A6" sqref="A6"/>
      <selection pane="bottomRight" activeCell="A143" sqref="A143:A146"/>
    </sheetView>
  </sheetViews>
  <sheetFormatPr defaultColWidth="14.42578125" defaultRowHeight="15" customHeight="1"/>
  <cols>
    <col min="2" max="2" width="23.85546875" customWidth="1"/>
    <col min="28" max="28" width="15.42578125" customWidth="1"/>
  </cols>
  <sheetData>
    <row r="3" spans="1:33">
      <c r="A3" s="60"/>
      <c r="B3" s="245"/>
      <c r="C3" s="484" t="s">
        <v>8012</v>
      </c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0"/>
      <c r="AG3" s="61"/>
    </row>
    <row r="4" spans="1:33">
      <c r="A4" s="246" t="s">
        <v>8013</v>
      </c>
      <c r="B4" s="247"/>
      <c r="C4" s="488" t="s">
        <v>352</v>
      </c>
      <c r="D4" s="481"/>
      <c r="E4" s="481"/>
      <c r="F4" s="480"/>
      <c r="G4" s="484" t="s">
        <v>353</v>
      </c>
      <c r="H4" s="481"/>
      <c r="I4" s="480"/>
      <c r="J4" s="248" t="s">
        <v>5582</v>
      </c>
      <c r="K4" s="248"/>
      <c r="L4" s="61"/>
      <c r="M4" s="484" t="s">
        <v>354</v>
      </c>
      <c r="N4" s="481"/>
      <c r="O4" s="481"/>
      <c r="P4" s="481"/>
      <c r="Q4" s="480"/>
      <c r="R4" s="484" t="s">
        <v>355</v>
      </c>
      <c r="S4" s="481"/>
      <c r="T4" s="481"/>
      <c r="U4" s="480"/>
      <c r="V4" s="484" t="s">
        <v>356</v>
      </c>
      <c r="W4" s="481"/>
      <c r="X4" s="481"/>
      <c r="Y4" s="481"/>
      <c r="Z4" s="480"/>
      <c r="AA4" s="485" t="s">
        <v>357</v>
      </c>
      <c r="AB4" s="481"/>
      <c r="AC4" s="481"/>
      <c r="AD4" s="481"/>
      <c r="AE4" s="480"/>
      <c r="AF4" s="504" t="s">
        <v>356</v>
      </c>
      <c r="AG4" s="480"/>
    </row>
    <row r="5" spans="1:33">
      <c r="A5" s="64" t="s">
        <v>8014</v>
      </c>
      <c r="B5" s="64" t="s">
        <v>8015</v>
      </c>
      <c r="C5" s="63" t="s">
        <v>358</v>
      </c>
      <c r="D5" s="63" t="s">
        <v>359</v>
      </c>
      <c r="E5" s="63" t="s">
        <v>360</v>
      </c>
      <c r="F5" s="249" t="s">
        <v>361</v>
      </c>
      <c r="G5" s="64" t="s">
        <v>359</v>
      </c>
      <c r="H5" s="64" t="s">
        <v>358</v>
      </c>
      <c r="I5" s="64" t="s">
        <v>362</v>
      </c>
      <c r="J5" s="64" t="s">
        <v>8016</v>
      </c>
      <c r="K5" s="250" t="s">
        <v>360</v>
      </c>
      <c r="L5" s="65" t="s">
        <v>361</v>
      </c>
      <c r="M5" s="64" t="s">
        <v>96</v>
      </c>
      <c r="N5" s="64" t="s">
        <v>84</v>
      </c>
      <c r="O5" s="64" t="s">
        <v>98</v>
      </c>
      <c r="P5" s="64" t="s">
        <v>38</v>
      </c>
      <c r="Q5" s="64" t="s">
        <v>361</v>
      </c>
      <c r="R5" s="64" t="s">
        <v>91</v>
      </c>
      <c r="S5" s="64" t="s">
        <v>362</v>
      </c>
      <c r="T5" s="64" t="s">
        <v>363</v>
      </c>
      <c r="U5" s="65" t="s">
        <v>361</v>
      </c>
      <c r="V5" s="64" t="s">
        <v>364</v>
      </c>
      <c r="W5" s="64" t="s">
        <v>91</v>
      </c>
      <c r="X5" s="64" t="s">
        <v>365</v>
      </c>
      <c r="Y5" s="64" t="s">
        <v>366</v>
      </c>
      <c r="Z5" s="64" t="s">
        <v>361</v>
      </c>
      <c r="AA5" s="251" t="s">
        <v>96</v>
      </c>
      <c r="AB5" s="251" t="s">
        <v>368</v>
      </c>
      <c r="AC5" s="251" t="s">
        <v>98</v>
      </c>
      <c r="AD5" s="251" t="s">
        <v>360</v>
      </c>
      <c r="AE5" s="251" t="s">
        <v>369</v>
      </c>
      <c r="AF5" s="64" t="s">
        <v>365</v>
      </c>
      <c r="AG5" s="141" t="s">
        <v>2778</v>
      </c>
    </row>
    <row r="6" spans="1:33">
      <c r="A6" s="628" t="s">
        <v>8017</v>
      </c>
      <c r="B6" s="69" t="s">
        <v>135</v>
      </c>
      <c r="C6" s="69">
        <v>58</v>
      </c>
      <c r="D6" s="69">
        <v>7</v>
      </c>
      <c r="E6" s="69">
        <v>3</v>
      </c>
      <c r="F6" s="252">
        <f t="shared" ref="F6:F11" si="0">SUM(C6:E6)</f>
        <v>68</v>
      </c>
      <c r="G6" s="70"/>
      <c r="H6" s="70">
        <v>61</v>
      </c>
      <c r="I6" s="70"/>
      <c r="J6" s="623" t="s">
        <v>8872</v>
      </c>
      <c r="K6" s="624"/>
      <c r="L6" s="71">
        <f t="shared" ref="L6:L11" si="1">SUM(G6:I6)</f>
        <v>61</v>
      </c>
      <c r="M6" s="70"/>
      <c r="N6" s="70">
        <v>2</v>
      </c>
      <c r="O6" s="70">
        <v>1</v>
      </c>
      <c r="P6" s="70">
        <v>4</v>
      </c>
      <c r="Q6" s="70">
        <f>SUM(M6:P6)</f>
        <v>7</v>
      </c>
      <c r="R6" s="70"/>
      <c r="S6" s="70"/>
      <c r="T6" s="70">
        <v>6</v>
      </c>
      <c r="U6" s="71">
        <f>SUM(R6:T6)</f>
        <v>6</v>
      </c>
      <c r="V6" s="70">
        <v>0</v>
      </c>
      <c r="W6" s="70">
        <v>0</v>
      </c>
      <c r="X6" s="70">
        <v>2</v>
      </c>
      <c r="Y6" s="70">
        <v>0</v>
      </c>
      <c r="Z6" s="70">
        <f t="shared" ref="Z6:Z11" si="2">SUM(V6:Y6)</f>
        <v>2</v>
      </c>
      <c r="AA6" s="73">
        <v>65</v>
      </c>
      <c r="AB6" s="73">
        <v>0</v>
      </c>
      <c r="AC6" s="73">
        <v>0</v>
      </c>
      <c r="AD6" s="73">
        <v>3</v>
      </c>
      <c r="AE6" s="83">
        <f>SUM(AA6:AD6)</f>
        <v>68</v>
      </c>
      <c r="AF6" s="73">
        <v>0</v>
      </c>
      <c r="AG6" s="73">
        <v>0</v>
      </c>
    </row>
    <row r="7" spans="1:33">
      <c r="A7" s="629"/>
      <c r="B7" s="69" t="s">
        <v>8018</v>
      </c>
      <c r="C7" s="69">
        <v>2</v>
      </c>
      <c r="D7" s="69"/>
      <c r="E7" s="69"/>
      <c r="F7" s="252">
        <f t="shared" si="0"/>
        <v>2</v>
      </c>
      <c r="G7" s="70">
        <v>0</v>
      </c>
      <c r="H7" s="70">
        <v>2</v>
      </c>
      <c r="I7" s="70"/>
      <c r="J7" s="623"/>
      <c r="K7" s="624"/>
      <c r="L7" s="71">
        <f t="shared" si="1"/>
        <v>2</v>
      </c>
      <c r="M7" s="70">
        <v>1</v>
      </c>
      <c r="N7" s="70">
        <v>0</v>
      </c>
      <c r="O7" s="70">
        <v>0</v>
      </c>
      <c r="P7" s="70">
        <v>0</v>
      </c>
      <c r="Q7" s="70">
        <f>SUM(M7:P7)</f>
        <v>1</v>
      </c>
      <c r="R7" s="70"/>
      <c r="S7" s="70"/>
      <c r="T7" s="70"/>
      <c r="U7" s="71">
        <f>SUM(R7:T7)</f>
        <v>0</v>
      </c>
      <c r="V7" s="76"/>
      <c r="W7" s="76"/>
      <c r="X7" s="76"/>
      <c r="Y7" s="75"/>
      <c r="Z7" s="70">
        <f t="shared" si="2"/>
        <v>0</v>
      </c>
      <c r="AA7" s="73">
        <v>0</v>
      </c>
      <c r="AB7" s="73">
        <v>0</v>
      </c>
      <c r="AC7" s="73">
        <v>0</v>
      </c>
      <c r="AD7" s="73">
        <v>0</v>
      </c>
      <c r="AE7" s="83">
        <f>SUM(AA7:AD7)</f>
        <v>0</v>
      </c>
      <c r="AF7" s="73">
        <v>0</v>
      </c>
      <c r="AG7" s="73">
        <v>0</v>
      </c>
    </row>
    <row r="8" spans="1:33">
      <c r="A8" s="629"/>
      <c r="B8" s="69" t="s">
        <v>8019</v>
      </c>
      <c r="C8" s="69">
        <v>0</v>
      </c>
      <c r="D8" s="69">
        <v>0</v>
      </c>
      <c r="E8" s="69">
        <v>17</v>
      </c>
      <c r="F8" s="252">
        <f t="shared" si="0"/>
        <v>17</v>
      </c>
      <c r="G8" s="70">
        <v>0</v>
      </c>
      <c r="H8" s="70">
        <v>17</v>
      </c>
      <c r="I8" s="70"/>
      <c r="J8" s="623"/>
      <c r="K8" s="624"/>
      <c r="L8" s="71">
        <f t="shared" si="1"/>
        <v>17</v>
      </c>
      <c r="M8" s="70"/>
      <c r="N8" s="70">
        <v>0</v>
      </c>
      <c r="O8" s="70">
        <v>0</v>
      </c>
      <c r="P8" s="70">
        <v>0</v>
      </c>
      <c r="Q8" s="70">
        <f>SUM(M8:P8)</f>
        <v>0</v>
      </c>
      <c r="R8" s="70"/>
      <c r="S8" s="70"/>
      <c r="T8" s="70"/>
      <c r="U8" s="71">
        <f>SUM(R8:T8)</f>
        <v>0</v>
      </c>
      <c r="V8" s="76"/>
      <c r="W8" s="76"/>
      <c r="X8" s="76"/>
      <c r="Y8" s="76"/>
      <c r="Z8" s="70">
        <f t="shared" si="2"/>
        <v>0</v>
      </c>
      <c r="AA8" s="73">
        <v>0</v>
      </c>
      <c r="AB8" s="73">
        <v>0</v>
      </c>
      <c r="AC8" s="73">
        <v>0</v>
      </c>
      <c r="AD8" s="73">
        <v>0</v>
      </c>
      <c r="AE8" s="83">
        <f>SUM(AA8:AD8)</f>
        <v>0</v>
      </c>
      <c r="AF8" s="73">
        <v>0</v>
      </c>
      <c r="AG8" s="73">
        <v>0</v>
      </c>
    </row>
    <row r="9" spans="1:33">
      <c r="A9" s="629"/>
      <c r="B9" s="69" t="s">
        <v>2455</v>
      </c>
      <c r="C9" s="69">
        <v>0</v>
      </c>
      <c r="D9" s="69">
        <v>0</v>
      </c>
      <c r="E9" s="69">
        <v>3</v>
      </c>
      <c r="F9" s="252">
        <f t="shared" si="0"/>
        <v>3</v>
      </c>
      <c r="G9" s="70">
        <v>0</v>
      </c>
      <c r="H9" s="70">
        <v>3</v>
      </c>
      <c r="I9" s="70"/>
      <c r="J9" s="623"/>
      <c r="K9" s="624"/>
      <c r="L9" s="71">
        <f t="shared" si="1"/>
        <v>3</v>
      </c>
      <c r="M9" s="70"/>
      <c r="N9" s="70">
        <v>0</v>
      </c>
      <c r="O9" s="70">
        <v>0</v>
      </c>
      <c r="P9" s="70">
        <v>0</v>
      </c>
      <c r="Q9" s="70">
        <f>SUM(M9:P9)</f>
        <v>0</v>
      </c>
      <c r="R9" s="70"/>
      <c r="S9" s="70"/>
      <c r="T9" s="70"/>
      <c r="U9" s="71">
        <f>SUM(R9:T9)</f>
        <v>0</v>
      </c>
      <c r="V9" s="76"/>
      <c r="W9" s="76"/>
      <c r="X9" s="76"/>
      <c r="Y9" s="76"/>
      <c r="Z9" s="70">
        <f t="shared" si="2"/>
        <v>0</v>
      </c>
      <c r="AA9" s="73">
        <v>0</v>
      </c>
      <c r="AB9" s="73">
        <v>0</v>
      </c>
      <c r="AC9" s="73">
        <v>0</v>
      </c>
      <c r="AD9" s="73">
        <v>0</v>
      </c>
      <c r="AE9" s="83">
        <f>SUM(AA9:AD9)</f>
        <v>0</v>
      </c>
      <c r="AF9" s="73">
        <v>0</v>
      </c>
      <c r="AG9" s="73">
        <v>0</v>
      </c>
    </row>
    <row r="10" spans="1:33">
      <c r="A10" s="629"/>
      <c r="B10" s="69" t="s">
        <v>8000</v>
      </c>
      <c r="C10" s="69">
        <v>0</v>
      </c>
      <c r="D10" s="69">
        <v>0</v>
      </c>
      <c r="E10" s="69">
        <v>16</v>
      </c>
      <c r="F10" s="252">
        <f t="shared" si="0"/>
        <v>16</v>
      </c>
      <c r="G10" s="70">
        <v>7</v>
      </c>
      <c r="H10" s="70">
        <v>9</v>
      </c>
      <c r="I10" s="70"/>
      <c r="J10" s="623"/>
      <c r="K10" s="624"/>
      <c r="L10" s="71">
        <f t="shared" si="1"/>
        <v>16</v>
      </c>
      <c r="M10" s="70"/>
      <c r="N10" s="70">
        <v>0</v>
      </c>
      <c r="O10" s="70">
        <v>0</v>
      </c>
      <c r="P10" s="70">
        <v>0</v>
      </c>
      <c r="Q10" s="70"/>
      <c r="R10" s="70">
        <v>6</v>
      </c>
      <c r="S10" s="70"/>
      <c r="T10" s="70"/>
      <c r="U10" s="71"/>
      <c r="V10" s="76"/>
      <c r="W10" s="76"/>
      <c r="X10" s="76"/>
      <c r="Y10" s="76"/>
      <c r="Z10" s="70">
        <f t="shared" si="2"/>
        <v>0</v>
      </c>
      <c r="AA10" s="73">
        <v>0</v>
      </c>
      <c r="AB10" s="73">
        <v>0</v>
      </c>
      <c r="AC10" s="73">
        <v>0</v>
      </c>
      <c r="AD10" s="73">
        <v>0</v>
      </c>
      <c r="AE10" s="83"/>
      <c r="AF10" s="73">
        <v>0</v>
      </c>
      <c r="AG10" s="73">
        <v>0</v>
      </c>
    </row>
    <row r="11" spans="1:33">
      <c r="A11" s="487"/>
      <c r="B11" s="69" t="s">
        <v>5263</v>
      </c>
      <c r="C11" s="69">
        <v>0</v>
      </c>
      <c r="D11" s="69">
        <v>0</v>
      </c>
      <c r="E11" s="69">
        <v>13</v>
      </c>
      <c r="F11" s="252">
        <f t="shared" si="0"/>
        <v>13</v>
      </c>
      <c r="G11" s="70">
        <v>0</v>
      </c>
      <c r="H11" s="70">
        <v>13</v>
      </c>
      <c r="I11" s="70"/>
      <c r="J11" s="623"/>
      <c r="K11" s="624"/>
      <c r="L11" s="71">
        <f t="shared" si="1"/>
        <v>13</v>
      </c>
      <c r="M11" s="70"/>
      <c r="N11" s="70">
        <v>0</v>
      </c>
      <c r="O11" s="70">
        <v>0</v>
      </c>
      <c r="P11" s="70">
        <v>0</v>
      </c>
      <c r="Q11" s="70">
        <f>SUM(M11:P11)</f>
        <v>0</v>
      </c>
      <c r="R11" s="70"/>
      <c r="S11" s="70"/>
      <c r="T11" s="70"/>
      <c r="U11" s="71">
        <f>SUM(R11:T11)</f>
        <v>0</v>
      </c>
      <c r="V11" s="76"/>
      <c r="W11" s="76"/>
      <c r="X11" s="76"/>
      <c r="Y11" s="76"/>
      <c r="Z11" s="70">
        <f t="shared" si="2"/>
        <v>0</v>
      </c>
      <c r="AA11" s="73">
        <v>0</v>
      </c>
      <c r="AB11" s="73">
        <v>0</v>
      </c>
      <c r="AC11" s="73">
        <v>0</v>
      </c>
      <c r="AD11" s="73">
        <v>0</v>
      </c>
      <c r="AE11" s="83">
        <f>SUM(AA11:AD11)</f>
        <v>0</v>
      </c>
      <c r="AF11" s="73">
        <v>0</v>
      </c>
      <c r="AG11" s="73">
        <v>0</v>
      </c>
    </row>
    <row r="12" spans="1:33">
      <c r="A12" s="627" t="s">
        <v>361</v>
      </c>
      <c r="B12" s="480"/>
      <c r="C12" s="253">
        <f t="shared" ref="C12:I12" si="3">SUM(C6:C11)</f>
        <v>60</v>
      </c>
      <c r="D12" s="253">
        <f t="shared" si="3"/>
        <v>7</v>
      </c>
      <c r="E12" s="253">
        <f t="shared" si="3"/>
        <v>52</v>
      </c>
      <c r="F12" s="253">
        <f t="shared" si="3"/>
        <v>119</v>
      </c>
      <c r="G12" s="253">
        <f t="shared" si="3"/>
        <v>7</v>
      </c>
      <c r="H12" s="253">
        <f t="shared" si="3"/>
        <v>105</v>
      </c>
      <c r="I12" s="253">
        <f t="shared" si="3"/>
        <v>0</v>
      </c>
      <c r="J12" s="623"/>
      <c r="K12" s="624"/>
      <c r="L12" s="253">
        <f t="shared" ref="L12:AF12" si="4">SUM(L6:L11)</f>
        <v>112</v>
      </c>
      <c r="M12" s="253">
        <f t="shared" si="4"/>
        <v>1</v>
      </c>
      <c r="N12" s="253">
        <f t="shared" si="4"/>
        <v>2</v>
      </c>
      <c r="O12" s="253">
        <f t="shared" si="4"/>
        <v>1</v>
      </c>
      <c r="P12" s="253">
        <f t="shared" si="4"/>
        <v>4</v>
      </c>
      <c r="Q12" s="253">
        <f t="shared" si="4"/>
        <v>8</v>
      </c>
      <c r="R12" s="253">
        <f t="shared" si="4"/>
        <v>6</v>
      </c>
      <c r="S12" s="253">
        <f t="shared" si="4"/>
        <v>0</v>
      </c>
      <c r="T12" s="253">
        <f t="shared" si="4"/>
        <v>6</v>
      </c>
      <c r="U12" s="253">
        <f t="shared" si="4"/>
        <v>6</v>
      </c>
      <c r="V12" s="253">
        <f t="shared" si="4"/>
        <v>0</v>
      </c>
      <c r="W12" s="253">
        <f t="shared" si="4"/>
        <v>0</v>
      </c>
      <c r="X12" s="253">
        <f t="shared" si="4"/>
        <v>2</v>
      </c>
      <c r="Y12" s="253">
        <f t="shared" si="4"/>
        <v>0</v>
      </c>
      <c r="Z12" s="253">
        <f t="shared" si="4"/>
        <v>2</v>
      </c>
      <c r="AA12" s="253">
        <f t="shared" si="4"/>
        <v>65</v>
      </c>
      <c r="AB12" s="253">
        <f t="shared" si="4"/>
        <v>0</v>
      </c>
      <c r="AC12" s="253">
        <f t="shared" si="4"/>
        <v>0</v>
      </c>
      <c r="AD12" s="253">
        <f t="shared" si="4"/>
        <v>3</v>
      </c>
      <c r="AE12" s="253">
        <f t="shared" si="4"/>
        <v>68</v>
      </c>
      <c r="AF12" s="253">
        <f t="shared" si="4"/>
        <v>0</v>
      </c>
      <c r="AG12" s="253"/>
    </row>
    <row r="13" spans="1:33">
      <c r="A13" s="628" t="s">
        <v>8020</v>
      </c>
      <c r="B13" s="69" t="s">
        <v>941</v>
      </c>
      <c r="C13" s="69">
        <v>48</v>
      </c>
      <c r="D13" s="69">
        <v>2</v>
      </c>
      <c r="E13" s="69">
        <v>4</v>
      </c>
      <c r="F13" s="252">
        <f t="shared" ref="F13:F22" si="5">SUM(C13:E13)</f>
        <v>54</v>
      </c>
      <c r="G13" s="70">
        <v>0</v>
      </c>
      <c r="H13" s="70">
        <v>49</v>
      </c>
      <c r="I13" s="70">
        <v>3</v>
      </c>
      <c r="J13" s="623"/>
      <c r="K13" s="624"/>
      <c r="L13" s="71">
        <f t="shared" ref="L13:L22" si="6">SUM(G13:I13)</f>
        <v>52</v>
      </c>
      <c r="M13" s="70">
        <v>0</v>
      </c>
      <c r="N13" s="70">
        <v>2</v>
      </c>
      <c r="O13" s="70">
        <v>0</v>
      </c>
      <c r="P13" s="70">
        <v>0</v>
      </c>
      <c r="Q13" s="70">
        <f t="shared" ref="Q13:Q22" si="7">SUM(M13:P13)</f>
        <v>2</v>
      </c>
      <c r="R13" s="70">
        <v>1</v>
      </c>
      <c r="S13" s="70">
        <v>0</v>
      </c>
      <c r="T13" s="70">
        <v>16</v>
      </c>
      <c r="U13" s="71">
        <f t="shared" ref="U13:U22" si="8">SUM(R13:T13)</f>
        <v>17</v>
      </c>
      <c r="V13" s="70">
        <v>0</v>
      </c>
      <c r="W13" s="70">
        <v>0</v>
      </c>
      <c r="X13" s="70">
        <v>0</v>
      </c>
      <c r="Y13" s="70">
        <v>1</v>
      </c>
      <c r="Z13" s="70">
        <f t="shared" ref="Z13:Z22" si="9">SUM(V13:Y13)</f>
        <v>1</v>
      </c>
      <c r="AA13" s="73">
        <v>32</v>
      </c>
      <c r="AB13" s="73">
        <v>0</v>
      </c>
      <c r="AC13" s="73">
        <v>0</v>
      </c>
      <c r="AD13" s="73">
        <v>22</v>
      </c>
      <c r="AE13" s="83">
        <f t="shared" ref="AE13:AE22" si="10">SUM(AA13:AD13)</f>
        <v>54</v>
      </c>
      <c r="AF13" s="73">
        <v>0</v>
      </c>
      <c r="AG13" s="73">
        <v>0</v>
      </c>
    </row>
    <row r="14" spans="1:33">
      <c r="A14" s="629"/>
      <c r="B14" s="69" t="s">
        <v>8021</v>
      </c>
      <c r="C14" s="69">
        <v>15</v>
      </c>
      <c r="D14" s="69"/>
      <c r="E14" s="69">
        <v>1</v>
      </c>
      <c r="F14" s="252">
        <f t="shared" si="5"/>
        <v>16</v>
      </c>
      <c r="G14" s="70">
        <v>1</v>
      </c>
      <c r="H14" s="70">
        <v>11</v>
      </c>
      <c r="I14" s="70"/>
      <c r="J14" s="623"/>
      <c r="K14" s="624"/>
      <c r="L14" s="71">
        <f t="shared" si="6"/>
        <v>12</v>
      </c>
      <c r="M14" s="70">
        <v>0</v>
      </c>
      <c r="N14" s="70">
        <v>1</v>
      </c>
      <c r="O14" s="70">
        <v>0</v>
      </c>
      <c r="P14" s="70">
        <v>2</v>
      </c>
      <c r="Q14" s="70">
        <f t="shared" si="7"/>
        <v>3</v>
      </c>
      <c r="R14" s="70">
        <v>1</v>
      </c>
      <c r="S14" s="70">
        <v>0</v>
      </c>
      <c r="T14" s="70">
        <v>5</v>
      </c>
      <c r="U14" s="71">
        <f t="shared" si="8"/>
        <v>6</v>
      </c>
      <c r="V14" s="70">
        <v>0</v>
      </c>
      <c r="W14" s="70">
        <v>0</v>
      </c>
      <c r="X14" s="70">
        <v>0</v>
      </c>
      <c r="Y14" s="70">
        <v>0</v>
      </c>
      <c r="Z14" s="70">
        <f t="shared" si="9"/>
        <v>0</v>
      </c>
      <c r="AA14" s="73">
        <v>15</v>
      </c>
      <c r="AB14" s="73">
        <v>0</v>
      </c>
      <c r="AC14" s="73">
        <v>0</v>
      </c>
      <c r="AD14" s="73">
        <v>0</v>
      </c>
      <c r="AE14" s="83">
        <f t="shared" si="10"/>
        <v>15</v>
      </c>
      <c r="AF14" s="73">
        <v>0</v>
      </c>
      <c r="AG14" s="73">
        <v>0</v>
      </c>
    </row>
    <row r="15" spans="1:33">
      <c r="A15" s="629"/>
      <c r="B15" s="69" t="s">
        <v>8022</v>
      </c>
      <c r="C15" s="69">
        <v>21</v>
      </c>
      <c r="D15" s="69">
        <v>4</v>
      </c>
      <c r="E15" s="69">
        <v>1</v>
      </c>
      <c r="F15" s="252">
        <f t="shared" si="5"/>
        <v>26</v>
      </c>
      <c r="G15" s="70">
        <v>1</v>
      </c>
      <c r="H15" s="70">
        <v>23</v>
      </c>
      <c r="I15" s="70"/>
      <c r="J15" s="623"/>
      <c r="K15" s="624"/>
      <c r="L15" s="71">
        <f t="shared" si="6"/>
        <v>24</v>
      </c>
      <c r="M15" s="70">
        <v>1</v>
      </c>
      <c r="N15" s="70">
        <v>1</v>
      </c>
      <c r="O15" s="70">
        <v>0</v>
      </c>
      <c r="P15" s="70">
        <v>0</v>
      </c>
      <c r="Q15" s="70">
        <f t="shared" si="7"/>
        <v>2</v>
      </c>
      <c r="R15" s="70">
        <v>0</v>
      </c>
      <c r="S15" s="70">
        <v>0</v>
      </c>
      <c r="T15" s="70">
        <v>8</v>
      </c>
      <c r="U15" s="71">
        <f t="shared" si="8"/>
        <v>8</v>
      </c>
      <c r="V15" s="70">
        <v>1</v>
      </c>
      <c r="W15" s="70">
        <v>0</v>
      </c>
      <c r="X15" s="70">
        <v>0</v>
      </c>
      <c r="Y15" s="70">
        <v>0</v>
      </c>
      <c r="Z15" s="70">
        <f t="shared" si="9"/>
        <v>1</v>
      </c>
      <c r="AA15" s="73">
        <v>26</v>
      </c>
      <c r="AB15" s="73">
        <v>0</v>
      </c>
      <c r="AC15" s="73">
        <v>0</v>
      </c>
      <c r="AD15" s="73">
        <v>0</v>
      </c>
      <c r="AE15" s="83">
        <f t="shared" si="10"/>
        <v>26</v>
      </c>
      <c r="AF15" s="73">
        <v>0</v>
      </c>
      <c r="AG15" s="73">
        <v>0</v>
      </c>
    </row>
    <row r="16" spans="1:33">
      <c r="A16" s="629"/>
      <c r="B16" s="69" t="s">
        <v>8023</v>
      </c>
      <c r="C16" s="69">
        <v>26</v>
      </c>
      <c r="D16" s="69">
        <v>1</v>
      </c>
      <c r="E16" s="69">
        <v>2</v>
      </c>
      <c r="F16" s="252">
        <f t="shared" si="5"/>
        <v>29</v>
      </c>
      <c r="G16" s="70">
        <v>0</v>
      </c>
      <c r="H16" s="70">
        <v>19</v>
      </c>
      <c r="I16" s="70">
        <v>2</v>
      </c>
      <c r="J16" s="623"/>
      <c r="K16" s="624"/>
      <c r="L16" s="71">
        <f t="shared" si="6"/>
        <v>21</v>
      </c>
      <c r="M16" s="70">
        <v>7</v>
      </c>
      <c r="N16" s="70">
        <v>0</v>
      </c>
      <c r="O16" s="70">
        <v>0</v>
      </c>
      <c r="P16" s="70">
        <v>0</v>
      </c>
      <c r="Q16" s="70">
        <f t="shared" si="7"/>
        <v>7</v>
      </c>
      <c r="R16" s="70">
        <v>0</v>
      </c>
      <c r="S16" s="70">
        <v>0</v>
      </c>
      <c r="T16" s="70">
        <v>12</v>
      </c>
      <c r="U16" s="71">
        <f t="shared" si="8"/>
        <v>12</v>
      </c>
      <c r="V16" s="70">
        <v>0</v>
      </c>
      <c r="W16" s="70">
        <v>0</v>
      </c>
      <c r="X16" s="70">
        <v>0</v>
      </c>
      <c r="Y16" s="70">
        <v>0</v>
      </c>
      <c r="Z16" s="70">
        <f t="shared" si="9"/>
        <v>0</v>
      </c>
      <c r="AA16" s="73">
        <v>22</v>
      </c>
      <c r="AB16" s="73">
        <v>0</v>
      </c>
      <c r="AC16" s="73">
        <v>0</v>
      </c>
      <c r="AD16" s="73">
        <v>6</v>
      </c>
      <c r="AE16" s="83">
        <f t="shared" si="10"/>
        <v>28</v>
      </c>
      <c r="AF16" s="73">
        <v>0</v>
      </c>
      <c r="AG16" s="73">
        <v>0</v>
      </c>
    </row>
    <row r="17" spans="1:33">
      <c r="A17" s="629"/>
      <c r="B17" s="69" t="s">
        <v>8024</v>
      </c>
      <c r="C17" s="69">
        <v>20</v>
      </c>
      <c r="D17" s="69">
        <v>1</v>
      </c>
      <c r="E17" s="69">
        <v>1</v>
      </c>
      <c r="F17" s="252">
        <f t="shared" si="5"/>
        <v>22</v>
      </c>
      <c r="G17" s="70">
        <v>0</v>
      </c>
      <c r="H17" s="70">
        <v>18</v>
      </c>
      <c r="I17" s="70">
        <v>2</v>
      </c>
      <c r="J17" s="623"/>
      <c r="K17" s="624"/>
      <c r="L17" s="71">
        <f t="shared" si="6"/>
        <v>20</v>
      </c>
      <c r="M17" s="70">
        <v>1</v>
      </c>
      <c r="N17" s="70">
        <v>1</v>
      </c>
      <c r="O17" s="70">
        <v>0</v>
      </c>
      <c r="P17" s="70">
        <v>0</v>
      </c>
      <c r="Q17" s="70">
        <f t="shared" si="7"/>
        <v>2</v>
      </c>
      <c r="R17" s="70">
        <v>0</v>
      </c>
      <c r="S17" s="70">
        <v>0</v>
      </c>
      <c r="T17" s="70">
        <v>8</v>
      </c>
      <c r="U17" s="71">
        <f t="shared" si="8"/>
        <v>8</v>
      </c>
      <c r="V17" s="75">
        <v>0</v>
      </c>
      <c r="W17" s="75">
        <v>0</v>
      </c>
      <c r="X17" s="75">
        <v>1</v>
      </c>
      <c r="Y17" s="75">
        <v>0</v>
      </c>
      <c r="Z17" s="70">
        <f t="shared" si="9"/>
        <v>1</v>
      </c>
      <c r="AA17" s="73">
        <v>18</v>
      </c>
      <c r="AB17" s="73">
        <v>1</v>
      </c>
      <c r="AC17" s="73">
        <v>0</v>
      </c>
      <c r="AD17" s="73">
        <v>0</v>
      </c>
      <c r="AE17" s="83">
        <f t="shared" si="10"/>
        <v>19</v>
      </c>
      <c r="AF17" s="73">
        <v>0</v>
      </c>
      <c r="AG17" s="73">
        <v>0</v>
      </c>
    </row>
    <row r="18" spans="1:33">
      <c r="A18" s="629"/>
      <c r="B18" s="69" t="s">
        <v>7784</v>
      </c>
      <c r="C18" s="69">
        <v>4</v>
      </c>
      <c r="D18" s="69">
        <v>0</v>
      </c>
      <c r="E18" s="69">
        <v>0</v>
      </c>
      <c r="F18" s="252">
        <f t="shared" si="5"/>
        <v>4</v>
      </c>
      <c r="G18" s="70">
        <v>0</v>
      </c>
      <c r="H18" s="70">
        <v>3</v>
      </c>
      <c r="I18" s="70">
        <v>0</v>
      </c>
      <c r="J18" s="623"/>
      <c r="K18" s="624"/>
      <c r="L18" s="71">
        <f t="shared" si="6"/>
        <v>3</v>
      </c>
      <c r="M18" s="70">
        <v>0</v>
      </c>
      <c r="N18" s="70">
        <v>0</v>
      </c>
      <c r="O18" s="70">
        <v>0</v>
      </c>
      <c r="P18" s="70">
        <v>1</v>
      </c>
      <c r="Q18" s="70">
        <f t="shared" si="7"/>
        <v>1</v>
      </c>
      <c r="R18" s="70">
        <v>0</v>
      </c>
      <c r="S18" s="70">
        <v>0</v>
      </c>
      <c r="T18" s="70">
        <v>2</v>
      </c>
      <c r="U18" s="71">
        <f t="shared" si="8"/>
        <v>2</v>
      </c>
      <c r="V18" s="70">
        <v>0</v>
      </c>
      <c r="W18" s="70">
        <v>0</v>
      </c>
      <c r="X18" s="70">
        <v>0</v>
      </c>
      <c r="Y18" s="75">
        <v>0</v>
      </c>
      <c r="Z18" s="70">
        <f t="shared" si="9"/>
        <v>0</v>
      </c>
      <c r="AA18" s="73">
        <v>3</v>
      </c>
      <c r="AB18" s="73">
        <v>0</v>
      </c>
      <c r="AC18" s="73">
        <v>0</v>
      </c>
      <c r="AD18" s="73">
        <v>1</v>
      </c>
      <c r="AE18" s="83">
        <f t="shared" si="10"/>
        <v>4</v>
      </c>
      <c r="AF18" s="73">
        <v>0</v>
      </c>
      <c r="AG18" s="73">
        <v>0</v>
      </c>
    </row>
    <row r="19" spans="1:33">
      <c r="A19" s="629"/>
      <c r="B19" s="69" t="s">
        <v>8025</v>
      </c>
      <c r="C19" s="69">
        <v>0</v>
      </c>
      <c r="D19" s="69">
        <v>0</v>
      </c>
      <c r="E19" s="69">
        <v>37</v>
      </c>
      <c r="F19" s="252">
        <f t="shared" si="5"/>
        <v>37</v>
      </c>
      <c r="G19" s="70">
        <v>0</v>
      </c>
      <c r="H19" s="70">
        <v>37</v>
      </c>
      <c r="I19" s="70">
        <v>0</v>
      </c>
      <c r="J19" s="623"/>
      <c r="K19" s="624"/>
      <c r="L19" s="71">
        <f t="shared" si="6"/>
        <v>37</v>
      </c>
      <c r="M19" s="70">
        <v>0</v>
      </c>
      <c r="N19" s="70">
        <v>0</v>
      </c>
      <c r="O19" s="70">
        <v>0</v>
      </c>
      <c r="P19" s="70">
        <v>0</v>
      </c>
      <c r="Q19" s="70">
        <f t="shared" si="7"/>
        <v>0</v>
      </c>
      <c r="R19" s="70">
        <v>0</v>
      </c>
      <c r="S19" s="70">
        <v>0</v>
      </c>
      <c r="T19" s="70">
        <v>0</v>
      </c>
      <c r="U19" s="71">
        <f t="shared" si="8"/>
        <v>0</v>
      </c>
      <c r="V19" s="70">
        <v>0</v>
      </c>
      <c r="W19" s="70">
        <v>0</v>
      </c>
      <c r="X19" s="70">
        <v>0</v>
      </c>
      <c r="Y19" s="70">
        <v>0</v>
      </c>
      <c r="Z19" s="70">
        <f t="shared" si="9"/>
        <v>0</v>
      </c>
      <c r="AA19" s="73">
        <v>0</v>
      </c>
      <c r="AB19" s="73">
        <v>0</v>
      </c>
      <c r="AC19" s="73">
        <v>0</v>
      </c>
      <c r="AD19" s="73">
        <v>0</v>
      </c>
      <c r="AE19" s="83">
        <f t="shared" si="10"/>
        <v>0</v>
      </c>
      <c r="AF19" s="73">
        <v>0</v>
      </c>
      <c r="AG19" s="73">
        <v>0</v>
      </c>
    </row>
    <row r="20" spans="1:33">
      <c r="A20" s="629"/>
      <c r="B20" s="69" t="s">
        <v>8026</v>
      </c>
      <c r="C20" s="69">
        <v>0</v>
      </c>
      <c r="D20" s="69">
        <v>0</v>
      </c>
      <c r="E20" s="69">
        <v>10</v>
      </c>
      <c r="F20" s="252">
        <f t="shared" si="5"/>
        <v>10</v>
      </c>
      <c r="G20" s="70">
        <v>1</v>
      </c>
      <c r="H20" s="70">
        <v>9</v>
      </c>
      <c r="I20" s="70">
        <v>0</v>
      </c>
      <c r="J20" s="623"/>
      <c r="K20" s="624"/>
      <c r="L20" s="71">
        <f t="shared" si="6"/>
        <v>10</v>
      </c>
      <c r="M20" s="70">
        <v>0</v>
      </c>
      <c r="N20" s="70">
        <v>0</v>
      </c>
      <c r="O20" s="70">
        <v>0</v>
      </c>
      <c r="P20" s="70">
        <v>0</v>
      </c>
      <c r="Q20" s="70">
        <f t="shared" si="7"/>
        <v>0</v>
      </c>
      <c r="R20" s="70">
        <v>1</v>
      </c>
      <c r="S20" s="70">
        <v>0</v>
      </c>
      <c r="T20" s="70">
        <v>0</v>
      </c>
      <c r="U20" s="71">
        <f t="shared" si="8"/>
        <v>1</v>
      </c>
      <c r="V20" s="75">
        <v>0</v>
      </c>
      <c r="W20" s="75">
        <v>0</v>
      </c>
      <c r="X20" s="75">
        <v>0</v>
      </c>
      <c r="Y20" s="75">
        <v>0</v>
      </c>
      <c r="Z20" s="70">
        <f t="shared" si="9"/>
        <v>0</v>
      </c>
      <c r="AA20" s="73">
        <v>0</v>
      </c>
      <c r="AB20" s="73">
        <v>0</v>
      </c>
      <c r="AC20" s="73">
        <v>0</v>
      </c>
      <c r="AD20" s="73">
        <v>10</v>
      </c>
      <c r="AE20" s="83">
        <f t="shared" si="10"/>
        <v>10</v>
      </c>
      <c r="AF20" s="73">
        <v>0</v>
      </c>
      <c r="AG20" s="73">
        <v>0</v>
      </c>
    </row>
    <row r="21" spans="1:33">
      <c r="A21" s="629"/>
      <c r="B21" s="69" t="s">
        <v>8027</v>
      </c>
      <c r="C21" s="69">
        <v>0</v>
      </c>
      <c r="D21" s="69">
        <v>0</v>
      </c>
      <c r="E21" s="69">
        <v>20</v>
      </c>
      <c r="F21" s="252">
        <f t="shared" si="5"/>
        <v>20</v>
      </c>
      <c r="G21" s="70">
        <v>0</v>
      </c>
      <c r="H21" s="70">
        <v>20</v>
      </c>
      <c r="I21" s="70">
        <v>0</v>
      </c>
      <c r="J21" s="623"/>
      <c r="K21" s="624"/>
      <c r="L21" s="71">
        <f t="shared" si="6"/>
        <v>20</v>
      </c>
      <c r="M21" s="70">
        <v>0</v>
      </c>
      <c r="N21" s="70">
        <v>0</v>
      </c>
      <c r="O21" s="70">
        <v>0</v>
      </c>
      <c r="P21" s="70">
        <v>0</v>
      </c>
      <c r="Q21" s="70">
        <f t="shared" si="7"/>
        <v>0</v>
      </c>
      <c r="R21" s="70">
        <v>0</v>
      </c>
      <c r="S21" s="70">
        <v>0</v>
      </c>
      <c r="T21" s="70">
        <v>0</v>
      </c>
      <c r="U21" s="71">
        <f t="shared" si="8"/>
        <v>0</v>
      </c>
      <c r="V21" s="75">
        <v>0</v>
      </c>
      <c r="W21" s="75">
        <v>0</v>
      </c>
      <c r="X21" s="75">
        <v>0</v>
      </c>
      <c r="Y21" s="75">
        <v>0</v>
      </c>
      <c r="Z21" s="70">
        <f t="shared" si="9"/>
        <v>0</v>
      </c>
      <c r="AA21" s="73">
        <v>0</v>
      </c>
      <c r="AB21" s="73">
        <v>0</v>
      </c>
      <c r="AC21" s="73">
        <v>0</v>
      </c>
      <c r="AD21" s="73">
        <v>20</v>
      </c>
      <c r="AE21" s="83">
        <f t="shared" si="10"/>
        <v>20</v>
      </c>
      <c r="AF21" s="73">
        <v>0</v>
      </c>
      <c r="AG21" s="73">
        <v>0</v>
      </c>
    </row>
    <row r="22" spans="1:33">
      <c r="A22" s="487"/>
      <c r="B22" s="69" t="s">
        <v>8028</v>
      </c>
      <c r="C22" s="69"/>
      <c r="D22" s="69"/>
      <c r="E22" s="69">
        <v>15</v>
      </c>
      <c r="F22" s="252">
        <f t="shared" si="5"/>
        <v>15</v>
      </c>
      <c r="G22" s="70">
        <v>1</v>
      </c>
      <c r="H22" s="70">
        <v>14</v>
      </c>
      <c r="I22" s="70">
        <v>0</v>
      </c>
      <c r="J22" s="623"/>
      <c r="K22" s="624"/>
      <c r="L22" s="71">
        <f t="shared" si="6"/>
        <v>15</v>
      </c>
      <c r="M22" s="70">
        <v>0</v>
      </c>
      <c r="N22" s="70">
        <v>0</v>
      </c>
      <c r="O22" s="70">
        <v>0</v>
      </c>
      <c r="P22" s="70">
        <v>0</v>
      </c>
      <c r="Q22" s="70">
        <f t="shared" si="7"/>
        <v>0</v>
      </c>
      <c r="R22" s="70">
        <v>1</v>
      </c>
      <c r="S22" s="70">
        <v>0</v>
      </c>
      <c r="T22" s="70">
        <v>0</v>
      </c>
      <c r="U22" s="71">
        <f t="shared" si="8"/>
        <v>1</v>
      </c>
      <c r="V22" s="75">
        <v>0</v>
      </c>
      <c r="W22" s="75">
        <v>0</v>
      </c>
      <c r="X22" s="75">
        <v>0</v>
      </c>
      <c r="Y22" s="75">
        <v>0</v>
      </c>
      <c r="Z22" s="70">
        <f t="shared" si="9"/>
        <v>0</v>
      </c>
      <c r="AA22" s="73">
        <v>0</v>
      </c>
      <c r="AB22" s="73">
        <v>0</v>
      </c>
      <c r="AC22" s="73">
        <v>0</v>
      </c>
      <c r="AD22" s="73">
        <v>15</v>
      </c>
      <c r="AE22" s="83">
        <f t="shared" si="10"/>
        <v>15</v>
      </c>
      <c r="AF22" s="73">
        <v>0</v>
      </c>
      <c r="AG22" s="73">
        <v>0</v>
      </c>
    </row>
    <row r="23" spans="1:33">
      <c r="A23" s="627" t="s">
        <v>361</v>
      </c>
      <c r="B23" s="480"/>
      <c r="C23" s="253">
        <f t="shared" ref="C23:I23" si="11">SUM(C13:C22)</f>
        <v>134</v>
      </c>
      <c r="D23" s="253">
        <f t="shared" si="11"/>
        <v>8</v>
      </c>
      <c r="E23" s="253">
        <f t="shared" si="11"/>
        <v>91</v>
      </c>
      <c r="F23" s="253">
        <f t="shared" si="11"/>
        <v>233</v>
      </c>
      <c r="G23" s="253">
        <f t="shared" si="11"/>
        <v>4</v>
      </c>
      <c r="H23" s="253">
        <f t="shared" si="11"/>
        <v>203</v>
      </c>
      <c r="I23" s="253">
        <f t="shared" si="11"/>
        <v>7</v>
      </c>
      <c r="J23" s="623"/>
      <c r="K23" s="624"/>
      <c r="L23" s="253">
        <f t="shared" ref="L23:AF23" si="12">SUM(L13:L22)</f>
        <v>214</v>
      </c>
      <c r="M23" s="253">
        <f t="shared" si="12"/>
        <v>9</v>
      </c>
      <c r="N23" s="253">
        <f t="shared" si="12"/>
        <v>5</v>
      </c>
      <c r="O23" s="253">
        <f t="shared" si="12"/>
        <v>0</v>
      </c>
      <c r="P23" s="253">
        <f t="shared" si="12"/>
        <v>3</v>
      </c>
      <c r="Q23" s="253">
        <f t="shared" si="12"/>
        <v>17</v>
      </c>
      <c r="R23" s="253">
        <f t="shared" si="12"/>
        <v>4</v>
      </c>
      <c r="S23" s="253">
        <f t="shared" si="12"/>
        <v>0</v>
      </c>
      <c r="T23" s="253">
        <f t="shared" si="12"/>
        <v>51</v>
      </c>
      <c r="U23" s="253">
        <f t="shared" si="12"/>
        <v>55</v>
      </c>
      <c r="V23" s="253">
        <f t="shared" si="12"/>
        <v>1</v>
      </c>
      <c r="W23" s="253">
        <f t="shared" si="12"/>
        <v>0</v>
      </c>
      <c r="X23" s="253">
        <f t="shared" si="12"/>
        <v>1</v>
      </c>
      <c r="Y23" s="253">
        <f t="shared" si="12"/>
        <v>1</v>
      </c>
      <c r="Z23" s="253">
        <f t="shared" si="12"/>
        <v>3</v>
      </c>
      <c r="AA23" s="253">
        <f t="shared" si="12"/>
        <v>116</v>
      </c>
      <c r="AB23" s="253">
        <f t="shared" si="12"/>
        <v>1</v>
      </c>
      <c r="AC23" s="253">
        <f t="shared" si="12"/>
        <v>0</v>
      </c>
      <c r="AD23" s="253">
        <f t="shared" si="12"/>
        <v>74</v>
      </c>
      <c r="AE23" s="253">
        <f t="shared" si="12"/>
        <v>191</v>
      </c>
      <c r="AF23" s="253">
        <f t="shared" si="12"/>
        <v>0</v>
      </c>
      <c r="AG23" s="253"/>
    </row>
    <row r="24" spans="1:33">
      <c r="A24" s="628" t="s">
        <v>8029</v>
      </c>
      <c r="B24" s="69" t="s">
        <v>8030</v>
      </c>
      <c r="C24" s="69">
        <v>42</v>
      </c>
      <c r="D24" s="69">
        <v>2</v>
      </c>
      <c r="E24" s="69">
        <v>9</v>
      </c>
      <c r="F24" s="252">
        <f t="shared" ref="F24:F35" si="13">SUM(C24:E24)</f>
        <v>53</v>
      </c>
      <c r="G24" s="70">
        <v>5</v>
      </c>
      <c r="H24" s="70">
        <v>43</v>
      </c>
      <c r="I24" s="70">
        <v>2</v>
      </c>
      <c r="J24" s="623"/>
      <c r="K24" s="624"/>
      <c r="L24" s="71">
        <f t="shared" ref="L24:L35" si="14">SUM(G24:I24)</f>
        <v>50</v>
      </c>
      <c r="M24" s="70">
        <v>2</v>
      </c>
      <c r="N24" s="70">
        <v>0</v>
      </c>
      <c r="O24" s="70">
        <v>0</v>
      </c>
      <c r="P24" s="70">
        <v>1</v>
      </c>
      <c r="Q24" s="70">
        <f t="shared" ref="Q24:Q35" si="15">SUM(M24:P24)</f>
        <v>3</v>
      </c>
      <c r="R24" s="70">
        <v>3</v>
      </c>
      <c r="S24" s="70"/>
      <c r="T24" s="70">
        <v>16</v>
      </c>
      <c r="U24" s="71">
        <f t="shared" ref="U24:U35" si="16">SUM(R24:T24)</f>
        <v>19</v>
      </c>
      <c r="V24" s="70"/>
      <c r="W24" s="70"/>
      <c r="X24" s="70">
        <v>1</v>
      </c>
      <c r="Y24" s="70"/>
      <c r="Z24" s="70">
        <f t="shared" ref="Z24:Z35" si="17">SUM(V24:Y24)</f>
        <v>1</v>
      </c>
      <c r="AA24" s="73">
        <v>53</v>
      </c>
      <c r="AB24" s="83"/>
      <c r="AC24" s="83"/>
      <c r="AD24" s="83"/>
      <c r="AE24" s="83">
        <f t="shared" ref="AE24:AE35" si="18">SUM(AA24:AD24)</f>
        <v>53</v>
      </c>
      <c r="AF24" s="73">
        <v>1</v>
      </c>
      <c r="AG24" s="73">
        <v>0</v>
      </c>
    </row>
    <row r="25" spans="1:33">
      <c r="A25" s="629"/>
      <c r="B25" s="69" t="s">
        <v>8031</v>
      </c>
      <c r="C25" s="69">
        <v>46</v>
      </c>
      <c r="D25" s="69">
        <v>2</v>
      </c>
      <c r="E25" s="69">
        <v>11</v>
      </c>
      <c r="F25" s="252">
        <f t="shared" si="13"/>
        <v>59</v>
      </c>
      <c r="G25" s="70">
        <v>2</v>
      </c>
      <c r="H25" s="70">
        <v>42</v>
      </c>
      <c r="I25" s="70">
        <v>2</v>
      </c>
      <c r="J25" s="623"/>
      <c r="K25" s="624"/>
      <c r="L25" s="71">
        <f t="shared" si="14"/>
        <v>46</v>
      </c>
      <c r="M25" s="70">
        <v>5</v>
      </c>
      <c r="N25" s="70">
        <v>3</v>
      </c>
      <c r="O25" s="70">
        <v>0</v>
      </c>
      <c r="P25" s="70"/>
      <c r="Q25" s="70">
        <f t="shared" si="15"/>
        <v>8</v>
      </c>
      <c r="R25" s="70"/>
      <c r="S25" s="70"/>
      <c r="T25" s="70"/>
      <c r="U25" s="71">
        <f t="shared" si="16"/>
        <v>0</v>
      </c>
      <c r="V25" s="70"/>
      <c r="W25" s="70"/>
      <c r="X25" s="70"/>
      <c r="Y25" s="70">
        <v>2</v>
      </c>
      <c r="Z25" s="70">
        <f t="shared" si="17"/>
        <v>2</v>
      </c>
      <c r="AA25" s="73">
        <v>56</v>
      </c>
      <c r="AB25" s="83"/>
      <c r="AC25" s="83"/>
      <c r="AD25" s="73">
        <v>1</v>
      </c>
      <c r="AE25" s="83">
        <f t="shared" si="18"/>
        <v>57</v>
      </c>
      <c r="AF25" s="83"/>
      <c r="AG25" s="73">
        <v>0</v>
      </c>
    </row>
    <row r="26" spans="1:33">
      <c r="A26" s="629"/>
      <c r="B26" s="69" t="s">
        <v>8032</v>
      </c>
      <c r="C26" s="69">
        <v>50</v>
      </c>
      <c r="D26" s="69">
        <v>3</v>
      </c>
      <c r="E26" s="69">
        <v>3</v>
      </c>
      <c r="F26" s="252">
        <f t="shared" si="13"/>
        <v>56</v>
      </c>
      <c r="G26" s="70">
        <v>1</v>
      </c>
      <c r="H26" s="70">
        <v>43</v>
      </c>
      <c r="I26" s="70">
        <v>1</v>
      </c>
      <c r="J26" s="623"/>
      <c r="K26" s="624"/>
      <c r="L26" s="71">
        <f t="shared" si="14"/>
        <v>45</v>
      </c>
      <c r="M26" s="70">
        <v>10</v>
      </c>
      <c r="N26" s="70">
        <v>0</v>
      </c>
      <c r="O26" s="70">
        <v>0</v>
      </c>
      <c r="P26" s="70">
        <v>1</v>
      </c>
      <c r="Q26" s="70">
        <f t="shared" si="15"/>
        <v>11</v>
      </c>
      <c r="R26" s="70"/>
      <c r="S26" s="70"/>
      <c r="T26" s="70"/>
      <c r="U26" s="71">
        <f t="shared" si="16"/>
        <v>0</v>
      </c>
      <c r="V26" s="70"/>
      <c r="W26" s="70"/>
      <c r="X26" s="70">
        <v>1</v>
      </c>
      <c r="Y26" s="70"/>
      <c r="Z26" s="70">
        <f t="shared" si="17"/>
        <v>1</v>
      </c>
      <c r="AA26" s="73">
        <v>46</v>
      </c>
      <c r="AB26" s="73">
        <v>3</v>
      </c>
      <c r="AC26" s="83"/>
      <c r="AD26" s="73">
        <v>7</v>
      </c>
      <c r="AE26" s="83">
        <f t="shared" si="18"/>
        <v>56</v>
      </c>
      <c r="AF26" s="73">
        <v>1</v>
      </c>
      <c r="AG26" s="73">
        <v>0</v>
      </c>
    </row>
    <row r="27" spans="1:33">
      <c r="A27" s="629"/>
      <c r="B27" s="69" t="s">
        <v>8033</v>
      </c>
      <c r="C27" s="69">
        <v>70</v>
      </c>
      <c r="D27" s="69">
        <v>4</v>
      </c>
      <c r="E27" s="69">
        <v>4</v>
      </c>
      <c r="F27" s="252">
        <f t="shared" si="13"/>
        <v>78</v>
      </c>
      <c r="G27" s="70">
        <v>5</v>
      </c>
      <c r="H27" s="70">
        <v>56</v>
      </c>
      <c r="I27" s="70">
        <v>3</v>
      </c>
      <c r="J27" s="623"/>
      <c r="K27" s="624"/>
      <c r="L27" s="71">
        <f t="shared" si="14"/>
        <v>64</v>
      </c>
      <c r="M27" s="70">
        <v>10</v>
      </c>
      <c r="N27" s="70">
        <v>4</v>
      </c>
      <c r="O27" s="70">
        <v>0</v>
      </c>
      <c r="P27" s="70"/>
      <c r="Q27" s="70">
        <f t="shared" si="15"/>
        <v>14</v>
      </c>
      <c r="R27" s="70">
        <v>2</v>
      </c>
      <c r="S27" s="70"/>
      <c r="T27" s="70">
        <v>17</v>
      </c>
      <c r="U27" s="71">
        <f t="shared" si="16"/>
        <v>19</v>
      </c>
      <c r="V27" s="70"/>
      <c r="W27" s="70"/>
      <c r="X27" s="70">
        <v>1</v>
      </c>
      <c r="Y27" s="70">
        <v>2</v>
      </c>
      <c r="Z27" s="70">
        <f t="shared" si="17"/>
        <v>3</v>
      </c>
      <c r="AA27" s="73">
        <v>51</v>
      </c>
      <c r="AB27" s="73">
        <v>1</v>
      </c>
      <c r="AC27" s="83"/>
      <c r="AD27" s="73">
        <v>26</v>
      </c>
      <c r="AE27" s="83">
        <f t="shared" si="18"/>
        <v>78</v>
      </c>
      <c r="AF27" s="73">
        <v>1</v>
      </c>
      <c r="AG27" s="73">
        <v>0</v>
      </c>
    </row>
    <row r="28" spans="1:33">
      <c r="A28" s="629"/>
      <c r="B28" s="69" t="s">
        <v>8034</v>
      </c>
      <c r="C28" s="69">
        <v>40</v>
      </c>
      <c r="D28" s="69">
        <v>1</v>
      </c>
      <c r="E28" s="69">
        <v>2</v>
      </c>
      <c r="F28" s="252">
        <f t="shared" si="13"/>
        <v>43</v>
      </c>
      <c r="G28" s="70">
        <v>1</v>
      </c>
      <c r="H28" s="70">
        <v>28</v>
      </c>
      <c r="I28" s="70">
        <v>1</v>
      </c>
      <c r="J28" s="623"/>
      <c r="K28" s="624"/>
      <c r="L28" s="71">
        <f t="shared" si="14"/>
        <v>30</v>
      </c>
      <c r="M28" s="70">
        <v>7</v>
      </c>
      <c r="N28" s="70">
        <v>5</v>
      </c>
      <c r="O28" s="70">
        <v>0</v>
      </c>
      <c r="P28" s="70">
        <v>1</v>
      </c>
      <c r="Q28" s="70">
        <f t="shared" si="15"/>
        <v>13</v>
      </c>
      <c r="R28" s="70"/>
      <c r="S28" s="70"/>
      <c r="T28" s="70">
        <v>8</v>
      </c>
      <c r="U28" s="71">
        <f t="shared" si="16"/>
        <v>8</v>
      </c>
      <c r="V28" s="70"/>
      <c r="W28" s="70"/>
      <c r="X28" s="70"/>
      <c r="Y28" s="70"/>
      <c r="Z28" s="70">
        <f t="shared" si="17"/>
        <v>0</v>
      </c>
      <c r="AA28" s="73">
        <v>27</v>
      </c>
      <c r="AB28" s="73">
        <v>2</v>
      </c>
      <c r="AC28" s="83"/>
      <c r="AD28" s="73">
        <v>14</v>
      </c>
      <c r="AE28" s="83">
        <f t="shared" si="18"/>
        <v>43</v>
      </c>
      <c r="AF28" s="83"/>
      <c r="AG28" s="83"/>
    </row>
    <row r="29" spans="1:33">
      <c r="A29" s="629"/>
      <c r="B29" s="69" t="s">
        <v>8035</v>
      </c>
      <c r="C29" s="69">
        <v>10</v>
      </c>
      <c r="D29" s="69">
        <v>1</v>
      </c>
      <c r="E29" s="69"/>
      <c r="F29" s="252">
        <f t="shared" si="13"/>
        <v>11</v>
      </c>
      <c r="G29" s="70">
        <v>1</v>
      </c>
      <c r="H29" s="70">
        <v>10</v>
      </c>
      <c r="I29" s="70"/>
      <c r="J29" s="623"/>
      <c r="K29" s="624"/>
      <c r="L29" s="71">
        <f t="shared" si="14"/>
        <v>11</v>
      </c>
      <c r="M29" s="70"/>
      <c r="N29" s="70">
        <v>0</v>
      </c>
      <c r="O29" s="70">
        <v>0</v>
      </c>
      <c r="P29" s="70"/>
      <c r="Q29" s="70">
        <f t="shared" si="15"/>
        <v>0</v>
      </c>
      <c r="R29" s="70"/>
      <c r="S29" s="70"/>
      <c r="T29" s="70"/>
      <c r="U29" s="71">
        <f t="shared" si="16"/>
        <v>0</v>
      </c>
      <c r="V29" s="70"/>
      <c r="W29" s="70"/>
      <c r="X29" s="70"/>
      <c r="Y29" s="70"/>
      <c r="Z29" s="70">
        <f t="shared" si="17"/>
        <v>0</v>
      </c>
      <c r="AA29" s="73">
        <v>4</v>
      </c>
      <c r="AB29" s="83"/>
      <c r="AC29" s="83"/>
      <c r="AD29" s="73">
        <v>7</v>
      </c>
      <c r="AE29" s="83">
        <f t="shared" si="18"/>
        <v>11</v>
      </c>
      <c r="AF29" s="83"/>
      <c r="AG29" s="83"/>
    </row>
    <row r="30" spans="1:33">
      <c r="A30" s="629"/>
      <c r="B30" s="69" t="s">
        <v>5263</v>
      </c>
      <c r="C30" s="69">
        <v>0</v>
      </c>
      <c r="D30" s="69">
        <v>0</v>
      </c>
      <c r="E30" s="69">
        <v>32</v>
      </c>
      <c r="F30" s="252">
        <f t="shared" si="13"/>
        <v>32</v>
      </c>
      <c r="G30" s="70">
        <v>0</v>
      </c>
      <c r="H30" s="70">
        <v>0</v>
      </c>
      <c r="I30" s="70">
        <v>0</v>
      </c>
      <c r="J30" s="623"/>
      <c r="K30" s="624"/>
      <c r="L30" s="71">
        <f t="shared" si="14"/>
        <v>0</v>
      </c>
      <c r="M30" s="70"/>
      <c r="N30" s="70">
        <v>0</v>
      </c>
      <c r="O30" s="70">
        <v>0</v>
      </c>
      <c r="P30" s="70"/>
      <c r="Q30" s="70">
        <f t="shared" si="15"/>
        <v>0</v>
      </c>
      <c r="R30" s="70"/>
      <c r="S30" s="70"/>
      <c r="T30" s="70"/>
      <c r="U30" s="71">
        <f t="shared" si="16"/>
        <v>0</v>
      </c>
      <c r="V30" s="70"/>
      <c r="W30" s="70"/>
      <c r="X30" s="70"/>
      <c r="Y30" s="70"/>
      <c r="Z30" s="70">
        <f t="shared" si="17"/>
        <v>0</v>
      </c>
      <c r="AA30" s="83"/>
      <c r="AB30" s="83"/>
      <c r="AC30" s="83"/>
      <c r="AD30" s="83"/>
      <c r="AE30" s="83">
        <f t="shared" si="18"/>
        <v>0</v>
      </c>
      <c r="AF30" s="83"/>
      <c r="AG30" s="83"/>
    </row>
    <row r="31" spans="1:33">
      <c r="A31" s="629"/>
      <c r="B31" s="69" t="s">
        <v>8036</v>
      </c>
      <c r="C31" s="69">
        <v>0</v>
      </c>
      <c r="D31" s="69">
        <v>0</v>
      </c>
      <c r="E31" s="69">
        <v>7</v>
      </c>
      <c r="F31" s="252">
        <f t="shared" si="13"/>
        <v>7</v>
      </c>
      <c r="G31" s="70">
        <v>0</v>
      </c>
      <c r="H31" s="70">
        <v>7</v>
      </c>
      <c r="I31" s="70">
        <v>0</v>
      </c>
      <c r="J31" s="623"/>
      <c r="K31" s="624"/>
      <c r="L31" s="71">
        <f t="shared" si="14"/>
        <v>7</v>
      </c>
      <c r="M31" s="70"/>
      <c r="N31" s="70">
        <v>0</v>
      </c>
      <c r="O31" s="70">
        <v>0</v>
      </c>
      <c r="P31" s="70"/>
      <c r="Q31" s="70">
        <f t="shared" si="15"/>
        <v>0</v>
      </c>
      <c r="R31" s="70"/>
      <c r="S31" s="70"/>
      <c r="T31" s="70"/>
      <c r="U31" s="71">
        <f t="shared" si="16"/>
        <v>0</v>
      </c>
      <c r="V31" s="70"/>
      <c r="W31" s="70"/>
      <c r="X31" s="70"/>
      <c r="Y31" s="70"/>
      <c r="Z31" s="70">
        <f t="shared" si="17"/>
        <v>0</v>
      </c>
      <c r="AA31" s="83"/>
      <c r="AB31" s="83"/>
      <c r="AC31" s="83"/>
      <c r="AD31" s="83"/>
      <c r="AE31" s="83">
        <f t="shared" si="18"/>
        <v>0</v>
      </c>
      <c r="AF31" s="83"/>
      <c r="AG31" s="83"/>
    </row>
    <row r="32" spans="1:33">
      <c r="A32" s="629"/>
      <c r="B32" s="69" t="s">
        <v>8028</v>
      </c>
      <c r="C32" s="69">
        <v>0</v>
      </c>
      <c r="D32" s="69">
        <v>0</v>
      </c>
      <c r="E32" s="69">
        <v>13</v>
      </c>
      <c r="F32" s="252">
        <f t="shared" si="13"/>
        <v>13</v>
      </c>
      <c r="G32" s="70">
        <v>0</v>
      </c>
      <c r="H32" s="70">
        <v>13</v>
      </c>
      <c r="I32" s="70">
        <v>0</v>
      </c>
      <c r="J32" s="623"/>
      <c r="K32" s="624"/>
      <c r="L32" s="71">
        <f t="shared" si="14"/>
        <v>13</v>
      </c>
      <c r="M32" s="70"/>
      <c r="N32" s="70">
        <v>0</v>
      </c>
      <c r="O32" s="70">
        <v>0</v>
      </c>
      <c r="P32" s="70"/>
      <c r="Q32" s="70">
        <f t="shared" si="15"/>
        <v>0</v>
      </c>
      <c r="R32" s="70"/>
      <c r="S32" s="70"/>
      <c r="T32" s="70"/>
      <c r="U32" s="71">
        <f t="shared" si="16"/>
        <v>0</v>
      </c>
      <c r="V32" s="70"/>
      <c r="W32" s="70"/>
      <c r="X32" s="70"/>
      <c r="Y32" s="70"/>
      <c r="Z32" s="70">
        <f t="shared" si="17"/>
        <v>0</v>
      </c>
      <c r="AA32" s="83"/>
      <c r="AB32" s="83"/>
      <c r="AC32" s="83"/>
      <c r="AD32" s="83"/>
      <c r="AE32" s="83">
        <f t="shared" si="18"/>
        <v>0</v>
      </c>
      <c r="AF32" s="83"/>
      <c r="AG32" s="83"/>
    </row>
    <row r="33" spans="1:33">
      <c r="A33" s="629"/>
      <c r="B33" s="69" t="s">
        <v>8037</v>
      </c>
      <c r="C33" s="69">
        <v>5</v>
      </c>
      <c r="D33" s="69">
        <v>5</v>
      </c>
      <c r="E33" s="69">
        <v>0</v>
      </c>
      <c r="F33" s="252">
        <f t="shared" si="13"/>
        <v>10</v>
      </c>
      <c r="G33" s="70">
        <v>3</v>
      </c>
      <c r="H33" s="70">
        <v>6</v>
      </c>
      <c r="I33" s="70">
        <v>0</v>
      </c>
      <c r="J33" s="623"/>
      <c r="K33" s="624"/>
      <c r="L33" s="71">
        <f t="shared" si="14"/>
        <v>9</v>
      </c>
      <c r="M33" s="70">
        <v>0</v>
      </c>
      <c r="N33" s="70">
        <v>1</v>
      </c>
      <c r="O33" s="70">
        <v>0</v>
      </c>
      <c r="P33" s="70"/>
      <c r="Q33" s="70">
        <f t="shared" si="15"/>
        <v>1</v>
      </c>
      <c r="R33" s="70"/>
      <c r="S33" s="70"/>
      <c r="T33" s="70"/>
      <c r="U33" s="71">
        <f t="shared" si="16"/>
        <v>0</v>
      </c>
      <c r="V33" s="70"/>
      <c r="W33" s="70"/>
      <c r="X33" s="70"/>
      <c r="Y33" s="70"/>
      <c r="Z33" s="70">
        <f t="shared" si="17"/>
        <v>0</v>
      </c>
      <c r="AA33" s="83"/>
      <c r="AB33" s="73">
        <v>0</v>
      </c>
      <c r="AC33" s="83"/>
      <c r="AD33" s="83"/>
      <c r="AE33" s="83">
        <f t="shared" si="18"/>
        <v>0</v>
      </c>
      <c r="AF33" s="83"/>
      <c r="AG33" s="83"/>
    </row>
    <row r="34" spans="1:33">
      <c r="A34" s="629"/>
      <c r="B34" s="254" t="s">
        <v>414</v>
      </c>
      <c r="C34" s="254">
        <v>0</v>
      </c>
      <c r="D34" s="254">
        <v>0</v>
      </c>
      <c r="E34" s="254">
        <v>59</v>
      </c>
      <c r="F34" s="252">
        <f t="shared" si="13"/>
        <v>59</v>
      </c>
      <c r="G34" s="255">
        <v>2</v>
      </c>
      <c r="H34" s="255">
        <v>53</v>
      </c>
      <c r="I34" s="255">
        <v>0</v>
      </c>
      <c r="J34" s="623"/>
      <c r="K34" s="624"/>
      <c r="L34" s="71">
        <f t="shared" si="14"/>
        <v>55</v>
      </c>
      <c r="M34" s="255"/>
      <c r="N34" s="255">
        <v>1</v>
      </c>
      <c r="O34" s="255">
        <v>0</v>
      </c>
      <c r="P34" s="255"/>
      <c r="Q34" s="70">
        <f t="shared" si="15"/>
        <v>1</v>
      </c>
      <c r="R34" s="255">
        <v>2</v>
      </c>
      <c r="S34" s="255"/>
      <c r="T34" s="255">
        <v>2</v>
      </c>
      <c r="U34" s="71">
        <f t="shared" si="16"/>
        <v>4</v>
      </c>
      <c r="V34" s="255"/>
      <c r="W34" s="255"/>
      <c r="X34" s="255"/>
      <c r="Y34" s="255"/>
      <c r="Z34" s="70">
        <f t="shared" si="17"/>
        <v>0</v>
      </c>
      <c r="AA34" s="256">
        <v>10</v>
      </c>
      <c r="AB34" s="257"/>
      <c r="AC34" s="257"/>
      <c r="AD34" s="257"/>
      <c r="AE34" s="83">
        <f t="shared" si="18"/>
        <v>10</v>
      </c>
      <c r="AF34" s="257"/>
      <c r="AG34" s="257"/>
    </row>
    <row r="35" spans="1:33">
      <c r="A35" s="487"/>
      <c r="B35" s="69" t="s">
        <v>2455</v>
      </c>
      <c r="C35" s="69">
        <v>0</v>
      </c>
      <c r="D35" s="69">
        <v>0</v>
      </c>
      <c r="E35" s="69">
        <v>15</v>
      </c>
      <c r="F35" s="252">
        <f t="shared" si="13"/>
        <v>15</v>
      </c>
      <c r="G35" s="70">
        <v>0</v>
      </c>
      <c r="H35" s="70">
        <v>0</v>
      </c>
      <c r="I35" s="70">
        <v>0</v>
      </c>
      <c r="J35" s="625"/>
      <c r="K35" s="626"/>
      <c r="L35" s="71">
        <f t="shared" si="14"/>
        <v>0</v>
      </c>
      <c r="M35" s="70"/>
      <c r="N35" s="70">
        <v>0</v>
      </c>
      <c r="O35" s="70">
        <v>0</v>
      </c>
      <c r="P35" s="70"/>
      <c r="Q35" s="70">
        <f t="shared" si="15"/>
        <v>0</v>
      </c>
      <c r="R35" s="70"/>
      <c r="S35" s="70"/>
      <c r="T35" s="70"/>
      <c r="U35" s="71">
        <f t="shared" si="16"/>
        <v>0</v>
      </c>
      <c r="V35" s="70"/>
      <c r="W35" s="70"/>
      <c r="X35" s="70"/>
      <c r="Y35" s="70"/>
      <c r="Z35" s="70">
        <f t="shared" si="17"/>
        <v>0</v>
      </c>
      <c r="AA35" s="83"/>
      <c r="AB35" s="83"/>
      <c r="AC35" s="83"/>
      <c r="AD35" s="83"/>
      <c r="AE35" s="83">
        <f t="shared" si="18"/>
        <v>0</v>
      </c>
      <c r="AF35" s="83"/>
      <c r="AG35" s="83"/>
    </row>
    <row r="36" spans="1:33">
      <c r="A36" s="627" t="s">
        <v>361</v>
      </c>
      <c r="B36" s="480"/>
      <c r="C36" s="253">
        <f t="shared" ref="C36:I36" si="19">SUM(C24:C35)</f>
        <v>263</v>
      </c>
      <c r="D36" s="253">
        <f t="shared" si="19"/>
        <v>18</v>
      </c>
      <c r="E36" s="253">
        <f t="shared" si="19"/>
        <v>155</v>
      </c>
      <c r="F36" s="253">
        <f t="shared" si="19"/>
        <v>436</v>
      </c>
      <c r="G36" s="253">
        <f t="shared" si="19"/>
        <v>20</v>
      </c>
      <c r="H36" s="253">
        <f t="shared" si="19"/>
        <v>301</v>
      </c>
      <c r="I36" s="253">
        <f t="shared" si="19"/>
        <v>9</v>
      </c>
      <c r="J36" s="253"/>
      <c r="K36" s="253"/>
      <c r="L36" s="253">
        <f t="shared" ref="L36:AF36" si="20">SUM(L24:L35)</f>
        <v>330</v>
      </c>
      <c r="M36" s="253">
        <f t="shared" si="20"/>
        <v>34</v>
      </c>
      <c r="N36" s="253">
        <f t="shared" si="20"/>
        <v>14</v>
      </c>
      <c r="O36" s="253">
        <f t="shared" si="20"/>
        <v>0</v>
      </c>
      <c r="P36" s="253">
        <f t="shared" si="20"/>
        <v>3</v>
      </c>
      <c r="Q36" s="253">
        <f t="shared" si="20"/>
        <v>51</v>
      </c>
      <c r="R36" s="253">
        <f t="shared" si="20"/>
        <v>7</v>
      </c>
      <c r="S36" s="253">
        <f t="shared" si="20"/>
        <v>0</v>
      </c>
      <c r="T36" s="253">
        <f t="shared" si="20"/>
        <v>43</v>
      </c>
      <c r="U36" s="253">
        <f t="shared" si="20"/>
        <v>50</v>
      </c>
      <c r="V36" s="253">
        <f t="shared" si="20"/>
        <v>0</v>
      </c>
      <c r="W36" s="253">
        <f t="shared" si="20"/>
        <v>0</v>
      </c>
      <c r="X36" s="253">
        <f t="shared" si="20"/>
        <v>3</v>
      </c>
      <c r="Y36" s="253">
        <f t="shared" si="20"/>
        <v>4</v>
      </c>
      <c r="Z36" s="253">
        <f t="shared" si="20"/>
        <v>7</v>
      </c>
      <c r="AA36" s="253">
        <f t="shared" si="20"/>
        <v>247</v>
      </c>
      <c r="AB36" s="253">
        <f t="shared" si="20"/>
        <v>6</v>
      </c>
      <c r="AC36" s="253">
        <f t="shared" si="20"/>
        <v>0</v>
      </c>
      <c r="AD36" s="253">
        <f t="shared" si="20"/>
        <v>55</v>
      </c>
      <c r="AE36" s="253">
        <f t="shared" si="20"/>
        <v>308</v>
      </c>
      <c r="AF36" s="253">
        <f t="shared" si="20"/>
        <v>3</v>
      </c>
      <c r="AG36" s="253"/>
    </row>
    <row r="37" spans="1:33">
      <c r="A37" s="628" t="s">
        <v>8038</v>
      </c>
      <c r="B37" s="69" t="s">
        <v>7784</v>
      </c>
      <c r="C37" s="69">
        <v>7</v>
      </c>
      <c r="D37" s="69">
        <v>0</v>
      </c>
      <c r="E37" s="69">
        <v>0</v>
      </c>
      <c r="F37" s="252">
        <f t="shared" ref="F37:F52" si="21">SUM(C37:E37)</f>
        <v>7</v>
      </c>
      <c r="G37" s="70">
        <v>0</v>
      </c>
      <c r="H37" s="70">
        <v>5</v>
      </c>
      <c r="I37" s="70">
        <v>0</v>
      </c>
      <c r="J37" s="70">
        <v>0</v>
      </c>
      <c r="K37" s="70">
        <v>0</v>
      </c>
      <c r="L37" s="71">
        <f t="shared" ref="L37:L52" si="22">SUM(G37:I37)</f>
        <v>5</v>
      </c>
      <c r="M37" s="114">
        <v>2</v>
      </c>
      <c r="N37" s="114">
        <v>0</v>
      </c>
      <c r="O37" s="114">
        <v>0</v>
      </c>
      <c r="P37" s="114">
        <v>0</v>
      </c>
      <c r="Q37" s="70">
        <f t="shared" ref="Q37:Q52" si="23">SUM(M37:P37)</f>
        <v>2</v>
      </c>
      <c r="R37" s="114">
        <v>0</v>
      </c>
      <c r="S37" s="114">
        <v>0</v>
      </c>
      <c r="T37" s="114">
        <v>3</v>
      </c>
      <c r="U37" s="71">
        <f t="shared" ref="U37:U52" si="24">SUM(R37:T37)</f>
        <v>3</v>
      </c>
      <c r="V37" s="75">
        <v>0</v>
      </c>
      <c r="W37" s="75">
        <v>0</v>
      </c>
      <c r="X37" s="70">
        <v>0</v>
      </c>
      <c r="Y37" s="75">
        <v>0</v>
      </c>
      <c r="Z37" s="76">
        <f t="shared" ref="Z37:Z52" si="25">SUM(V37:Y37)</f>
        <v>0</v>
      </c>
      <c r="AA37" s="73">
        <v>5</v>
      </c>
      <c r="AB37" s="73">
        <v>0</v>
      </c>
      <c r="AC37" s="73">
        <v>0</v>
      </c>
      <c r="AD37" s="73">
        <v>2</v>
      </c>
      <c r="AE37" s="83">
        <f t="shared" ref="AE37:AE52" si="26">SUM(AA37:AD37)</f>
        <v>7</v>
      </c>
      <c r="AF37" s="73">
        <v>0</v>
      </c>
      <c r="AG37" s="73"/>
    </row>
    <row r="38" spans="1:33">
      <c r="A38" s="629"/>
      <c r="B38" s="258" t="s">
        <v>8039</v>
      </c>
      <c r="C38" s="75">
        <v>16</v>
      </c>
      <c r="D38" s="75">
        <v>0</v>
      </c>
      <c r="E38" s="75">
        <v>0</v>
      </c>
      <c r="F38" s="252">
        <f t="shared" si="21"/>
        <v>16</v>
      </c>
      <c r="G38" s="70">
        <v>0</v>
      </c>
      <c r="H38" s="70">
        <v>14</v>
      </c>
      <c r="I38" s="70">
        <v>0</v>
      </c>
      <c r="J38" s="70">
        <v>0</v>
      </c>
      <c r="K38" s="70">
        <v>0</v>
      </c>
      <c r="L38" s="71">
        <f t="shared" si="22"/>
        <v>14</v>
      </c>
      <c r="M38" s="75">
        <v>0</v>
      </c>
      <c r="N38" s="75">
        <v>1</v>
      </c>
      <c r="O38" s="75">
        <v>0</v>
      </c>
      <c r="P38" s="75">
        <v>1</v>
      </c>
      <c r="Q38" s="70">
        <f t="shared" si="23"/>
        <v>2</v>
      </c>
      <c r="R38" s="70">
        <v>0</v>
      </c>
      <c r="S38" s="70">
        <v>0</v>
      </c>
      <c r="T38" s="70">
        <v>5</v>
      </c>
      <c r="U38" s="71">
        <f t="shared" si="24"/>
        <v>5</v>
      </c>
      <c r="V38" s="114">
        <v>0</v>
      </c>
      <c r="W38" s="114">
        <v>0</v>
      </c>
      <c r="X38" s="114">
        <v>1</v>
      </c>
      <c r="Y38" s="114">
        <v>0</v>
      </c>
      <c r="Z38" s="76">
        <f t="shared" si="25"/>
        <v>1</v>
      </c>
      <c r="AA38" s="73">
        <v>10</v>
      </c>
      <c r="AB38" s="73">
        <v>0</v>
      </c>
      <c r="AC38" s="73">
        <v>0</v>
      </c>
      <c r="AD38" s="73">
        <v>6</v>
      </c>
      <c r="AE38" s="83">
        <f t="shared" si="26"/>
        <v>16</v>
      </c>
      <c r="AF38" s="73">
        <v>0</v>
      </c>
      <c r="AG38" s="73"/>
    </row>
    <row r="39" spans="1:33">
      <c r="A39" s="629"/>
      <c r="B39" s="258" t="s">
        <v>8040</v>
      </c>
      <c r="C39" s="75">
        <v>62</v>
      </c>
      <c r="D39" s="75">
        <v>13</v>
      </c>
      <c r="E39" s="75">
        <v>4</v>
      </c>
      <c r="F39" s="252">
        <f t="shared" si="21"/>
        <v>79</v>
      </c>
      <c r="G39" s="70">
        <v>2</v>
      </c>
      <c r="H39" s="70">
        <v>55</v>
      </c>
      <c r="I39" s="70">
        <v>2</v>
      </c>
      <c r="J39" s="70">
        <v>0</v>
      </c>
      <c r="K39" s="70">
        <v>0</v>
      </c>
      <c r="L39" s="71">
        <f t="shared" si="22"/>
        <v>59</v>
      </c>
      <c r="M39" s="75">
        <v>9</v>
      </c>
      <c r="N39" s="75">
        <v>4</v>
      </c>
      <c r="O39" s="75">
        <v>1</v>
      </c>
      <c r="P39" s="75">
        <v>4</v>
      </c>
      <c r="Q39" s="70">
        <f t="shared" si="23"/>
        <v>18</v>
      </c>
      <c r="R39" s="70">
        <v>2</v>
      </c>
      <c r="S39" s="70">
        <v>0</v>
      </c>
      <c r="T39" s="70">
        <v>42</v>
      </c>
      <c r="U39" s="71">
        <f t="shared" si="24"/>
        <v>44</v>
      </c>
      <c r="V39" s="75">
        <v>0</v>
      </c>
      <c r="W39" s="75">
        <v>0</v>
      </c>
      <c r="X39" s="75">
        <v>1</v>
      </c>
      <c r="Y39" s="75">
        <v>1</v>
      </c>
      <c r="Z39" s="76">
        <f t="shared" si="25"/>
        <v>2</v>
      </c>
      <c r="AA39" s="73">
        <v>73</v>
      </c>
      <c r="AB39" s="73">
        <v>1</v>
      </c>
      <c r="AC39" s="73">
        <v>0</v>
      </c>
      <c r="AD39" s="73">
        <v>5</v>
      </c>
      <c r="AE39" s="83">
        <f t="shared" si="26"/>
        <v>79</v>
      </c>
      <c r="AF39" s="73">
        <v>2</v>
      </c>
      <c r="AG39" s="73"/>
    </row>
    <row r="40" spans="1:33">
      <c r="A40" s="629"/>
      <c r="B40" s="75" t="s">
        <v>8041</v>
      </c>
      <c r="C40" s="75">
        <v>54</v>
      </c>
      <c r="D40" s="75">
        <v>6</v>
      </c>
      <c r="E40" s="75">
        <v>4</v>
      </c>
      <c r="F40" s="252">
        <f t="shared" si="21"/>
        <v>64</v>
      </c>
      <c r="G40" s="70">
        <v>7</v>
      </c>
      <c r="H40" s="70">
        <v>42</v>
      </c>
      <c r="I40" s="70">
        <v>0</v>
      </c>
      <c r="J40" s="70">
        <v>0</v>
      </c>
      <c r="K40" s="70">
        <v>0</v>
      </c>
      <c r="L40" s="71">
        <f t="shared" si="22"/>
        <v>49</v>
      </c>
      <c r="M40" s="75">
        <v>8</v>
      </c>
      <c r="N40" s="75">
        <v>4</v>
      </c>
      <c r="O40" s="75">
        <v>0</v>
      </c>
      <c r="P40" s="75">
        <v>1</v>
      </c>
      <c r="Q40" s="70">
        <f t="shared" si="23"/>
        <v>13</v>
      </c>
      <c r="R40" s="70">
        <v>9</v>
      </c>
      <c r="S40" s="70">
        <v>0</v>
      </c>
      <c r="T40" s="70">
        <v>13</v>
      </c>
      <c r="U40" s="71">
        <f t="shared" si="24"/>
        <v>22</v>
      </c>
      <c r="V40" s="75">
        <v>0</v>
      </c>
      <c r="W40" s="75">
        <v>0</v>
      </c>
      <c r="X40" s="75">
        <v>0</v>
      </c>
      <c r="Y40" s="75">
        <v>4</v>
      </c>
      <c r="Z40" s="76">
        <f t="shared" si="25"/>
        <v>4</v>
      </c>
      <c r="AA40" s="73">
        <v>64</v>
      </c>
      <c r="AB40" s="73">
        <v>0</v>
      </c>
      <c r="AC40" s="73">
        <v>0</v>
      </c>
      <c r="AD40" s="73">
        <v>0</v>
      </c>
      <c r="AE40" s="83">
        <f t="shared" si="26"/>
        <v>64</v>
      </c>
      <c r="AF40" s="73">
        <v>0</v>
      </c>
      <c r="AG40" s="73">
        <v>0</v>
      </c>
    </row>
    <row r="41" spans="1:33">
      <c r="A41" s="629"/>
      <c r="B41" s="75" t="s">
        <v>8042</v>
      </c>
      <c r="C41" s="75">
        <v>45</v>
      </c>
      <c r="D41" s="75">
        <v>0</v>
      </c>
      <c r="E41" s="75">
        <v>10</v>
      </c>
      <c r="F41" s="252">
        <f t="shared" si="21"/>
        <v>55</v>
      </c>
      <c r="G41" s="70">
        <v>1</v>
      </c>
      <c r="H41" s="70">
        <v>28</v>
      </c>
      <c r="I41" s="70">
        <v>0</v>
      </c>
      <c r="J41" s="73">
        <v>0</v>
      </c>
      <c r="K41" s="73">
        <v>0</v>
      </c>
      <c r="L41" s="71">
        <f t="shared" si="22"/>
        <v>29</v>
      </c>
      <c r="M41" s="75">
        <v>30</v>
      </c>
      <c r="N41" s="75">
        <v>0</v>
      </c>
      <c r="O41" s="75">
        <v>0</v>
      </c>
      <c r="P41" s="75">
        <v>3</v>
      </c>
      <c r="Q41" s="70">
        <f t="shared" si="23"/>
        <v>33</v>
      </c>
      <c r="R41" s="70">
        <v>0</v>
      </c>
      <c r="S41" s="70">
        <v>1</v>
      </c>
      <c r="T41" s="70">
        <v>17</v>
      </c>
      <c r="U41" s="71">
        <f t="shared" si="24"/>
        <v>18</v>
      </c>
      <c r="V41" s="75">
        <v>0</v>
      </c>
      <c r="W41" s="75">
        <v>0</v>
      </c>
      <c r="X41" s="75">
        <v>0</v>
      </c>
      <c r="Y41" s="75">
        <v>1</v>
      </c>
      <c r="Z41" s="76">
        <f t="shared" si="25"/>
        <v>1</v>
      </c>
      <c r="AA41" s="73">
        <v>41</v>
      </c>
      <c r="AB41" s="73">
        <v>0</v>
      </c>
      <c r="AC41" s="73">
        <v>0</v>
      </c>
      <c r="AD41" s="73">
        <v>8</v>
      </c>
      <c r="AE41" s="83">
        <f t="shared" si="26"/>
        <v>49</v>
      </c>
      <c r="AF41" s="73">
        <v>0</v>
      </c>
      <c r="AG41" s="73">
        <v>0</v>
      </c>
    </row>
    <row r="42" spans="1:33">
      <c r="A42" s="629"/>
      <c r="B42" s="75" t="s">
        <v>8043</v>
      </c>
      <c r="C42" s="76">
        <v>56</v>
      </c>
      <c r="D42" s="76">
        <v>2</v>
      </c>
      <c r="E42" s="76">
        <v>4</v>
      </c>
      <c r="F42" s="252">
        <f t="shared" si="21"/>
        <v>62</v>
      </c>
      <c r="G42" s="259">
        <v>2</v>
      </c>
      <c r="H42" s="259">
        <v>38</v>
      </c>
      <c r="I42" s="70">
        <v>0</v>
      </c>
      <c r="J42" s="73">
        <v>0</v>
      </c>
      <c r="K42" s="73">
        <v>0</v>
      </c>
      <c r="L42" s="71">
        <f t="shared" si="22"/>
        <v>40</v>
      </c>
      <c r="M42" s="76">
        <v>10</v>
      </c>
      <c r="N42" s="76">
        <v>1</v>
      </c>
      <c r="O42" s="76">
        <v>0</v>
      </c>
      <c r="P42" s="76">
        <v>10</v>
      </c>
      <c r="Q42" s="70">
        <f t="shared" si="23"/>
        <v>21</v>
      </c>
      <c r="R42" s="259">
        <v>1</v>
      </c>
      <c r="S42" s="259">
        <v>0</v>
      </c>
      <c r="T42" s="259">
        <v>24</v>
      </c>
      <c r="U42" s="71">
        <f t="shared" si="24"/>
        <v>25</v>
      </c>
      <c r="V42" s="76">
        <v>0</v>
      </c>
      <c r="W42" s="76">
        <v>0</v>
      </c>
      <c r="X42" s="76">
        <v>1</v>
      </c>
      <c r="Y42" s="76">
        <v>2</v>
      </c>
      <c r="Z42" s="76">
        <f t="shared" si="25"/>
        <v>3</v>
      </c>
      <c r="AA42" s="83">
        <v>56</v>
      </c>
      <c r="AB42" s="83">
        <v>3</v>
      </c>
      <c r="AC42" s="83">
        <v>0</v>
      </c>
      <c r="AD42" s="83">
        <v>0</v>
      </c>
      <c r="AE42" s="83">
        <f t="shared" si="26"/>
        <v>59</v>
      </c>
      <c r="AF42" s="83">
        <v>0</v>
      </c>
      <c r="AG42" s="83">
        <v>1</v>
      </c>
    </row>
    <row r="43" spans="1:33">
      <c r="A43" s="629"/>
      <c r="B43" s="75" t="s">
        <v>8044</v>
      </c>
      <c r="C43" s="75">
        <v>33</v>
      </c>
      <c r="D43" s="75">
        <v>0</v>
      </c>
      <c r="E43" s="75">
        <v>9</v>
      </c>
      <c r="F43" s="252">
        <f t="shared" si="21"/>
        <v>42</v>
      </c>
      <c r="G43" s="70">
        <v>0</v>
      </c>
      <c r="H43" s="46">
        <v>24</v>
      </c>
      <c r="I43" s="70">
        <v>2</v>
      </c>
      <c r="J43" s="46">
        <v>0</v>
      </c>
      <c r="K43" s="445">
        <v>0</v>
      </c>
      <c r="L43" s="71">
        <f t="shared" si="22"/>
        <v>26</v>
      </c>
      <c r="M43" s="75">
        <v>11</v>
      </c>
      <c r="N43" s="75">
        <v>0</v>
      </c>
      <c r="O43" s="75">
        <v>0</v>
      </c>
      <c r="P43" s="75">
        <v>2</v>
      </c>
      <c r="Q43" s="70">
        <f t="shared" si="23"/>
        <v>13</v>
      </c>
      <c r="R43" s="70">
        <v>0</v>
      </c>
      <c r="S43" s="70">
        <v>0</v>
      </c>
      <c r="T43" s="70">
        <v>4</v>
      </c>
      <c r="U43" s="71">
        <f t="shared" si="24"/>
        <v>4</v>
      </c>
      <c r="V43" s="75">
        <v>0</v>
      </c>
      <c r="W43" s="75">
        <v>0</v>
      </c>
      <c r="X43" s="75">
        <v>0</v>
      </c>
      <c r="Y43" s="75">
        <v>0</v>
      </c>
      <c r="Z43" s="76">
        <f t="shared" si="25"/>
        <v>0</v>
      </c>
      <c r="AA43" s="73">
        <v>34</v>
      </c>
      <c r="AB43" s="73">
        <v>1</v>
      </c>
      <c r="AC43" s="73">
        <v>0</v>
      </c>
      <c r="AD43" s="73">
        <v>4</v>
      </c>
      <c r="AE43" s="83">
        <f t="shared" si="26"/>
        <v>39</v>
      </c>
      <c r="AF43" s="73">
        <v>0</v>
      </c>
      <c r="AG43" s="73">
        <v>0</v>
      </c>
    </row>
    <row r="44" spans="1:33">
      <c r="A44" s="629"/>
      <c r="B44" s="75" t="s">
        <v>8045</v>
      </c>
      <c r="C44" s="75">
        <v>46</v>
      </c>
      <c r="D44" s="75">
        <v>0</v>
      </c>
      <c r="E44" s="75">
        <v>15</v>
      </c>
      <c r="F44" s="252">
        <f t="shared" si="21"/>
        <v>61</v>
      </c>
      <c r="G44" s="70">
        <v>3</v>
      </c>
      <c r="H44" s="70">
        <v>40</v>
      </c>
      <c r="I44" s="70">
        <v>0</v>
      </c>
      <c r="J44" s="70">
        <v>0</v>
      </c>
      <c r="K44" s="70">
        <v>0</v>
      </c>
      <c r="L44" s="71">
        <f t="shared" si="22"/>
        <v>43</v>
      </c>
      <c r="M44" s="75">
        <v>16</v>
      </c>
      <c r="N44" s="75">
        <v>1</v>
      </c>
      <c r="O44" s="75">
        <v>0</v>
      </c>
      <c r="P44" s="75">
        <v>2</v>
      </c>
      <c r="Q44" s="70">
        <f t="shared" si="23"/>
        <v>19</v>
      </c>
      <c r="R44" s="70">
        <v>3</v>
      </c>
      <c r="S44" s="70">
        <v>0</v>
      </c>
      <c r="T44" s="70">
        <v>22</v>
      </c>
      <c r="U44" s="71">
        <f t="shared" si="24"/>
        <v>25</v>
      </c>
      <c r="V44" s="75">
        <v>0</v>
      </c>
      <c r="W44" s="75">
        <v>0</v>
      </c>
      <c r="X44" s="75">
        <v>1</v>
      </c>
      <c r="Y44" s="70">
        <v>0</v>
      </c>
      <c r="Z44" s="76">
        <f t="shared" si="25"/>
        <v>1</v>
      </c>
      <c r="AA44" s="73">
        <v>53</v>
      </c>
      <c r="AB44" s="73">
        <v>1</v>
      </c>
      <c r="AC44" s="73">
        <v>0</v>
      </c>
      <c r="AD44" s="73">
        <v>0</v>
      </c>
      <c r="AE44" s="83">
        <f t="shared" si="26"/>
        <v>54</v>
      </c>
      <c r="AF44" s="73">
        <v>0</v>
      </c>
      <c r="AG44" s="73">
        <v>0</v>
      </c>
    </row>
    <row r="45" spans="1:33">
      <c r="A45" s="629"/>
      <c r="B45" s="75" t="s">
        <v>8046</v>
      </c>
      <c r="C45" s="75">
        <v>30</v>
      </c>
      <c r="D45" s="75">
        <v>1</v>
      </c>
      <c r="E45" s="75">
        <v>8</v>
      </c>
      <c r="F45" s="252">
        <f t="shared" si="21"/>
        <v>39</v>
      </c>
      <c r="G45" s="70">
        <v>1</v>
      </c>
      <c r="H45" s="70">
        <v>34</v>
      </c>
      <c r="I45" s="70">
        <v>1</v>
      </c>
      <c r="J45" s="73">
        <v>0</v>
      </c>
      <c r="K45" s="73">
        <v>0</v>
      </c>
      <c r="L45" s="71">
        <f t="shared" si="22"/>
        <v>36</v>
      </c>
      <c r="M45" s="75">
        <v>1</v>
      </c>
      <c r="N45" s="75">
        <v>1</v>
      </c>
      <c r="O45" s="75">
        <v>0</v>
      </c>
      <c r="P45" s="75">
        <v>0</v>
      </c>
      <c r="Q45" s="70">
        <f t="shared" si="23"/>
        <v>2</v>
      </c>
      <c r="R45" s="70">
        <v>1</v>
      </c>
      <c r="S45" s="70">
        <v>0</v>
      </c>
      <c r="T45" s="70">
        <v>14</v>
      </c>
      <c r="U45" s="71">
        <f t="shared" si="24"/>
        <v>15</v>
      </c>
      <c r="V45" s="76">
        <v>0</v>
      </c>
      <c r="W45" s="76">
        <v>0</v>
      </c>
      <c r="X45" s="76">
        <v>0</v>
      </c>
      <c r="Y45" s="76">
        <v>0</v>
      </c>
      <c r="Z45" s="76">
        <f t="shared" si="25"/>
        <v>0</v>
      </c>
      <c r="AA45" s="83">
        <v>37</v>
      </c>
      <c r="AB45" s="83">
        <v>0</v>
      </c>
      <c r="AC45" s="83">
        <v>0</v>
      </c>
      <c r="AD45" s="83">
        <v>0</v>
      </c>
      <c r="AE45" s="83">
        <f t="shared" si="26"/>
        <v>37</v>
      </c>
      <c r="AF45" s="73">
        <v>0</v>
      </c>
      <c r="AG45" s="73">
        <v>0</v>
      </c>
    </row>
    <row r="46" spans="1:33">
      <c r="A46" s="629"/>
      <c r="B46" s="260" t="s">
        <v>8047</v>
      </c>
      <c r="C46" s="261">
        <v>53</v>
      </c>
      <c r="D46" s="261">
        <v>7</v>
      </c>
      <c r="E46" s="261">
        <v>13</v>
      </c>
      <c r="F46" s="252">
        <f t="shared" si="21"/>
        <v>73</v>
      </c>
      <c r="G46" s="261">
        <v>0</v>
      </c>
      <c r="H46" s="261">
        <v>71</v>
      </c>
      <c r="I46" s="261">
        <v>1</v>
      </c>
      <c r="J46" s="262">
        <v>0</v>
      </c>
      <c r="K46" s="262">
        <v>0</v>
      </c>
      <c r="L46" s="71">
        <f t="shared" si="22"/>
        <v>72</v>
      </c>
      <c r="M46" s="261">
        <v>0</v>
      </c>
      <c r="N46" s="261">
        <v>1</v>
      </c>
      <c r="O46" s="261">
        <v>0</v>
      </c>
      <c r="P46" s="261">
        <v>0</v>
      </c>
      <c r="Q46" s="70">
        <f t="shared" si="23"/>
        <v>1</v>
      </c>
      <c r="R46" s="261">
        <v>0</v>
      </c>
      <c r="S46" s="261">
        <v>0</v>
      </c>
      <c r="T46" s="261">
        <v>27</v>
      </c>
      <c r="U46" s="71">
        <f t="shared" si="24"/>
        <v>27</v>
      </c>
      <c r="V46" s="263">
        <v>0</v>
      </c>
      <c r="W46" s="76">
        <v>0</v>
      </c>
      <c r="X46" s="76">
        <v>0</v>
      </c>
      <c r="Y46" s="76">
        <v>1</v>
      </c>
      <c r="Z46" s="76">
        <f t="shared" si="25"/>
        <v>1</v>
      </c>
      <c r="AA46" s="83">
        <v>0</v>
      </c>
      <c r="AB46" s="83">
        <v>0</v>
      </c>
      <c r="AC46" s="83">
        <v>0</v>
      </c>
      <c r="AD46" s="83">
        <v>0</v>
      </c>
      <c r="AE46" s="83">
        <f t="shared" si="26"/>
        <v>0</v>
      </c>
      <c r="AF46" s="73">
        <v>0</v>
      </c>
      <c r="AG46" s="73">
        <v>0</v>
      </c>
    </row>
    <row r="47" spans="1:33">
      <c r="A47" s="629"/>
      <c r="B47" s="260" t="s">
        <v>8048</v>
      </c>
      <c r="C47" s="261">
        <v>0</v>
      </c>
      <c r="D47" s="261">
        <v>0</v>
      </c>
      <c r="E47" s="261">
        <v>35</v>
      </c>
      <c r="F47" s="252">
        <f t="shared" si="21"/>
        <v>35</v>
      </c>
      <c r="G47" s="261">
        <v>0</v>
      </c>
      <c r="H47" s="261">
        <v>35</v>
      </c>
      <c r="I47" s="261">
        <v>0</v>
      </c>
      <c r="J47" s="262">
        <v>0</v>
      </c>
      <c r="K47" s="262">
        <v>0</v>
      </c>
      <c r="L47" s="71">
        <f t="shared" si="22"/>
        <v>35</v>
      </c>
      <c r="M47" s="261">
        <v>0</v>
      </c>
      <c r="N47" s="261">
        <v>0</v>
      </c>
      <c r="O47" s="261">
        <v>0</v>
      </c>
      <c r="P47" s="261">
        <v>0</v>
      </c>
      <c r="Q47" s="70">
        <f t="shared" si="23"/>
        <v>0</v>
      </c>
      <c r="R47" s="261">
        <v>0</v>
      </c>
      <c r="S47" s="261">
        <v>0</v>
      </c>
      <c r="T47" s="261">
        <v>0</v>
      </c>
      <c r="U47" s="71">
        <f t="shared" si="24"/>
        <v>0</v>
      </c>
      <c r="V47" s="264">
        <v>0</v>
      </c>
      <c r="W47" s="75">
        <v>0</v>
      </c>
      <c r="X47" s="75">
        <v>0</v>
      </c>
      <c r="Y47" s="75">
        <v>0</v>
      </c>
      <c r="Z47" s="76">
        <f t="shared" si="25"/>
        <v>0</v>
      </c>
      <c r="AA47" s="83">
        <v>0</v>
      </c>
      <c r="AB47" s="83">
        <v>0</v>
      </c>
      <c r="AC47" s="73">
        <v>0</v>
      </c>
      <c r="AD47" s="73">
        <v>35</v>
      </c>
      <c r="AE47" s="83">
        <f t="shared" si="26"/>
        <v>35</v>
      </c>
      <c r="AF47" s="73">
        <v>0</v>
      </c>
      <c r="AG47" s="73">
        <v>0</v>
      </c>
    </row>
    <row r="48" spans="1:33">
      <c r="A48" s="629"/>
      <c r="B48" s="260" t="s">
        <v>8028</v>
      </c>
      <c r="C48" s="261">
        <v>0</v>
      </c>
      <c r="D48" s="261">
        <v>0</v>
      </c>
      <c r="E48" s="261">
        <v>13</v>
      </c>
      <c r="F48" s="252">
        <f t="shared" si="21"/>
        <v>13</v>
      </c>
      <c r="G48" s="261">
        <v>1</v>
      </c>
      <c r="H48" s="261">
        <v>12</v>
      </c>
      <c r="I48" s="261">
        <v>0</v>
      </c>
      <c r="J48" s="262">
        <v>0</v>
      </c>
      <c r="K48" s="262">
        <v>0</v>
      </c>
      <c r="L48" s="71">
        <f t="shared" si="22"/>
        <v>13</v>
      </c>
      <c r="M48" s="261">
        <v>0</v>
      </c>
      <c r="N48" s="261">
        <v>0</v>
      </c>
      <c r="O48" s="261">
        <v>0</v>
      </c>
      <c r="P48" s="261">
        <v>0</v>
      </c>
      <c r="Q48" s="70">
        <f t="shared" si="23"/>
        <v>0</v>
      </c>
      <c r="R48" s="261">
        <v>1</v>
      </c>
      <c r="S48" s="261">
        <v>0</v>
      </c>
      <c r="T48" s="261">
        <v>0</v>
      </c>
      <c r="U48" s="71">
        <f t="shared" si="24"/>
        <v>1</v>
      </c>
      <c r="V48" s="264">
        <v>0</v>
      </c>
      <c r="W48" s="75">
        <v>0</v>
      </c>
      <c r="X48" s="75">
        <v>0</v>
      </c>
      <c r="Y48" s="75">
        <v>0</v>
      </c>
      <c r="Z48" s="76">
        <f t="shared" si="25"/>
        <v>0</v>
      </c>
      <c r="AA48" s="83">
        <v>0</v>
      </c>
      <c r="AB48" s="83">
        <v>0</v>
      </c>
      <c r="AC48" s="73">
        <v>0</v>
      </c>
      <c r="AD48" s="73">
        <v>13</v>
      </c>
      <c r="AE48" s="83">
        <f t="shared" si="26"/>
        <v>13</v>
      </c>
      <c r="AF48" s="73">
        <v>0</v>
      </c>
      <c r="AG48" s="73">
        <v>0</v>
      </c>
    </row>
    <row r="49" spans="1:33">
      <c r="A49" s="629"/>
      <c r="B49" s="260" t="s">
        <v>8049</v>
      </c>
      <c r="C49" s="261">
        <v>0</v>
      </c>
      <c r="D49" s="261">
        <v>0</v>
      </c>
      <c r="E49" s="261">
        <v>13</v>
      </c>
      <c r="F49" s="252">
        <f t="shared" si="21"/>
        <v>13</v>
      </c>
      <c r="G49" s="261">
        <v>0</v>
      </c>
      <c r="H49" s="261">
        <v>8</v>
      </c>
      <c r="I49" s="261">
        <v>0</v>
      </c>
      <c r="J49" s="262">
        <v>5</v>
      </c>
      <c r="K49" s="262">
        <v>0</v>
      </c>
      <c r="L49" s="71">
        <f t="shared" si="22"/>
        <v>8</v>
      </c>
      <c r="M49" s="261">
        <v>0</v>
      </c>
      <c r="N49" s="261">
        <v>0</v>
      </c>
      <c r="O49" s="261">
        <v>0</v>
      </c>
      <c r="P49" s="261">
        <v>0</v>
      </c>
      <c r="Q49" s="70">
        <f t="shared" si="23"/>
        <v>0</v>
      </c>
      <c r="R49" s="261">
        <v>5</v>
      </c>
      <c r="S49" s="261">
        <v>0</v>
      </c>
      <c r="T49" s="261">
        <v>0</v>
      </c>
      <c r="U49" s="71">
        <f t="shared" si="24"/>
        <v>5</v>
      </c>
      <c r="V49" s="264">
        <v>0</v>
      </c>
      <c r="W49" s="75">
        <v>0</v>
      </c>
      <c r="X49" s="75">
        <v>0</v>
      </c>
      <c r="Y49" s="75">
        <v>0</v>
      </c>
      <c r="Z49" s="76">
        <f t="shared" si="25"/>
        <v>0</v>
      </c>
      <c r="AA49" s="73">
        <v>0</v>
      </c>
      <c r="AB49" s="73">
        <v>0</v>
      </c>
      <c r="AC49" s="73">
        <v>0</v>
      </c>
      <c r="AD49" s="73">
        <v>13</v>
      </c>
      <c r="AE49" s="83">
        <f t="shared" si="26"/>
        <v>13</v>
      </c>
      <c r="AF49" s="73">
        <v>0</v>
      </c>
      <c r="AG49" s="73">
        <v>0</v>
      </c>
    </row>
    <row r="50" spans="1:33">
      <c r="A50" s="629"/>
      <c r="B50" s="260" t="s">
        <v>8050</v>
      </c>
      <c r="C50" s="261">
        <v>0</v>
      </c>
      <c r="D50" s="261">
        <v>0</v>
      </c>
      <c r="E50" s="261">
        <v>4</v>
      </c>
      <c r="F50" s="252">
        <f t="shared" si="21"/>
        <v>4</v>
      </c>
      <c r="G50" s="261">
        <v>0</v>
      </c>
      <c r="H50" s="261">
        <v>0</v>
      </c>
      <c r="I50" s="261">
        <v>0</v>
      </c>
      <c r="J50" s="262">
        <v>0</v>
      </c>
      <c r="K50" s="262">
        <v>0</v>
      </c>
      <c r="L50" s="71">
        <f t="shared" si="22"/>
        <v>0</v>
      </c>
      <c r="M50" s="261">
        <v>0</v>
      </c>
      <c r="N50" s="261">
        <v>0</v>
      </c>
      <c r="O50" s="261">
        <v>0</v>
      </c>
      <c r="P50" s="261">
        <v>0</v>
      </c>
      <c r="Q50" s="70">
        <f t="shared" si="23"/>
        <v>0</v>
      </c>
      <c r="R50" s="261">
        <v>0</v>
      </c>
      <c r="S50" s="261">
        <v>0</v>
      </c>
      <c r="T50" s="261">
        <v>0</v>
      </c>
      <c r="U50" s="71">
        <f t="shared" si="24"/>
        <v>0</v>
      </c>
      <c r="V50" s="264">
        <v>0</v>
      </c>
      <c r="W50" s="75">
        <v>0</v>
      </c>
      <c r="X50" s="75">
        <v>0</v>
      </c>
      <c r="Y50" s="75">
        <v>0</v>
      </c>
      <c r="Z50" s="76">
        <f t="shared" si="25"/>
        <v>0</v>
      </c>
      <c r="AA50" s="73">
        <v>0</v>
      </c>
      <c r="AB50" s="73">
        <v>0</v>
      </c>
      <c r="AC50" s="73">
        <v>0</v>
      </c>
      <c r="AD50" s="73">
        <v>4</v>
      </c>
      <c r="AE50" s="83">
        <f t="shared" si="26"/>
        <v>4</v>
      </c>
      <c r="AF50" s="73">
        <v>0</v>
      </c>
      <c r="AG50" s="73">
        <v>0</v>
      </c>
    </row>
    <row r="51" spans="1:33">
      <c r="A51" s="629"/>
      <c r="B51" s="260" t="s">
        <v>8051</v>
      </c>
      <c r="C51" s="261">
        <v>0</v>
      </c>
      <c r="D51" s="261">
        <v>0</v>
      </c>
      <c r="E51" s="261">
        <v>5</v>
      </c>
      <c r="F51" s="252">
        <f t="shared" si="21"/>
        <v>5</v>
      </c>
      <c r="G51" s="261">
        <v>0</v>
      </c>
      <c r="H51" s="261">
        <v>0</v>
      </c>
      <c r="I51" s="261">
        <v>0</v>
      </c>
      <c r="J51" s="262">
        <v>5</v>
      </c>
      <c r="K51" s="262">
        <v>0</v>
      </c>
      <c r="L51" s="71">
        <f t="shared" si="22"/>
        <v>0</v>
      </c>
      <c r="M51" s="261">
        <v>0</v>
      </c>
      <c r="N51" s="261">
        <v>0</v>
      </c>
      <c r="O51" s="261">
        <v>0</v>
      </c>
      <c r="P51" s="261">
        <v>0</v>
      </c>
      <c r="Q51" s="70">
        <f t="shared" si="23"/>
        <v>0</v>
      </c>
      <c r="R51" s="261">
        <v>5</v>
      </c>
      <c r="S51" s="261">
        <v>0</v>
      </c>
      <c r="T51" s="261">
        <v>0</v>
      </c>
      <c r="U51" s="71">
        <f t="shared" si="24"/>
        <v>5</v>
      </c>
      <c r="V51" s="264">
        <v>0</v>
      </c>
      <c r="W51" s="75">
        <v>0</v>
      </c>
      <c r="X51" s="75">
        <v>0</v>
      </c>
      <c r="Y51" s="75">
        <v>0</v>
      </c>
      <c r="Z51" s="76">
        <f t="shared" si="25"/>
        <v>0</v>
      </c>
      <c r="AA51" s="73">
        <v>0</v>
      </c>
      <c r="AB51" s="73">
        <v>0</v>
      </c>
      <c r="AC51" s="73">
        <v>0</v>
      </c>
      <c r="AD51" s="73">
        <v>5</v>
      </c>
      <c r="AE51" s="83">
        <f t="shared" si="26"/>
        <v>5</v>
      </c>
      <c r="AF51" s="73">
        <v>0</v>
      </c>
      <c r="AG51" s="73">
        <v>0</v>
      </c>
    </row>
    <row r="52" spans="1:33">
      <c r="A52" s="487"/>
      <c r="B52" s="260" t="s">
        <v>8052</v>
      </c>
      <c r="C52" s="261">
        <v>1</v>
      </c>
      <c r="D52" s="261">
        <v>0</v>
      </c>
      <c r="E52" s="261">
        <v>0</v>
      </c>
      <c r="F52" s="252">
        <f t="shared" si="21"/>
        <v>1</v>
      </c>
      <c r="G52" s="261">
        <v>0</v>
      </c>
      <c r="H52" s="261">
        <v>1</v>
      </c>
      <c r="I52" s="261">
        <v>0</v>
      </c>
      <c r="J52" s="262">
        <v>0</v>
      </c>
      <c r="K52" s="262">
        <v>0</v>
      </c>
      <c r="L52" s="71">
        <f t="shared" si="22"/>
        <v>1</v>
      </c>
      <c r="M52" s="261">
        <v>0</v>
      </c>
      <c r="N52" s="261">
        <v>0</v>
      </c>
      <c r="O52" s="261">
        <v>0</v>
      </c>
      <c r="P52" s="261">
        <v>0</v>
      </c>
      <c r="Q52" s="70">
        <f t="shared" si="23"/>
        <v>0</v>
      </c>
      <c r="R52" s="261">
        <v>0</v>
      </c>
      <c r="S52" s="261">
        <v>0</v>
      </c>
      <c r="T52" s="261">
        <v>1</v>
      </c>
      <c r="U52" s="71">
        <f t="shared" si="24"/>
        <v>1</v>
      </c>
      <c r="V52" s="264">
        <v>0</v>
      </c>
      <c r="W52" s="75">
        <v>0</v>
      </c>
      <c r="X52" s="75">
        <v>0</v>
      </c>
      <c r="Y52" s="75">
        <v>0</v>
      </c>
      <c r="Z52" s="76">
        <f t="shared" si="25"/>
        <v>0</v>
      </c>
      <c r="AA52" s="73">
        <v>1</v>
      </c>
      <c r="AB52" s="83">
        <v>0</v>
      </c>
      <c r="AC52" s="73">
        <v>0</v>
      </c>
      <c r="AD52" s="73">
        <v>0</v>
      </c>
      <c r="AE52" s="83">
        <f t="shared" si="26"/>
        <v>1</v>
      </c>
      <c r="AF52" s="73">
        <v>0</v>
      </c>
      <c r="AG52" s="73">
        <v>0</v>
      </c>
    </row>
    <row r="53" spans="1:33">
      <c r="A53" s="253"/>
      <c r="B53" s="253"/>
      <c r="C53" s="253">
        <f t="shared" ref="C53:K53" si="27">SUM(C37:C52)</f>
        <v>403</v>
      </c>
      <c r="D53" s="265">
        <f t="shared" si="27"/>
        <v>29</v>
      </c>
      <c r="E53" s="265">
        <f t="shared" si="27"/>
        <v>137</v>
      </c>
      <c r="F53" s="253">
        <f t="shared" si="27"/>
        <v>569</v>
      </c>
      <c r="G53" s="253">
        <f t="shared" si="27"/>
        <v>17</v>
      </c>
      <c r="H53" s="253">
        <f t="shared" si="27"/>
        <v>407</v>
      </c>
      <c r="I53" s="253">
        <f t="shared" si="27"/>
        <v>6</v>
      </c>
      <c r="J53" s="253">
        <f t="shared" si="27"/>
        <v>10</v>
      </c>
      <c r="K53" s="275">
        <f t="shared" si="27"/>
        <v>0</v>
      </c>
      <c r="L53" s="253">
        <f t="shared" ref="L53:AG53" si="28">SUM(L37:L52)</f>
        <v>430</v>
      </c>
      <c r="M53" s="253">
        <f t="shared" si="28"/>
        <v>87</v>
      </c>
      <c r="N53" s="253">
        <f t="shared" si="28"/>
        <v>13</v>
      </c>
      <c r="O53" s="253">
        <f t="shared" si="28"/>
        <v>1</v>
      </c>
      <c r="P53" s="253">
        <f t="shared" si="28"/>
        <v>23</v>
      </c>
      <c r="Q53" s="253">
        <f t="shared" si="28"/>
        <v>124</v>
      </c>
      <c r="R53" s="253">
        <f t="shared" si="28"/>
        <v>27</v>
      </c>
      <c r="S53" s="253">
        <f t="shared" si="28"/>
        <v>1</v>
      </c>
      <c r="T53" s="253">
        <f t="shared" si="28"/>
        <v>172</v>
      </c>
      <c r="U53" s="253">
        <f t="shared" si="28"/>
        <v>200</v>
      </c>
      <c r="V53" s="253">
        <f t="shared" si="28"/>
        <v>0</v>
      </c>
      <c r="W53" s="253">
        <f t="shared" si="28"/>
        <v>0</v>
      </c>
      <c r="X53" s="253">
        <f t="shared" si="28"/>
        <v>4</v>
      </c>
      <c r="Y53" s="253">
        <f t="shared" si="28"/>
        <v>9</v>
      </c>
      <c r="Z53" s="253">
        <f t="shared" si="28"/>
        <v>13</v>
      </c>
      <c r="AA53" s="253">
        <f t="shared" si="28"/>
        <v>374</v>
      </c>
      <c r="AB53" s="253">
        <f t="shared" si="28"/>
        <v>6</v>
      </c>
      <c r="AC53" s="253">
        <f t="shared" si="28"/>
        <v>0</v>
      </c>
      <c r="AD53" s="253">
        <f t="shared" si="28"/>
        <v>95</v>
      </c>
      <c r="AE53" s="266">
        <f t="shared" si="28"/>
        <v>475</v>
      </c>
      <c r="AF53" s="266">
        <f t="shared" si="28"/>
        <v>2</v>
      </c>
      <c r="AG53" s="266">
        <f t="shared" si="28"/>
        <v>1</v>
      </c>
    </row>
    <row r="54" spans="1:33">
      <c r="A54" s="628" t="s">
        <v>8053</v>
      </c>
      <c r="B54" s="258" t="s">
        <v>8054</v>
      </c>
      <c r="C54" s="75">
        <v>41</v>
      </c>
      <c r="D54" s="75">
        <v>4</v>
      </c>
      <c r="E54" s="75">
        <v>6</v>
      </c>
      <c r="F54" s="252">
        <f t="shared" ref="F54:F65" si="29">SUM(C54:E54)</f>
        <v>51</v>
      </c>
      <c r="G54" s="70">
        <v>2</v>
      </c>
      <c r="H54" s="70">
        <v>37</v>
      </c>
      <c r="I54" s="70">
        <v>6</v>
      </c>
      <c r="J54" s="70">
        <v>0</v>
      </c>
      <c r="K54" s="70">
        <v>0</v>
      </c>
      <c r="L54" s="71">
        <f>SUM(G54:K54)</f>
        <v>45</v>
      </c>
      <c r="M54" s="70">
        <v>6</v>
      </c>
      <c r="N54" s="70">
        <v>0</v>
      </c>
      <c r="O54" s="70">
        <v>0</v>
      </c>
      <c r="P54" s="70">
        <v>6</v>
      </c>
      <c r="Q54" s="70">
        <f t="shared" ref="Q54:Q65" si="30">SUM(M54:P54)</f>
        <v>12</v>
      </c>
      <c r="R54" s="70">
        <v>2</v>
      </c>
      <c r="S54" s="70">
        <v>0</v>
      </c>
      <c r="T54" s="70">
        <v>11</v>
      </c>
      <c r="U54" s="71">
        <f t="shared" ref="U54:U65" si="31">SUM(R54:T54)</f>
        <v>13</v>
      </c>
      <c r="V54" s="75">
        <v>0</v>
      </c>
      <c r="W54" s="75">
        <v>0</v>
      </c>
      <c r="X54" s="70">
        <v>0</v>
      </c>
      <c r="Y54" s="75">
        <v>0</v>
      </c>
      <c r="Z54" s="76">
        <f t="shared" ref="Z54:Z65" si="32">SUM(V54:Y54)</f>
        <v>0</v>
      </c>
      <c r="AA54" s="73">
        <v>39</v>
      </c>
      <c r="AB54" s="73">
        <v>0</v>
      </c>
      <c r="AC54" s="73">
        <v>0</v>
      </c>
      <c r="AD54" s="73">
        <v>12</v>
      </c>
      <c r="AE54" s="83">
        <f t="shared" ref="AE54:AE65" si="33">SUM(AA54:AD54)</f>
        <v>51</v>
      </c>
      <c r="AF54" s="73">
        <v>0</v>
      </c>
      <c r="AG54" s="73">
        <v>0</v>
      </c>
    </row>
    <row r="55" spans="1:33">
      <c r="A55" s="629"/>
      <c r="B55" s="440" t="s">
        <v>8055</v>
      </c>
      <c r="C55" s="75">
        <v>19</v>
      </c>
      <c r="D55" s="75">
        <v>14</v>
      </c>
      <c r="E55" s="75">
        <v>4</v>
      </c>
      <c r="F55" s="252">
        <f t="shared" si="29"/>
        <v>37</v>
      </c>
      <c r="G55" s="70">
        <v>3</v>
      </c>
      <c r="H55" s="70">
        <v>14</v>
      </c>
      <c r="I55" s="70">
        <v>1</v>
      </c>
      <c r="J55" s="70">
        <v>12</v>
      </c>
      <c r="K55" s="70">
        <v>0</v>
      </c>
      <c r="L55" s="71">
        <f>SUM(G55:K55)</f>
        <v>30</v>
      </c>
      <c r="M55" s="75">
        <v>6</v>
      </c>
      <c r="N55" s="75">
        <v>1</v>
      </c>
      <c r="O55" s="75">
        <v>0</v>
      </c>
      <c r="P55" s="75">
        <v>0</v>
      </c>
      <c r="Q55" s="70">
        <f t="shared" si="30"/>
        <v>7</v>
      </c>
      <c r="R55" s="70">
        <v>15</v>
      </c>
      <c r="S55" s="70">
        <v>0</v>
      </c>
      <c r="T55" s="70">
        <v>22</v>
      </c>
      <c r="U55" s="71">
        <f t="shared" si="31"/>
        <v>37</v>
      </c>
      <c r="V55" s="75">
        <v>0</v>
      </c>
      <c r="W55" s="75">
        <v>0</v>
      </c>
      <c r="X55" s="75">
        <v>0</v>
      </c>
      <c r="Y55" s="75">
        <v>1</v>
      </c>
      <c r="Z55" s="76">
        <f t="shared" si="32"/>
        <v>1</v>
      </c>
      <c r="AA55" s="73">
        <v>32</v>
      </c>
      <c r="AB55" s="73">
        <v>2</v>
      </c>
      <c r="AC55" s="73">
        <v>0</v>
      </c>
      <c r="AD55" s="73">
        <v>3</v>
      </c>
      <c r="AE55" s="83">
        <f t="shared" si="33"/>
        <v>37</v>
      </c>
      <c r="AF55" s="73">
        <v>0</v>
      </c>
      <c r="AG55" s="73">
        <v>2</v>
      </c>
    </row>
    <row r="56" spans="1:33">
      <c r="A56" s="630"/>
      <c r="B56" s="442" t="s">
        <v>8056</v>
      </c>
      <c r="C56" s="400">
        <v>4</v>
      </c>
      <c r="D56" s="75">
        <v>1</v>
      </c>
      <c r="E56" s="75">
        <v>1</v>
      </c>
      <c r="F56" s="252">
        <f t="shared" si="29"/>
        <v>6</v>
      </c>
      <c r="G56" s="70">
        <v>1</v>
      </c>
      <c r="H56" s="70">
        <v>4</v>
      </c>
      <c r="I56" s="70">
        <v>0</v>
      </c>
      <c r="J56" s="70">
        <v>1</v>
      </c>
      <c r="K56" s="70">
        <v>1</v>
      </c>
      <c r="L56" s="71">
        <f>SUM(G56:K56)</f>
        <v>7</v>
      </c>
      <c r="M56" s="75">
        <v>0</v>
      </c>
      <c r="N56" s="75">
        <v>0</v>
      </c>
      <c r="O56" s="75">
        <v>0</v>
      </c>
      <c r="P56" s="75">
        <v>1</v>
      </c>
      <c r="Q56" s="70">
        <f t="shared" si="30"/>
        <v>1</v>
      </c>
      <c r="R56" s="70">
        <v>1</v>
      </c>
      <c r="S56" s="70">
        <v>0</v>
      </c>
      <c r="T56" s="70">
        <v>1</v>
      </c>
      <c r="U56" s="71">
        <f t="shared" si="31"/>
        <v>2</v>
      </c>
      <c r="V56" s="75">
        <v>0</v>
      </c>
      <c r="W56" s="75">
        <v>0</v>
      </c>
      <c r="X56" s="70">
        <v>0</v>
      </c>
      <c r="Y56" s="75">
        <v>0</v>
      </c>
      <c r="Z56" s="76">
        <f t="shared" si="32"/>
        <v>0</v>
      </c>
      <c r="AA56" s="73">
        <v>1</v>
      </c>
      <c r="AB56" s="73">
        <v>0</v>
      </c>
      <c r="AC56" s="73">
        <v>0</v>
      </c>
      <c r="AD56" s="73">
        <v>4</v>
      </c>
      <c r="AE56" s="83">
        <f t="shared" si="33"/>
        <v>5</v>
      </c>
      <c r="AF56" s="73">
        <v>0</v>
      </c>
      <c r="AG56" s="73">
        <v>0</v>
      </c>
    </row>
    <row r="57" spans="1:33">
      <c r="A57" s="630"/>
      <c r="B57" s="442" t="s">
        <v>8057</v>
      </c>
      <c r="C57" s="400">
        <v>19</v>
      </c>
      <c r="D57" s="75">
        <v>5</v>
      </c>
      <c r="E57" s="75">
        <v>0</v>
      </c>
      <c r="F57" s="252">
        <f t="shared" si="29"/>
        <v>24</v>
      </c>
      <c r="G57" s="70">
        <v>2</v>
      </c>
      <c r="H57" s="70">
        <v>14</v>
      </c>
      <c r="I57" s="70">
        <v>3</v>
      </c>
      <c r="J57" s="70">
        <v>0</v>
      </c>
      <c r="K57" s="70">
        <v>0</v>
      </c>
      <c r="L57" s="71">
        <f>SUM(G57:I57)</f>
        <v>19</v>
      </c>
      <c r="M57" s="75">
        <v>4</v>
      </c>
      <c r="N57" s="75">
        <v>0</v>
      </c>
      <c r="O57" s="75">
        <v>0</v>
      </c>
      <c r="P57" s="75">
        <v>1</v>
      </c>
      <c r="Q57" s="70">
        <f t="shared" si="30"/>
        <v>5</v>
      </c>
      <c r="R57" s="70">
        <v>2</v>
      </c>
      <c r="S57" s="70">
        <v>0</v>
      </c>
      <c r="T57" s="70">
        <v>6</v>
      </c>
      <c r="U57" s="71">
        <f t="shared" si="31"/>
        <v>8</v>
      </c>
      <c r="V57" s="75">
        <v>0</v>
      </c>
      <c r="W57" s="75">
        <v>0</v>
      </c>
      <c r="X57" s="75">
        <v>0</v>
      </c>
      <c r="Y57" s="75">
        <v>0</v>
      </c>
      <c r="Z57" s="76">
        <f t="shared" si="32"/>
        <v>0</v>
      </c>
      <c r="AA57" s="73">
        <v>12</v>
      </c>
      <c r="AB57" s="73">
        <v>0</v>
      </c>
      <c r="AC57" s="73">
        <v>0</v>
      </c>
      <c r="AD57" s="73">
        <v>12</v>
      </c>
      <c r="AE57" s="83">
        <f t="shared" si="33"/>
        <v>24</v>
      </c>
      <c r="AF57" s="73">
        <v>0</v>
      </c>
      <c r="AG57" s="73">
        <v>0</v>
      </c>
    </row>
    <row r="58" spans="1:33">
      <c r="A58" s="630"/>
      <c r="B58" s="442" t="s">
        <v>8058</v>
      </c>
      <c r="C58" s="400">
        <v>29</v>
      </c>
      <c r="D58" s="75">
        <v>3</v>
      </c>
      <c r="E58" s="75">
        <v>5</v>
      </c>
      <c r="F58" s="252">
        <f t="shared" si="29"/>
        <v>37</v>
      </c>
      <c r="G58" s="70">
        <v>0</v>
      </c>
      <c r="H58" s="70">
        <v>19</v>
      </c>
      <c r="I58" s="70">
        <v>0</v>
      </c>
      <c r="J58" s="70">
        <v>0</v>
      </c>
      <c r="K58" s="70">
        <v>18</v>
      </c>
      <c r="L58" s="71">
        <f t="shared" ref="L58:L65" si="34">SUM(G58:K58)</f>
        <v>37</v>
      </c>
      <c r="M58" s="75">
        <v>14</v>
      </c>
      <c r="N58" s="75">
        <v>0</v>
      </c>
      <c r="O58" s="75">
        <v>0</v>
      </c>
      <c r="P58" s="75">
        <v>0</v>
      </c>
      <c r="Q58" s="70">
        <f t="shared" si="30"/>
        <v>14</v>
      </c>
      <c r="R58" s="70">
        <v>0</v>
      </c>
      <c r="S58" s="70">
        <v>0</v>
      </c>
      <c r="T58" s="70">
        <v>9</v>
      </c>
      <c r="U58" s="71">
        <f t="shared" si="31"/>
        <v>9</v>
      </c>
      <c r="V58" s="75">
        <v>0</v>
      </c>
      <c r="W58" s="75">
        <v>0</v>
      </c>
      <c r="X58" s="70">
        <v>0</v>
      </c>
      <c r="Y58" s="75">
        <v>0</v>
      </c>
      <c r="Z58" s="76">
        <f t="shared" si="32"/>
        <v>0</v>
      </c>
      <c r="AA58" s="73">
        <v>30</v>
      </c>
      <c r="AB58" s="73">
        <v>0</v>
      </c>
      <c r="AC58" s="73">
        <v>0</v>
      </c>
      <c r="AD58" s="73">
        <v>7</v>
      </c>
      <c r="AE58" s="83">
        <f t="shared" si="33"/>
        <v>37</v>
      </c>
      <c r="AF58" s="73">
        <v>0</v>
      </c>
      <c r="AG58" s="73">
        <v>0</v>
      </c>
    </row>
    <row r="59" spans="1:33">
      <c r="A59" s="630"/>
      <c r="B59" s="442" t="s">
        <v>8059</v>
      </c>
      <c r="C59" s="400">
        <v>8</v>
      </c>
      <c r="D59" s="75">
        <v>1</v>
      </c>
      <c r="E59" s="75">
        <v>4</v>
      </c>
      <c r="F59" s="252">
        <f t="shared" si="29"/>
        <v>13</v>
      </c>
      <c r="G59" s="70">
        <v>1</v>
      </c>
      <c r="H59" s="70">
        <v>7</v>
      </c>
      <c r="I59" s="70">
        <v>0</v>
      </c>
      <c r="J59" s="70">
        <v>0</v>
      </c>
      <c r="K59" s="70">
        <v>1</v>
      </c>
      <c r="L59" s="71">
        <f t="shared" si="34"/>
        <v>9</v>
      </c>
      <c r="M59" s="75">
        <v>1</v>
      </c>
      <c r="N59" s="75">
        <v>2</v>
      </c>
      <c r="O59" s="75">
        <v>0</v>
      </c>
      <c r="P59" s="75">
        <v>0</v>
      </c>
      <c r="Q59" s="70">
        <f t="shared" si="30"/>
        <v>3</v>
      </c>
      <c r="R59" s="70">
        <v>0</v>
      </c>
      <c r="S59" s="70">
        <v>0</v>
      </c>
      <c r="T59" s="70">
        <v>2</v>
      </c>
      <c r="U59" s="71">
        <f t="shared" si="31"/>
        <v>2</v>
      </c>
      <c r="V59" s="75">
        <v>0</v>
      </c>
      <c r="W59" s="75">
        <v>0</v>
      </c>
      <c r="X59" s="75">
        <v>0</v>
      </c>
      <c r="Y59" s="75">
        <v>2</v>
      </c>
      <c r="Z59" s="76">
        <f t="shared" si="32"/>
        <v>2</v>
      </c>
      <c r="AA59" s="73">
        <v>11</v>
      </c>
      <c r="AB59" s="73">
        <v>1</v>
      </c>
      <c r="AC59" s="73">
        <v>0</v>
      </c>
      <c r="AD59" s="73">
        <v>1</v>
      </c>
      <c r="AE59" s="83">
        <f t="shared" si="33"/>
        <v>13</v>
      </c>
      <c r="AF59" s="73">
        <v>0</v>
      </c>
      <c r="AG59" s="73">
        <v>0</v>
      </c>
    </row>
    <row r="60" spans="1:33">
      <c r="A60" s="630"/>
      <c r="B60" s="442" t="s">
        <v>8060</v>
      </c>
      <c r="C60" s="400">
        <v>2</v>
      </c>
      <c r="D60" s="75">
        <v>0</v>
      </c>
      <c r="E60" s="75">
        <v>1</v>
      </c>
      <c r="F60" s="252">
        <f t="shared" si="29"/>
        <v>3</v>
      </c>
      <c r="G60" s="70">
        <v>0</v>
      </c>
      <c r="H60" s="70">
        <v>3</v>
      </c>
      <c r="I60" s="70">
        <v>0</v>
      </c>
      <c r="J60" s="70">
        <v>0</v>
      </c>
      <c r="K60" s="70">
        <v>0</v>
      </c>
      <c r="L60" s="71">
        <f t="shared" si="34"/>
        <v>3</v>
      </c>
      <c r="M60" s="75">
        <v>0</v>
      </c>
      <c r="N60" s="75">
        <v>0</v>
      </c>
      <c r="O60" s="75">
        <v>0</v>
      </c>
      <c r="P60" s="75">
        <v>0</v>
      </c>
      <c r="Q60" s="70">
        <f t="shared" si="30"/>
        <v>0</v>
      </c>
      <c r="R60" s="70">
        <v>0</v>
      </c>
      <c r="S60" s="70">
        <v>0</v>
      </c>
      <c r="T60" s="70">
        <v>3</v>
      </c>
      <c r="U60" s="71">
        <f t="shared" si="31"/>
        <v>3</v>
      </c>
      <c r="V60" s="75">
        <v>0</v>
      </c>
      <c r="W60" s="75">
        <v>0</v>
      </c>
      <c r="X60" s="70">
        <v>0</v>
      </c>
      <c r="Y60" s="75">
        <v>0</v>
      </c>
      <c r="Z60" s="76">
        <f t="shared" si="32"/>
        <v>0</v>
      </c>
      <c r="AA60" s="73">
        <v>0</v>
      </c>
      <c r="AB60" s="73">
        <v>0</v>
      </c>
      <c r="AC60" s="73">
        <v>0</v>
      </c>
      <c r="AD60" s="73">
        <v>3</v>
      </c>
      <c r="AE60" s="83">
        <f t="shared" si="33"/>
        <v>3</v>
      </c>
      <c r="AF60" s="73">
        <v>0</v>
      </c>
      <c r="AG60" s="73">
        <v>0</v>
      </c>
    </row>
    <row r="61" spans="1:33">
      <c r="A61" s="630"/>
      <c r="B61" s="443" t="s">
        <v>8061</v>
      </c>
      <c r="C61" s="400">
        <v>0</v>
      </c>
      <c r="D61" s="75">
        <v>8</v>
      </c>
      <c r="E61" s="75">
        <v>0</v>
      </c>
      <c r="F61" s="252">
        <f t="shared" si="29"/>
        <v>8</v>
      </c>
      <c r="G61" s="70">
        <v>0</v>
      </c>
      <c r="H61" s="70">
        <v>8</v>
      </c>
      <c r="I61" s="70">
        <v>0</v>
      </c>
      <c r="J61" s="70">
        <v>0</v>
      </c>
      <c r="K61" s="70">
        <v>0</v>
      </c>
      <c r="L61" s="71">
        <f t="shared" si="34"/>
        <v>8</v>
      </c>
      <c r="M61" s="75">
        <v>0</v>
      </c>
      <c r="N61" s="75">
        <v>0</v>
      </c>
      <c r="O61" s="75">
        <v>0</v>
      </c>
      <c r="P61" s="75">
        <v>0</v>
      </c>
      <c r="Q61" s="70">
        <f t="shared" si="30"/>
        <v>0</v>
      </c>
      <c r="R61" s="70">
        <v>0</v>
      </c>
      <c r="S61" s="70">
        <v>0</v>
      </c>
      <c r="T61" s="70">
        <v>0</v>
      </c>
      <c r="U61" s="71">
        <f t="shared" si="31"/>
        <v>0</v>
      </c>
      <c r="V61" s="75">
        <v>0</v>
      </c>
      <c r="W61" s="75">
        <v>0</v>
      </c>
      <c r="X61" s="75">
        <v>0</v>
      </c>
      <c r="Y61" s="75">
        <v>0</v>
      </c>
      <c r="Z61" s="76">
        <f t="shared" si="32"/>
        <v>0</v>
      </c>
      <c r="AA61" s="73">
        <v>0</v>
      </c>
      <c r="AB61" s="73">
        <v>0</v>
      </c>
      <c r="AC61" s="73">
        <v>0</v>
      </c>
      <c r="AD61" s="73">
        <v>8</v>
      </c>
      <c r="AE61" s="83">
        <f t="shared" si="33"/>
        <v>8</v>
      </c>
      <c r="AF61" s="73">
        <v>0</v>
      </c>
      <c r="AG61" s="73">
        <v>0</v>
      </c>
    </row>
    <row r="62" spans="1:33">
      <c r="A62" s="630"/>
      <c r="B62" s="444" t="s">
        <v>5263</v>
      </c>
      <c r="C62" s="400">
        <v>0</v>
      </c>
      <c r="D62" s="75">
        <v>0</v>
      </c>
      <c r="E62" s="75">
        <v>0</v>
      </c>
      <c r="F62" s="252">
        <f t="shared" si="29"/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1">
        <f t="shared" si="34"/>
        <v>0</v>
      </c>
      <c r="M62" s="75">
        <v>0</v>
      </c>
      <c r="N62" s="75">
        <v>0</v>
      </c>
      <c r="O62" s="75">
        <v>0</v>
      </c>
      <c r="P62" s="75">
        <v>0</v>
      </c>
      <c r="Q62" s="70">
        <f t="shared" si="30"/>
        <v>0</v>
      </c>
      <c r="R62" s="70">
        <v>0</v>
      </c>
      <c r="S62" s="70">
        <v>0</v>
      </c>
      <c r="T62" s="70">
        <v>0</v>
      </c>
      <c r="U62" s="71">
        <f t="shared" si="31"/>
        <v>0</v>
      </c>
      <c r="V62" s="75">
        <v>0</v>
      </c>
      <c r="W62" s="75">
        <v>0</v>
      </c>
      <c r="X62" s="75">
        <v>0</v>
      </c>
      <c r="Y62" s="75">
        <v>0</v>
      </c>
      <c r="Z62" s="76">
        <f t="shared" si="32"/>
        <v>0</v>
      </c>
      <c r="AA62" s="73">
        <v>0</v>
      </c>
      <c r="AB62" s="73">
        <v>0</v>
      </c>
      <c r="AC62" s="73">
        <v>0</v>
      </c>
      <c r="AD62" s="73">
        <v>0</v>
      </c>
      <c r="AE62" s="83">
        <f t="shared" si="33"/>
        <v>0</v>
      </c>
      <c r="AF62" s="73">
        <v>0</v>
      </c>
      <c r="AG62" s="73">
        <v>0</v>
      </c>
    </row>
    <row r="63" spans="1:33">
      <c r="A63" s="630"/>
      <c r="B63" s="444" t="s">
        <v>8028</v>
      </c>
      <c r="C63" s="400">
        <v>0</v>
      </c>
      <c r="D63" s="75">
        <v>0</v>
      </c>
      <c r="E63" s="75">
        <v>9</v>
      </c>
      <c r="F63" s="252">
        <f t="shared" si="29"/>
        <v>9</v>
      </c>
      <c r="G63" s="70">
        <v>0</v>
      </c>
      <c r="H63" s="70">
        <v>9</v>
      </c>
      <c r="I63" s="70">
        <v>0</v>
      </c>
      <c r="J63" s="70">
        <v>0</v>
      </c>
      <c r="K63" s="70">
        <v>0</v>
      </c>
      <c r="L63" s="71">
        <f t="shared" si="34"/>
        <v>9</v>
      </c>
      <c r="M63" s="75">
        <v>0</v>
      </c>
      <c r="N63" s="75">
        <v>0</v>
      </c>
      <c r="O63" s="75">
        <v>0</v>
      </c>
      <c r="P63" s="75">
        <v>0</v>
      </c>
      <c r="Q63" s="70">
        <f t="shared" si="30"/>
        <v>0</v>
      </c>
      <c r="R63" s="70">
        <v>0</v>
      </c>
      <c r="S63" s="70">
        <v>0</v>
      </c>
      <c r="T63" s="70">
        <v>0</v>
      </c>
      <c r="U63" s="71">
        <f t="shared" si="31"/>
        <v>0</v>
      </c>
      <c r="V63" s="75">
        <v>0</v>
      </c>
      <c r="W63" s="75">
        <v>0</v>
      </c>
      <c r="X63" s="75">
        <v>0</v>
      </c>
      <c r="Y63" s="75">
        <v>0</v>
      </c>
      <c r="Z63" s="76">
        <f t="shared" si="32"/>
        <v>0</v>
      </c>
      <c r="AA63" s="73">
        <v>0</v>
      </c>
      <c r="AB63" s="73">
        <v>0</v>
      </c>
      <c r="AC63" s="73">
        <v>0</v>
      </c>
      <c r="AD63" s="73">
        <v>9</v>
      </c>
      <c r="AE63" s="83">
        <f t="shared" si="33"/>
        <v>9</v>
      </c>
      <c r="AF63" s="73">
        <v>0</v>
      </c>
      <c r="AG63" s="73">
        <v>0</v>
      </c>
    </row>
    <row r="64" spans="1:33">
      <c r="A64" s="630"/>
      <c r="B64" s="444" t="s">
        <v>8036</v>
      </c>
      <c r="C64" s="400">
        <v>0</v>
      </c>
      <c r="D64" s="75">
        <v>0</v>
      </c>
      <c r="E64" s="75">
        <v>17</v>
      </c>
      <c r="F64" s="252">
        <f t="shared" si="29"/>
        <v>17</v>
      </c>
      <c r="G64" s="70">
        <v>0</v>
      </c>
      <c r="H64" s="70">
        <v>0</v>
      </c>
      <c r="I64" s="70">
        <v>0</v>
      </c>
      <c r="J64" s="70">
        <v>6</v>
      </c>
      <c r="K64" s="70">
        <v>11</v>
      </c>
      <c r="L64" s="71">
        <f t="shared" si="34"/>
        <v>17</v>
      </c>
      <c r="M64" s="75">
        <v>0</v>
      </c>
      <c r="N64" s="75">
        <v>0</v>
      </c>
      <c r="O64" s="75">
        <v>0</v>
      </c>
      <c r="P64" s="75">
        <v>0</v>
      </c>
      <c r="Q64" s="70">
        <f t="shared" si="30"/>
        <v>0</v>
      </c>
      <c r="R64" s="70">
        <v>4</v>
      </c>
      <c r="S64" s="70">
        <v>2</v>
      </c>
      <c r="T64" s="70">
        <v>0</v>
      </c>
      <c r="U64" s="71">
        <f t="shared" si="31"/>
        <v>6</v>
      </c>
      <c r="V64" s="75">
        <v>0</v>
      </c>
      <c r="W64" s="75">
        <v>0</v>
      </c>
      <c r="X64" s="75">
        <v>0</v>
      </c>
      <c r="Y64" s="75">
        <v>0</v>
      </c>
      <c r="Z64" s="76">
        <f t="shared" si="32"/>
        <v>0</v>
      </c>
      <c r="AA64" s="73">
        <v>0</v>
      </c>
      <c r="AB64" s="73">
        <v>0</v>
      </c>
      <c r="AC64" s="73">
        <v>0</v>
      </c>
      <c r="AD64" s="73">
        <v>17</v>
      </c>
      <c r="AE64" s="83">
        <f t="shared" si="33"/>
        <v>17</v>
      </c>
      <c r="AF64" s="73">
        <v>0</v>
      </c>
      <c r="AG64" s="73">
        <v>0</v>
      </c>
    </row>
    <row r="65" spans="1:33">
      <c r="A65" s="632"/>
      <c r="B65" s="444" t="s">
        <v>8062</v>
      </c>
      <c r="C65" s="400">
        <v>0</v>
      </c>
      <c r="D65" s="75">
        <v>0</v>
      </c>
      <c r="E65" s="75">
        <v>20</v>
      </c>
      <c r="F65" s="252">
        <f t="shared" si="29"/>
        <v>20</v>
      </c>
      <c r="G65" s="70">
        <v>0</v>
      </c>
      <c r="H65" s="70">
        <v>0</v>
      </c>
      <c r="I65" s="70">
        <v>0</v>
      </c>
      <c r="J65" s="70">
        <v>2</v>
      </c>
      <c r="K65" s="70">
        <v>0</v>
      </c>
      <c r="L65" s="71">
        <f t="shared" si="34"/>
        <v>2</v>
      </c>
      <c r="M65" s="75">
        <v>0</v>
      </c>
      <c r="N65" s="75">
        <v>0</v>
      </c>
      <c r="O65" s="75">
        <v>0</v>
      </c>
      <c r="P65" s="75">
        <v>0</v>
      </c>
      <c r="Q65" s="70">
        <f t="shared" si="30"/>
        <v>0</v>
      </c>
      <c r="R65" s="70">
        <v>0</v>
      </c>
      <c r="S65" s="70">
        <v>2</v>
      </c>
      <c r="T65" s="70">
        <v>0</v>
      </c>
      <c r="U65" s="71">
        <f t="shared" si="31"/>
        <v>2</v>
      </c>
      <c r="V65" s="75">
        <v>0</v>
      </c>
      <c r="W65" s="75">
        <v>0</v>
      </c>
      <c r="X65" s="75">
        <v>0</v>
      </c>
      <c r="Y65" s="75">
        <v>0</v>
      </c>
      <c r="Z65" s="76">
        <f t="shared" si="32"/>
        <v>0</v>
      </c>
      <c r="AA65" s="73">
        <v>0</v>
      </c>
      <c r="AB65" s="73">
        <v>0</v>
      </c>
      <c r="AC65" s="73">
        <v>0</v>
      </c>
      <c r="AD65" s="73">
        <v>18</v>
      </c>
      <c r="AE65" s="83">
        <f t="shared" si="33"/>
        <v>18</v>
      </c>
      <c r="AF65" s="73">
        <v>0</v>
      </c>
      <c r="AG65" s="73">
        <v>0</v>
      </c>
    </row>
    <row r="66" spans="1:33">
      <c r="A66" s="268"/>
      <c r="B66" s="441"/>
      <c r="C66" s="253">
        <f t="shared" ref="C66:AG66" si="35">SUM(C54:C65)</f>
        <v>122</v>
      </c>
      <c r="D66" s="253">
        <f t="shared" si="35"/>
        <v>36</v>
      </c>
      <c r="E66" s="253">
        <f t="shared" si="35"/>
        <v>67</v>
      </c>
      <c r="F66" s="253">
        <f t="shared" si="35"/>
        <v>225</v>
      </c>
      <c r="G66" s="253">
        <f t="shared" si="35"/>
        <v>9</v>
      </c>
      <c r="H66" s="253">
        <f t="shared" si="35"/>
        <v>115</v>
      </c>
      <c r="I66" s="253">
        <f t="shared" si="35"/>
        <v>10</v>
      </c>
      <c r="J66" s="253">
        <f t="shared" si="35"/>
        <v>21</v>
      </c>
      <c r="K66" s="253">
        <f t="shared" si="35"/>
        <v>31</v>
      </c>
      <c r="L66" s="253">
        <f t="shared" si="35"/>
        <v>186</v>
      </c>
      <c r="M66" s="253">
        <f t="shared" si="35"/>
        <v>31</v>
      </c>
      <c r="N66" s="253">
        <f t="shared" si="35"/>
        <v>3</v>
      </c>
      <c r="O66" s="253">
        <f t="shared" si="35"/>
        <v>0</v>
      </c>
      <c r="P66" s="253">
        <f t="shared" si="35"/>
        <v>8</v>
      </c>
      <c r="Q66" s="253">
        <f t="shared" si="35"/>
        <v>42</v>
      </c>
      <c r="R66" s="253">
        <f t="shared" si="35"/>
        <v>24</v>
      </c>
      <c r="S66" s="253">
        <f t="shared" si="35"/>
        <v>4</v>
      </c>
      <c r="T66" s="253">
        <f t="shared" si="35"/>
        <v>54</v>
      </c>
      <c r="U66" s="253">
        <f t="shared" si="35"/>
        <v>82</v>
      </c>
      <c r="V66" s="253">
        <f t="shared" si="35"/>
        <v>0</v>
      </c>
      <c r="W66" s="253">
        <f t="shared" si="35"/>
        <v>0</v>
      </c>
      <c r="X66" s="253">
        <f t="shared" si="35"/>
        <v>0</v>
      </c>
      <c r="Y66" s="253">
        <f t="shared" si="35"/>
        <v>3</v>
      </c>
      <c r="Z66" s="253">
        <f t="shared" si="35"/>
        <v>3</v>
      </c>
      <c r="AA66" s="253">
        <f t="shared" si="35"/>
        <v>125</v>
      </c>
      <c r="AB66" s="253">
        <f t="shared" si="35"/>
        <v>3</v>
      </c>
      <c r="AC66" s="253">
        <f t="shared" si="35"/>
        <v>0</v>
      </c>
      <c r="AD66" s="253">
        <f t="shared" si="35"/>
        <v>94</v>
      </c>
      <c r="AE66" s="253">
        <f t="shared" si="35"/>
        <v>222</v>
      </c>
      <c r="AF66" s="253">
        <f t="shared" si="35"/>
        <v>0</v>
      </c>
      <c r="AG66" s="253">
        <f t="shared" si="35"/>
        <v>2</v>
      </c>
    </row>
    <row r="67" spans="1:33">
      <c r="A67" s="628" t="s">
        <v>8063</v>
      </c>
      <c r="B67" s="267" t="s">
        <v>8064</v>
      </c>
      <c r="C67" s="75">
        <v>53</v>
      </c>
      <c r="D67" s="75">
        <v>3</v>
      </c>
      <c r="E67" s="75">
        <v>2</v>
      </c>
      <c r="F67" s="252">
        <f t="shared" ref="F67:F77" si="36">SUM(C67:E67)</f>
        <v>58</v>
      </c>
      <c r="G67" s="70">
        <v>0</v>
      </c>
      <c r="H67" s="70">
        <v>45</v>
      </c>
      <c r="I67" s="70">
        <v>0</v>
      </c>
      <c r="J67" s="70">
        <v>0</v>
      </c>
      <c r="K67" s="70">
        <v>2</v>
      </c>
      <c r="L67" s="71">
        <f t="shared" ref="L67:L74" si="37">SUM(G67:I67)</f>
        <v>45</v>
      </c>
      <c r="M67" s="75">
        <v>7</v>
      </c>
      <c r="N67" s="75">
        <v>1</v>
      </c>
      <c r="O67" s="75">
        <v>0</v>
      </c>
      <c r="P67" s="75">
        <v>3</v>
      </c>
      <c r="Q67" s="70">
        <f t="shared" ref="Q67:Q77" si="38">SUM(M67:P67)</f>
        <v>11</v>
      </c>
      <c r="R67" s="70">
        <v>0</v>
      </c>
      <c r="S67" s="70">
        <v>0</v>
      </c>
      <c r="T67" s="70">
        <v>20</v>
      </c>
      <c r="U67" s="71">
        <f t="shared" ref="U67:U77" si="39">SUM(R67:T67)</f>
        <v>20</v>
      </c>
      <c r="V67" s="75">
        <v>0</v>
      </c>
      <c r="W67" s="75">
        <v>0</v>
      </c>
      <c r="X67" s="75">
        <v>1</v>
      </c>
      <c r="Y67" s="75">
        <v>2</v>
      </c>
      <c r="Z67" s="76">
        <f t="shared" ref="Z67:Z77" si="40">SUM(V67:Y67)</f>
        <v>3</v>
      </c>
      <c r="AA67" s="73">
        <v>42</v>
      </c>
      <c r="AB67" s="73">
        <v>1</v>
      </c>
      <c r="AC67" s="73">
        <v>0</v>
      </c>
      <c r="AD67" s="73">
        <v>15</v>
      </c>
      <c r="AE67" s="83">
        <f t="shared" ref="AE67:AE77" si="41">SUM(AA67:AD67)</f>
        <v>58</v>
      </c>
      <c r="AF67" s="73">
        <v>0</v>
      </c>
      <c r="AG67" s="73">
        <v>0</v>
      </c>
    </row>
    <row r="68" spans="1:33">
      <c r="A68" s="629"/>
      <c r="B68" s="267" t="s">
        <v>8065</v>
      </c>
      <c r="C68" s="75">
        <v>24</v>
      </c>
      <c r="D68" s="75">
        <v>1</v>
      </c>
      <c r="E68" s="75">
        <v>0</v>
      </c>
      <c r="F68" s="252">
        <f t="shared" si="36"/>
        <v>25</v>
      </c>
      <c r="G68" s="70">
        <v>0</v>
      </c>
      <c r="H68" s="70">
        <v>11</v>
      </c>
      <c r="I68" s="70">
        <v>0</v>
      </c>
      <c r="J68" s="70">
        <v>0</v>
      </c>
      <c r="K68" s="70">
        <v>5</v>
      </c>
      <c r="L68" s="71">
        <f t="shared" si="37"/>
        <v>11</v>
      </c>
      <c r="M68" s="75">
        <v>5</v>
      </c>
      <c r="N68" s="75">
        <v>1</v>
      </c>
      <c r="O68" s="75">
        <v>0</v>
      </c>
      <c r="P68" s="75">
        <v>3</v>
      </c>
      <c r="Q68" s="70">
        <f t="shared" si="38"/>
        <v>9</v>
      </c>
      <c r="R68" s="70">
        <v>0</v>
      </c>
      <c r="S68" s="70">
        <v>0</v>
      </c>
      <c r="T68" s="70">
        <v>6</v>
      </c>
      <c r="U68" s="71">
        <f t="shared" si="39"/>
        <v>6</v>
      </c>
      <c r="V68" s="75">
        <v>0</v>
      </c>
      <c r="W68" s="75">
        <v>0</v>
      </c>
      <c r="X68" s="75">
        <v>0</v>
      </c>
      <c r="Y68" s="75">
        <v>2</v>
      </c>
      <c r="Z68" s="76">
        <f t="shared" si="40"/>
        <v>2</v>
      </c>
      <c r="AA68" s="73">
        <v>24</v>
      </c>
      <c r="AB68" s="73">
        <v>0</v>
      </c>
      <c r="AC68" s="73">
        <v>0</v>
      </c>
      <c r="AD68" s="73">
        <v>1</v>
      </c>
      <c r="AE68" s="83">
        <f t="shared" si="41"/>
        <v>25</v>
      </c>
      <c r="AF68" s="73">
        <v>0</v>
      </c>
      <c r="AG68" s="73">
        <v>0</v>
      </c>
    </row>
    <row r="69" spans="1:33">
      <c r="A69" s="629"/>
      <c r="B69" s="267" t="s">
        <v>8066</v>
      </c>
      <c r="C69" s="75">
        <v>25</v>
      </c>
      <c r="D69" s="75">
        <v>0</v>
      </c>
      <c r="E69" s="75">
        <v>1</v>
      </c>
      <c r="F69" s="252">
        <f t="shared" si="36"/>
        <v>26</v>
      </c>
      <c r="G69" s="70">
        <v>0</v>
      </c>
      <c r="H69" s="70">
        <v>20</v>
      </c>
      <c r="I69" s="70">
        <v>1</v>
      </c>
      <c r="J69" s="70">
        <v>0</v>
      </c>
      <c r="K69" s="70">
        <v>2</v>
      </c>
      <c r="L69" s="71">
        <f t="shared" si="37"/>
        <v>21</v>
      </c>
      <c r="M69" s="75">
        <v>1</v>
      </c>
      <c r="N69" s="75">
        <v>2</v>
      </c>
      <c r="O69" s="75">
        <v>0</v>
      </c>
      <c r="P69" s="75">
        <v>0</v>
      </c>
      <c r="Q69" s="70">
        <f t="shared" si="38"/>
        <v>3</v>
      </c>
      <c r="R69" s="75">
        <v>0</v>
      </c>
      <c r="S69" s="75">
        <v>0</v>
      </c>
      <c r="T69" s="75">
        <v>10</v>
      </c>
      <c r="U69" s="71">
        <f t="shared" si="39"/>
        <v>10</v>
      </c>
      <c r="V69" s="75">
        <v>0</v>
      </c>
      <c r="W69" s="75">
        <v>0</v>
      </c>
      <c r="X69" s="75">
        <v>0</v>
      </c>
      <c r="Y69" s="75">
        <v>2</v>
      </c>
      <c r="Z69" s="76">
        <f t="shared" si="40"/>
        <v>2</v>
      </c>
      <c r="AA69" s="73">
        <v>10</v>
      </c>
      <c r="AB69" s="73">
        <v>1</v>
      </c>
      <c r="AC69" s="73">
        <v>0</v>
      </c>
      <c r="AD69" s="73">
        <v>15</v>
      </c>
      <c r="AE69" s="83">
        <f t="shared" si="41"/>
        <v>26</v>
      </c>
      <c r="AF69" s="73">
        <v>0</v>
      </c>
      <c r="AG69" s="73">
        <v>0</v>
      </c>
    </row>
    <row r="70" spans="1:33">
      <c r="A70" s="629"/>
      <c r="B70" s="267" t="s">
        <v>8067</v>
      </c>
      <c r="C70" s="75">
        <v>30</v>
      </c>
      <c r="D70" s="75">
        <v>2</v>
      </c>
      <c r="E70" s="75">
        <v>1</v>
      </c>
      <c r="F70" s="252">
        <f t="shared" si="36"/>
        <v>33</v>
      </c>
      <c r="G70" s="70">
        <v>0</v>
      </c>
      <c r="H70" s="70">
        <v>19</v>
      </c>
      <c r="I70" s="70">
        <v>1</v>
      </c>
      <c r="J70" s="70">
        <v>0</v>
      </c>
      <c r="K70" s="70">
        <v>0</v>
      </c>
      <c r="L70" s="71">
        <f t="shared" si="37"/>
        <v>20</v>
      </c>
      <c r="M70" s="75">
        <v>8</v>
      </c>
      <c r="N70" s="75">
        <v>4</v>
      </c>
      <c r="O70" s="75">
        <v>0</v>
      </c>
      <c r="P70" s="75">
        <v>1</v>
      </c>
      <c r="Q70" s="70">
        <f t="shared" si="38"/>
        <v>13</v>
      </c>
      <c r="R70" s="75">
        <v>0</v>
      </c>
      <c r="S70" s="75">
        <v>0</v>
      </c>
      <c r="T70" s="75">
        <v>7</v>
      </c>
      <c r="U70" s="71">
        <f t="shared" si="39"/>
        <v>7</v>
      </c>
      <c r="V70" s="75">
        <v>0</v>
      </c>
      <c r="W70" s="75">
        <v>0</v>
      </c>
      <c r="X70" s="75">
        <v>0</v>
      </c>
      <c r="Y70" s="75">
        <v>4</v>
      </c>
      <c r="Z70" s="76">
        <f t="shared" si="40"/>
        <v>4</v>
      </c>
      <c r="AA70" s="73">
        <v>15</v>
      </c>
      <c r="AB70" s="73">
        <v>0</v>
      </c>
      <c r="AC70" s="73">
        <v>0</v>
      </c>
      <c r="AD70" s="73">
        <v>18</v>
      </c>
      <c r="AE70" s="83">
        <f t="shared" si="41"/>
        <v>33</v>
      </c>
      <c r="AF70" s="73">
        <v>0</v>
      </c>
      <c r="AG70" s="73">
        <v>0</v>
      </c>
    </row>
    <row r="71" spans="1:33">
      <c r="A71" s="629"/>
      <c r="B71" s="267" t="s">
        <v>8068</v>
      </c>
      <c r="C71" s="75">
        <v>77</v>
      </c>
      <c r="D71" s="75">
        <v>6</v>
      </c>
      <c r="E71" s="75">
        <v>14</v>
      </c>
      <c r="F71" s="252">
        <f t="shared" si="36"/>
        <v>97</v>
      </c>
      <c r="G71" s="70">
        <v>5</v>
      </c>
      <c r="H71" s="70">
        <v>55</v>
      </c>
      <c r="I71" s="70">
        <v>0</v>
      </c>
      <c r="J71" s="70">
        <v>0</v>
      </c>
      <c r="K71" s="70">
        <v>1</v>
      </c>
      <c r="L71" s="71">
        <f t="shared" si="37"/>
        <v>60</v>
      </c>
      <c r="M71" s="75">
        <v>23</v>
      </c>
      <c r="N71" s="75">
        <v>8</v>
      </c>
      <c r="O71" s="75">
        <v>0</v>
      </c>
      <c r="P71" s="75">
        <v>5</v>
      </c>
      <c r="Q71" s="70">
        <f t="shared" si="38"/>
        <v>36</v>
      </c>
      <c r="R71" s="70">
        <v>5</v>
      </c>
      <c r="S71" s="70">
        <v>0</v>
      </c>
      <c r="T71" s="70">
        <v>33</v>
      </c>
      <c r="U71" s="71">
        <f t="shared" si="39"/>
        <v>38</v>
      </c>
      <c r="V71" s="75">
        <v>0</v>
      </c>
      <c r="W71" s="75">
        <v>0</v>
      </c>
      <c r="X71" s="75">
        <v>0</v>
      </c>
      <c r="Y71" s="75">
        <v>3</v>
      </c>
      <c r="Z71" s="76">
        <f t="shared" si="40"/>
        <v>3</v>
      </c>
      <c r="AA71" s="73">
        <v>93</v>
      </c>
      <c r="AB71" s="73">
        <v>2</v>
      </c>
      <c r="AC71" s="73">
        <v>0</v>
      </c>
      <c r="AD71" s="73">
        <v>2</v>
      </c>
      <c r="AE71" s="83">
        <f t="shared" si="41"/>
        <v>97</v>
      </c>
      <c r="AF71" s="73">
        <v>0</v>
      </c>
      <c r="AG71" s="73">
        <v>0</v>
      </c>
    </row>
    <row r="72" spans="1:33">
      <c r="A72" s="629"/>
      <c r="B72" s="267" t="s">
        <v>8069</v>
      </c>
      <c r="C72" s="75">
        <v>29</v>
      </c>
      <c r="D72" s="75">
        <v>1</v>
      </c>
      <c r="E72" s="75">
        <v>3</v>
      </c>
      <c r="F72" s="252">
        <f t="shared" si="36"/>
        <v>33</v>
      </c>
      <c r="G72" s="70">
        <v>0</v>
      </c>
      <c r="H72" s="70">
        <v>18</v>
      </c>
      <c r="I72" s="70">
        <v>0</v>
      </c>
      <c r="J72" s="70">
        <v>0</v>
      </c>
      <c r="K72" s="70">
        <v>7</v>
      </c>
      <c r="L72" s="71">
        <f t="shared" si="37"/>
        <v>18</v>
      </c>
      <c r="M72" s="75">
        <v>6</v>
      </c>
      <c r="N72" s="75">
        <v>0</v>
      </c>
      <c r="O72" s="75">
        <v>1</v>
      </c>
      <c r="P72" s="75">
        <v>0</v>
      </c>
      <c r="Q72" s="70">
        <f t="shared" si="38"/>
        <v>7</v>
      </c>
      <c r="R72" s="75">
        <v>0</v>
      </c>
      <c r="S72" s="75">
        <v>0</v>
      </c>
      <c r="T72" s="75">
        <v>6</v>
      </c>
      <c r="U72" s="71">
        <f t="shared" si="39"/>
        <v>6</v>
      </c>
      <c r="V72" s="75">
        <v>0</v>
      </c>
      <c r="W72" s="75">
        <v>0</v>
      </c>
      <c r="X72" s="75">
        <v>0</v>
      </c>
      <c r="Y72" s="75">
        <v>0</v>
      </c>
      <c r="Z72" s="76">
        <f t="shared" si="40"/>
        <v>0</v>
      </c>
      <c r="AA72" s="73">
        <v>26</v>
      </c>
      <c r="AB72" s="73">
        <v>0</v>
      </c>
      <c r="AC72" s="73">
        <v>0</v>
      </c>
      <c r="AD72" s="73">
        <v>7</v>
      </c>
      <c r="AE72" s="83">
        <f t="shared" si="41"/>
        <v>33</v>
      </c>
      <c r="AF72" s="73">
        <v>0</v>
      </c>
      <c r="AG72" s="73">
        <v>0</v>
      </c>
    </row>
    <row r="73" spans="1:33">
      <c r="A73" s="629"/>
      <c r="B73" s="267" t="s">
        <v>8070</v>
      </c>
      <c r="C73" s="75">
        <v>4</v>
      </c>
      <c r="D73" s="75">
        <v>0</v>
      </c>
      <c r="E73" s="75">
        <v>0</v>
      </c>
      <c r="F73" s="252">
        <f t="shared" si="36"/>
        <v>4</v>
      </c>
      <c r="G73" s="70">
        <v>1</v>
      </c>
      <c r="H73" s="70">
        <v>3</v>
      </c>
      <c r="I73" s="70">
        <v>0</v>
      </c>
      <c r="J73" s="70">
        <v>0</v>
      </c>
      <c r="K73" s="70">
        <v>0</v>
      </c>
      <c r="L73" s="71">
        <f t="shared" si="37"/>
        <v>4</v>
      </c>
      <c r="M73" s="75">
        <v>0</v>
      </c>
      <c r="N73" s="75">
        <v>0</v>
      </c>
      <c r="O73" s="75">
        <v>0</v>
      </c>
      <c r="P73" s="75">
        <v>0</v>
      </c>
      <c r="Q73" s="70">
        <f t="shared" si="38"/>
        <v>0</v>
      </c>
      <c r="R73" s="70">
        <v>1</v>
      </c>
      <c r="S73" s="70">
        <v>0</v>
      </c>
      <c r="T73" s="70">
        <v>0</v>
      </c>
      <c r="U73" s="71">
        <f t="shared" si="39"/>
        <v>1</v>
      </c>
      <c r="V73" s="75">
        <v>0</v>
      </c>
      <c r="W73" s="75">
        <v>0</v>
      </c>
      <c r="X73" s="75">
        <v>0</v>
      </c>
      <c r="Y73" s="75">
        <v>0</v>
      </c>
      <c r="Z73" s="76">
        <f t="shared" si="40"/>
        <v>0</v>
      </c>
      <c r="AA73" s="73">
        <v>4</v>
      </c>
      <c r="AB73" s="73">
        <v>0</v>
      </c>
      <c r="AC73" s="73">
        <v>0</v>
      </c>
      <c r="AD73" s="73">
        <v>0</v>
      </c>
      <c r="AE73" s="83">
        <f t="shared" si="41"/>
        <v>4</v>
      </c>
      <c r="AF73" s="73">
        <v>0</v>
      </c>
      <c r="AG73" s="73">
        <v>0</v>
      </c>
    </row>
    <row r="74" spans="1:33">
      <c r="A74" s="629"/>
      <c r="B74" s="267" t="s">
        <v>8071</v>
      </c>
      <c r="C74" s="75">
        <v>0</v>
      </c>
      <c r="D74" s="75">
        <v>0</v>
      </c>
      <c r="E74" s="75">
        <v>7</v>
      </c>
      <c r="F74" s="252">
        <f t="shared" si="36"/>
        <v>7</v>
      </c>
      <c r="G74" s="70">
        <v>0</v>
      </c>
      <c r="H74" s="70">
        <v>7</v>
      </c>
      <c r="I74" s="70">
        <v>0</v>
      </c>
      <c r="J74" s="70">
        <v>0</v>
      </c>
      <c r="K74" s="70">
        <v>0</v>
      </c>
      <c r="L74" s="71">
        <f t="shared" si="37"/>
        <v>7</v>
      </c>
      <c r="M74" s="75">
        <v>0</v>
      </c>
      <c r="N74" s="75">
        <v>0</v>
      </c>
      <c r="O74" s="75">
        <v>0</v>
      </c>
      <c r="P74" s="75">
        <v>0</v>
      </c>
      <c r="Q74" s="70">
        <f t="shared" si="38"/>
        <v>0</v>
      </c>
      <c r="R74" s="70">
        <v>0</v>
      </c>
      <c r="S74" s="70">
        <v>0</v>
      </c>
      <c r="T74" s="70">
        <v>0</v>
      </c>
      <c r="U74" s="71">
        <f t="shared" si="39"/>
        <v>0</v>
      </c>
      <c r="V74" s="75">
        <v>0</v>
      </c>
      <c r="W74" s="75">
        <v>0</v>
      </c>
      <c r="X74" s="75">
        <v>0</v>
      </c>
      <c r="Y74" s="75">
        <v>0</v>
      </c>
      <c r="Z74" s="76">
        <f t="shared" si="40"/>
        <v>0</v>
      </c>
      <c r="AA74" s="73">
        <v>0</v>
      </c>
      <c r="AB74" s="73">
        <v>0</v>
      </c>
      <c r="AC74" s="73">
        <v>0</v>
      </c>
      <c r="AD74" s="73">
        <v>7</v>
      </c>
      <c r="AE74" s="83">
        <f t="shared" si="41"/>
        <v>7</v>
      </c>
      <c r="AF74" s="73">
        <v>0</v>
      </c>
      <c r="AG74" s="73">
        <v>0</v>
      </c>
    </row>
    <row r="75" spans="1:33">
      <c r="A75" s="629"/>
      <c r="B75" s="267" t="s">
        <v>6325</v>
      </c>
      <c r="C75" s="75">
        <v>0</v>
      </c>
      <c r="D75" s="75">
        <v>0</v>
      </c>
      <c r="E75" s="75">
        <v>10</v>
      </c>
      <c r="F75" s="252">
        <f t="shared" si="36"/>
        <v>10</v>
      </c>
      <c r="G75" s="70">
        <v>0</v>
      </c>
      <c r="H75" s="70">
        <v>10</v>
      </c>
      <c r="I75" s="70">
        <v>0</v>
      </c>
      <c r="J75" s="70">
        <v>0</v>
      </c>
      <c r="K75" s="70">
        <v>0</v>
      </c>
      <c r="L75" s="71">
        <f>SUM(G75:K75)</f>
        <v>10</v>
      </c>
      <c r="M75" s="75">
        <v>0</v>
      </c>
      <c r="N75" s="75">
        <v>0</v>
      </c>
      <c r="O75" s="75">
        <v>0</v>
      </c>
      <c r="P75" s="75">
        <v>0</v>
      </c>
      <c r="Q75" s="70">
        <f t="shared" si="38"/>
        <v>0</v>
      </c>
      <c r="R75" s="70">
        <v>0</v>
      </c>
      <c r="S75" s="70">
        <v>0</v>
      </c>
      <c r="T75" s="70">
        <v>0</v>
      </c>
      <c r="U75" s="71">
        <f t="shared" si="39"/>
        <v>0</v>
      </c>
      <c r="V75" s="75">
        <v>0</v>
      </c>
      <c r="W75" s="75">
        <v>0</v>
      </c>
      <c r="X75" s="75">
        <v>0</v>
      </c>
      <c r="Y75" s="75">
        <v>0</v>
      </c>
      <c r="Z75" s="76">
        <f t="shared" si="40"/>
        <v>0</v>
      </c>
      <c r="AA75" s="73">
        <v>0</v>
      </c>
      <c r="AB75" s="73">
        <v>0</v>
      </c>
      <c r="AC75" s="73">
        <v>0</v>
      </c>
      <c r="AD75" s="73">
        <v>10</v>
      </c>
      <c r="AE75" s="83">
        <f t="shared" si="41"/>
        <v>10</v>
      </c>
      <c r="AF75" s="73">
        <v>0</v>
      </c>
      <c r="AG75" s="73">
        <v>0</v>
      </c>
    </row>
    <row r="76" spans="1:33">
      <c r="A76" s="629"/>
      <c r="B76" s="267" t="s">
        <v>2455</v>
      </c>
      <c r="C76" s="75">
        <v>0</v>
      </c>
      <c r="D76" s="75">
        <v>0</v>
      </c>
      <c r="E76" s="75">
        <v>7</v>
      </c>
      <c r="F76" s="252">
        <f t="shared" si="36"/>
        <v>7</v>
      </c>
      <c r="G76" s="70">
        <v>0</v>
      </c>
      <c r="H76" s="70">
        <v>7</v>
      </c>
      <c r="I76" s="70">
        <v>0</v>
      </c>
      <c r="J76" s="70">
        <v>0</v>
      </c>
      <c r="K76" s="70">
        <v>0</v>
      </c>
      <c r="L76" s="71">
        <f>SUM(G76:I76)</f>
        <v>7</v>
      </c>
      <c r="M76" s="75">
        <v>0</v>
      </c>
      <c r="N76" s="75">
        <v>0</v>
      </c>
      <c r="O76" s="75">
        <v>0</v>
      </c>
      <c r="P76" s="75">
        <v>0</v>
      </c>
      <c r="Q76" s="70">
        <f t="shared" si="38"/>
        <v>0</v>
      </c>
      <c r="R76" s="70">
        <v>0</v>
      </c>
      <c r="S76" s="70">
        <v>0</v>
      </c>
      <c r="T76" s="70">
        <v>0</v>
      </c>
      <c r="U76" s="71">
        <f t="shared" si="39"/>
        <v>0</v>
      </c>
      <c r="V76" s="75">
        <v>0</v>
      </c>
      <c r="W76" s="75">
        <v>0</v>
      </c>
      <c r="X76" s="75">
        <v>0</v>
      </c>
      <c r="Y76" s="75">
        <v>0</v>
      </c>
      <c r="Z76" s="76">
        <f t="shared" si="40"/>
        <v>0</v>
      </c>
      <c r="AA76" s="73">
        <v>0</v>
      </c>
      <c r="AB76" s="73">
        <v>0</v>
      </c>
      <c r="AC76" s="73">
        <v>0</v>
      </c>
      <c r="AD76" s="73">
        <v>7</v>
      </c>
      <c r="AE76" s="83">
        <f t="shared" si="41"/>
        <v>7</v>
      </c>
      <c r="AF76" s="73">
        <v>0</v>
      </c>
      <c r="AG76" s="73">
        <v>0</v>
      </c>
    </row>
    <row r="77" spans="1:33">
      <c r="A77" s="487"/>
      <c r="B77" s="267" t="s">
        <v>8072</v>
      </c>
      <c r="C77" s="75">
        <v>20</v>
      </c>
      <c r="D77" s="75">
        <v>0</v>
      </c>
      <c r="E77" s="75">
        <v>0</v>
      </c>
      <c r="F77" s="252">
        <f t="shared" si="36"/>
        <v>20</v>
      </c>
      <c r="G77" s="70">
        <v>0</v>
      </c>
      <c r="H77" s="70">
        <v>1</v>
      </c>
      <c r="I77" s="70">
        <v>0</v>
      </c>
      <c r="J77" s="70">
        <v>0</v>
      </c>
      <c r="K77" s="70">
        <v>1</v>
      </c>
      <c r="L77" s="71">
        <f>SUM(G77:I77)</f>
        <v>1</v>
      </c>
      <c r="M77" s="75">
        <v>15</v>
      </c>
      <c r="N77" s="75">
        <v>1</v>
      </c>
      <c r="O77" s="75">
        <v>0</v>
      </c>
      <c r="P77" s="75">
        <v>2</v>
      </c>
      <c r="Q77" s="70">
        <f t="shared" si="38"/>
        <v>18</v>
      </c>
      <c r="R77" s="70">
        <v>0</v>
      </c>
      <c r="S77" s="70">
        <v>0</v>
      </c>
      <c r="T77" s="70">
        <v>1</v>
      </c>
      <c r="U77" s="71">
        <f t="shared" si="39"/>
        <v>1</v>
      </c>
      <c r="V77" s="75">
        <v>0</v>
      </c>
      <c r="W77" s="75">
        <v>0</v>
      </c>
      <c r="X77" s="75">
        <v>0</v>
      </c>
      <c r="Y77" s="75">
        <v>0</v>
      </c>
      <c r="Z77" s="76">
        <f t="shared" si="40"/>
        <v>0</v>
      </c>
      <c r="AA77" s="73">
        <v>2</v>
      </c>
      <c r="AB77" s="73">
        <v>0</v>
      </c>
      <c r="AC77" s="73">
        <v>0</v>
      </c>
      <c r="AD77" s="73">
        <v>18</v>
      </c>
      <c r="AE77" s="83">
        <f t="shared" si="41"/>
        <v>20</v>
      </c>
      <c r="AF77" s="73">
        <v>0</v>
      </c>
      <c r="AG77" s="73">
        <v>0</v>
      </c>
    </row>
    <row r="78" spans="1:33">
      <c r="A78" s="268"/>
      <c r="B78" s="268"/>
      <c r="C78" s="253">
        <f t="shared" ref="C78:AG78" si="42">SUM(C67:C77)</f>
        <v>262</v>
      </c>
      <c r="D78" s="253">
        <f t="shared" si="42"/>
        <v>13</v>
      </c>
      <c r="E78" s="253">
        <f t="shared" si="42"/>
        <v>45</v>
      </c>
      <c r="F78" s="253">
        <f t="shared" si="42"/>
        <v>320</v>
      </c>
      <c r="G78" s="253">
        <f t="shared" si="42"/>
        <v>6</v>
      </c>
      <c r="H78" s="253">
        <f t="shared" si="42"/>
        <v>196</v>
      </c>
      <c r="I78" s="253">
        <f t="shared" si="42"/>
        <v>2</v>
      </c>
      <c r="J78" s="253">
        <f t="shared" si="42"/>
        <v>0</v>
      </c>
      <c r="K78" s="253">
        <f t="shared" si="42"/>
        <v>18</v>
      </c>
      <c r="L78" s="253">
        <f t="shared" si="42"/>
        <v>204</v>
      </c>
      <c r="M78" s="253">
        <f t="shared" si="42"/>
        <v>65</v>
      </c>
      <c r="N78" s="253">
        <f t="shared" si="42"/>
        <v>17</v>
      </c>
      <c r="O78" s="253">
        <f t="shared" si="42"/>
        <v>1</v>
      </c>
      <c r="P78" s="253">
        <f t="shared" si="42"/>
        <v>14</v>
      </c>
      <c r="Q78" s="253">
        <f t="shared" si="42"/>
        <v>97</v>
      </c>
      <c r="R78" s="253">
        <f t="shared" si="42"/>
        <v>6</v>
      </c>
      <c r="S78" s="253">
        <f t="shared" si="42"/>
        <v>0</v>
      </c>
      <c r="T78" s="253">
        <f t="shared" si="42"/>
        <v>83</v>
      </c>
      <c r="U78" s="253">
        <f t="shared" si="42"/>
        <v>89</v>
      </c>
      <c r="V78" s="253">
        <f t="shared" si="42"/>
        <v>0</v>
      </c>
      <c r="W78" s="253">
        <f t="shared" si="42"/>
        <v>0</v>
      </c>
      <c r="X78" s="253">
        <f t="shared" si="42"/>
        <v>1</v>
      </c>
      <c r="Y78" s="253">
        <f t="shared" si="42"/>
        <v>13</v>
      </c>
      <c r="Z78" s="253">
        <f t="shared" si="42"/>
        <v>14</v>
      </c>
      <c r="AA78" s="253">
        <f t="shared" si="42"/>
        <v>216</v>
      </c>
      <c r="AB78" s="253">
        <f t="shared" si="42"/>
        <v>4</v>
      </c>
      <c r="AC78" s="253">
        <f t="shared" si="42"/>
        <v>0</v>
      </c>
      <c r="AD78" s="253">
        <f t="shared" si="42"/>
        <v>100</v>
      </c>
      <c r="AE78" s="253">
        <f t="shared" si="42"/>
        <v>320</v>
      </c>
      <c r="AF78" s="253">
        <f t="shared" si="42"/>
        <v>0</v>
      </c>
      <c r="AG78" s="253">
        <f t="shared" si="42"/>
        <v>0</v>
      </c>
    </row>
    <row r="79" spans="1:33">
      <c r="A79" s="628" t="s">
        <v>8073</v>
      </c>
      <c r="B79" s="267" t="s">
        <v>8074</v>
      </c>
      <c r="C79" s="75">
        <v>24</v>
      </c>
      <c r="D79" s="75">
        <v>2</v>
      </c>
      <c r="E79" s="75">
        <v>13</v>
      </c>
      <c r="F79" s="252">
        <f t="shared" ref="F79:F89" si="43">SUM(C79:E79)</f>
        <v>39</v>
      </c>
      <c r="G79" s="70">
        <v>5</v>
      </c>
      <c r="H79" s="70">
        <v>23</v>
      </c>
      <c r="I79" s="70">
        <v>0</v>
      </c>
      <c r="J79" s="70">
        <v>8</v>
      </c>
      <c r="K79" s="70">
        <v>3</v>
      </c>
      <c r="L79" s="71">
        <f>SUM(G79:K79)</f>
        <v>39</v>
      </c>
      <c r="M79" s="75">
        <v>11</v>
      </c>
      <c r="N79" s="75">
        <v>4</v>
      </c>
      <c r="O79" s="75">
        <v>0</v>
      </c>
      <c r="P79" s="75">
        <v>2</v>
      </c>
      <c r="Q79" s="70">
        <f t="shared" ref="Q79:Q89" si="44">SUM(M79:P79)</f>
        <v>17</v>
      </c>
      <c r="R79" s="70">
        <v>9</v>
      </c>
      <c r="S79" s="70">
        <v>0</v>
      </c>
      <c r="T79" s="70">
        <v>7</v>
      </c>
      <c r="U79" s="71">
        <f t="shared" ref="U79:U89" si="45">SUM(R79:T79)</f>
        <v>16</v>
      </c>
      <c r="V79" s="75">
        <v>3</v>
      </c>
      <c r="W79" s="75">
        <v>0</v>
      </c>
      <c r="X79" s="75">
        <v>1</v>
      </c>
      <c r="Y79" s="75">
        <v>1</v>
      </c>
      <c r="Z79" s="76">
        <f t="shared" ref="Z79:Z89" si="46">SUM(V79:Y79)</f>
        <v>5</v>
      </c>
      <c r="AA79" s="73">
        <v>3</v>
      </c>
      <c r="AB79" s="73">
        <v>0</v>
      </c>
      <c r="AC79" s="73">
        <v>0</v>
      </c>
      <c r="AD79" s="73">
        <v>0</v>
      </c>
      <c r="AE79" s="83">
        <f t="shared" ref="AE79:AE89" si="47">SUM(AA79:AD79)</f>
        <v>3</v>
      </c>
      <c r="AF79" s="73">
        <v>0</v>
      </c>
      <c r="AG79" s="73">
        <v>0</v>
      </c>
    </row>
    <row r="80" spans="1:33">
      <c r="A80" s="629"/>
      <c r="B80" s="267" t="s">
        <v>8075</v>
      </c>
      <c r="C80" s="75">
        <v>20</v>
      </c>
      <c r="D80" s="75">
        <v>2</v>
      </c>
      <c r="E80" s="75">
        <v>1</v>
      </c>
      <c r="F80" s="252">
        <f t="shared" si="43"/>
        <v>23</v>
      </c>
      <c r="G80" s="70">
        <v>3</v>
      </c>
      <c r="H80" s="70">
        <v>18</v>
      </c>
      <c r="I80" s="70">
        <v>0</v>
      </c>
      <c r="J80" s="70">
        <v>0</v>
      </c>
      <c r="K80" s="70">
        <v>1</v>
      </c>
      <c r="L80" s="71">
        <f t="shared" ref="L80:L89" si="48">SUM(G80:I80)</f>
        <v>21</v>
      </c>
      <c r="M80" s="75">
        <v>0</v>
      </c>
      <c r="N80" s="75">
        <v>0</v>
      </c>
      <c r="O80" s="75">
        <v>0</v>
      </c>
      <c r="P80" s="75">
        <v>0</v>
      </c>
      <c r="Q80" s="70">
        <f t="shared" si="44"/>
        <v>0</v>
      </c>
      <c r="R80" s="70">
        <v>3</v>
      </c>
      <c r="S80" s="70">
        <v>0</v>
      </c>
      <c r="T80" s="70">
        <v>7</v>
      </c>
      <c r="U80" s="71">
        <f t="shared" si="45"/>
        <v>10</v>
      </c>
      <c r="V80" s="75">
        <v>0</v>
      </c>
      <c r="W80" s="75">
        <v>0</v>
      </c>
      <c r="X80" s="75">
        <v>0</v>
      </c>
      <c r="Y80" s="75">
        <v>0</v>
      </c>
      <c r="Z80" s="76">
        <f t="shared" si="46"/>
        <v>0</v>
      </c>
      <c r="AA80" s="73">
        <v>13</v>
      </c>
      <c r="AB80" s="73">
        <v>0</v>
      </c>
      <c r="AC80" s="73">
        <v>0</v>
      </c>
      <c r="AD80" s="73">
        <v>10</v>
      </c>
      <c r="AE80" s="83">
        <f t="shared" si="47"/>
        <v>23</v>
      </c>
      <c r="AF80" s="73">
        <v>0</v>
      </c>
      <c r="AG80" s="73">
        <v>0</v>
      </c>
    </row>
    <row r="81" spans="1:33">
      <c r="A81" s="629"/>
      <c r="B81" s="267" t="s">
        <v>8076</v>
      </c>
      <c r="C81" s="75">
        <v>5</v>
      </c>
      <c r="D81" s="75">
        <v>0</v>
      </c>
      <c r="E81" s="75">
        <v>0</v>
      </c>
      <c r="F81" s="252">
        <f t="shared" si="43"/>
        <v>5</v>
      </c>
      <c r="G81" s="70">
        <v>0</v>
      </c>
      <c r="H81" s="70">
        <v>3</v>
      </c>
      <c r="I81" s="70">
        <v>0</v>
      </c>
      <c r="J81" s="70">
        <v>0</v>
      </c>
      <c r="K81" s="70">
        <v>1</v>
      </c>
      <c r="L81" s="71">
        <f t="shared" si="48"/>
        <v>3</v>
      </c>
      <c r="M81" s="75">
        <v>1</v>
      </c>
      <c r="N81" s="75">
        <v>0</v>
      </c>
      <c r="O81" s="75">
        <v>0</v>
      </c>
      <c r="P81" s="75">
        <v>0</v>
      </c>
      <c r="Q81" s="70">
        <f t="shared" si="44"/>
        <v>1</v>
      </c>
      <c r="R81" s="70">
        <v>0</v>
      </c>
      <c r="S81" s="70">
        <v>0</v>
      </c>
      <c r="T81" s="70">
        <v>1</v>
      </c>
      <c r="U81" s="71">
        <f t="shared" si="45"/>
        <v>1</v>
      </c>
      <c r="V81" s="75">
        <v>0</v>
      </c>
      <c r="W81" s="75">
        <v>0</v>
      </c>
      <c r="X81" s="75">
        <v>1</v>
      </c>
      <c r="Y81" s="75">
        <v>0</v>
      </c>
      <c r="Z81" s="76">
        <f t="shared" si="46"/>
        <v>1</v>
      </c>
      <c r="AA81" s="73">
        <v>5</v>
      </c>
      <c r="AB81" s="73">
        <v>0</v>
      </c>
      <c r="AC81" s="73">
        <v>0</v>
      </c>
      <c r="AD81" s="73">
        <v>0</v>
      </c>
      <c r="AE81" s="83">
        <f t="shared" si="47"/>
        <v>5</v>
      </c>
      <c r="AF81" s="73">
        <v>0</v>
      </c>
      <c r="AG81" s="73">
        <v>0</v>
      </c>
    </row>
    <row r="82" spans="1:33">
      <c r="A82" s="629"/>
      <c r="B82" s="267" t="s">
        <v>8077</v>
      </c>
      <c r="C82" s="75">
        <v>21</v>
      </c>
      <c r="D82" s="75">
        <v>6</v>
      </c>
      <c r="E82" s="75">
        <v>0</v>
      </c>
      <c r="F82" s="252">
        <f t="shared" si="43"/>
        <v>27</v>
      </c>
      <c r="G82" s="70">
        <v>1</v>
      </c>
      <c r="H82" s="70">
        <v>19</v>
      </c>
      <c r="I82" s="70">
        <v>0</v>
      </c>
      <c r="J82" s="70">
        <v>0</v>
      </c>
      <c r="K82" s="70">
        <v>1</v>
      </c>
      <c r="L82" s="71">
        <f t="shared" si="48"/>
        <v>20</v>
      </c>
      <c r="M82" s="75">
        <v>3</v>
      </c>
      <c r="N82" s="75">
        <v>1</v>
      </c>
      <c r="O82" s="75">
        <v>0</v>
      </c>
      <c r="P82" s="75">
        <v>2</v>
      </c>
      <c r="Q82" s="70">
        <f t="shared" si="44"/>
        <v>6</v>
      </c>
      <c r="R82" s="70">
        <v>1</v>
      </c>
      <c r="S82" s="70">
        <v>0</v>
      </c>
      <c r="T82" s="70">
        <v>11</v>
      </c>
      <c r="U82" s="71">
        <f t="shared" si="45"/>
        <v>12</v>
      </c>
      <c r="V82" s="75">
        <v>0</v>
      </c>
      <c r="W82" s="75">
        <v>0</v>
      </c>
      <c r="X82" s="75">
        <v>0</v>
      </c>
      <c r="Y82" s="75">
        <v>1</v>
      </c>
      <c r="Z82" s="76">
        <f t="shared" si="46"/>
        <v>1</v>
      </c>
      <c r="AA82" s="73">
        <v>25</v>
      </c>
      <c r="AB82" s="73">
        <v>0</v>
      </c>
      <c r="AC82" s="73">
        <v>0</v>
      </c>
      <c r="AD82" s="73">
        <v>2</v>
      </c>
      <c r="AE82" s="83">
        <f t="shared" si="47"/>
        <v>27</v>
      </c>
      <c r="AF82" s="73">
        <v>0</v>
      </c>
      <c r="AG82" s="73">
        <v>0</v>
      </c>
    </row>
    <row r="83" spans="1:33">
      <c r="A83" s="629"/>
      <c r="B83" s="267" t="s">
        <v>8078</v>
      </c>
      <c r="C83" s="75">
        <v>3</v>
      </c>
      <c r="D83" s="75">
        <v>1</v>
      </c>
      <c r="E83" s="75">
        <v>0</v>
      </c>
      <c r="F83" s="252">
        <f t="shared" si="43"/>
        <v>4</v>
      </c>
      <c r="G83" s="70">
        <v>0</v>
      </c>
      <c r="H83" s="70">
        <v>3</v>
      </c>
      <c r="I83" s="70">
        <v>0</v>
      </c>
      <c r="J83" s="70">
        <v>0</v>
      </c>
      <c r="K83" s="70">
        <v>0</v>
      </c>
      <c r="L83" s="71">
        <f t="shared" si="48"/>
        <v>3</v>
      </c>
      <c r="M83" s="75">
        <v>0</v>
      </c>
      <c r="N83" s="75">
        <v>1</v>
      </c>
      <c r="O83" s="75">
        <v>0</v>
      </c>
      <c r="P83" s="75">
        <v>0</v>
      </c>
      <c r="Q83" s="70">
        <f t="shared" si="44"/>
        <v>1</v>
      </c>
      <c r="R83" s="70">
        <v>0</v>
      </c>
      <c r="S83" s="70">
        <v>0</v>
      </c>
      <c r="T83" s="70">
        <v>3</v>
      </c>
      <c r="U83" s="71">
        <f t="shared" si="45"/>
        <v>3</v>
      </c>
      <c r="V83" s="75">
        <v>0</v>
      </c>
      <c r="W83" s="75">
        <v>0</v>
      </c>
      <c r="X83" s="75">
        <v>0</v>
      </c>
      <c r="Y83" s="75">
        <v>0</v>
      </c>
      <c r="Z83" s="76">
        <f t="shared" si="46"/>
        <v>0</v>
      </c>
      <c r="AA83" s="73">
        <v>0</v>
      </c>
      <c r="AB83" s="73">
        <v>0</v>
      </c>
      <c r="AC83" s="73">
        <v>0</v>
      </c>
      <c r="AD83" s="73">
        <v>4</v>
      </c>
      <c r="AE83" s="83">
        <f t="shared" si="47"/>
        <v>4</v>
      </c>
      <c r="AF83" s="73">
        <v>0</v>
      </c>
      <c r="AG83" s="73">
        <v>0</v>
      </c>
    </row>
    <row r="84" spans="1:33">
      <c r="A84" s="629"/>
      <c r="B84" s="267" t="s">
        <v>8079</v>
      </c>
      <c r="C84" s="75">
        <v>0</v>
      </c>
      <c r="D84" s="75">
        <v>0</v>
      </c>
      <c r="E84" s="75">
        <v>6</v>
      </c>
      <c r="F84" s="252">
        <f t="shared" si="43"/>
        <v>6</v>
      </c>
      <c r="G84" s="70">
        <v>0</v>
      </c>
      <c r="H84" s="70">
        <v>0</v>
      </c>
      <c r="I84" s="70">
        <v>0</v>
      </c>
      <c r="J84" s="70">
        <v>0</v>
      </c>
      <c r="K84" s="70">
        <v>6</v>
      </c>
      <c r="L84" s="71">
        <f t="shared" si="48"/>
        <v>0</v>
      </c>
      <c r="M84" s="75">
        <v>0</v>
      </c>
      <c r="N84" s="75">
        <v>0</v>
      </c>
      <c r="O84" s="75">
        <v>0</v>
      </c>
      <c r="P84" s="75">
        <v>0</v>
      </c>
      <c r="Q84" s="70">
        <f t="shared" si="44"/>
        <v>0</v>
      </c>
      <c r="R84" s="70">
        <v>0</v>
      </c>
      <c r="S84" s="70">
        <v>0</v>
      </c>
      <c r="T84" s="70">
        <v>0</v>
      </c>
      <c r="U84" s="71">
        <f t="shared" si="45"/>
        <v>0</v>
      </c>
      <c r="V84" s="75">
        <v>0</v>
      </c>
      <c r="W84" s="75">
        <v>0</v>
      </c>
      <c r="X84" s="75">
        <v>0</v>
      </c>
      <c r="Y84" s="75">
        <v>0</v>
      </c>
      <c r="Z84" s="76">
        <f t="shared" si="46"/>
        <v>0</v>
      </c>
      <c r="AA84" s="73">
        <v>0</v>
      </c>
      <c r="AB84" s="73">
        <v>0</v>
      </c>
      <c r="AC84" s="73">
        <v>0</v>
      </c>
      <c r="AD84" s="73">
        <v>6</v>
      </c>
      <c r="AE84" s="83">
        <f t="shared" si="47"/>
        <v>6</v>
      </c>
      <c r="AF84" s="73">
        <v>0</v>
      </c>
      <c r="AG84" s="73">
        <v>0</v>
      </c>
    </row>
    <row r="85" spans="1:33">
      <c r="A85" s="629"/>
      <c r="B85" s="267" t="s">
        <v>8071</v>
      </c>
      <c r="C85" s="75">
        <v>0</v>
      </c>
      <c r="D85" s="75">
        <v>0</v>
      </c>
      <c r="E85" s="75">
        <v>11</v>
      </c>
      <c r="F85" s="252">
        <f t="shared" si="43"/>
        <v>11</v>
      </c>
      <c r="G85" s="70">
        <v>0</v>
      </c>
      <c r="H85" s="70">
        <v>11</v>
      </c>
      <c r="I85" s="70">
        <v>0</v>
      </c>
      <c r="J85" s="70">
        <v>0</v>
      </c>
      <c r="K85" s="70">
        <v>0</v>
      </c>
      <c r="L85" s="71">
        <f t="shared" si="48"/>
        <v>11</v>
      </c>
      <c r="M85" s="75">
        <v>0</v>
      </c>
      <c r="N85" s="75">
        <v>0</v>
      </c>
      <c r="O85" s="75">
        <v>0</v>
      </c>
      <c r="P85" s="75">
        <v>0</v>
      </c>
      <c r="Q85" s="70">
        <f t="shared" si="44"/>
        <v>0</v>
      </c>
      <c r="R85" s="70">
        <v>0</v>
      </c>
      <c r="S85" s="70">
        <v>0</v>
      </c>
      <c r="T85" s="70">
        <v>0</v>
      </c>
      <c r="U85" s="71">
        <f t="shared" si="45"/>
        <v>0</v>
      </c>
      <c r="V85" s="75">
        <v>0</v>
      </c>
      <c r="W85" s="75">
        <v>0</v>
      </c>
      <c r="X85" s="75">
        <v>0</v>
      </c>
      <c r="Y85" s="75">
        <v>0</v>
      </c>
      <c r="Z85" s="76">
        <f t="shared" si="46"/>
        <v>0</v>
      </c>
      <c r="AA85" s="73">
        <v>0</v>
      </c>
      <c r="AB85" s="73">
        <v>0</v>
      </c>
      <c r="AC85" s="73">
        <v>0</v>
      </c>
      <c r="AD85" s="73">
        <v>11</v>
      </c>
      <c r="AE85" s="83">
        <f t="shared" si="47"/>
        <v>11</v>
      </c>
      <c r="AF85" s="73">
        <v>0</v>
      </c>
      <c r="AG85" s="73">
        <v>0</v>
      </c>
    </row>
    <row r="86" spans="1:33">
      <c r="A86" s="629"/>
      <c r="B86" s="267" t="s">
        <v>8050</v>
      </c>
      <c r="C86" s="75">
        <v>0</v>
      </c>
      <c r="D86" s="75">
        <v>0</v>
      </c>
      <c r="E86" s="75">
        <v>11</v>
      </c>
      <c r="F86" s="252">
        <f t="shared" si="43"/>
        <v>11</v>
      </c>
      <c r="G86" s="70">
        <v>0</v>
      </c>
      <c r="H86" s="70">
        <v>11</v>
      </c>
      <c r="I86" s="70">
        <v>0</v>
      </c>
      <c r="J86" s="70">
        <v>0</v>
      </c>
      <c r="K86" s="70">
        <v>0</v>
      </c>
      <c r="L86" s="71">
        <f t="shared" si="48"/>
        <v>11</v>
      </c>
      <c r="M86" s="75">
        <v>0</v>
      </c>
      <c r="N86" s="75">
        <v>0</v>
      </c>
      <c r="O86" s="75">
        <v>0</v>
      </c>
      <c r="P86" s="75">
        <v>0</v>
      </c>
      <c r="Q86" s="70">
        <f t="shared" si="44"/>
        <v>0</v>
      </c>
      <c r="R86" s="70">
        <v>0</v>
      </c>
      <c r="S86" s="70">
        <v>0</v>
      </c>
      <c r="T86" s="70">
        <v>0</v>
      </c>
      <c r="U86" s="71">
        <f t="shared" si="45"/>
        <v>0</v>
      </c>
      <c r="V86" s="75">
        <v>0</v>
      </c>
      <c r="W86" s="75">
        <v>0</v>
      </c>
      <c r="X86" s="75">
        <v>0</v>
      </c>
      <c r="Y86" s="75">
        <v>0</v>
      </c>
      <c r="Z86" s="76">
        <f t="shared" si="46"/>
        <v>0</v>
      </c>
      <c r="AA86" s="73">
        <v>0</v>
      </c>
      <c r="AB86" s="73">
        <v>0</v>
      </c>
      <c r="AC86" s="73">
        <v>0</v>
      </c>
      <c r="AD86" s="73">
        <v>11</v>
      </c>
      <c r="AE86" s="83">
        <f t="shared" si="47"/>
        <v>11</v>
      </c>
      <c r="AF86" s="73">
        <v>0</v>
      </c>
      <c r="AG86" s="73">
        <v>0</v>
      </c>
    </row>
    <row r="87" spans="1:33">
      <c r="A87" s="629"/>
      <c r="B87" s="267" t="s">
        <v>8000</v>
      </c>
      <c r="C87" s="75">
        <v>0</v>
      </c>
      <c r="D87" s="75">
        <v>0</v>
      </c>
      <c r="E87" s="75">
        <v>14</v>
      </c>
      <c r="F87" s="252">
        <f t="shared" si="43"/>
        <v>14</v>
      </c>
      <c r="G87" s="70">
        <v>1</v>
      </c>
      <c r="H87" s="70">
        <v>13</v>
      </c>
      <c r="I87" s="70">
        <v>0</v>
      </c>
      <c r="J87" s="70">
        <v>0</v>
      </c>
      <c r="K87" s="70">
        <v>0</v>
      </c>
      <c r="L87" s="71">
        <f t="shared" si="48"/>
        <v>14</v>
      </c>
      <c r="M87" s="75">
        <v>0</v>
      </c>
      <c r="N87" s="75">
        <v>0</v>
      </c>
      <c r="O87" s="75">
        <v>0</v>
      </c>
      <c r="P87" s="75">
        <v>0</v>
      </c>
      <c r="Q87" s="70">
        <f t="shared" si="44"/>
        <v>0</v>
      </c>
      <c r="R87" s="70">
        <v>0</v>
      </c>
      <c r="S87" s="70">
        <v>0</v>
      </c>
      <c r="T87" s="70">
        <v>0</v>
      </c>
      <c r="U87" s="71">
        <f t="shared" si="45"/>
        <v>0</v>
      </c>
      <c r="V87" s="75">
        <v>0</v>
      </c>
      <c r="W87" s="75">
        <v>0</v>
      </c>
      <c r="X87" s="75">
        <v>0</v>
      </c>
      <c r="Y87" s="75">
        <v>0</v>
      </c>
      <c r="Z87" s="76">
        <f t="shared" si="46"/>
        <v>0</v>
      </c>
      <c r="AA87" s="73">
        <v>0</v>
      </c>
      <c r="AB87" s="73">
        <v>0</v>
      </c>
      <c r="AC87" s="73">
        <v>0</v>
      </c>
      <c r="AD87" s="73">
        <v>14</v>
      </c>
      <c r="AE87" s="83">
        <f t="shared" si="47"/>
        <v>14</v>
      </c>
      <c r="AF87" s="73">
        <v>0</v>
      </c>
      <c r="AG87" s="73">
        <v>0</v>
      </c>
    </row>
    <row r="88" spans="1:33">
      <c r="A88" s="629"/>
      <c r="B88" s="267" t="s">
        <v>8080</v>
      </c>
      <c r="C88" s="75">
        <v>7</v>
      </c>
      <c r="D88" s="75">
        <v>1</v>
      </c>
      <c r="E88" s="75">
        <v>0</v>
      </c>
      <c r="F88" s="252">
        <f t="shared" si="43"/>
        <v>8</v>
      </c>
      <c r="G88" s="70">
        <v>1</v>
      </c>
      <c r="H88" s="70">
        <v>5</v>
      </c>
      <c r="I88" s="70">
        <v>0</v>
      </c>
      <c r="J88" s="70">
        <v>0</v>
      </c>
      <c r="K88" s="70">
        <v>0</v>
      </c>
      <c r="L88" s="71">
        <f t="shared" si="48"/>
        <v>6</v>
      </c>
      <c r="M88" s="75">
        <v>0</v>
      </c>
      <c r="N88" s="75">
        <v>1</v>
      </c>
      <c r="O88" s="75">
        <v>0</v>
      </c>
      <c r="P88" s="75">
        <v>1</v>
      </c>
      <c r="Q88" s="70">
        <f t="shared" si="44"/>
        <v>2</v>
      </c>
      <c r="R88" s="70">
        <v>1</v>
      </c>
      <c r="S88" s="70">
        <v>0</v>
      </c>
      <c r="T88" s="70">
        <v>3</v>
      </c>
      <c r="U88" s="71">
        <f t="shared" si="45"/>
        <v>4</v>
      </c>
      <c r="V88" s="75">
        <v>0</v>
      </c>
      <c r="W88" s="75">
        <v>0</v>
      </c>
      <c r="X88" s="75">
        <v>0</v>
      </c>
      <c r="Y88" s="75">
        <v>0</v>
      </c>
      <c r="Z88" s="76">
        <f t="shared" si="46"/>
        <v>0</v>
      </c>
      <c r="AA88" s="73">
        <v>6</v>
      </c>
      <c r="AB88" s="73">
        <v>0</v>
      </c>
      <c r="AC88" s="73">
        <v>0</v>
      </c>
      <c r="AD88" s="73">
        <v>2</v>
      </c>
      <c r="AE88" s="83">
        <f t="shared" si="47"/>
        <v>8</v>
      </c>
      <c r="AF88" s="73">
        <v>0</v>
      </c>
      <c r="AG88" s="73">
        <v>0</v>
      </c>
    </row>
    <row r="89" spans="1:33">
      <c r="A89" s="487"/>
      <c r="B89" s="267" t="s">
        <v>8081</v>
      </c>
      <c r="C89" s="75">
        <v>24</v>
      </c>
      <c r="D89" s="75">
        <v>2</v>
      </c>
      <c r="E89" s="75">
        <v>13</v>
      </c>
      <c r="F89" s="252">
        <f t="shared" si="43"/>
        <v>39</v>
      </c>
      <c r="G89" s="70">
        <v>0</v>
      </c>
      <c r="H89" s="70">
        <v>23</v>
      </c>
      <c r="I89" s="70">
        <v>0</v>
      </c>
      <c r="J89" s="70">
        <v>0</v>
      </c>
      <c r="K89" s="70">
        <v>0</v>
      </c>
      <c r="L89" s="71">
        <f t="shared" si="48"/>
        <v>23</v>
      </c>
      <c r="M89" s="75">
        <v>11</v>
      </c>
      <c r="N89" s="75">
        <v>0</v>
      </c>
      <c r="O89" s="75">
        <v>0</v>
      </c>
      <c r="P89" s="75">
        <v>1</v>
      </c>
      <c r="Q89" s="70">
        <f t="shared" si="44"/>
        <v>12</v>
      </c>
      <c r="R89" s="70">
        <v>0</v>
      </c>
      <c r="S89" s="70">
        <v>0</v>
      </c>
      <c r="T89" s="70">
        <v>7</v>
      </c>
      <c r="U89" s="71">
        <f t="shared" si="45"/>
        <v>7</v>
      </c>
      <c r="V89" s="75">
        <v>0</v>
      </c>
      <c r="W89" s="75">
        <v>0</v>
      </c>
      <c r="X89" s="75">
        <v>0</v>
      </c>
      <c r="Y89" s="75">
        <v>0</v>
      </c>
      <c r="Z89" s="76">
        <f t="shared" si="46"/>
        <v>0</v>
      </c>
      <c r="AA89" s="73">
        <v>31</v>
      </c>
      <c r="AB89" s="73">
        <v>0</v>
      </c>
      <c r="AC89" s="73">
        <v>0</v>
      </c>
      <c r="AD89" s="73">
        <v>8</v>
      </c>
      <c r="AE89" s="83">
        <f t="shared" si="47"/>
        <v>39</v>
      </c>
      <c r="AF89" s="73">
        <v>0</v>
      </c>
      <c r="AG89" s="73">
        <v>0</v>
      </c>
    </row>
    <row r="90" spans="1:33">
      <c r="A90" s="269"/>
      <c r="B90" s="270">
        <v>11</v>
      </c>
      <c r="C90" s="253">
        <f t="shared" ref="C90:AG90" si="49">SUM(C79:C89)</f>
        <v>104</v>
      </c>
      <c r="D90" s="253">
        <f t="shared" si="49"/>
        <v>14</v>
      </c>
      <c r="E90" s="253">
        <f t="shared" si="49"/>
        <v>69</v>
      </c>
      <c r="F90" s="253">
        <f t="shared" si="49"/>
        <v>187</v>
      </c>
      <c r="G90" s="253">
        <f t="shared" si="49"/>
        <v>11</v>
      </c>
      <c r="H90" s="253">
        <f t="shared" si="49"/>
        <v>129</v>
      </c>
      <c r="I90" s="253">
        <f t="shared" si="49"/>
        <v>0</v>
      </c>
      <c r="J90" s="253">
        <f t="shared" si="49"/>
        <v>8</v>
      </c>
      <c r="K90" s="253">
        <f t="shared" si="49"/>
        <v>12</v>
      </c>
      <c r="L90" s="253">
        <f t="shared" si="49"/>
        <v>151</v>
      </c>
      <c r="M90" s="253">
        <f t="shared" si="49"/>
        <v>26</v>
      </c>
      <c r="N90" s="253">
        <f t="shared" si="49"/>
        <v>7</v>
      </c>
      <c r="O90" s="253">
        <f t="shared" si="49"/>
        <v>0</v>
      </c>
      <c r="P90" s="253">
        <f t="shared" si="49"/>
        <v>6</v>
      </c>
      <c r="Q90" s="253">
        <f t="shared" si="49"/>
        <v>39</v>
      </c>
      <c r="R90" s="253">
        <f t="shared" si="49"/>
        <v>14</v>
      </c>
      <c r="S90" s="253">
        <f t="shared" si="49"/>
        <v>0</v>
      </c>
      <c r="T90" s="253">
        <f t="shared" si="49"/>
        <v>39</v>
      </c>
      <c r="U90" s="253">
        <f t="shared" si="49"/>
        <v>53</v>
      </c>
      <c r="V90" s="253">
        <f t="shared" si="49"/>
        <v>3</v>
      </c>
      <c r="W90" s="253">
        <f t="shared" si="49"/>
        <v>0</v>
      </c>
      <c r="X90" s="253">
        <f t="shared" si="49"/>
        <v>2</v>
      </c>
      <c r="Y90" s="253">
        <f t="shared" si="49"/>
        <v>2</v>
      </c>
      <c r="Z90" s="253">
        <f t="shared" si="49"/>
        <v>7</v>
      </c>
      <c r="AA90" s="253">
        <f t="shared" si="49"/>
        <v>83</v>
      </c>
      <c r="AB90" s="253">
        <f t="shared" si="49"/>
        <v>0</v>
      </c>
      <c r="AC90" s="253">
        <f t="shared" si="49"/>
        <v>0</v>
      </c>
      <c r="AD90" s="253">
        <f t="shared" si="49"/>
        <v>68</v>
      </c>
      <c r="AE90" s="253">
        <f t="shared" si="49"/>
        <v>151</v>
      </c>
      <c r="AF90" s="253">
        <f t="shared" si="49"/>
        <v>0</v>
      </c>
      <c r="AG90" s="253">
        <f t="shared" si="49"/>
        <v>0</v>
      </c>
    </row>
    <row r="91" spans="1:33">
      <c r="A91" s="628" t="s">
        <v>8082</v>
      </c>
      <c r="B91" s="75" t="s">
        <v>8083</v>
      </c>
      <c r="C91" s="75">
        <v>6</v>
      </c>
      <c r="D91" s="75">
        <v>0</v>
      </c>
      <c r="E91" s="75">
        <v>0</v>
      </c>
      <c r="F91" s="252">
        <f t="shared" ref="F91:F103" si="50">SUM(C91:E91)</f>
        <v>6</v>
      </c>
      <c r="G91" s="70">
        <v>0</v>
      </c>
      <c r="H91" s="70">
        <v>3</v>
      </c>
      <c r="I91" s="70">
        <v>0</v>
      </c>
      <c r="J91" s="70">
        <v>0</v>
      </c>
      <c r="K91" s="70">
        <v>0</v>
      </c>
      <c r="L91" s="71">
        <f t="shared" ref="L91:L103" si="51">SUM(G91:K91)</f>
        <v>3</v>
      </c>
      <c r="M91" s="75">
        <v>3</v>
      </c>
      <c r="N91" s="75">
        <v>0</v>
      </c>
      <c r="O91" s="75">
        <v>0</v>
      </c>
      <c r="P91" s="75">
        <v>3</v>
      </c>
      <c r="Q91" s="70">
        <f t="shared" ref="Q91:Q103" si="52">SUM(M91:P91)</f>
        <v>6</v>
      </c>
      <c r="R91" s="70">
        <v>0</v>
      </c>
      <c r="S91" s="70">
        <v>0</v>
      </c>
      <c r="T91" s="70">
        <v>3</v>
      </c>
      <c r="U91" s="71">
        <f t="shared" ref="U91:U103" si="53">SUM(R91:T91)</f>
        <v>3</v>
      </c>
      <c r="V91" s="75">
        <v>0</v>
      </c>
      <c r="W91" s="75">
        <v>0</v>
      </c>
      <c r="X91" s="75">
        <v>0</v>
      </c>
      <c r="Y91" s="75">
        <v>2</v>
      </c>
      <c r="Z91" s="76">
        <f t="shared" ref="Z91:Z103" si="54">SUM(V91:Y91)</f>
        <v>2</v>
      </c>
      <c r="AA91" s="73">
        <v>6</v>
      </c>
      <c r="AB91" s="73">
        <v>0</v>
      </c>
      <c r="AC91" s="73">
        <v>0</v>
      </c>
      <c r="AD91" s="73">
        <v>0</v>
      </c>
      <c r="AE91" s="83">
        <f t="shared" ref="AE91:AE103" si="55">SUM(AA91:AD91)</f>
        <v>6</v>
      </c>
      <c r="AF91" s="73">
        <v>0</v>
      </c>
      <c r="AG91" s="73">
        <v>0</v>
      </c>
    </row>
    <row r="92" spans="1:33">
      <c r="A92" s="629"/>
      <c r="B92" s="75" t="s">
        <v>6232</v>
      </c>
      <c r="C92" s="75">
        <v>23</v>
      </c>
      <c r="D92" s="75">
        <v>3</v>
      </c>
      <c r="E92" s="75">
        <v>8</v>
      </c>
      <c r="F92" s="252">
        <f t="shared" si="50"/>
        <v>34</v>
      </c>
      <c r="G92" s="70">
        <v>1</v>
      </c>
      <c r="H92" s="70">
        <v>14</v>
      </c>
      <c r="I92" s="70">
        <v>1</v>
      </c>
      <c r="J92" s="70">
        <v>0</v>
      </c>
      <c r="K92" s="70">
        <v>1</v>
      </c>
      <c r="L92" s="71">
        <f t="shared" si="51"/>
        <v>17</v>
      </c>
      <c r="M92" s="75">
        <v>14</v>
      </c>
      <c r="N92" s="75">
        <v>1</v>
      </c>
      <c r="O92" s="75">
        <v>0</v>
      </c>
      <c r="P92" s="75">
        <v>1</v>
      </c>
      <c r="Q92" s="70">
        <f t="shared" si="52"/>
        <v>16</v>
      </c>
      <c r="R92" s="70">
        <v>1</v>
      </c>
      <c r="S92" s="70">
        <v>0</v>
      </c>
      <c r="T92" s="70">
        <v>16</v>
      </c>
      <c r="U92" s="71">
        <f t="shared" si="53"/>
        <v>17</v>
      </c>
      <c r="V92" s="75">
        <v>0</v>
      </c>
      <c r="W92" s="75">
        <v>0</v>
      </c>
      <c r="X92" s="75">
        <v>0</v>
      </c>
      <c r="Y92" s="75">
        <v>0</v>
      </c>
      <c r="Z92" s="76">
        <f t="shared" si="54"/>
        <v>0</v>
      </c>
      <c r="AA92" s="73">
        <v>34</v>
      </c>
      <c r="AB92" s="73">
        <v>0</v>
      </c>
      <c r="AC92" s="73">
        <v>0</v>
      </c>
      <c r="AD92" s="73">
        <v>0</v>
      </c>
      <c r="AE92" s="83">
        <f t="shared" si="55"/>
        <v>34</v>
      </c>
      <c r="AF92" s="73">
        <v>0</v>
      </c>
      <c r="AG92" s="73">
        <v>0</v>
      </c>
    </row>
    <row r="93" spans="1:33">
      <c r="A93" s="629"/>
      <c r="B93" s="75" t="s">
        <v>8084</v>
      </c>
      <c r="C93" s="75">
        <v>54</v>
      </c>
      <c r="D93" s="75">
        <v>4</v>
      </c>
      <c r="E93" s="75">
        <v>1</v>
      </c>
      <c r="F93" s="252">
        <f t="shared" si="50"/>
        <v>59</v>
      </c>
      <c r="G93" s="70">
        <v>2</v>
      </c>
      <c r="H93" s="70">
        <v>34</v>
      </c>
      <c r="I93" s="70">
        <v>1</v>
      </c>
      <c r="J93" s="70">
        <v>0</v>
      </c>
      <c r="K93" s="70">
        <v>8</v>
      </c>
      <c r="L93" s="71">
        <f t="shared" si="51"/>
        <v>45</v>
      </c>
      <c r="M93" s="75">
        <v>6</v>
      </c>
      <c r="N93" s="75">
        <v>2</v>
      </c>
      <c r="O93" s="75">
        <v>0</v>
      </c>
      <c r="P93" s="75">
        <v>6</v>
      </c>
      <c r="Q93" s="70">
        <f t="shared" si="52"/>
        <v>14</v>
      </c>
      <c r="R93" s="70">
        <v>2</v>
      </c>
      <c r="S93" s="70">
        <v>0</v>
      </c>
      <c r="T93" s="70">
        <v>25</v>
      </c>
      <c r="U93" s="71">
        <f t="shared" si="53"/>
        <v>27</v>
      </c>
      <c r="V93" s="75">
        <v>0</v>
      </c>
      <c r="W93" s="75">
        <v>0</v>
      </c>
      <c r="X93" s="70">
        <v>0</v>
      </c>
      <c r="Y93" s="75">
        <v>5</v>
      </c>
      <c r="Z93" s="76">
        <f t="shared" si="54"/>
        <v>5</v>
      </c>
      <c r="AA93" s="73">
        <v>55</v>
      </c>
      <c r="AB93" s="73">
        <v>4</v>
      </c>
      <c r="AC93" s="73">
        <v>0</v>
      </c>
      <c r="AD93" s="73">
        <v>0</v>
      </c>
      <c r="AE93" s="83">
        <f t="shared" si="55"/>
        <v>59</v>
      </c>
      <c r="AF93" s="73">
        <v>0</v>
      </c>
      <c r="AG93" s="73">
        <v>0</v>
      </c>
    </row>
    <row r="94" spans="1:33">
      <c r="A94" s="629"/>
      <c r="B94" s="75" t="s">
        <v>5936</v>
      </c>
      <c r="C94" s="75">
        <v>24</v>
      </c>
      <c r="D94" s="75">
        <v>1</v>
      </c>
      <c r="E94" s="75">
        <v>0</v>
      </c>
      <c r="F94" s="252">
        <f t="shared" si="50"/>
        <v>25</v>
      </c>
      <c r="G94" s="70">
        <v>0</v>
      </c>
      <c r="H94" s="70">
        <v>15</v>
      </c>
      <c r="I94" s="70">
        <v>0</v>
      </c>
      <c r="J94" s="70">
        <v>0</v>
      </c>
      <c r="K94" s="70">
        <v>3</v>
      </c>
      <c r="L94" s="71">
        <f t="shared" si="51"/>
        <v>18</v>
      </c>
      <c r="M94" s="70">
        <v>4</v>
      </c>
      <c r="N94" s="70">
        <v>0</v>
      </c>
      <c r="O94" s="70">
        <v>0</v>
      </c>
      <c r="P94" s="70">
        <v>0</v>
      </c>
      <c r="Q94" s="70">
        <f t="shared" si="52"/>
        <v>4</v>
      </c>
      <c r="R94" s="70">
        <v>0</v>
      </c>
      <c r="S94" s="70">
        <v>0</v>
      </c>
      <c r="T94" s="70">
        <v>6</v>
      </c>
      <c r="U94" s="71">
        <f t="shared" si="53"/>
        <v>6</v>
      </c>
      <c r="V94" s="75">
        <v>0</v>
      </c>
      <c r="W94" s="75">
        <v>0</v>
      </c>
      <c r="X94" s="75">
        <v>0</v>
      </c>
      <c r="Y94" s="75">
        <v>0</v>
      </c>
      <c r="Z94" s="76">
        <f t="shared" si="54"/>
        <v>0</v>
      </c>
      <c r="AA94" s="73">
        <v>9</v>
      </c>
      <c r="AB94" s="73">
        <v>2</v>
      </c>
      <c r="AC94" s="73">
        <v>0</v>
      </c>
      <c r="AD94" s="73">
        <v>14</v>
      </c>
      <c r="AE94" s="83">
        <f t="shared" si="55"/>
        <v>25</v>
      </c>
      <c r="AF94" s="73">
        <v>0</v>
      </c>
      <c r="AG94" s="73">
        <v>0</v>
      </c>
    </row>
    <row r="95" spans="1:33">
      <c r="A95" s="629"/>
      <c r="B95" s="75" t="s">
        <v>5912</v>
      </c>
      <c r="C95" s="75">
        <v>8</v>
      </c>
      <c r="D95" s="75">
        <v>1</v>
      </c>
      <c r="E95" s="75">
        <v>1</v>
      </c>
      <c r="F95" s="252">
        <f t="shared" si="50"/>
        <v>10</v>
      </c>
      <c r="G95" s="70">
        <v>0</v>
      </c>
      <c r="H95" s="70">
        <v>5</v>
      </c>
      <c r="I95" s="70">
        <v>0</v>
      </c>
      <c r="J95" s="70">
        <v>0</v>
      </c>
      <c r="K95" s="70">
        <v>0</v>
      </c>
      <c r="L95" s="71">
        <f t="shared" si="51"/>
        <v>5</v>
      </c>
      <c r="M95" s="70">
        <v>5</v>
      </c>
      <c r="N95" s="70">
        <v>0</v>
      </c>
      <c r="O95" s="70">
        <v>0</v>
      </c>
      <c r="P95" s="70">
        <v>0</v>
      </c>
      <c r="Q95" s="70">
        <f t="shared" si="52"/>
        <v>5</v>
      </c>
      <c r="R95" s="70">
        <v>0</v>
      </c>
      <c r="S95" s="70">
        <v>0</v>
      </c>
      <c r="T95" s="70">
        <v>1</v>
      </c>
      <c r="U95" s="71">
        <f t="shared" si="53"/>
        <v>1</v>
      </c>
      <c r="V95" s="75">
        <v>0</v>
      </c>
      <c r="W95" s="75">
        <v>0</v>
      </c>
      <c r="X95" s="75">
        <v>0</v>
      </c>
      <c r="Y95" s="75">
        <v>0</v>
      </c>
      <c r="Z95" s="76">
        <f t="shared" si="54"/>
        <v>0</v>
      </c>
      <c r="AA95" s="73">
        <v>6</v>
      </c>
      <c r="AB95" s="73">
        <v>0</v>
      </c>
      <c r="AC95" s="73">
        <v>0</v>
      </c>
      <c r="AD95" s="73">
        <v>1</v>
      </c>
      <c r="AE95" s="83">
        <f t="shared" si="55"/>
        <v>7</v>
      </c>
      <c r="AF95" s="73">
        <v>0</v>
      </c>
      <c r="AG95" s="73">
        <v>0</v>
      </c>
    </row>
    <row r="96" spans="1:33">
      <c r="A96" s="629"/>
      <c r="B96" s="75" t="s">
        <v>8085</v>
      </c>
      <c r="C96" s="75">
        <v>41</v>
      </c>
      <c r="D96" s="75">
        <v>0</v>
      </c>
      <c r="E96" s="75">
        <v>3</v>
      </c>
      <c r="F96" s="252">
        <f t="shared" si="50"/>
        <v>44</v>
      </c>
      <c r="G96" s="70">
        <v>0</v>
      </c>
      <c r="H96" s="70">
        <v>28</v>
      </c>
      <c r="I96" s="70">
        <v>0</v>
      </c>
      <c r="J96" s="70">
        <v>0</v>
      </c>
      <c r="K96" s="70">
        <v>2</v>
      </c>
      <c r="L96" s="71">
        <f t="shared" si="51"/>
        <v>30</v>
      </c>
      <c r="M96" s="75">
        <v>0</v>
      </c>
      <c r="N96" s="75">
        <v>0</v>
      </c>
      <c r="O96" s="75">
        <v>0</v>
      </c>
      <c r="P96" s="75">
        <v>14</v>
      </c>
      <c r="Q96" s="70">
        <f t="shared" si="52"/>
        <v>14</v>
      </c>
      <c r="R96" s="70">
        <v>0</v>
      </c>
      <c r="S96" s="70">
        <v>0</v>
      </c>
      <c r="T96" s="70">
        <v>12</v>
      </c>
      <c r="U96" s="71">
        <f t="shared" si="53"/>
        <v>12</v>
      </c>
      <c r="V96" s="75">
        <v>0</v>
      </c>
      <c r="W96" s="75">
        <v>0</v>
      </c>
      <c r="X96" s="75">
        <v>0</v>
      </c>
      <c r="Y96" s="75">
        <v>0</v>
      </c>
      <c r="Z96" s="76">
        <f t="shared" si="54"/>
        <v>0</v>
      </c>
      <c r="AA96" s="73">
        <v>43</v>
      </c>
      <c r="AB96" s="73">
        <v>1</v>
      </c>
      <c r="AC96" s="73">
        <v>0</v>
      </c>
      <c r="AD96" s="73">
        <v>0</v>
      </c>
      <c r="AE96" s="83">
        <f t="shared" si="55"/>
        <v>44</v>
      </c>
      <c r="AF96" s="73">
        <v>0</v>
      </c>
      <c r="AG96" s="73">
        <v>0</v>
      </c>
    </row>
    <row r="97" spans="1:33">
      <c r="A97" s="629"/>
      <c r="B97" s="141" t="s">
        <v>8086</v>
      </c>
      <c r="C97" s="75">
        <v>38</v>
      </c>
      <c r="D97" s="75">
        <v>2</v>
      </c>
      <c r="E97" s="75">
        <v>3</v>
      </c>
      <c r="F97" s="252">
        <f t="shared" si="50"/>
        <v>43</v>
      </c>
      <c r="G97" s="70">
        <v>0</v>
      </c>
      <c r="H97" s="70">
        <v>12</v>
      </c>
      <c r="I97" s="70">
        <v>0</v>
      </c>
      <c r="J97" s="70">
        <v>0</v>
      </c>
      <c r="K97" s="70">
        <v>0</v>
      </c>
      <c r="L97" s="71">
        <f t="shared" si="51"/>
        <v>12</v>
      </c>
      <c r="M97" s="75">
        <v>21</v>
      </c>
      <c r="N97" s="75">
        <v>10</v>
      </c>
      <c r="O97" s="75">
        <v>0</v>
      </c>
      <c r="P97" s="75">
        <v>0</v>
      </c>
      <c r="Q97" s="70">
        <f t="shared" si="52"/>
        <v>31</v>
      </c>
      <c r="R97" s="70">
        <v>0</v>
      </c>
      <c r="S97" s="70">
        <v>0</v>
      </c>
      <c r="T97" s="70">
        <v>11</v>
      </c>
      <c r="U97" s="71">
        <f t="shared" si="53"/>
        <v>11</v>
      </c>
      <c r="V97" s="75">
        <v>0</v>
      </c>
      <c r="W97" s="75">
        <v>0</v>
      </c>
      <c r="X97" s="75">
        <v>0</v>
      </c>
      <c r="Y97" s="75">
        <v>0</v>
      </c>
      <c r="Z97" s="76">
        <f t="shared" si="54"/>
        <v>0</v>
      </c>
      <c r="AA97" s="73">
        <v>3</v>
      </c>
      <c r="AB97" s="73">
        <v>1</v>
      </c>
      <c r="AC97" s="73">
        <v>0</v>
      </c>
      <c r="AD97" s="73">
        <v>39</v>
      </c>
      <c r="AE97" s="83">
        <f t="shared" si="55"/>
        <v>43</v>
      </c>
      <c r="AF97" s="73">
        <v>0</v>
      </c>
      <c r="AG97" s="73">
        <v>0</v>
      </c>
    </row>
    <row r="98" spans="1:33">
      <c r="A98" s="629"/>
      <c r="B98" s="141" t="s">
        <v>8087</v>
      </c>
      <c r="C98" s="75">
        <v>32</v>
      </c>
      <c r="D98" s="75">
        <v>3</v>
      </c>
      <c r="E98" s="75">
        <v>0</v>
      </c>
      <c r="F98" s="252">
        <f t="shared" si="50"/>
        <v>35</v>
      </c>
      <c r="G98" s="70">
        <v>0</v>
      </c>
      <c r="H98" s="70">
        <v>7</v>
      </c>
      <c r="I98" s="70">
        <v>0</v>
      </c>
      <c r="J98" s="70">
        <v>0</v>
      </c>
      <c r="K98" s="70">
        <v>0</v>
      </c>
      <c r="L98" s="71">
        <f t="shared" si="51"/>
        <v>7</v>
      </c>
      <c r="M98" s="75">
        <v>26</v>
      </c>
      <c r="N98" s="75">
        <v>2</v>
      </c>
      <c r="O98" s="75">
        <v>0</v>
      </c>
      <c r="P98" s="75">
        <v>0</v>
      </c>
      <c r="Q98" s="70">
        <f t="shared" si="52"/>
        <v>28</v>
      </c>
      <c r="R98" s="70">
        <v>0</v>
      </c>
      <c r="S98" s="70">
        <v>0</v>
      </c>
      <c r="T98" s="70">
        <v>8</v>
      </c>
      <c r="U98" s="71">
        <f t="shared" si="53"/>
        <v>8</v>
      </c>
      <c r="V98" s="75">
        <v>0</v>
      </c>
      <c r="W98" s="75">
        <v>0</v>
      </c>
      <c r="X98" s="75">
        <v>0</v>
      </c>
      <c r="Y98" s="75">
        <v>0</v>
      </c>
      <c r="Z98" s="76">
        <f t="shared" si="54"/>
        <v>0</v>
      </c>
      <c r="AA98" s="73">
        <v>18</v>
      </c>
      <c r="AB98" s="73">
        <v>0</v>
      </c>
      <c r="AC98" s="73">
        <v>0</v>
      </c>
      <c r="AD98" s="73">
        <v>17</v>
      </c>
      <c r="AE98" s="83">
        <f t="shared" si="55"/>
        <v>35</v>
      </c>
      <c r="AF98" s="73">
        <v>0</v>
      </c>
      <c r="AG98" s="73">
        <v>0</v>
      </c>
    </row>
    <row r="99" spans="1:33">
      <c r="A99" s="629"/>
      <c r="B99" s="75" t="s">
        <v>8088</v>
      </c>
      <c r="C99" s="75">
        <v>2</v>
      </c>
      <c r="D99" s="75">
        <v>0</v>
      </c>
      <c r="E99" s="75">
        <v>0</v>
      </c>
      <c r="F99" s="271">
        <f t="shared" si="50"/>
        <v>2</v>
      </c>
      <c r="G99" s="70">
        <v>0</v>
      </c>
      <c r="H99" s="70">
        <v>1</v>
      </c>
      <c r="I99" s="70">
        <v>0</v>
      </c>
      <c r="J99" s="70">
        <v>0</v>
      </c>
      <c r="K99" s="70">
        <v>0</v>
      </c>
      <c r="L99" s="71">
        <f t="shared" si="51"/>
        <v>1</v>
      </c>
      <c r="M99" s="75">
        <v>0</v>
      </c>
      <c r="N99" s="75">
        <v>1</v>
      </c>
      <c r="O99" s="75">
        <v>0</v>
      </c>
      <c r="P99" s="75">
        <v>0</v>
      </c>
      <c r="Q99" s="70">
        <f t="shared" si="52"/>
        <v>1</v>
      </c>
      <c r="R99" s="70">
        <v>0</v>
      </c>
      <c r="S99" s="70">
        <v>0</v>
      </c>
      <c r="T99" s="70">
        <v>2</v>
      </c>
      <c r="U99" s="71">
        <f t="shared" si="53"/>
        <v>2</v>
      </c>
      <c r="V99" s="75">
        <v>0</v>
      </c>
      <c r="W99" s="75">
        <v>0</v>
      </c>
      <c r="X99" s="75">
        <v>1</v>
      </c>
      <c r="Y99" s="75">
        <v>0</v>
      </c>
      <c r="Z99" s="76">
        <f t="shared" si="54"/>
        <v>1</v>
      </c>
      <c r="AA99" s="262">
        <v>0</v>
      </c>
      <c r="AB99" s="262">
        <v>0</v>
      </c>
      <c r="AC99" s="262">
        <v>0</v>
      </c>
      <c r="AD99" s="262">
        <v>2</v>
      </c>
      <c r="AE99" s="272">
        <f t="shared" si="55"/>
        <v>2</v>
      </c>
      <c r="AF99" s="262">
        <v>0</v>
      </c>
      <c r="AG99" s="262">
        <v>0</v>
      </c>
    </row>
    <row r="100" spans="1:33">
      <c r="A100" s="629"/>
      <c r="B100" s="260" t="s">
        <v>8089</v>
      </c>
      <c r="C100" s="261">
        <v>0</v>
      </c>
      <c r="D100" s="261">
        <v>0</v>
      </c>
      <c r="E100" s="261">
        <v>16</v>
      </c>
      <c r="F100" s="271">
        <f t="shared" si="50"/>
        <v>16</v>
      </c>
      <c r="G100" s="261">
        <v>1</v>
      </c>
      <c r="H100" s="261">
        <v>14</v>
      </c>
      <c r="I100" s="261">
        <v>1</v>
      </c>
      <c r="J100" s="261">
        <v>0</v>
      </c>
      <c r="K100" s="261">
        <v>0</v>
      </c>
      <c r="L100" s="71">
        <f t="shared" si="51"/>
        <v>16</v>
      </c>
      <c r="M100" s="261">
        <v>0</v>
      </c>
      <c r="N100" s="261">
        <v>0</v>
      </c>
      <c r="O100" s="261">
        <v>0</v>
      </c>
      <c r="P100" s="261">
        <v>0</v>
      </c>
      <c r="Q100" s="70">
        <f t="shared" si="52"/>
        <v>0</v>
      </c>
      <c r="R100" s="261">
        <v>0</v>
      </c>
      <c r="S100" s="261">
        <v>0</v>
      </c>
      <c r="T100" s="261">
        <v>0</v>
      </c>
      <c r="U100" s="71">
        <f t="shared" si="53"/>
        <v>0</v>
      </c>
      <c r="V100" s="75">
        <v>0</v>
      </c>
      <c r="W100" s="75">
        <v>0</v>
      </c>
      <c r="X100" s="75">
        <v>0</v>
      </c>
      <c r="Y100" s="75">
        <v>0</v>
      </c>
      <c r="Z100" s="76">
        <f t="shared" si="54"/>
        <v>0</v>
      </c>
      <c r="AA100" s="262">
        <v>0</v>
      </c>
      <c r="AB100" s="262">
        <v>0</v>
      </c>
      <c r="AC100" s="262">
        <v>0</v>
      </c>
      <c r="AD100" s="262">
        <v>15</v>
      </c>
      <c r="AE100" s="272">
        <f t="shared" si="55"/>
        <v>15</v>
      </c>
      <c r="AF100" s="262">
        <v>0</v>
      </c>
      <c r="AG100" s="262">
        <v>0</v>
      </c>
    </row>
    <row r="101" spans="1:33">
      <c r="A101" s="629"/>
      <c r="B101" s="260" t="s">
        <v>8071</v>
      </c>
      <c r="C101" s="261">
        <v>0</v>
      </c>
      <c r="D101" s="261">
        <v>0</v>
      </c>
      <c r="E101" s="261">
        <v>12</v>
      </c>
      <c r="F101" s="271">
        <f t="shared" si="50"/>
        <v>12</v>
      </c>
      <c r="G101" s="261">
        <v>0</v>
      </c>
      <c r="H101" s="261">
        <v>12</v>
      </c>
      <c r="I101" s="261">
        <v>0</v>
      </c>
      <c r="J101" s="261">
        <v>0</v>
      </c>
      <c r="K101" s="261">
        <v>0</v>
      </c>
      <c r="L101" s="71">
        <f t="shared" si="51"/>
        <v>12</v>
      </c>
      <c r="M101" s="261">
        <v>0</v>
      </c>
      <c r="N101" s="261">
        <v>0</v>
      </c>
      <c r="O101" s="261">
        <v>0</v>
      </c>
      <c r="P101" s="261">
        <v>0</v>
      </c>
      <c r="Q101" s="70">
        <f t="shared" si="52"/>
        <v>0</v>
      </c>
      <c r="R101" s="261">
        <v>0</v>
      </c>
      <c r="S101" s="261">
        <v>0</v>
      </c>
      <c r="T101" s="261">
        <v>0</v>
      </c>
      <c r="U101" s="71">
        <f t="shared" si="53"/>
        <v>0</v>
      </c>
      <c r="V101" s="75">
        <v>0</v>
      </c>
      <c r="W101" s="75">
        <v>0</v>
      </c>
      <c r="X101" s="75">
        <v>0</v>
      </c>
      <c r="Y101" s="75">
        <v>0</v>
      </c>
      <c r="Z101" s="76">
        <f t="shared" si="54"/>
        <v>0</v>
      </c>
      <c r="AA101" s="262">
        <v>0</v>
      </c>
      <c r="AB101" s="262">
        <v>0</v>
      </c>
      <c r="AC101" s="262">
        <v>0</v>
      </c>
      <c r="AD101" s="262">
        <v>0</v>
      </c>
      <c r="AE101" s="272">
        <f t="shared" si="55"/>
        <v>0</v>
      </c>
      <c r="AF101" s="262">
        <v>0</v>
      </c>
      <c r="AG101" s="262">
        <v>0</v>
      </c>
    </row>
    <row r="102" spans="1:33">
      <c r="A102" s="629"/>
      <c r="B102" s="260" t="s">
        <v>8090</v>
      </c>
      <c r="C102" s="261">
        <v>0</v>
      </c>
      <c r="D102" s="261">
        <v>0</v>
      </c>
      <c r="E102" s="261">
        <v>18</v>
      </c>
      <c r="F102" s="271">
        <f t="shared" si="50"/>
        <v>18</v>
      </c>
      <c r="G102" s="261">
        <v>0</v>
      </c>
      <c r="H102" s="261">
        <v>0</v>
      </c>
      <c r="I102" s="261">
        <v>0</v>
      </c>
      <c r="J102" s="261">
        <v>0</v>
      </c>
      <c r="K102" s="261">
        <v>0</v>
      </c>
      <c r="L102" s="71">
        <f t="shared" si="51"/>
        <v>0</v>
      </c>
      <c r="M102" s="261">
        <v>0</v>
      </c>
      <c r="N102" s="261">
        <v>0</v>
      </c>
      <c r="O102" s="261">
        <v>0</v>
      </c>
      <c r="P102" s="261">
        <v>0</v>
      </c>
      <c r="Q102" s="70">
        <f t="shared" si="52"/>
        <v>0</v>
      </c>
      <c r="R102" s="261">
        <v>0</v>
      </c>
      <c r="S102" s="261">
        <v>0</v>
      </c>
      <c r="T102" s="261">
        <v>0</v>
      </c>
      <c r="U102" s="71">
        <f t="shared" si="53"/>
        <v>0</v>
      </c>
      <c r="V102" s="75">
        <v>0</v>
      </c>
      <c r="W102" s="75">
        <v>0</v>
      </c>
      <c r="X102" s="75">
        <v>0</v>
      </c>
      <c r="Y102" s="75">
        <v>0</v>
      </c>
      <c r="Z102" s="76">
        <f t="shared" si="54"/>
        <v>0</v>
      </c>
      <c r="AA102" s="262">
        <v>0</v>
      </c>
      <c r="AB102" s="262">
        <v>0</v>
      </c>
      <c r="AC102" s="262">
        <v>0</v>
      </c>
      <c r="AD102" s="262">
        <v>18</v>
      </c>
      <c r="AE102" s="272">
        <f t="shared" si="55"/>
        <v>18</v>
      </c>
      <c r="AF102" s="262">
        <v>0</v>
      </c>
      <c r="AG102" s="262">
        <v>0</v>
      </c>
    </row>
    <row r="103" spans="1:33">
      <c r="A103" s="487"/>
      <c r="B103" s="273" t="s">
        <v>8049</v>
      </c>
      <c r="C103" s="261">
        <v>0</v>
      </c>
      <c r="D103" s="261">
        <v>0</v>
      </c>
      <c r="E103" s="261">
        <v>24</v>
      </c>
      <c r="F103" s="271">
        <f t="shared" si="50"/>
        <v>24</v>
      </c>
      <c r="G103" s="261">
        <v>0</v>
      </c>
      <c r="H103" s="261">
        <v>0</v>
      </c>
      <c r="I103" s="261">
        <v>0</v>
      </c>
      <c r="J103" s="261">
        <v>4</v>
      </c>
      <c r="K103" s="261">
        <v>0</v>
      </c>
      <c r="L103" s="71">
        <f t="shared" si="51"/>
        <v>4</v>
      </c>
      <c r="M103" s="261">
        <v>0</v>
      </c>
      <c r="N103" s="261">
        <v>0</v>
      </c>
      <c r="O103" s="261">
        <v>0</v>
      </c>
      <c r="P103" s="261">
        <v>0</v>
      </c>
      <c r="Q103" s="70">
        <f t="shared" si="52"/>
        <v>0</v>
      </c>
      <c r="R103" s="261">
        <v>1</v>
      </c>
      <c r="S103" s="261">
        <v>0</v>
      </c>
      <c r="T103" s="261">
        <v>0</v>
      </c>
      <c r="U103" s="71">
        <f t="shared" si="53"/>
        <v>1</v>
      </c>
      <c r="V103" s="75">
        <v>0</v>
      </c>
      <c r="W103" s="75">
        <v>0</v>
      </c>
      <c r="X103" s="75">
        <v>0</v>
      </c>
      <c r="Y103" s="75">
        <v>0</v>
      </c>
      <c r="Z103" s="76">
        <f t="shared" si="54"/>
        <v>0</v>
      </c>
      <c r="AA103" s="262">
        <v>0</v>
      </c>
      <c r="AB103" s="262">
        <v>0</v>
      </c>
      <c r="AC103" s="262">
        <v>0</v>
      </c>
      <c r="AD103" s="262">
        <v>24</v>
      </c>
      <c r="AE103" s="272">
        <f t="shared" si="55"/>
        <v>24</v>
      </c>
      <c r="AF103" s="262">
        <v>0</v>
      </c>
      <c r="AG103" s="262">
        <v>0</v>
      </c>
    </row>
    <row r="104" spans="1:33">
      <c r="A104" s="274"/>
      <c r="B104" s="275">
        <v>13</v>
      </c>
      <c r="C104" s="253">
        <f t="shared" ref="C104:AG104" si="56">SUM(C91:C103)</f>
        <v>228</v>
      </c>
      <c r="D104" s="253">
        <f t="shared" si="56"/>
        <v>14</v>
      </c>
      <c r="E104" s="253">
        <f t="shared" si="56"/>
        <v>86</v>
      </c>
      <c r="F104" s="253">
        <f t="shared" si="56"/>
        <v>328</v>
      </c>
      <c r="G104" s="253">
        <f t="shared" si="56"/>
        <v>4</v>
      </c>
      <c r="H104" s="253">
        <f t="shared" si="56"/>
        <v>145</v>
      </c>
      <c r="I104" s="253">
        <f t="shared" si="56"/>
        <v>3</v>
      </c>
      <c r="J104" s="253">
        <f t="shared" si="56"/>
        <v>4</v>
      </c>
      <c r="K104" s="253">
        <f t="shared" si="56"/>
        <v>14</v>
      </c>
      <c r="L104" s="253">
        <f t="shared" si="56"/>
        <v>170</v>
      </c>
      <c r="M104" s="253">
        <f t="shared" si="56"/>
        <v>79</v>
      </c>
      <c r="N104" s="253">
        <f t="shared" si="56"/>
        <v>16</v>
      </c>
      <c r="O104" s="253">
        <f t="shared" si="56"/>
        <v>0</v>
      </c>
      <c r="P104" s="253">
        <f t="shared" si="56"/>
        <v>24</v>
      </c>
      <c r="Q104" s="253">
        <f t="shared" si="56"/>
        <v>119</v>
      </c>
      <c r="R104" s="253">
        <f t="shared" si="56"/>
        <v>4</v>
      </c>
      <c r="S104" s="253">
        <f t="shared" si="56"/>
        <v>0</v>
      </c>
      <c r="T104" s="253">
        <f t="shared" si="56"/>
        <v>84</v>
      </c>
      <c r="U104" s="253">
        <f t="shared" si="56"/>
        <v>88</v>
      </c>
      <c r="V104" s="253">
        <f t="shared" si="56"/>
        <v>0</v>
      </c>
      <c r="W104" s="253">
        <f t="shared" si="56"/>
        <v>0</v>
      </c>
      <c r="X104" s="253">
        <f t="shared" si="56"/>
        <v>1</v>
      </c>
      <c r="Y104" s="253">
        <f t="shared" si="56"/>
        <v>7</v>
      </c>
      <c r="Z104" s="253">
        <f t="shared" si="56"/>
        <v>8</v>
      </c>
      <c r="AA104" s="253">
        <f t="shared" si="56"/>
        <v>174</v>
      </c>
      <c r="AB104" s="253">
        <f t="shared" si="56"/>
        <v>8</v>
      </c>
      <c r="AC104" s="253">
        <f t="shared" si="56"/>
        <v>0</v>
      </c>
      <c r="AD104" s="253">
        <f t="shared" si="56"/>
        <v>130</v>
      </c>
      <c r="AE104" s="253">
        <f t="shared" si="56"/>
        <v>312</v>
      </c>
      <c r="AF104" s="253">
        <f t="shared" si="56"/>
        <v>0</v>
      </c>
      <c r="AG104" s="253">
        <f t="shared" si="56"/>
        <v>0</v>
      </c>
    </row>
    <row r="105" spans="1:33">
      <c r="A105" s="628" t="s">
        <v>8091</v>
      </c>
      <c r="B105" s="276" t="s">
        <v>8092</v>
      </c>
      <c r="C105" s="69">
        <v>29</v>
      </c>
      <c r="D105" s="75">
        <v>0</v>
      </c>
      <c r="E105" s="69">
        <v>13</v>
      </c>
      <c r="F105" s="252">
        <f t="shared" ref="F105:F117" si="57">SUM(C105:E105)</f>
        <v>42</v>
      </c>
      <c r="G105" s="70">
        <v>0</v>
      </c>
      <c r="H105" s="69">
        <v>30</v>
      </c>
      <c r="I105" s="70">
        <v>1</v>
      </c>
      <c r="J105" s="70">
        <v>0</v>
      </c>
      <c r="K105" s="70">
        <v>6</v>
      </c>
      <c r="L105" s="71">
        <f t="shared" ref="L105:L117" si="58">SUM(G105:I105)</f>
        <v>31</v>
      </c>
      <c r="M105" s="75">
        <v>4</v>
      </c>
      <c r="N105" s="75">
        <v>1</v>
      </c>
      <c r="O105" s="75">
        <v>0</v>
      </c>
      <c r="P105" s="75">
        <v>6</v>
      </c>
      <c r="Q105" s="70">
        <f t="shared" ref="Q105:Q110" si="59">SUM(M105:P105)</f>
        <v>11</v>
      </c>
      <c r="R105" s="70">
        <v>0</v>
      </c>
      <c r="S105" s="70">
        <v>0</v>
      </c>
      <c r="T105" s="70">
        <v>9</v>
      </c>
      <c r="U105" s="71">
        <f t="shared" ref="U105:U146" si="60">SUM(R105:T105)</f>
        <v>9</v>
      </c>
      <c r="V105" s="75">
        <v>0</v>
      </c>
      <c r="W105" s="75">
        <v>0</v>
      </c>
      <c r="X105" s="70">
        <v>0</v>
      </c>
      <c r="Y105" s="75">
        <v>0</v>
      </c>
      <c r="Z105" s="76">
        <f>SUM(V105:Y105)</f>
        <v>0</v>
      </c>
      <c r="AA105" s="73">
        <v>41</v>
      </c>
      <c r="AB105" s="73">
        <v>1</v>
      </c>
      <c r="AC105" s="73">
        <v>0</v>
      </c>
      <c r="AD105" s="73">
        <v>0</v>
      </c>
      <c r="AE105" s="83">
        <f t="shared" ref="AE105:AE113" si="61">SUM(AA105:AD105)</f>
        <v>42</v>
      </c>
      <c r="AF105" s="73">
        <v>0</v>
      </c>
      <c r="AG105" s="73">
        <v>0</v>
      </c>
    </row>
    <row r="106" spans="1:33">
      <c r="A106" s="629"/>
      <c r="B106" s="276" t="s">
        <v>8093</v>
      </c>
      <c r="C106" s="75">
        <v>26</v>
      </c>
      <c r="D106" s="75">
        <v>0</v>
      </c>
      <c r="E106" s="75">
        <v>0</v>
      </c>
      <c r="F106" s="252">
        <f t="shared" si="57"/>
        <v>26</v>
      </c>
      <c r="G106" s="70">
        <v>1</v>
      </c>
      <c r="H106" s="70">
        <v>19</v>
      </c>
      <c r="I106" s="70">
        <v>4</v>
      </c>
      <c r="J106" s="70">
        <v>0</v>
      </c>
      <c r="K106" s="70">
        <v>0</v>
      </c>
      <c r="L106" s="71">
        <f t="shared" si="58"/>
        <v>24</v>
      </c>
      <c r="M106" s="75">
        <v>2</v>
      </c>
      <c r="N106" s="75">
        <v>0</v>
      </c>
      <c r="O106" s="75">
        <v>0</v>
      </c>
      <c r="P106" s="75">
        <v>0</v>
      </c>
      <c r="Q106" s="70">
        <f t="shared" si="59"/>
        <v>2</v>
      </c>
      <c r="R106" s="70">
        <v>1</v>
      </c>
      <c r="S106" s="70">
        <v>0</v>
      </c>
      <c r="T106" s="70">
        <v>7</v>
      </c>
      <c r="U106" s="71">
        <f t="shared" si="60"/>
        <v>8</v>
      </c>
      <c r="V106" s="75">
        <v>0</v>
      </c>
      <c r="W106" s="75">
        <v>0</v>
      </c>
      <c r="X106" s="75">
        <v>0</v>
      </c>
      <c r="Y106" s="75">
        <v>0</v>
      </c>
      <c r="Z106" s="76">
        <f t="shared" ref="Z106:Z117" si="62">SUM(V106:Y106)</f>
        <v>0</v>
      </c>
      <c r="AA106" s="73">
        <v>26</v>
      </c>
      <c r="AB106" s="73">
        <v>0</v>
      </c>
      <c r="AC106" s="73">
        <v>0</v>
      </c>
      <c r="AD106" s="73">
        <v>0</v>
      </c>
      <c r="AE106" s="83">
        <f t="shared" si="61"/>
        <v>26</v>
      </c>
      <c r="AF106" s="73">
        <v>0</v>
      </c>
      <c r="AG106" s="73">
        <v>0</v>
      </c>
    </row>
    <row r="107" spans="1:33">
      <c r="A107" s="629"/>
      <c r="B107" s="276" t="s">
        <v>8094</v>
      </c>
      <c r="C107" s="75">
        <v>30</v>
      </c>
      <c r="D107" s="75">
        <v>0</v>
      </c>
      <c r="E107" s="75">
        <v>2</v>
      </c>
      <c r="F107" s="252">
        <f t="shared" si="57"/>
        <v>32</v>
      </c>
      <c r="G107" s="70">
        <v>3</v>
      </c>
      <c r="H107" s="70">
        <v>24</v>
      </c>
      <c r="I107" s="70">
        <v>5</v>
      </c>
      <c r="J107" s="70">
        <v>0</v>
      </c>
      <c r="K107" s="70">
        <v>0</v>
      </c>
      <c r="L107" s="71">
        <f t="shared" si="58"/>
        <v>32</v>
      </c>
      <c r="M107" s="75">
        <v>0</v>
      </c>
      <c r="N107" s="75">
        <v>0</v>
      </c>
      <c r="O107" s="75">
        <v>0</v>
      </c>
      <c r="P107" s="75">
        <v>0</v>
      </c>
      <c r="Q107" s="70">
        <f t="shared" si="59"/>
        <v>0</v>
      </c>
      <c r="R107" s="70">
        <v>3</v>
      </c>
      <c r="S107" s="70">
        <v>0</v>
      </c>
      <c r="T107" s="70">
        <v>13</v>
      </c>
      <c r="U107" s="71">
        <f t="shared" si="60"/>
        <v>16</v>
      </c>
      <c r="V107" s="75">
        <v>0</v>
      </c>
      <c r="W107" s="75">
        <v>0</v>
      </c>
      <c r="X107" s="70">
        <v>0</v>
      </c>
      <c r="Y107" s="75">
        <v>0</v>
      </c>
      <c r="Z107" s="76">
        <f t="shared" si="62"/>
        <v>0</v>
      </c>
      <c r="AA107" s="73">
        <v>23</v>
      </c>
      <c r="AB107" s="73">
        <v>1</v>
      </c>
      <c r="AC107" s="73">
        <v>0</v>
      </c>
      <c r="AD107" s="73">
        <v>8</v>
      </c>
      <c r="AE107" s="83">
        <f t="shared" si="61"/>
        <v>32</v>
      </c>
      <c r="AF107" s="73">
        <v>0</v>
      </c>
      <c r="AG107" s="73">
        <v>0</v>
      </c>
    </row>
    <row r="108" spans="1:33">
      <c r="A108" s="629"/>
      <c r="B108" s="276" t="s">
        <v>8095</v>
      </c>
      <c r="C108" s="75">
        <v>44</v>
      </c>
      <c r="D108" s="75">
        <v>10</v>
      </c>
      <c r="E108" s="75">
        <v>1</v>
      </c>
      <c r="F108" s="252">
        <f t="shared" si="57"/>
        <v>55</v>
      </c>
      <c r="G108" s="70">
        <v>2</v>
      </c>
      <c r="H108" s="70">
        <v>39</v>
      </c>
      <c r="I108" s="70">
        <v>3</v>
      </c>
      <c r="J108" s="70">
        <v>0</v>
      </c>
      <c r="K108" s="70">
        <v>0</v>
      </c>
      <c r="L108" s="71">
        <f t="shared" si="58"/>
        <v>44</v>
      </c>
      <c r="M108" s="75">
        <v>5</v>
      </c>
      <c r="N108" s="75">
        <v>2</v>
      </c>
      <c r="O108" s="75">
        <v>0</v>
      </c>
      <c r="P108" s="75">
        <v>0</v>
      </c>
      <c r="Q108" s="70">
        <f t="shared" si="59"/>
        <v>7</v>
      </c>
      <c r="R108" s="70">
        <v>1</v>
      </c>
      <c r="S108" s="70">
        <v>1</v>
      </c>
      <c r="T108" s="70">
        <v>9</v>
      </c>
      <c r="U108" s="71">
        <f t="shared" si="60"/>
        <v>11</v>
      </c>
      <c r="V108" s="75">
        <v>0</v>
      </c>
      <c r="W108" s="75">
        <v>0</v>
      </c>
      <c r="X108" s="75">
        <v>0</v>
      </c>
      <c r="Y108" s="75">
        <v>0</v>
      </c>
      <c r="Z108" s="76">
        <f t="shared" si="62"/>
        <v>0</v>
      </c>
      <c r="AA108" s="73">
        <v>48</v>
      </c>
      <c r="AB108" s="73">
        <v>0</v>
      </c>
      <c r="AC108" s="73">
        <v>0</v>
      </c>
      <c r="AD108" s="73">
        <v>5</v>
      </c>
      <c r="AE108" s="83">
        <f t="shared" si="61"/>
        <v>53</v>
      </c>
      <c r="AF108" s="73">
        <v>0</v>
      </c>
      <c r="AG108" s="73">
        <v>0</v>
      </c>
    </row>
    <row r="109" spans="1:33">
      <c r="A109" s="629"/>
      <c r="B109" s="276" t="s">
        <v>8096</v>
      </c>
      <c r="C109" s="75">
        <v>79</v>
      </c>
      <c r="D109" s="75">
        <v>2</v>
      </c>
      <c r="E109" s="75">
        <v>10</v>
      </c>
      <c r="F109" s="252">
        <f t="shared" si="57"/>
        <v>91</v>
      </c>
      <c r="G109" s="70">
        <v>7</v>
      </c>
      <c r="H109" s="70">
        <v>47</v>
      </c>
      <c r="I109" s="70">
        <v>4</v>
      </c>
      <c r="J109" s="70">
        <v>0</v>
      </c>
      <c r="K109" s="70">
        <v>1</v>
      </c>
      <c r="L109" s="71">
        <f t="shared" si="58"/>
        <v>58</v>
      </c>
      <c r="M109" s="70">
        <v>31</v>
      </c>
      <c r="N109" s="70">
        <v>1</v>
      </c>
      <c r="O109" s="70">
        <v>0</v>
      </c>
      <c r="P109" s="70">
        <v>0</v>
      </c>
      <c r="Q109" s="70">
        <f t="shared" si="59"/>
        <v>32</v>
      </c>
      <c r="R109" s="70">
        <v>6</v>
      </c>
      <c r="S109" s="70">
        <v>0</v>
      </c>
      <c r="T109" s="70">
        <v>25</v>
      </c>
      <c r="U109" s="71">
        <f t="shared" si="60"/>
        <v>31</v>
      </c>
      <c r="V109" s="75">
        <v>0</v>
      </c>
      <c r="W109" s="75">
        <v>0</v>
      </c>
      <c r="X109" s="75">
        <v>0</v>
      </c>
      <c r="Y109" s="75">
        <v>0</v>
      </c>
      <c r="Z109" s="76">
        <f t="shared" si="62"/>
        <v>0</v>
      </c>
      <c r="AA109" s="73">
        <v>86</v>
      </c>
      <c r="AB109" s="73">
        <v>0</v>
      </c>
      <c r="AC109" s="73">
        <v>0</v>
      </c>
      <c r="AD109" s="73">
        <v>5</v>
      </c>
      <c r="AE109" s="83">
        <f t="shared" si="61"/>
        <v>91</v>
      </c>
      <c r="AF109" s="73">
        <v>0</v>
      </c>
      <c r="AG109" s="73">
        <v>0</v>
      </c>
    </row>
    <row r="110" spans="1:33">
      <c r="A110" s="629"/>
      <c r="B110" s="276" t="s">
        <v>8097</v>
      </c>
      <c r="C110" s="75">
        <v>18</v>
      </c>
      <c r="D110" s="75">
        <v>0</v>
      </c>
      <c r="E110" s="75">
        <v>5</v>
      </c>
      <c r="F110" s="252">
        <f t="shared" si="57"/>
        <v>23</v>
      </c>
      <c r="G110" s="70">
        <v>1</v>
      </c>
      <c r="H110" s="70">
        <v>19</v>
      </c>
      <c r="I110" s="70">
        <v>3</v>
      </c>
      <c r="J110" s="70">
        <v>0</v>
      </c>
      <c r="K110" s="70">
        <v>0</v>
      </c>
      <c r="L110" s="71">
        <f t="shared" si="58"/>
        <v>23</v>
      </c>
      <c r="M110" s="70">
        <v>0</v>
      </c>
      <c r="N110" s="70">
        <v>0</v>
      </c>
      <c r="O110" s="70">
        <v>0</v>
      </c>
      <c r="P110" s="70">
        <v>0</v>
      </c>
      <c r="Q110" s="70">
        <f t="shared" si="59"/>
        <v>0</v>
      </c>
      <c r="R110" s="70">
        <v>0</v>
      </c>
      <c r="S110" s="70">
        <v>0</v>
      </c>
      <c r="T110" s="70">
        <v>10</v>
      </c>
      <c r="U110" s="71">
        <f t="shared" si="60"/>
        <v>10</v>
      </c>
      <c r="V110" s="75">
        <v>0</v>
      </c>
      <c r="W110" s="75">
        <v>0</v>
      </c>
      <c r="X110" s="75">
        <v>0</v>
      </c>
      <c r="Y110" s="75">
        <v>1</v>
      </c>
      <c r="Z110" s="76">
        <f t="shared" si="62"/>
        <v>1</v>
      </c>
      <c r="AA110" s="73">
        <v>23</v>
      </c>
      <c r="AB110" s="73">
        <v>0</v>
      </c>
      <c r="AC110" s="73">
        <v>0</v>
      </c>
      <c r="AD110" s="73">
        <v>0</v>
      </c>
      <c r="AE110" s="83">
        <f t="shared" si="61"/>
        <v>23</v>
      </c>
      <c r="AF110" s="73">
        <v>0</v>
      </c>
      <c r="AG110" s="73">
        <v>0</v>
      </c>
    </row>
    <row r="111" spans="1:33">
      <c r="A111" s="629"/>
      <c r="B111" s="276" t="s">
        <v>8098</v>
      </c>
      <c r="C111" s="75">
        <v>25</v>
      </c>
      <c r="D111" s="75">
        <v>0</v>
      </c>
      <c r="E111" s="75">
        <v>4</v>
      </c>
      <c r="F111" s="252">
        <f t="shared" si="57"/>
        <v>29</v>
      </c>
      <c r="G111" s="70">
        <v>3</v>
      </c>
      <c r="H111" s="70">
        <v>22</v>
      </c>
      <c r="I111" s="70">
        <v>4</v>
      </c>
      <c r="J111" s="70">
        <v>0</v>
      </c>
      <c r="K111" s="70">
        <v>0</v>
      </c>
      <c r="L111" s="71">
        <f t="shared" si="58"/>
        <v>29</v>
      </c>
      <c r="M111" s="70">
        <v>0</v>
      </c>
      <c r="N111" s="70">
        <v>1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9</v>
      </c>
      <c r="U111" s="71">
        <f t="shared" si="60"/>
        <v>9</v>
      </c>
      <c r="V111" s="75">
        <v>0</v>
      </c>
      <c r="W111" s="75">
        <v>0</v>
      </c>
      <c r="X111" s="75">
        <v>0</v>
      </c>
      <c r="Y111" s="75">
        <v>1</v>
      </c>
      <c r="Z111" s="76">
        <f t="shared" si="62"/>
        <v>1</v>
      </c>
      <c r="AA111" s="73">
        <v>28</v>
      </c>
      <c r="AB111" s="73">
        <v>0</v>
      </c>
      <c r="AC111" s="73">
        <v>0</v>
      </c>
      <c r="AD111" s="73">
        <v>1</v>
      </c>
      <c r="AE111" s="83">
        <f t="shared" si="61"/>
        <v>29</v>
      </c>
      <c r="AF111" s="73">
        <v>0</v>
      </c>
      <c r="AG111" s="73">
        <v>0</v>
      </c>
    </row>
    <row r="112" spans="1:33">
      <c r="A112" s="629"/>
      <c r="B112" s="276" t="s">
        <v>8099</v>
      </c>
      <c r="C112" s="75">
        <v>5</v>
      </c>
      <c r="D112" s="75">
        <v>0</v>
      </c>
      <c r="E112" s="75">
        <v>0</v>
      </c>
      <c r="F112" s="252">
        <f t="shared" si="57"/>
        <v>5</v>
      </c>
      <c r="G112" s="70">
        <v>1</v>
      </c>
      <c r="H112" s="70">
        <v>3</v>
      </c>
      <c r="I112" s="70">
        <v>0</v>
      </c>
      <c r="J112" s="70">
        <v>0</v>
      </c>
      <c r="K112" s="70">
        <v>0</v>
      </c>
      <c r="L112" s="71">
        <f t="shared" si="58"/>
        <v>4</v>
      </c>
      <c r="M112" s="70">
        <v>0</v>
      </c>
      <c r="N112" s="70">
        <v>1</v>
      </c>
      <c r="O112" s="70">
        <v>0</v>
      </c>
      <c r="P112" s="70">
        <v>0</v>
      </c>
      <c r="Q112" s="261">
        <v>0</v>
      </c>
      <c r="R112" s="70">
        <v>0</v>
      </c>
      <c r="S112" s="70">
        <v>0</v>
      </c>
      <c r="T112" s="70">
        <v>1</v>
      </c>
      <c r="U112" s="71">
        <f t="shared" si="60"/>
        <v>1</v>
      </c>
      <c r="V112" s="75">
        <v>1</v>
      </c>
      <c r="W112" s="75">
        <v>0</v>
      </c>
      <c r="X112" s="75">
        <v>2</v>
      </c>
      <c r="Y112" s="75">
        <v>0</v>
      </c>
      <c r="Z112" s="76">
        <f t="shared" si="62"/>
        <v>3</v>
      </c>
      <c r="AA112" s="73">
        <v>1</v>
      </c>
      <c r="AB112" s="73">
        <v>0</v>
      </c>
      <c r="AC112" s="73">
        <v>0</v>
      </c>
      <c r="AD112" s="73">
        <v>4</v>
      </c>
      <c r="AE112" s="83">
        <f t="shared" si="61"/>
        <v>5</v>
      </c>
      <c r="AF112" s="73">
        <v>0</v>
      </c>
      <c r="AG112" s="73">
        <v>0</v>
      </c>
    </row>
    <row r="113" spans="1:33">
      <c r="A113" s="629"/>
      <c r="B113" s="276" t="s">
        <v>8100</v>
      </c>
      <c r="C113" s="75">
        <v>41</v>
      </c>
      <c r="D113" s="75">
        <v>2</v>
      </c>
      <c r="E113" s="75">
        <v>2</v>
      </c>
      <c r="F113" s="252">
        <f t="shared" si="57"/>
        <v>45</v>
      </c>
      <c r="G113" s="70">
        <v>1</v>
      </c>
      <c r="H113" s="70">
        <v>35</v>
      </c>
      <c r="I113" s="70">
        <v>0</v>
      </c>
      <c r="J113" s="70">
        <v>0</v>
      </c>
      <c r="K113" s="70">
        <v>2</v>
      </c>
      <c r="L113" s="71">
        <f t="shared" si="58"/>
        <v>36</v>
      </c>
      <c r="M113" s="70">
        <v>11</v>
      </c>
      <c r="N113" s="70">
        <v>1</v>
      </c>
      <c r="O113" s="70">
        <v>0</v>
      </c>
      <c r="P113" s="70">
        <v>0</v>
      </c>
      <c r="Q113" s="261">
        <v>0</v>
      </c>
      <c r="R113" s="70">
        <v>0</v>
      </c>
      <c r="S113" s="70">
        <v>1</v>
      </c>
      <c r="T113" s="70">
        <v>43</v>
      </c>
      <c r="U113" s="71">
        <f t="shared" si="60"/>
        <v>44</v>
      </c>
      <c r="V113" s="75">
        <v>0</v>
      </c>
      <c r="W113" s="75">
        <v>1</v>
      </c>
      <c r="X113" s="75">
        <v>0</v>
      </c>
      <c r="Y113" s="75">
        <v>0</v>
      </c>
      <c r="Z113" s="76">
        <f t="shared" si="62"/>
        <v>1</v>
      </c>
      <c r="AA113" s="73">
        <v>4</v>
      </c>
      <c r="AB113" s="73">
        <v>0</v>
      </c>
      <c r="AC113" s="73">
        <v>0</v>
      </c>
      <c r="AD113" s="73">
        <v>42</v>
      </c>
      <c r="AE113" s="83">
        <f t="shared" si="61"/>
        <v>46</v>
      </c>
      <c r="AF113" s="73">
        <v>0</v>
      </c>
      <c r="AG113" s="73">
        <v>0</v>
      </c>
    </row>
    <row r="114" spans="1:33">
      <c r="A114" s="629"/>
      <c r="B114" s="75" t="s">
        <v>8027</v>
      </c>
      <c r="C114" s="75">
        <v>0</v>
      </c>
      <c r="D114" s="75">
        <v>0</v>
      </c>
      <c r="E114" s="75">
        <v>0</v>
      </c>
      <c r="F114" s="252">
        <f t="shared" si="57"/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1">
        <f t="shared" si="58"/>
        <v>0</v>
      </c>
      <c r="M114" s="70">
        <v>0</v>
      </c>
      <c r="N114" s="70">
        <v>0</v>
      </c>
      <c r="O114" s="70">
        <v>0</v>
      </c>
      <c r="P114" s="70">
        <v>0</v>
      </c>
      <c r="Q114" s="261">
        <v>0</v>
      </c>
      <c r="R114" s="70">
        <v>0</v>
      </c>
      <c r="S114" s="70">
        <v>0</v>
      </c>
      <c r="T114" s="70">
        <v>0</v>
      </c>
      <c r="U114" s="71">
        <f t="shared" si="60"/>
        <v>0</v>
      </c>
      <c r="V114" s="75">
        <v>0</v>
      </c>
      <c r="W114" s="75">
        <v>0</v>
      </c>
      <c r="X114" s="75">
        <v>0</v>
      </c>
      <c r="Y114" s="75">
        <v>0</v>
      </c>
      <c r="Z114" s="76">
        <f t="shared" si="62"/>
        <v>0</v>
      </c>
      <c r="AA114" s="73">
        <v>0</v>
      </c>
      <c r="AB114" s="73">
        <v>0</v>
      </c>
      <c r="AC114" s="73">
        <v>0</v>
      </c>
      <c r="AD114" s="73">
        <v>0</v>
      </c>
      <c r="AE114" s="83"/>
      <c r="AF114" s="73">
        <v>0</v>
      </c>
      <c r="AG114" s="73">
        <v>0</v>
      </c>
    </row>
    <row r="115" spans="1:33">
      <c r="A115" s="629"/>
      <c r="B115" s="75" t="s">
        <v>8028</v>
      </c>
      <c r="C115" s="75">
        <v>0</v>
      </c>
      <c r="D115" s="75">
        <v>0</v>
      </c>
      <c r="E115" s="75">
        <v>12</v>
      </c>
      <c r="F115" s="252">
        <f t="shared" si="57"/>
        <v>12</v>
      </c>
      <c r="G115" s="70">
        <v>1</v>
      </c>
      <c r="H115" s="70">
        <v>11</v>
      </c>
      <c r="I115" s="70">
        <v>0</v>
      </c>
      <c r="J115" s="70">
        <v>0</v>
      </c>
      <c r="K115" s="70">
        <v>0</v>
      </c>
      <c r="L115" s="71">
        <f t="shared" si="58"/>
        <v>12</v>
      </c>
      <c r="M115" s="70">
        <v>0</v>
      </c>
      <c r="N115" s="70">
        <v>0</v>
      </c>
      <c r="O115" s="70">
        <v>0</v>
      </c>
      <c r="P115" s="70">
        <v>0</v>
      </c>
      <c r="Q115" s="261">
        <v>0</v>
      </c>
      <c r="R115" s="70">
        <v>1</v>
      </c>
      <c r="S115" s="70">
        <v>0</v>
      </c>
      <c r="T115" s="70">
        <v>0</v>
      </c>
      <c r="U115" s="71">
        <f t="shared" si="60"/>
        <v>1</v>
      </c>
      <c r="V115" s="75">
        <v>0</v>
      </c>
      <c r="W115" s="75">
        <v>0</v>
      </c>
      <c r="X115" s="75">
        <v>0</v>
      </c>
      <c r="Y115" s="75">
        <v>0</v>
      </c>
      <c r="Z115" s="76">
        <f t="shared" si="62"/>
        <v>0</v>
      </c>
      <c r="AA115" s="73">
        <v>0</v>
      </c>
      <c r="AB115" s="73">
        <v>0</v>
      </c>
      <c r="AC115" s="73">
        <v>0</v>
      </c>
      <c r="AD115" s="73">
        <v>4</v>
      </c>
      <c r="AE115" s="83"/>
      <c r="AF115" s="73">
        <v>0</v>
      </c>
      <c r="AG115" s="73">
        <v>0</v>
      </c>
    </row>
    <row r="116" spans="1:33">
      <c r="A116" s="629"/>
      <c r="B116" s="75" t="s">
        <v>8036</v>
      </c>
      <c r="C116" s="75">
        <v>0</v>
      </c>
      <c r="D116" s="75">
        <v>0</v>
      </c>
      <c r="E116" s="75">
        <v>26</v>
      </c>
      <c r="F116" s="252">
        <f t="shared" si="57"/>
        <v>26</v>
      </c>
      <c r="G116" s="70">
        <v>0</v>
      </c>
      <c r="H116" s="70">
        <v>25</v>
      </c>
      <c r="I116" s="70">
        <v>0</v>
      </c>
      <c r="J116" s="70">
        <v>1</v>
      </c>
      <c r="K116" s="70">
        <v>0</v>
      </c>
      <c r="L116" s="71">
        <f t="shared" si="58"/>
        <v>25</v>
      </c>
      <c r="M116" s="70">
        <v>0</v>
      </c>
      <c r="N116" s="70">
        <v>0</v>
      </c>
      <c r="O116" s="70">
        <v>0</v>
      </c>
      <c r="P116" s="70">
        <v>0</v>
      </c>
      <c r="Q116" s="261">
        <v>0</v>
      </c>
      <c r="R116" s="70">
        <v>1</v>
      </c>
      <c r="S116" s="70">
        <v>0</v>
      </c>
      <c r="T116" s="70">
        <v>0</v>
      </c>
      <c r="U116" s="71">
        <f t="shared" si="60"/>
        <v>1</v>
      </c>
      <c r="V116" s="75">
        <v>0</v>
      </c>
      <c r="W116" s="75">
        <v>0</v>
      </c>
      <c r="X116" s="75">
        <v>0</v>
      </c>
      <c r="Y116" s="75">
        <v>0</v>
      </c>
      <c r="Z116" s="76">
        <f t="shared" si="62"/>
        <v>0</v>
      </c>
      <c r="AA116" s="73">
        <v>0</v>
      </c>
      <c r="AB116" s="73">
        <v>0</v>
      </c>
      <c r="AC116" s="73">
        <v>0</v>
      </c>
      <c r="AD116" s="73">
        <v>26</v>
      </c>
      <c r="AE116" s="83"/>
      <c r="AF116" s="73">
        <v>0</v>
      </c>
      <c r="AG116" s="73">
        <v>0</v>
      </c>
    </row>
    <row r="117" spans="1:33">
      <c r="A117" s="487"/>
      <c r="B117" s="75" t="s">
        <v>8101</v>
      </c>
      <c r="C117" s="75">
        <v>0</v>
      </c>
      <c r="D117" s="75">
        <v>0</v>
      </c>
      <c r="E117" s="75">
        <v>24</v>
      </c>
      <c r="F117" s="252">
        <f t="shared" si="57"/>
        <v>24</v>
      </c>
      <c r="G117" s="70">
        <v>0</v>
      </c>
      <c r="H117" s="70">
        <v>22</v>
      </c>
      <c r="I117" s="70">
        <v>0</v>
      </c>
      <c r="J117" s="70">
        <v>2</v>
      </c>
      <c r="K117" s="70">
        <v>0</v>
      </c>
      <c r="L117" s="71">
        <f t="shared" si="58"/>
        <v>22</v>
      </c>
      <c r="M117" s="70">
        <v>0</v>
      </c>
      <c r="N117" s="70">
        <v>0</v>
      </c>
      <c r="O117" s="70">
        <v>0</v>
      </c>
      <c r="P117" s="70">
        <v>0</v>
      </c>
      <c r="Q117" s="70">
        <f t="shared" ref="Q117:Q146" si="63">SUM(M117:P117)</f>
        <v>0</v>
      </c>
      <c r="R117" s="70">
        <v>2</v>
      </c>
      <c r="S117" s="70">
        <v>0</v>
      </c>
      <c r="T117" s="70">
        <v>0</v>
      </c>
      <c r="U117" s="71">
        <f t="shared" si="60"/>
        <v>2</v>
      </c>
      <c r="V117" s="75">
        <v>0</v>
      </c>
      <c r="W117" s="75">
        <v>0</v>
      </c>
      <c r="X117" s="75">
        <v>0</v>
      </c>
      <c r="Y117" s="75">
        <v>0</v>
      </c>
      <c r="Z117" s="76">
        <f t="shared" si="62"/>
        <v>0</v>
      </c>
      <c r="AA117" s="73">
        <v>0</v>
      </c>
      <c r="AB117" s="73">
        <v>0</v>
      </c>
      <c r="AC117" s="73">
        <v>0</v>
      </c>
      <c r="AD117" s="73">
        <v>24</v>
      </c>
      <c r="AE117" s="83">
        <f t="shared" ref="AE117:AE141" si="64">SUM(AA117:AD117)</f>
        <v>24</v>
      </c>
      <c r="AF117" s="73">
        <v>0</v>
      </c>
      <c r="AG117" s="73">
        <v>0</v>
      </c>
    </row>
    <row r="118" spans="1:33">
      <c r="A118" s="269"/>
      <c r="B118" s="269"/>
      <c r="C118" s="275">
        <f t="shared" ref="C118:N118" si="65">SUM(C105:C117)</f>
        <v>297</v>
      </c>
      <c r="D118" s="275">
        <f t="shared" si="65"/>
        <v>14</v>
      </c>
      <c r="E118" s="275">
        <f t="shared" si="65"/>
        <v>99</v>
      </c>
      <c r="F118" s="275">
        <f t="shared" si="65"/>
        <v>410</v>
      </c>
      <c r="G118" s="275">
        <f t="shared" si="65"/>
        <v>20</v>
      </c>
      <c r="H118" s="275">
        <f t="shared" si="65"/>
        <v>296</v>
      </c>
      <c r="I118" s="275">
        <f t="shared" si="65"/>
        <v>24</v>
      </c>
      <c r="J118" s="275">
        <f t="shared" si="65"/>
        <v>3</v>
      </c>
      <c r="K118" s="275">
        <f t="shared" si="65"/>
        <v>9</v>
      </c>
      <c r="L118" s="275">
        <f t="shared" si="65"/>
        <v>340</v>
      </c>
      <c r="M118" s="275">
        <f t="shared" si="65"/>
        <v>53</v>
      </c>
      <c r="N118" s="275">
        <f t="shared" si="65"/>
        <v>7</v>
      </c>
      <c r="O118" s="433">
        <f t="shared" ref="O118:U118" si="66">SUM(O105:O117)</f>
        <v>0</v>
      </c>
      <c r="P118" s="433">
        <f t="shared" si="66"/>
        <v>6</v>
      </c>
      <c r="Q118" s="435">
        <f t="shared" si="66"/>
        <v>52</v>
      </c>
      <c r="R118" s="433">
        <f t="shared" si="66"/>
        <v>15</v>
      </c>
      <c r="S118" s="433">
        <f t="shared" si="66"/>
        <v>2</v>
      </c>
      <c r="T118" s="433">
        <f t="shared" si="66"/>
        <v>126</v>
      </c>
      <c r="U118" s="434">
        <f t="shared" si="66"/>
        <v>143</v>
      </c>
      <c r="V118" s="433"/>
      <c r="W118" s="433"/>
      <c r="X118" s="433"/>
      <c r="Y118" s="433"/>
      <c r="Z118" s="433"/>
      <c r="AA118" s="266"/>
      <c r="AB118" s="266"/>
      <c r="AC118" s="266"/>
      <c r="AD118" s="266"/>
      <c r="AE118" s="266">
        <f t="shared" si="64"/>
        <v>0</v>
      </c>
      <c r="AF118" s="266">
        <f t="shared" ref="AF118" si="67">SUM(AB118:AE118)</f>
        <v>0</v>
      </c>
      <c r="AG118" s="266">
        <f t="shared" ref="AG118" si="68">SUM(AC118:AF118)</f>
        <v>0</v>
      </c>
    </row>
    <row r="119" spans="1:33">
      <c r="A119" s="628" t="s">
        <v>8102</v>
      </c>
      <c r="B119" s="76" t="s">
        <v>8453</v>
      </c>
      <c r="C119" s="76">
        <v>10</v>
      </c>
      <c r="D119" s="76">
        <v>1</v>
      </c>
      <c r="E119" s="76">
        <v>0</v>
      </c>
      <c r="F119" s="252">
        <f>SUM(C119:E119)</f>
        <v>11</v>
      </c>
      <c r="G119" s="277">
        <v>1</v>
      </c>
      <c r="H119" s="277">
        <v>8</v>
      </c>
      <c r="I119" s="277">
        <v>0</v>
      </c>
      <c r="J119" s="277">
        <v>0</v>
      </c>
      <c r="K119" s="277">
        <v>1</v>
      </c>
      <c r="L119" s="71">
        <f t="shared" ref="L119:L131" si="69">SUM(G119:K119)</f>
        <v>10</v>
      </c>
      <c r="M119" s="278">
        <v>0</v>
      </c>
      <c r="N119" s="278">
        <v>0</v>
      </c>
      <c r="O119" s="278">
        <v>1</v>
      </c>
      <c r="P119" s="278">
        <v>0</v>
      </c>
      <c r="Q119" s="70">
        <f>SUM(M119:P119)</f>
        <v>1</v>
      </c>
      <c r="R119" s="277">
        <v>1</v>
      </c>
      <c r="S119" s="277">
        <v>0</v>
      </c>
      <c r="T119" s="277">
        <v>2</v>
      </c>
      <c r="U119" s="71">
        <f t="shared" si="60"/>
        <v>3</v>
      </c>
      <c r="V119" s="278">
        <v>0</v>
      </c>
      <c r="W119" s="278">
        <v>0</v>
      </c>
      <c r="X119" s="278">
        <v>0</v>
      </c>
      <c r="Y119" s="278">
        <v>0</v>
      </c>
      <c r="Z119" s="278">
        <f>SUM(V119:Y119)</f>
        <v>0</v>
      </c>
      <c r="AA119" s="83">
        <v>10</v>
      </c>
      <c r="AB119" s="83">
        <v>1</v>
      </c>
      <c r="AC119" s="83">
        <v>0</v>
      </c>
      <c r="AD119" s="83">
        <v>0</v>
      </c>
      <c r="AE119" s="83">
        <f t="shared" si="64"/>
        <v>11</v>
      </c>
      <c r="AF119" s="83">
        <v>0</v>
      </c>
      <c r="AG119" s="83">
        <v>1</v>
      </c>
    </row>
    <row r="120" spans="1:33">
      <c r="A120" s="629"/>
      <c r="B120" s="76" t="s">
        <v>8454</v>
      </c>
      <c r="C120" s="75">
        <v>27</v>
      </c>
      <c r="D120" s="75">
        <v>0</v>
      </c>
      <c r="E120" s="75">
        <v>8</v>
      </c>
      <c r="F120" s="252">
        <f t="shared" ref="F120:F131" si="70">SUM(C120:E120)</f>
        <v>35</v>
      </c>
      <c r="G120" s="277">
        <v>1</v>
      </c>
      <c r="H120" s="277">
        <v>22</v>
      </c>
      <c r="I120" s="277">
        <v>0</v>
      </c>
      <c r="J120" s="277">
        <v>0</v>
      </c>
      <c r="K120" s="277">
        <v>0</v>
      </c>
      <c r="L120" s="71">
        <f t="shared" si="69"/>
        <v>23</v>
      </c>
      <c r="M120" s="278">
        <v>9</v>
      </c>
      <c r="N120" s="278">
        <v>1</v>
      </c>
      <c r="O120" s="278">
        <v>0</v>
      </c>
      <c r="P120" s="278">
        <v>2</v>
      </c>
      <c r="Q120" s="70">
        <f t="shared" si="63"/>
        <v>12</v>
      </c>
      <c r="R120" s="277">
        <v>1</v>
      </c>
      <c r="S120" s="277">
        <v>0</v>
      </c>
      <c r="T120" s="277">
        <v>1</v>
      </c>
      <c r="U120" s="71">
        <f t="shared" si="60"/>
        <v>2</v>
      </c>
      <c r="V120" s="278">
        <v>0</v>
      </c>
      <c r="W120" s="278">
        <v>0</v>
      </c>
      <c r="X120" s="278">
        <v>0</v>
      </c>
      <c r="Y120" s="278">
        <v>1</v>
      </c>
      <c r="Z120" s="278">
        <f t="shared" ref="Z120:Z131" si="71">SUM(V120:Y120)</f>
        <v>1</v>
      </c>
      <c r="AA120" s="83">
        <v>35</v>
      </c>
      <c r="AB120" s="83">
        <v>0</v>
      </c>
      <c r="AC120" s="83">
        <v>0</v>
      </c>
      <c r="AD120" s="83">
        <v>0</v>
      </c>
      <c r="AE120" s="83">
        <f t="shared" si="64"/>
        <v>35</v>
      </c>
      <c r="AF120" s="172">
        <v>0</v>
      </c>
      <c r="AG120" s="83">
        <v>0</v>
      </c>
    </row>
    <row r="121" spans="1:33">
      <c r="A121" s="629"/>
      <c r="B121" s="75" t="s">
        <v>8455</v>
      </c>
      <c r="C121" s="75">
        <v>32</v>
      </c>
      <c r="D121" s="75">
        <v>2</v>
      </c>
      <c r="E121" s="75">
        <v>1</v>
      </c>
      <c r="F121" s="252">
        <f t="shared" si="70"/>
        <v>35</v>
      </c>
      <c r="G121" s="277">
        <v>2</v>
      </c>
      <c r="H121" s="277">
        <v>19</v>
      </c>
      <c r="I121" s="277">
        <v>0</v>
      </c>
      <c r="J121" s="277">
        <v>0</v>
      </c>
      <c r="K121" s="277">
        <v>0</v>
      </c>
      <c r="L121" s="71">
        <f t="shared" si="69"/>
        <v>21</v>
      </c>
      <c r="M121" s="278">
        <v>5</v>
      </c>
      <c r="N121" s="278">
        <v>3</v>
      </c>
      <c r="O121" s="278">
        <v>0</v>
      </c>
      <c r="P121" s="278">
        <v>6</v>
      </c>
      <c r="Q121" s="70">
        <f t="shared" si="63"/>
        <v>14</v>
      </c>
      <c r="R121" s="277">
        <v>1</v>
      </c>
      <c r="S121" s="277">
        <v>0</v>
      </c>
      <c r="T121" s="277">
        <v>7</v>
      </c>
      <c r="U121" s="71">
        <f t="shared" si="60"/>
        <v>8</v>
      </c>
      <c r="V121" s="278">
        <v>0</v>
      </c>
      <c r="W121" s="278">
        <v>0</v>
      </c>
      <c r="X121" s="278">
        <v>0</v>
      </c>
      <c r="Y121" s="278">
        <v>3</v>
      </c>
      <c r="Z121" s="278">
        <f t="shared" si="71"/>
        <v>3</v>
      </c>
      <c r="AA121" s="83">
        <v>34</v>
      </c>
      <c r="AB121" s="83">
        <v>0</v>
      </c>
      <c r="AC121" s="83">
        <v>1</v>
      </c>
      <c r="AD121" s="83">
        <v>0</v>
      </c>
      <c r="AE121" s="83">
        <f t="shared" si="64"/>
        <v>35</v>
      </c>
      <c r="AF121" s="172">
        <v>0</v>
      </c>
      <c r="AG121" s="172">
        <v>0</v>
      </c>
    </row>
    <row r="122" spans="1:33">
      <c r="A122" s="629"/>
      <c r="B122" s="75" t="s">
        <v>8456</v>
      </c>
      <c r="C122" s="75">
        <v>25</v>
      </c>
      <c r="D122" s="75">
        <v>0</v>
      </c>
      <c r="E122" s="75">
        <v>6</v>
      </c>
      <c r="F122" s="252">
        <f t="shared" si="70"/>
        <v>31</v>
      </c>
      <c r="G122" s="277">
        <v>0</v>
      </c>
      <c r="H122" s="277">
        <v>21</v>
      </c>
      <c r="I122" s="277">
        <v>0</v>
      </c>
      <c r="J122" s="277">
        <v>0</v>
      </c>
      <c r="K122" s="277">
        <v>0</v>
      </c>
      <c r="L122" s="71">
        <f t="shared" si="69"/>
        <v>21</v>
      </c>
      <c r="M122" s="278">
        <v>5</v>
      </c>
      <c r="N122" s="278">
        <v>0</v>
      </c>
      <c r="O122" s="278">
        <v>0</v>
      </c>
      <c r="P122" s="278">
        <v>5</v>
      </c>
      <c r="Q122" s="70">
        <f t="shared" si="63"/>
        <v>10</v>
      </c>
      <c r="R122" s="277">
        <v>0</v>
      </c>
      <c r="S122" s="277">
        <v>0</v>
      </c>
      <c r="T122" s="277">
        <v>6</v>
      </c>
      <c r="U122" s="71">
        <f t="shared" si="60"/>
        <v>6</v>
      </c>
      <c r="V122" s="278">
        <v>0</v>
      </c>
      <c r="W122" s="278">
        <v>0</v>
      </c>
      <c r="X122" s="278">
        <v>0</v>
      </c>
      <c r="Y122" s="278">
        <v>1</v>
      </c>
      <c r="Z122" s="278">
        <f t="shared" si="71"/>
        <v>1</v>
      </c>
      <c r="AA122" s="83">
        <v>23</v>
      </c>
      <c r="AB122" s="83">
        <v>1</v>
      </c>
      <c r="AC122" s="83">
        <v>0</v>
      </c>
      <c r="AD122" s="83">
        <v>7</v>
      </c>
      <c r="AE122" s="83">
        <f t="shared" si="64"/>
        <v>31</v>
      </c>
      <c r="AF122" s="172">
        <v>0</v>
      </c>
      <c r="AG122" s="172">
        <v>0</v>
      </c>
    </row>
    <row r="123" spans="1:33">
      <c r="A123" s="629"/>
      <c r="B123" s="75" t="s">
        <v>8457</v>
      </c>
      <c r="C123" s="75">
        <v>23</v>
      </c>
      <c r="D123" s="75">
        <v>0</v>
      </c>
      <c r="E123" s="75">
        <v>6</v>
      </c>
      <c r="F123" s="252">
        <f t="shared" si="70"/>
        <v>29</v>
      </c>
      <c r="G123" s="277">
        <v>3</v>
      </c>
      <c r="H123" s="277">
        <v>22</v>
      </c>
      <c r="I123" s="277">
        <v>0</v>
      </c>
      <c r="J123" s="277">
        <v>0</v>
      </c>
      <c r="K123" s="277">
        <v>0</v>
      </c>
      <c r="L123" s="71">
        <f t="shared" si="69"/>
        <v>25</v>
      </c>
      <c r="M123" s="278">
        <v>4</v>
      </c>
      <c r="N123" s="278">
        <v>0</v>
      </c>
      <c r="O123" s="278">
        <v>0</v>
      </c>
      <c r="P123" s="278">
        <v>0</v>
      </c>
      <c r="Q123" s="70">
        <f t="shared" si="63"/>
        <v>4</v>
      </c>
      <c r="R123" s="277">
        <v>3</v>
      </c>
      <c r="S123" s="277">
        <v>0</v>
      </c>
      <c r="T123" s="277">
        <v>3</v>
      </c>
      <c r="U123" s="71">
        <f t="shared" si="60"/>
        <v>6</v>
      </c>
      <c r="V123" s="278">
        <v>0</v>
      </c>
      <c r="W123" s="278">
        <v>0</v>
      </c>
      <c r="X123" s="278">
        <v>0</v>
      </c>
      <c r="Y123" s="278">
        <v>0</v>
      </c>
      <c r="Z123" s="278">
        <f t="shared" si="71"/>
        <v>0</v>
      </c>
      <c r="AA123" s="83">
        <v>8</v>
      </c>
      <c r="AB123" s="83">
        <v>0</v>
      </c>
      <c r="AC123" s="83">
        <v>0</v>
      </c>
      <c r="AD123" s="83">
        <v>21</v>
      </c>
      <c r="AE123" s="83">
        <f t="shared" si="64"/>
        <v>29</v>
      </c>
      <c r="AF123" s="172">
        <v>0</v>
      </c>
      <c r="AG123" s="172">
        <v>0</v>
      </c>
    </row>
    <row r="124" spans="1:33">
      <c r="A124" s="629"/>
      <c r="B124" s="75" t="s">
        <v>8458</v>
      </c>
      <c r="C124" s="75">
        <v>26</v>
      </c>
      <c r="D124" s="75">
        <v>6</v>
      </c>
      <c r="E124" s="75">
        <v>4</v>
      </c>
      <c r="F124" s="252">
        <f t="shared" si="70"/>
        <v>36</v>
      </c>
      <c r="G124" s="277">
        <v>1</v>
      </c>
      <c r="H124" s="277">
        <v>25</v>
      </c>
      <c r="I124" s="277">
        <v>2</v>
      </c>
      <c r="J124" s="277">
        <v>0</v>
      </c>
      <c r="K124" s="277">
        <v>0</v>
      </c>
      <c r="L124" s="71">
        <f t="shared" si="69"/>
        <v>28</v>
      </c>
      <c r="M124" s="278">
        <v>5</v>
      </c>
      <c r="N124" s="278">
        <v>1</v>
      </c>
      <c r="O124" s="278">
        <v>0</v>
      </c>
      <c r="P124" s="278">
        <v>2</v>
      </c>
      <c r="Q124" s="70">
        <f t="shared" si="63"/>
        <v>8</v>
      </c>
      <c r="R124" s="277">
        <v>0</v>
      </c>
      <c r="S124" s="277">
        <v>0</v>
      </c>
      <c r="T124" s="277">
        <v>20</v>
      </c>
      <c r="U124" s="71">
        <f t="shared" si="60"/>
        <v>20</v>
      </c>
      <c r="V124" s="278">
        <v>0</v>
      </c>
      <c r="W124" s="278">
        <v>0</v>
      </c>
      <c r="X124" s="278">
        <v>0</v>
      </c>
      <c r="Y124" s="278">
        <v>0</v>
      </c>
      <c r="Z124" s="278">
        <f t="shared" si="71"/>
        <v>0</v>
      </c>
      <c r="AA124" s="83">
        <v>22</v>
      </c>
      <c r="AB124" s="83">
        <v>1</v>
      </c>
      <c r="AC124" s="83">
        <v>0</v>
      </c>
      <c r="AD124" s="83">
        <v>13</v>
      </c>
      <c r="AE124" s="83">
        <f t="shared" si="64"/>
        <v>36</v>
      </c>
      <c r="AF124" s="172">
        <v>0</v>
      </c>
      <c r="AG124" s="172">
        <v>0</v>
      </c>
    </row>
    <row r="125" spans="1:33">
      <c r="A125" s="629"/>
      <c r="B125" s="75" t="s">
        <v>8459</v>
      </c>
      <c r="C125" s="75">
        <v>26</v>
      </c>
      <c r="D125" s="75">
        <v>0</v>
      </c>
      <c r="E125" s="75">
        <v>6</v>
      </c>
      <c r="F125" s="252">
        <f t="shared" si="70"/>
        <v>32</v>
      </c>
      <c r="G125" s="277">
        <v>0</v>
      </c>
      <c r="H125" s="277">
        <v>15</v>
      </c>
      <c r="I125" s="277">
        <v>0</v>
      </c>
      <c r="J125" s="277">
        <v>0</v>
      </c>
      <c r="K125" s="277">
        <v>0</v>
      </c>
      <c r="L125" s="71">
        <f t="shared" si="69"/>
        <v>15</v>
      </c>
      <c r="M125" s="278">
        <v>9</v>
      </c>
      <c r="N125" s="278">
        <v>0</v>
      </c>
      <c r="O125" s="278">
        <v>0</v>
      </c>
      <c r="P125" s="278">
        <v>8</v>
      </c>
      <c r="Q125" s="70">
        <f t="shared" si="63"/>
        <v>17</v>
      </c>
      <c r="R125" s="277">
        <v>0</v>
      </c>
      <c r="S125" s="277">
        <v>0</v>
      </c>
      <c r="T125" s="277">
        <v>10</v>
      </c>
      <c r="U125" s="71">
        <f t="shared" si="60"/>
        <v>10</v>
      </c>
      <c r="V125" s="278">
        <v>0</v>
      </c>
      <c r="W125" s="278">
        <v>0</v>
      </c>
      <c r="X125" s="278">
        <v>0</v>
      </c>
      <c r="Y125" s="278">
        <v>0</v>
      </c>
      <c r="Z125" s="278">
        <f t="shared" si="71"/>
        <v>0</v>
      </c>
      <c r="AA125" s="83">
        <v>10</v>
      </c>
      <c r="AB125" s="83">
        <v>0</v>
      </c>
      <c r="AC125" s="83">
        <v>0</v>
      </c>
      <c r="AD125" s="83">
        <v>22</v>
      </c>
      <c r="AE125" s="83">
        <f t="shared" si="64"/>
        <v>32</v>
      </c>
      <c r="AF125" s="172">
        <v>0</v>
      </c>
      <c r="AG125" s="172">
        <v>0</v>
      </c>
    </row>
    <row r="126" spans="1:33">
      <c r="A126" s="629"/>
      <c r="B126" s="75" t="s">
        <v>8460</v>
      </c>
      <c r="C126" s="75">
        <v>50</v>
      </c>
      <c r="D126" s="75">
        <v>2</v>
      </c>
      <c r="E126" s="75">
        <v>5</v>
      </c>
      <c r="F126" s="252">
        <f t="shared" si="70"/>
        <v>57</v>
      </c>
      <c r="G126" s="277">
        <v>3</v>
      </c>
      <c r="H126" s="277">
        <v>32</v>
      </c>
      <c r="I126" s="277">
        <v>0</v>
      </c>
      <c r="J126" s="277">
        <v>0</v>
      </c>
      <c r="K126" s="277">
        <v>0</v>
      </c>
      <c r="L126" s="71">
        <f t="shared" si="69"/>
        <v>35</v>
      </c>
      <c r="M126" s="278">
        <v>8</v>
      </c>
      <c r="N126" s="278">
        <v>1</v>
      </c>
      <c r="O126" s="278">
        <v>0</v>
      </c>
      <c r="P126" s="278">
        <v>13</v>
      </c>
      <c r="Q126" s="70">
        <f t="shared" si="63"/>
        <v>22</v>
      </c>
      <c r="R126" s="277">
        <v>3</v>
      </c>
      <c r="S126" s="277">
        <v>0</v>
      </c>
      <c r="T126" s="277">
        <v>32</v>
      </c>
      <c r="U126" s="71">
        <f t="shared" si="60"/>
        <v>35</v>
      </c>
      <c r="V126" s="278">
        <v>0</v>
      </c>
      <c r="W126" s="278">
        <v>0</v>
      </c>
      <c r="X126" s="278">
        <v>0</v>
      </c>
      <c r="Y126" s="278">
        <v>0</v>
      </c>
      <c r="Z126" s="278">
        <f t="shared" si="71"/>
        <v>0</v>
      </c>
      <c r="AA126" s="83">
        <v>41</v>
      </c>
      <c r="AB126" s="83">
        <v>0</v>
      </c>
      <c r="AC126" s="83">
        <v>0</v>
      </c>
      <c r="AD126" s="83">
        <v>16</v>
      </c>
      <c r="AE126" s="83">
        <f t="shared" si="64"/>
        <v>57</v>
      </c>
      <c r="AF126" s="172">
        <v>0</v>
      </c>
      <c r="AG126" s="172">
        <v>0</v>
      </c>
    </row>
    <row r="127" spans="1:33">
      <c r="A127" s="629"/>
      <c r="B127" s="75" t="s">
        <v>8461</v>
      </c>
      <c r="C127" s="75">
        <v>11</v>
      </c>
      <c r="D127" s="75">
        <v>0</v>
      </c>
      <c r="E127" s="75">
        <v>3</v>
      </c>
      <c r="F127" s="252">
        <f t="shared" si="70"/>
        <v>14</v>
      </c>
      <c r="G127" s="277">
        <v>1</v>
      </c>
      <c r="H127" s="277">
        <v>8</v>
      </c>
      <c r="I127" s="277">
        <v>0</v>
      </c>
      <c r="J127" s="277">
        <v>0</v>
      </c>
      <c r="K127" s="277">
        <v>0</v>
      </c>
      <c r="L127" s="71">
        <f t="shared" si="69"/>
        <v>9</v>
      </c>
      <c r="M127" s="278">
        <v>3</v>
      </c>
      <c r="N127" s="278">
        <v>0</v>
      </c>
      <c r="O127" s="278">
        <v>0</v>
      </c>
      <c r="P127" s="278">
        <v>2</v>
      </c>
      <c r="Q127" s="70">
        <f t="shared" si="63"/>
        <v>5</v>
      </c>
      <c r="R127" s="278">
        <v>1</v>
      </c>
      <c r="S127" s="278">
        <v>0</v>
      </c>
      <c r="T127" s="278">
        <v>4</v>
      </c>
      <c r="U127" s="71">
        <f t="shared" si="60"/>
        <v>5</v>
      </c>
      <c r="V127" s="278">
        <v>0</v>
      </c>
      <c r="W127" s="278">
        <v>0</v>
      </c>
      <c r="X127" s="278">
        <v>0</v>
      </c>
      <c r="Y127" s="278">
        <v>0</v>
      </c>
      <c r="Z127" s="278">
        <f t="shared" si="71"/>
        <v>0</v>
      </c>
      <c r="AA127" s="83">
        <v>13</v>
      </c>
      <c r="AB127" s="83">
        <v>0</v>
      </c>
      <c r="AC127" s="83">
        <v>0</v>
      </c>
      <c r="AD127" s="83">
        <v>1</v>
      </c>
      <c r="AE127" s="83">
        <f t="shared" si="64"/>
        <v>14</v>
      </c>
      <c r="AF127" s="172">
        <v>0</v>
      </c>
      <c r="AG127" s="172">
        <v>0</v>
      </c>
    </row>
    <row r="128" spans="1:33">
      <c r="A128" s="629"/>
      <c r="B128" s="75" t="s">
        <v>8027</v>
      </c>
      <c r="C128" s="75">
        <v>0</v>
      </c>
      <c r="D128" s="75">
        <v>0</v>
      </c>
      <c r="E128" s="75">
        <v>0</v>
      </c>
      <c r="F128" s="252">
        <f t="shared" si="70"/>
        <v>0</v>
      </c>
      <c r="G128" s="277">
        <v>0</v>
      </c>
      <c r="H128" s="277">
        <v>0</v>
      </c>
      <c r="I128" s="277">
        <v>0</v>
      </c>
      <c r="J128" s="277">
        <v>0</v>
      </c>
      <c r="K128" s="277">
        <v>0</v>
      </c>
      <c r="L128" s="71">
        <f t="shared" si="69"/>
        <v>0</v>
      </c>
      <c r="M128" s="278">
        <v>0</v>
      </c>
      <c r="N128" s="278">
        <v>0</v>
      </c>
      <c r="O128" s="278">
        <v>0</v>
      </c>
      <c r="P128" s="278">
        <v>0</v>
      </c>
      <c r="Q128" s="70">
        <f t="shared" si="63"/>
        <v>0</v>
      </c>
      <c r="R128" s="278">
        <v>0</v>
      </c>
      <c r="S128" s="278">
        <v>0</v>
      </c>
      <c r="T128" s="278">
        <v>0</v>
      </c>
      <c r="U128" s="71">
        <f t="shared" si="60"/>
        <v>0</v>
      </c>
      <c r="V128" s="278">
        <v>0</v>
      </c>
      <c r="W128" s="278">
        <v>0</v>
      </c>
      <c r="X128" s="278">
        <v>0</v>
      </c>
      <c r="Y128" s="278">
        <v>0</v>
      </c>
      <c r="Z128" s="278">
        <f t="shared" si="71"/>
        <v>0</v>
      </c>
      <c r="AA128" s="83">
        <v>0</v>
      </c>
      <c r="AB128" s="83">
        <v>0</v>
      </c>
      <c r="AC128" s="83">
        <v>0</v>
      </c>
      <c r="AD128" s="83">
        <v>0</v>
      </c>
      <c r="AE128" s="83">
        <f t="shared" si="64"/>
        <v>0</v>
      </c>
      <c r="AF128" s="83">
        <v>0</v>
      </c>
      <c r="AG128" s="83">
        <v>0</v>
      </c>
    </row>
    <row r="129" spans="1:33">
      <c r="A129" s="629"/>
      <c r="B129" s="75" t="s">
        <v>8028</v>
      </c>
      <c r="C129" s="75">
        <v>0</v>
      </c>
      <c r="D129" s="75">
        <v>0</v>
      </c>
      <c r="E129" s="75">
        <v>9</v>
      </c>
      <c r="F129" s="252">
        <f t="shared" si="70"/>
        <v>9</v>
      </c>
      <c r="G129" s="277">
        <v>0</v>
      </c>
      <c r="H129" s="277">
        <v>3</v>
      </c>
      <c r="I129" s="277">
        <v>0</v>
      </c>
      <c r="J129" s="277">
        <v>0</v>
      </c>
      <c r="K129" s="277">
        <v>0</v>
      </c>
      <c r="L129" s="71">
        <f t="shared" si="69"/>
        <v>3</v>
      </c>
      <c r="M129" s="278">
        <v>0</v>
      </c>
      <c r="N129" s="278">
        <v>0</v>
      </c>
      <c r="O129" s="278">
        <v>0</v>
      </c>
      <c r="P129" s="278">
        <v>0</v>
      </c>
      <c r="Q129" s="70">
        <f t="shared" si="63"/>
        <v>0</v>
      </c>
      <c r="R129" s="278">
        <v>0</v>
      </c>
      <c r="S129" s="278">
        <v>0</v>
      </c>
      <c r="T129" s="278">
        <v>0</v>
      </c>
      <c r="U129" s="71">
        <f t="shared" si="60"/>
        <v>0</v>
      </c>
      <c r="V129" s="278">
        <v>0</v>
      </c>
      <c r="W129" s="278">
        <v>0</v>
      </c>
      <c r="X129" s="278">
        <v>0</v>
      </c>
      <c r="Y129" s="278">
        <v>0</v>
      </c>
      <c r="Z129" s="278">
        <f t="shared" si="71"/>
        <v>0</v>
      </c>
      <c r="AA129" s="83">
        <v>0</v>
      </c>
      <c r="AB129" s="83">
        <v>0</v>
      </c>
      <c r="AC129" s="83">
        <v>0</v>
      </c>
      <c r="AD129" s="83">
        <v>0</v>
      </c>
      <c r="AE129" s="83">
        <f t="shared" si="64"/>
        <v>0</v>
      </c>
      <c r="AF129" s="83">
        <v>0</v>
      </c>
      <c r="AG129" s="83">
        <v>0</v>
      </c>
    </row>
    <row r="130" spans="1:33" s="333" customFormat="1">
      <c r="A130" s="629"/>
      <c r="B130" s="76" t="s">
        <v>8026</v>
      </c>
      <c r="C130" s="76">
        <v>0</v>
      </c>
      <c r="D130" s="76">
        <v>0</v>
      </c>
      <c r="E130" s="76">
        <v>39</v>
      </c>
      <c r="F130" s="252">
        <f t="shared" si="70"/>
        <v>39</v>
      </c>
      <c r="G130" s="277">
        <v>0</v>
      </c>
      <c r="H130" s="277">
        <v>25</v>
      </c>
      <c r="I130" s="277">
        <v>0</v>
      </c>
      <c r="J130" s="277">
        <v>0</v>
      </c>
      <c r="K130" s="277">
        <v>0</v>
      </c>
      <c r="L130" s="71">
        <f t="shared" si="69"/>
        <v>25</v>
      </c>
      <c r="M130" s="278">
        <v>5</v>
      </c>
      <c r="N130" s="278">
        <v>1</v>
      </c>
      <c r="O130" s="278">
        <v>0</v>
      </c>
      <c r="P130" s="278">
        <v>0</v>
      </c>
      <c r="Q130" s="261">
        <f t="shared" si="63"/>
        <v>6</v>
      </c>
      <c r="R130" s="278">
        <v>0</v>
      </c>
      <c r="S130" s="278">
        <v>0</v>
      </c>
      <c r="T130" s="278">
        <v>0</v>
      </c>
      <c r="U130" s="71">
        <f t="shared" si="60"/>
        <v>0</v>
      </c>
      <c r="V130" s="278">
        <v>0</v>
      </c>
      <c r="W130" s="278">
        <v>0</v>
      </c>
      <c r="X130" s="278">
        <v>1</v>
      </c>
      <c r="Y130" s="278">
        <v>0</v>
      </c>
      <c r="Z130" s="278">
        <v>0</v>
      </c>
      <c r="AA130" s="172">
        <v>23</v>
      </c>
      <c r="AB130" s="172">
        <v>0</v>
      </c>
      <c r="AC130" s="172">
        <v>0</v>
      </c>
      <c r="AD130" s="172">
        <v>0</v>
      </c>
      <c r="AE130" s="172">
        <f t="shared" si="64"/>
        <v>23</v>
      </c>
      <c r="AF130" s="172">
        <v>0</v>
      </c>
      <c r="AG130" s="172">
        <v>0</v>
      </c>
    </row>
    <row r="131" spans="1:33">
      <c r="A131" s="487"/>
      <c r="B131" s="75" t="s">
        <v>8101</v>
      </c>
      <c r="C131" s="75">
        <v>0</v>
      </c>
      <c r="D131" s="75">
        <v>0</v>
      </c>
      <c r="E131" s="75">
        <v>16</v>
      </c>
      <c r="F131" s="252">
        <f t="shared" si="70"/>
        <v>16</v>
      </c>
      <c r="G131" s="277">
        <v>0</v>
      </c>
      <c r="H131" s="277">
        <v>15</v>
      </c>
      <c r="I131" s="277">
        <v>0</v>
      </c>
      <c r="J131" s="277">
        <v>1</v>
      </c>
      <c r="K131" s="277">
        <v>0</v>
      </c>
      <c r="L131" s="71">
        <f t="shared" si="69"/>
        <v>16</v>
      </c>
      <c r="M131" s="278">
        <v>0</v>
      </c>
      <c r="N131" s="278">
        <v>0</v>
      </c>
      <c r="O131" s="278">
        <v>0</v>
      </c>
      <c r="P131" s="278">
        <v>0</v>
      </c>
      <c r="Q131" s="70">
        <f t="shared" si="63"/>
        <v>0</v>
      </c>
      <c r="R131" s="278">
        <v>0</v>
      </c>
      <c r="S131" s="278">
        <v>0</v>
      </c>
      <c r="T131" s="278">
        <v>0</v>
      </c>
      <c r="U131" s="71">
        <f t="shared" si="60"/>
        <v>0</v>
      </c>
      <c r="V131" s="278">
        <v>0</v>
      </c>
      <c r="W131" s="278">
        <v>0</v>
      </c>
      <c r="X131" s="278">
        <v>0</v>
      </c>
      <c r="Y131" s="278">
        <v>0</v>
      </c>
      <c r="Z131" s="278">
        <f t="shared" si="71"/>
        <v>0</v>
      </c>
      <c r="AA131" s="83">
        <v>0</v>
      </c>
      <c r="AB131" s="83">
        <v>0</v>
      </c>
      <c r="AC131" s="83">
        <v>0</v>
      </c>
      <c r="AD131" s="83">
        <v>0</v>
      </c>
      <c r="AE131" s="83">
        <f t="shared" si="64"/>
        <v>0</v>
      </c>
      <c r="AF131" s="83">
        <v>0</v>
      </c>
      <c r="AG131" s="83">
        <v>0</v>
      </c>
    </row>
    <row r="132" spans="1:33">
      <c r="A132" s="274"/>
      <c r="B132" s="275"/>
      <c r="C132" s="275">
        <f t="shared" ref="C132:T132" si="72">SUM(C119:C131)</f>
        <v>230</v>
      </c>
      <c r="D132" s="275">
        <f t="shared" si="72"/>
        <v>11</v>
      </c>
      <c r="E132" s="275">
        <f t="shared" si="72"/>
        <v>103</v>
      </c>
      <c r="F132" s="433">
        <f t="shared" si="72"/>
        <v>344</v>
      </c>
      <c r="G132" s="433">
        <f t="shared" si="72"/>
        <v>12</v>
      </c>
      <c r="H132" s="433">
        <f t="shared" si="72"/>
        <v>215</v>
      </c>
      <c r="I132" s="433">
        <f t="shared" si="72"/>
        <v>2</v>
      </c>
      <c r="J132" s="433">
        <f t="shared" si="72"/>
        <v>1</v>
      </c>
      <c r="K132" s="433">
        <f t="shared" si="72"/>
        <v>1</v>
      </c>
      <c r="L132" s="433">
        <f t="shared" si="72"/>
        <v>231</v>
      </c>
      <c r="M132" s="433">
        <f t="shared" si="72"/>
        <v>53</v>
      </c>
      <c r="N132" s="433">
        <f t="shared" si="72"/>
        <v>7</v>
      </c>
      <c r="O132" s="433">
        <f t="shared" si="72"/>
        <v>1</v>
      </c>
      <c r="P132" s="433">
        <f t="shared" si="72"/>
        <v>38</v>
      </c>
      <c r="Q132" s="433">
        <f t="shared" si="72"/>
        <v>99</v>
      </c>
      <c r="R132" s="433">
        <f t="shared" si="72"/>
        <v>10</v>
      </c>
      <c r="S132" s="433">
        <f t="shared" si="72"/>
        <v>0</v>
      </c>
      <c r="T132" s="433">
        <f t="shared" si="72"/>
        <v>85</v>
      </c>
      <c r="U132" s="434">
        <f t="shared" si="60"/>
        <v>95</v>
      </c>
      <c r="V132" s="433">
        <f t="shared" ref="V132:AD132" si="73">SUM(V119:V131)</f>
        <v>0</v>
      </c>
      <c r="W132" s="433">
        <f t="shared" si="73"/>
        <v>0</v>
      </c>
      <c r="X132" s="433">
        <f t="shared" si="73"/>
        <v>1</v>
      </c>
      <c r="Y132" s="433">
        <f t="shared" si="73"/>
        <v>5</v>
      </c>
      <c r="Z132" s="433">
        <f t="shared" si="73"/>
        <v>5</v>
      </c>
      <c r="AA132" s="266">
        <f t="shared" si="73"/>
        <v>219</v>
      </c>
      <c r="AB132" s="266">
        <f t="shared" si="73"/>
        <v>3</v>
      </c>
      <c r="AC132" s="266">
        <f t="shared" si="73"/>
        <v>1</v>
      </c>
      <c r="AD132" s="266">
        <f t="shared" si="73"/>
        <v>80</v>
      </c>
      <c r="AE132" s="266">
        <f t="shared" si="64"/>
        <v>303</v>
      </c>
      <c r="AF132" s="266">
        <f>SUM(AF119:AF131)</f>
        <v>0</v>
      </c>
      <c r="AG132" s="266">
        <f>SUM(AG119:AG131)</f>
        <v>1</v>
      </c>
    </row>
    <row r="133" spans="1:33">
      <c r="A133" s="628" t="s">
        <v>8103</v>
      </c>
      <c r="B133" s="399" t="s">
        <v>8788</v>
      </c>
      <c r="C133" s="75">
        <v>21</v>
      </c>
      <c r="D133" s="75">
        <v>0</v>
      </c>
      <c r="E133" s="75">
        <v>0</v>
      </c>
      <c r="F133" s="252">
        <f t="shared" ref="F133:F141" si="74">SUM(C133:E133)</f>
        <v>21</v>
      </c>
      <c r="G133" s="277">
        <v>2</v>
      </c>
      <c r="H133" s="277">
        <v>11</v>
      </c>
      <c r="I133" s="277">
        <v>8</v>
      </c>
      <c r="J133" s="277">
        <v>0</v>
      </c>
      <c r="K133" s="277">
        <v>0</v>
      </c>
      <c r="L133" s="71">
        <f>SUM(G133:K133)</f>
        <v>21</v>
      </c>
      <c r="M133" s="278">
        <v>0</v>
      </c>
      <c r="N133" s="278">
        <v>0</v>
      </c>
      <c r="O133" s="278">
        <v>0</v>
      </c>
      <c r="P133" s="278">
        <v>0</v>
      </c>
      <c r="Q133" s="70">
        <f t="shared" si="63"/>
        <v>0</v>
      </c>
      <c r="R133" s="277">
        <v>2</v>
      </c>
      <c r="S133" s="277">
        <v>0</v>
      </c>
      <c r="T133" s="277">
        <v>2</v>
      </c>
      <c r="U133" s="71">
        <f t="shared" si="60"/>
        <v>4</v>
      </c>
      <c r="V133" s="278">
        <v>0</v>
      </c>
      <c r="W133" s="278">
        <v>0</v>
      </c>
      <c r="X133" s="278">
        <v>0</v>
      </c>
      <c r="Y133" s="278">
        <v>0</v>
      </c>
      <c r="Z133" s="278">
        <f>SUM(V133:Y133)</f>
        <v>0</v>
      </c>
      <c r="AA133" s="83">
        <v>20</v>
      </c>
      <c r="AB133" s="83">
        <v>1</v>
      </c>
      <c r="AC133" s="83">
        <v>0</v>
      </c>
      <c r="AD133" s="83">
        <v>0</v>
      </c>
      <c r="AE133" s="83">
        <f t="shared" si="64"/>
        <v>21</v>
      </c>
      <c r="AF133" s="83">
        <v>1</v>
      </c>
      <c r="AG133" s="83">
        <v>0</v>
      </c>
    </row>
    <row r="134" spans="1:33">
      <c r="A134" s="629"/>
      <c r="B134" s="401" t="s">
        <v>8789</v>
      </c>
      <c r="C134" s="75">
        <v>66</v>
      </c>
      <c r="D134" s="406">
        <v>1</v>
      </c>
      <c r="E134" s="75">
        <v>5</v>
      </c>
      <c r="F134" s="252">
        <f t="shared" si="74"/>
        <v>72</v>
      </c>
      <c r="G134" s="277">
        <v>1</v>
      </c>
      <c r="H134" s="406">
        <v>33</v>
      </c>
      <c r="I134" s="277">
        <v>0</v>
      </c>
      <c r="J134" s="277">
        <v>0</v>
      </c>
      <c r="K134" s="277">
        <v>26</v>
      </c>
      <c r="L134" s="71">
        <f t="shared" ref="L134" si="75">SUM(G134:I134)</f>
        <v>34</v>
      </c>
      <c r="M134" s="239">
        <v>12</v>
      </c>
      <c r="N134" s="278">
        <v>0</v>
      </c>
      <c r="O134" s="278">
        <v>0</v>
      </c>
      <c r="P134" s="278">
        <v>0</v>
      </c>
      <c r="Q134" s="70">
        <f t="shared" si="63"/>
        <v>12</v>
      </c>
      <c r="R134" s="277">
        <v>1</v>
      </c>
      <c r="S134" s="277">
        <v>0</v>
      </c>
      <c r="T134" s="277">
        <v>23</v>
      </c>
      <c r="U134" s="71">
        <f t="shared" si="60"/>
        <v>24</v>
      </c>
      <c r="V134" s="278">
        <v>0</v>
      </c>
      <c r="W134" s="278">
        <v>0</v>
      </c>
      <c r="X134" s="278">
        <v>0</v>
      </c>
      <c r="Y134" s="278">
        <v>0</v>
      </c>
      <c r="Z134" s="278">
        <f t="shared" ref="Z134:Z141" si="76">SUM(V134:Y134)</f>
        <v>0</v>
      </c>
      <c r="AA134" s="83">
        <v>60</v>
      </c>
      <c r="AB134" s="83">
        <v>0</v>
      </c>
      <c r="AC134" s="83">
        <v>0</v>
      </c>
      <c r="AD134" s="83">
        <v>12</v>
      </c>
      <c r="AE134" s="83">
        <f t="shared" si="64"/>
        <v>72</v>
      </c>
      <c r="AF134" s="83">
        <v>0</v>
      </c>
      <c r="AG134" s="83">
        <v>0</v>
      </c>
    </row>
    <row r="135" spans="1:33">
      <c r="A135" s="630"/>
      <c r="B135" s="402" t="s">
        <v>8790</v>
      </c>
      <c r="C135" s="400">
        <v>21</v>
      </c>
      <c r="D135" s="75">
        <v>2</v>
      </c>
      <c r="E135" s="75">
        <v>1</v>
      </c>
      <c r="F135" s="252">
        <f t="shared" si="74"/>
        <v>24</v>
      </c>
      <c r="G135" s="277">
        <v>2</v>
      </c>
      <c r="H135" s="277">
        <v>17</v>
      </c>
      <c r="I135" s="277">
        <v>0</v>
      </c>
      <c r="J135" s="277">
        <v>0</v>
      </c>
      <c r="K135" s="277">
        <v>0</v>
      </c>
      <c r="L135" s="71">
        <f t="shared" ref="L135:L141" si="77">SUM(G135:K135)</f>
        <v>19</v>
      </c>
      <c r="M135" s="278">
        <v>3</v>
      </c>
      <c r="N135" s="278">
        <v>0</v>
      </c>
      <c r="O135" s="278">
        <v>0</v>
      </c>
      <c r="P135" s="278">
        <v>0</v>
      </c>
      <c r="Q135" s="70">
        <f t="shared" si="63"/>
        <v>3</v>
      </c>
      <c r="R135" s="277">
        <v>2</v>
      </c>
      <c r="S135" s="277">
        <v>0</v>
      </c>
      <c r="T135" s="277">
        <v>6</v>
      </c>
      <c r="U135" s="71">
        <f t="shared" si="60"/>
        <v>8</v>
      </c>
      <c r="V135" s="278">
        <v>0</v>
      </c>
      <c r="W135" s="278">
        <v>0</v>
      </c>
      <c r="X135" s="277">
        <v>0</v>
      </c>
      <c r="Y135" s="278">
        <v>0</v>
      </c>
      <c r="Z135" s="278">
        <f t="shared" si="76"/>
        <v>0</v>
      </c>
      <c r="AA135" s="83">
        <v>22</v>
      </c>
      <c r="AB135" s="83">
        <v>0</v>
      </c>
      <c r="AC135" s="83">
        <v>0</v>
      </c>
      <c r="AD135" s="83">
        <v>2</v>
      </c>
      <c r="AE135" s="83">
        <f t="shared" si="64"/>
        <v>24</v>
      </c>
      <c r="AF135" s="83">
        <v>0</v>
      </c>
      <c r="AG135" s="83">
        <v>0</v>
      </c>
    </row>
    <row r="136" spans="1:33">
      <c r="A136" s="630"/>
      <c r="B136" s="402" t="s">
        <v>8791</v>
      </c>
      <c r="C136" s="400">
        <v>10</v>
      </c>
      <c r="D136" s="75">
        <v>1</v>
      </c>
      <c r="E136" s="75">
        <v>1</v>
      </c>
      <c r="F136" s="252">
        <f t="shared" si="74"/>
        <v>12</v>
      </c>
      <c r="G136" s="277">
        <v>2</v>
      </c>
      <c r="H136" s="277">
        <v>7</v>
      </c>
      <c r="I136" s="277">
        <v>1</v>
      </c>
      <c r="J136" s="277">
        <v>0</v>
      </c>
      <c r="K136" s="277">
        <v>0</v>
      </c>
      <c r="L136" s="71">
        <f t="shared" si="77"/>
        <v>10</v>
      </c>
      <c r="M136" s="278">
        <v>2</v>
      </c>
      <c r="N136" s="278">
        <v>0</v>
      </c>
      <c r="O136" s="278">
        <v>0</v>
      </c>
      <c r="P136" s="278">
        <v>0</v>
      </c>
      <c r="Q136" s="70">
        <f t="shared" si="63"/>
        <v>2</v>
      </c>
      <c r="R136" s="277">
        <v>1</v>
      </c>
      <c r="S136" s="277">
        <v>1</v>
      </c>
      <c r="T136" s="277">
        <v>2</v>
      </c>
      <c r="U136" s="71">
        <f t="shared" si="60"/>
        <v>4</v>
      </c>
      <c r="V136" s="278">
        <v>0</v>
      </c>
      <c r="W136" s="278">
        <v>0</v>
      </c>
      <c r="X136" s="278">
        <v>0</v>
      </c>
      <c r="Y136" s="278">
        <v>0</v>
      </c>
      <c r="Z136" s="278">
        <f t="shared" si="76"/>
        <v>0</v>
      </c>
      <c r="AA136" s="83">
        <v>10</v>
      </c>
      <c r="AB136" s="83">
        <v>0</v>
      </c>
      <c r="AC136" s="83">
        <v>0</v>
      </c>
      <c r="AD136" s="83">
        <v>2</v>
      </c>
      <c r="AE136" s="83">
        <f t="shared" si="64"/>
        <v>12</v>
      </c>
      <c r="AF136" s="83">
        <v>0</v>
      </c>
      <c r="AG136" s="83">
        <v>0</v>
      </c>
    </row>
    <row r="137" spans="1:33">
      <c r="A137" s="629"/>
      <c r="B137" s="403" t="s">
        <v>8792</v>
      </c>
      <c r="C137" s="75">
        <v>0</v>
      </c>
      <c r="D137" s="75">
        <v>3</v>
      </c>
      <c r="E137" s="75">
        <v>0</v>
      </c>
      <c r="F137" s="252">
        <f t="shared" si="74"/>
        <v>3</v>
      </c>
      <c r="G137" s="277">
        <v>0</v>
      </c>
      <c r="H137" s="277">
        <v>2</v>
      </c>
      <c r="I137" s="277">
        <v>1</v>
      </c>
      <c r="J137" s="277">
        <v>0</v>
      </c>
      <c r="K137" s="277">
        <v>0</v>
      </c>
      <c r="L137" s="71">
        <f t="shared" si="77"/>
        <v>3</v>
      </c>
      <c r="M137" s="278">
        <v>0</v>
      </c>
      <c r="N137" s="278">
        <v>0</v>
      </c>
      <c r="O137" s="278">
        <v>0</v>
      </c>
      <c r="P137" s="278">
        <v>0</v>
      </c>
      <c r="Q137" s="70">
        <f t="shared" si="63"/>
        <v>0</v>
      </c>
      <c r="R137" s="277">
        <v>0</v>
      </c>
      <c r="S137" s="277">
        <v>0</v>
      </c>
      <c r="T137" s="277">
        <v>3</v>
      </c>
      <c r="U137" s="71">
        <f t="shared" si="60"/>
        <v>3</v>
      </c>
      <c r="V137" s="278">
        <v>0</v>
      </c>
      <c r="W137" s="278">
        <v>0</v>
      </c>
      <c r="X137" s="278">
        <v>0</v>
      </c>
      <c r="Y137" s="278">
        <v>0</v>
      </c>
      <c r="Z137" s="278">
        <f t="shared" si="76"/>
        <v>0</v>
      </c>
      <c r="AA137" s="83">
        <v>3</v>
      </c>
      <c r="AB137" s="83">
        <v>0</v>
      </c>
      <c r="AC137" s="83">
        <v>0</v>
      </c>
      <c r="AD137" s="83">
        <v>0</v>
      </c>
      <c r="AE137" s="83">
        <f t="shared" si="64"/>
        <v>3</v>
      </c>
      <c r="AF137" s="83">
        <v>0</v>
      </c>
      <c r="AG137" s="83">
        <v>0</v>
      </c>
    </row>
    <row r="138" spans="1:33">
      <c r="A138" s="629"/>
      <c r="B138" s="404" t="s">
        <v>8027</v>
      </c>
      <c r="C138" s="75">
        <v>0</v>
      </c>
      <c r="D138" s="75">
        <v>0</v>
      </c>
      <c r="E138" s="75">
        <v>42</v>
      </c>
      <c r="F138" s="252">
        <f t="shared" si="74"/>
        <v>42</v>
      </c>
      <c r="G138" s="277">
        <v>0</v>
      </c>
      <c r="H138" s="277">
        <v>42</v>
      </c>
      <c r="I138" s="277">
        <v>0</v>
      </c>
      <c r="J138" s="277">
        <v>0</v>
      </c>
      <c r="K138" s="277">
        <v>0</v>
      </c>
      <c r="L138" s="71">
        <f t="shared" si="77"/>
        <v>42</v>
      </c>
      <c r="M138" s="278">
        <v>0</v>
      </c>
      <c r="N138" s="278">
        <v>0</v>
      </c>
      <c r="O138" s="278">
        <v>0</v>
      </c>
      <c r="P138" s="278">
        <v>0</v>
      </c>
      <c r="Q138" s="70">
        <f t="shared" si="63"/>
        <v>0</v>
      </c>
      <c r="R138" s="277">
        <v>0</v>
      </c>
      <c r="S138" s="277">
        <v>0</v>
      </c>
      <c r="T138" s="277">
        <v>0</v>
      </c>
      <c r="U138" s="71">
        <f t="shared" si="60"/>
        <v>0</v>
      </c>
      <c r="V138" s="278">
        <v>0</v>
      </c>
      <c r="W138" s="278">
        <v>0</v>
      </c>
      <c r="X138" s="278">
        <v>0</v>
      </c>
      <c r="Y138" s="278">
        <v>0</v>
      </c>
      <c r="Z138" s="278">
        <f t="shared" si="76"/>
        <v>0</v>
      </c>
      <c r="AA138" s="83">
        <v>0</v>
      </c>
      <c r="AB138" s="83">
        <v>0</v>
      </c>
      <c r="AC138" s="83">
        <v>0</v>
      </c>
      <c r="AD138" s="83">
        <v>42</v>
      </c>
      <c r="AE138" s="83">
        <f t="shared" si="64"/>
        <v>42</v>
      </c>
      <c r="AF138" s="83">
        <v>0</v>
      </c>
      <c r="AG138" s="83">
        <v>0</v>
      </c>
    </row>
    <row r="139" spans="1:33">
      <c r="A139" s="629"/>
      <c r="B139" s="404" t="s">
        <v>8028</v>
      </c>
      <c r="C139" s="75">
        <v>0</v>
      </c>
      <c r="D139" s="75">
        <v>0</v>
      </c>
      <c r="E139" s="75">
        <v>42</v>
      </c>
      <c r="F139" s="252">
        <f t="shared" si="74"/>
        <v>42</v>
      </c>
      <c r="G139" s="277">
        <v>1</v>
      </c>
      <c r="H139" s="277">
        <v>41</v>
      </c>
      <c r="I139" s="277">
        <v>0</v>
      </c>
      <c r="J139" s="277">
        <v>0</v>
      </c>
      <c r="K139" s="277">
        <v>0</v>
      </c>
      <c r="L139" s="71">
        <f t="shared" si="77"/>
        <v>42</v>
      </c>
      <c r="M139" s="278">
        <v>0</v>
      </c>
      <c r="N139" s="278">
        <v>0</v>
      </c>
      <c r="O139" s="278">
        <v>0</v>
      </c>
      <c r="P139" s="278">
        <v>0</v>
      </c>
      <c r="Q139" s="70">
        <f t="shared" si="63"/>
        <v>0</v>
      </c>
      <c r="R139" s="277">
        <v>1</v>
      </c>
      <c r="S139" s="277">
        <v>0</v>
      </c>
      <c r="T139" s="277">
        <v>0</v>
      </c>
      <c r="U139" s="71">
        <f t="shared" si="60"/>
        <v>1</v>
      </c>
      <c r="V139" s="278">
        <v>0</v>
      </c>
      <c r="W139" s="278">
        <v>0</v>
      </c>
      <c r="X139" s="278">
        <v>0</v>
      </c>
      <c r="Y139" s="278">
        <v>0</v>
      </c>
      <c r="Z139" s="278">
        <f t="shared" si="76"/>
        <v>0</v>
      </c>
      <c r="AA139" s="83">
        <v>0</v>
      </c>
      <c r="AB139" s="83">
        <v>0</v>
      </c>
      <c r="AC139" s="83">
        <v>0</v>
      </c>
      <c r="AD139" s="83">
        <v>42</v>
      </c>
      <c r="AE139" s="83">
        <f t="shared" si="64"/>
        <v>42</v>
      </c>
      <c r="AF139" s="83">
        <v>0</v>
      </c>
      <c r="AG139" s="83">
        <v>0</v>
      </c>
    </row>
    <row r="140" spans="1:33" s="334" customFormat="1">
      <c r="A140" s="629"/>
      <c r="B140" s="404" t="s">
        <v>8000</v>
      </c>
      <c r="C140" s="76">
        <v>0</v>
      </c>
      <c r="D140" s="76">
        <v>0</v>
      </c>
      <c r="E140" s="76">
        <v>35</v>
      </c>
      <c r="F140" s="252">
        <f t="shared" si="74"/>
        <v>35</v>
      </c>
      <c r="G140" s="277">
        <v>0</v>
      </c>
      <c r="H140" s="277">
        <v>33</v>
      </c>
      <c r="I140" s="277">
        <v>0</v>
      </c>
      <c r="J140" s="277">
        <v>2</v>
      </c>
      <c r="K140" s="277">
        <v>0</v>
      </c>
      <c r="L140" s="71">
        <f t="shared" si="77"/>
        <v>35</v>
      </c>
      <c r="M140" s="278">
        <v>0</v>
      </c>
      <c r="N140" s="278">
        <v>0</v>
      </c>
      <c r="O140" s="278">
        <v>0</v>
      </c>
      <c r="P140" s="278">
        <v>0</v>
      </c>
      <c r="Q140" s="261">
        <f t="shared" si="63"/>
        <v>0</v>
      </c>
      <c r="R140" s="277">
        <v>2</v>
      </c>
      <c r="S140" s="277">
        <v>0</v>
      </c>
      <c r="T140" s="277">
        <v>0</v>
      </c>
      <c r="U140" s="71">
        <f t="shared" si="60"/>
        <v>2</v>
      </c>
      <c r="V140" s="278">
        <v>0</v>
      </c>
      <c r="W140" s="278">
        <v>0</v>
      </c>
      <c r="X140" s="278">
        <v>0</v>
      </c>
      <c r="Y140" s="278">
        <v>0</v>
      </c>
      <c r="Z140" s="278">
        <f t="shared" si="76"/>
        <v>0</v>
      </c>
      <c r="AA140" s="172">
        <v>0</v>
      </c>
      <c r="AB140" s="172">
        <v>0</v>
      </c>
      <c r="AC140" s="172">
        <v>0</v>
      </c>
      <c r="AD140" s="172">
        <v>35</v>
      </c>
      <c r="AE140" s="172">
        <f t="shared" si="64"/>
        <v>35</v>
      </c>
      <c r="AF140" s="172">
        <v>0</v>
      </c>
      <c r="AG140" s="172">
        <v>0</v>
      </c>
    </row>
    <row r="141" spans="1:33" s="334" customFormat="1">
      <c r="A141" s="629"/>
      <c r="B141" s="404" t="s">
        <v>2455</v>
      </c>
      <c r="C141" s="76">
        <v>0</v>
      </c>
      <c r="D141" s="76">
        <v>0</v>
      </c>
      <c r="E141" s="76">
        <v>21</v>
      </c>
      <c r="F141" s="252">
        <f t="shared" si="74"/>
        <v>21</v>
      </c>
      <c r="G141" s="277">
        <v>0</v>
      </c>
      <c r="H141" s="277">
        <v>19</v>
      </c>
      <c r="I141" s="277">
        <v>0</v>
      </c>
      <c r="J141" s="277">
        <v>2</v>
      </c>
      <c r="K141" s="277">
        <v>0</v>
      </c>
      <c r="L141" s="71">
        <f t="shared" si="77"/>
        <v>21</v>
      </c>
      <c r="M141" s="278">
        <v>0</v>
      </c>
      <c r="N141" s="278">
        <v>0</v>
      </c>
      <c r="O141" s="278">
        <v>0</v>
      </c>
      <c r="P141" s="278">
        <v>0</v>
      </c>
      <c r="Q141" s="261">
        <f t="shared" si="63"/>
        <v>0</v>
      </c>
      <c r="R141" s="277">
        <v>2</v>
      </c>
      <c r="S141" s="277">
        <v>0</v>
      </c>
      <c r="T141" s="277">
        <v>0</v>
      </c>
      <c r="U141" s="71">
        <f t="shared" si="60"/>
        <v>2</v>
      </c>
      <c r="V141" s="278">
        <v>0</v>
      </c>
      <c r="W141" s="278">
        <v>0</v>
      </c>
      <c r="X141" s="278">
        <v>0</v>
      </c>
      <c r="Y141" s="278">
        <v>0</v>
      </c>
      <c r="Z141" s="278">
        <f t="shared" si="76"/>
        <v>0</v>
      </c>
      <c r="AA141" s="172">
        <v>0</v>
      </c>
      <c r="AB141" s="172">
        <v>0</v>
      </c>
      <c r="AC141" s="172">
        <v>0</v>
      </c>
      <c r="AD141" s="172">
        <v>21</v>
      </c>
      <c r="AE141" s="172">
        <f t="shared" si="64"/>
        <v>21</v>
      </c>
      <c r="AF141" s="172">
        <v>0</v>
      </c>
      <c r="AG141" s="172">
        <v>0</v>
      </c>
    </row>
    <row r="142" spans="1:33">
      <c r="A142" s="275"/>
      <c r="B142" s="275"/>
      <c r="C142" s="275">
        <f>SUM(C133:C141)</f>
        <v>118</v>
      </c>
      <c r="D142" s="275">
        <f t="shared" ref="D142:L142" si="78">SUM(D133:D141)</f>
        <v>7</v>
      </c>
      <c r="E142" s="275">
        <f t="shared" si="78"/>
        <v>147</v>
      </c>
      <c r="F142" s="275">
        <f t="shared" si="78"/>
        <v>272</v>
      </c>
      <c r="G142" s="275">
        <f t="shared" si="78"/>
        <v>8</v>
      </c>
      <c r="H142" s="275">
        <f t="shared" si="78"/>
        <v>205</v>
      </c>
      <c r="I142" s="275">
        <f t="shared" si="78"/>
        <v>10</v>
      </c>
      <c r="J142" s="275">
        <f t="shared" si="78"/>
        <v>4</v>
      </c>
      <c r="K142" s="275">
        <f t="shared" si="78"/>
        <v>26</v>
      </c>
      <c r="L142" s="275">
        <f t="shared" si="78"/>
        <v>227</v>
      </c>
      <c r="M142" s="275">
        <f t="shared" ref="M142" si="79">SUM(M133:M141)</f>
        <v>17</v>
      </c>
      <c r="N142" s="275">
        <f t="shared" ref="N142" si="80">SUM(N133:N141)</f>
        <v>0</v>
      </c>
      <c r="O142" s="275">
        <f t="shared" ref="O142" si="81">SUM(O133:O141)</f>
        <v>0</v>
      </c>
      <c r="P142" s="275">
        <f t="shared" ref="P142" si="82">SUM(P133:P141)</f>
        <v>0</v>
      </c>
      <c r="Q142" s="275">
        <f t="shared" ref="Q142" si="83">SUM(Q133:Q141)</f>
        <v>17</v>
      </c>
      <c r="R142" s="275">
        <f t="shared" ref="R142" si="84">SUM(R133:R141)</f>
        <v>11</v>
      </c>
      <c r="S142" s="275">
        <f t="shared" ref="S142" si="85">SUM(S133:S141)</f>
        <v>1</v>
      </c>
      <c r="T142" s="275">
        <f t="shared" ref="T142" si="86">SUM(T133:T141)</f>
        <v>36</v>
      </c>
      <c r="U142" s="275">
        <f t="shared" ref="U142" si="87">SUM(U133:U141)</f>
        <v>48</v>
      </c>
      <c r="V142" s="275">
        <f t="shared" ref="V142" si="88">SUM(V133:V141)</f>
        <v>0</v>
      </c>
      <c r="W142" s="275">
        <f t="shared" ref="W142" si="89">SUM(W133:W141)</f>
        <v>0</v>
      </c>
      <c r="X142" s="275">
        <f t="shared" ref="X142" si="90">SUM(X133:X141)</f>
        <v>0</v>
      </c>
      <c r="Y142" s="266">
        <f t="shared" ref="Y142:Z142" si="91">SUM(Y133:Y141)</f>
        <v>0</v>
      </c>
      <c r="Z142" s="266">
        <f t="shared" si="91"/>
        <v>0</v>
      </c>
      <c r="AA142" s="266">
        <f>SUM(AA133:AA141)</f>
        <v>115</v>
      </c>
      <c r="AB142" s="266">
        <f t="shared" ref="AB142:AG142" si="92">SUM(AB133:AB141)</f>
        <v>1</v>
      </c>
      <c r="AC142" s="266">
        <f t="shared" si="92"/>
        <v>0</v>
      </c>
      <c r="AD142" s="266">
        <f t="shared" si="92"/>
        <v>156</v>
      </c>
      <c r="AE142" s="266">
        <f t="shared" si="92"/>
        <v>272</v>
      </c>
      <c r="AF142" s="266">
        <f t="shared" si="92"/>
        <v>1</v>
      </c>
      <c r="AG142" s="266">
        <f t="shared" si="92"/>
        <v>0</v>
      </c>
    </row>
    <row r="143" spans="1:33">
      <c r="A143" s="628" t="s">
        <v>8104</v>
      </c>
      <c r="B143" s="75" t="s">
        <v>8846</v>
      </c>
      <c r="C143" s="75">
        <v>12</v>
      </c>
      <c r="D143" s="75">
        <v>0</v>
      </c>
      <c r="E143" s="75">
        <v>2</v>
      </c>
      <c r="F143" s="252">
        <f>SUM(C143:E143)</f>
        <v>14</v>
      </c>
      <c r="G143" s="277">
        <v>0</v>
      </c>
      <c r="H143" s="277">
        <v>10</v>
      </c>
      <c r="I143" s="277">
        <v>1</v>
      </c>
      <c r="J143" s="277">
        <v>0</v>
      </c>
      <c r="K143" s="277">
        <v>0</v>
      </c>
      <c r="L143" s="71">
        <f>SUM(G143:K143)</f>
        <v>11</v>
      </c>
      <c r="M143" s="278">
        <v>2</v>
      </c>
      <c r="N143" s="278">
        <v>1</v>
      </c>
      <c r="O143" s="278">
        <v>0</v>
      </c>
      <c r="P143" s="278">
        <v>0</v>
      </c>
      <c r="Q143" s="70">
        <f t="shared" si="63"/>
        <v>3</v>
      </c>
      <c r="R143" s="278">
        <v>0</v>
      </c>
      <c r="S143" s="278">
        <v>0</v>
      </c>
      <c r="T143" s="278">
        <v>2</v>
      </c>
      <c r="U143" s="71">
        <f t="shared" si="60"/>
        <v>2</v>
      </c>
      <c r="V143" s="278">
        <v>0</v>
      </c>
      <c r="W143" s="278">
        <v>0</v>
      </c>
      <c r="X143" s="278">
        <v>0</v>
      </c>
      <c r="Y143" s="278">
        <v>0</v>
      </c>
      <c r="Z143" s="278">
        <f>SUM(V143:Y143)</f>
        <v>0</v>
      </c>
      <c r="AA143" s="83">
        <v>12</v>
      </c>
      <c r="AB143" s="83">
        <v>0</v>
      </c>
      <c r="AC143" s="83">
        <v>0</v>
      </c>
      <c r="AD143" s="83">
        <v>2</v>
      </c>
      <c r="AE143" s="83">
        <f>SUM(AA143:AD143)</f>
        <v>14</v>
      </c>
      <c r="AF143" s="83">
        <v>0</v>
      </c>
      <c r="AG143" s="83">
        <v>0</v>
      </c>
    </row>
    <row r="144" spans="1:33" s="336" customFormat="1">
      <c r="A144" s="631"/>
      <c r="B144" s="76" t="s">
        <v>8871</v>
      </c>
      <c r="C144" s="76">
        <v>5</v>
      </c>
      <c r="D144" s="76">
        <v>0</v>
      </c>
      <c r="E144" s="76">
        <v>0</v>
      </c>
      <c r="F144" s="252">
        <f>SUM(C144:E144)</f>
        <v>5</v>
      </c>
      <c r="G144" s="277">
        <v>1</v>
      </c>
      <c r="H144" s="277">
        <v>2</v>
      </c>
      <c r="I144" s="277">
        <v>1</v>
      </c>
      <c r="J144" s="277">
        <v>0</v>
      </c>
      <c r="K144" s="277">
        <v>1</v>
      </c>
      <c r="L144" s="71">
        <f>SUM(G144:K144)</f>
        <v>5</v>
      </c>
      <c r="M144" s="278">
        <v>0</v>
      </c>
      <c r="N144" s="278">
        <v>0</v>
      </c>
      <c r="O144" s="278">
        <v>0</v>
      </c>
      <c r="P144" s="278">
        <v>0</v>
      </c>
      <c r="Q144" s="261">
        <f>SUM(M144:P144)</f>
        <v>0</v>
      </c>
      <c r="R144" s="278">
        <v>1</v>
      </c>
      <c r="S144" s="278">
        <v>0</v>
      </c>
      <c r="T144" s="278">
        <v>2</v>
      </c>
      <c r="U144" s="71">
        <f t="shared" si="60"/>
        <v>3</v>
      </c>
      <c r="V144" s="278">
        <v>0</v>
      </c>
      <c r="W144" s="278">
        <v>0</v>
      </c>
      <c r="X144" s="278">
        <v>0</v>
      </c>
      <c r="Y144" s="278">
        <v>1</v>
      </c>
      <c r="Z144" s="278">
        <f t="shared" ref="Z144:Z146" si="93">SUM(V144:Y144)</f>
        <v>1</v>
      </c>
      <c r="AA144" s="172">
        <v>1</v>
      </c>
      <c r="AB144" s="172">
        <v>1</v>
      </c>
      <c r="AC144" s="172">
        <v>0</v>
      </c>
      <c r="AD144" s="172">
        <v>3</v>
      </c>
      <c r="AE144" s="172">
        <f>SUM(AA144:AD144)</f>
        <v>5</v>
      </c>
      <c r="AF144" s="172">
        <v>0</v>
      </c>
      <c r="AG144" s="172">
        <v>1</v>
      </c>
    </row>
    <row r="145" spans="1:33" s="336" customFormat="1">
      <c r="A145" s="631"/>
      <c r="B145" s="76"/>
      <c r="C145" s="76"/>
      <c r="D145" s="76"/>
      <c r="E145" s="76"/>
      <c r="F145" s="252"/>
      <c r="G145" s="277"/>
      <c r="H145" s="277"/>
      <c r="I145" s="277"/>
      <c r="J145" s="277"/>
      <c r="K145" s="277"/>
      <c r="L145" s="71"/>
      <c r="M145" s="278"/>
      <c r="N145" s="278"/>
      <c r="O145" s="278"/>
      <c r="P145" s="278"/>
      <c r="Q145" s="261"/>
      <c r="R145" s="278"/>
      <c r="S145" s="278"/>
      <c r="T145" s="278"/>
      <c r="U145" s="71"/>
      <c r="V145" s="278"/>
      <c r="W145" s="278"/>
      <c r="X145" s="278"/>
      <c r="Y145" s="278"/>
      <c r="Z145" s="278">
        <f t="shared" si="93"/>
        <v>0</v>
      </c>
      <c r="AA145" s="172"/>
      <c r="AB145" s="172"/>
      <c r="AC145" s="172"/>
      <c r="AD145" s="172"/>
      <c r="AE145" s="172"/>
      <c r="AF145" s="172"/>
      <c r="AG145" s="172"/>
    </row>
    <row r="146" spans="1:33">
      <c r="A146" s="487"/>
      <c r="B146" s="279"/>
      <c r="C146" s="279"/>
      <c r="D146" s="279"/>
      <c r="E146" s="279"/>
      <c r="F146" s="252">
        <f>SUM(C146:E146)</f>
        <v>0</v>
      </c>
      <c r="G146" s="280"/>
      <c r="H146" s="280"/>
      <c r="I146" s="280"/>
      <c r="J146" s="280"/>
      <c r="K146" s="280"/>
      <c r="L146" s="71">
        <f>SUM(G146:I146)</f>
        <v>0</v>
      </c>
      <c r="M146" s="281"/>
      <c r="N146" s="281"/>
      <c r="O146" s="281"/>
      <c r="P146" s="281"/>
      <c r="Q146" s="70">
        <f t="shared" si="63"/>
        <v>0</v>
      </c>
      <c r="R146" s="281"/>
      <c r="S146" s="281"/>
      <c r="T146" s="281"/>
      <c r="U146" s="71">
        <f t="shared" si="60"/>
        <v>0</v>
      </c>
      <c r="V146" s="281"/>
      <c r="W146" s="281"/>
      <c r="X146" s="281"/>
      <c r="Y146" s="281"/>
      <c r="Z146" s="278">
        <f t="shared" si="93"/>
        <v>0</v>
      </c>
      <c r="AA146" s="83"/>
      <c r="AB146" s="83"/>
      <c r="AC146" s="83"/>
      <c r="AD146" s="83"/>
      <c r="AE146" s="83"/>
      <c r="AF146" s="83"/>
      <c r="AG146" s="83"/>
    </row>
    <row r="147" spans="1:33">
      <c r="A147" s="635"/>
      <c r="B147" s="636"/>
      <c r="C147" s="637">
        <f>SUM(C143:C146)</f>
        <v>17</v>
      </c>
      <c r="D147" s="637">
        <f t="shared" ref="D147:E147" si="94">SUM(D143:D146)</f>
        <v>0</v>
      </c>
      <c r="E147" s="637">
        <f t="shared" si="94"/>
        <v>2</v>
      </c>
      <c r="F147" s="637">
        <f t="shared" ref="F147" si="95">SUM(F143:F146)</f>
        <v>19</v>
      </c>
      <c r="G147" s="637">
        <f t="shared" ref="G147" si="96">SUM(G143:G146)</f>
        <v>1</v>
      </c>
      <c r="H147" s="637">
        <f t="shared" ref="H147" si="97">SUM(H143:H146)</f>
        <v>12</v>
      </c>
      <c r="I147" s="637">
        <f t="shared" ref="I147" si="98">SUM(I143:I146)</f>
        <v>2</v>
      </c>
      <c r="J147" s="637">
        <f t="shared" ref="J147" si="99">SUM(J143:J146)</f>
        <v>0</v>
      </c>
      <c r="K147" s="637">
        <f t="shared" ref="K147" si="100">SUM(K143:K146)</f>
        <v>1</v>
      </c>
      <c r="L147" s="637">
        <f t="shared" ref="L147" si="101">SUM(L143:L146)</f>
        <v>16</v>
      </c>
      <c r="M147" s="637">
        <f t="shared" ref="M147" si="102">SUM(M143:M146)</f>
        <v>2</v>
      </c>
      <c r="N147" s="637">
        <f t="shared" ref="N147" si="103">SUM(N143:N146)</f>
        <v>1</v>
      </c>
      <c r="O147" s="637">
        <f t="shared" ref="O147" si="104">SUM(O143:O146)</f>
        <v>0</v>
      </c>
      <c r="P147" s="637">
        <f t="shared" ref="P147" si="105">SUM(P143:P146)</f>
        <v>0</v>
      </c>
      <c r="Q147" s="637">
        <f t="shared" ref="Q147" si="106">SUM(Q143:Q146)</f>
        <v>3</v>
      </c>
      <c r="R147" s="637">
        <f t="shared" ref="R147" si="107">SUM(R143:R146)</f>
        <v>1</v>
      </c>
      <c r="S147" s="637">
        <f t="shared" ref="S147" si="108">SUM(S143:S146)</f>
        <v>0</v>
      </c>
      <c r="T147" s="637">
        <f t="shared" ref="T147" si="109">SUM(T143:T146)</f>
        <v>4</v>
      </c>
      <c r="U147" s="637">
        <f t="shared" ref="U147" si="110">SUM(U143:U146)</f>
        <v>5</v>
      </c>
      <c r="V147" s="637">
        <f t="shared" ref="V147" si="111">SUM(V143:V146)</f>
        <v>0</v>
      </c>
      <c r="W147" s="637">
        <f t="shared" ref="W147" si="112">SUM(W143:W146)</f>
        <v>0</v>
      </c>
      <c r="X147" s="637">
        <f t="shared" ref="X147" si="113">SUM(X143:X146)</f>
        <v>0</v>
      </c>
      <c r="Y147" s="637">
        <f t="shared" ref="Y147" si="114">SUM(Y143:Y146)</f>
        <v>1</v>
      </c>
      <c r="Z147" s="637">
        <f t="shared" ref="Z147" si="115">SUM(Z143:Z146)</f>
        <v>1</v>
      </c>
      <c r="AA147" s="637">
        <f t="shared" ref="AA147" si="116">SUM(AA143:AA146)</f>
        <v>13</v>
      </c>
      <c r="AB147" s="637">
        <f t="shared" ref="AB147" si="117">SUM(AB143:AB146)</f>
        <v>1</v>
      </c>
      <c r="AC147" s="637">
        <f t="shared" ref="AC147" si="118">SUM(AC143:AC146)</f>
        <v>0</v>
      </c>
      <c r="AD147" s="637">
        <f t="shared" ref="AD147" si="119">SUM(AD143:AD146)</f>
        <v>5</v>
      </c>
      <c r="AE147" s="637">
        <f t="shared" ref="AE147" si="120">SUM(AE143:AE146)</f>
        <v>19</v>
      </c>
      <c r="AF147" s="637">
        <f t="shared" ref="AF147" si="121">SUM(AF143:AF146)</f>
        <v>0</v>
      </c>
      <c r="AG147" s="637">
        <f t="shared" ref="AG147" si="122">SUM(AG143:AG146)</f>
        <v>1</v>
      </c>
    </row>
    <row r="152" spans="1:33">
      <c r="D152" s="46" t="s">
        <v>8105</v>
      </c>
    </row>
  </sheetData>
  <mergeCells count="25">
    <mergeCell ref="A24:A35"/>
    <mergeCell ref="C3:AF3"/>
    <mergeCell ref="G4:I4"/>
    <mergeCell ref="M4:Q4"/>
    <mergeCell ref="R4:U4"/>
    <mergeCell ref="V4:Z4"/>
    <mergeCell ref="AA4:AE4"/>
    <mergeCell ref="AF4:AG4"/>
    <mergeCell ref="C4:F4"/>
    <mergeCell ref="J6:K35"/>
    <mergeCell ref="A36:B36"/>
    <mergeCell ref="A133:A141"/>
    <mergeCell ref="A143:A146"/>
    <mergeCell ref="A147:B147"/>
    <mergeCell ref="A37:A52"/>
    <mergeCell ref="A54:A65"/>
    <mergeCell ref="A67:A77"/>
    <mergeCell ref="A79:A89"/>
    <mergeCell ref="A91:A103"/>
    <mergeCell ref="A105:A117"/>
    <mergeCell ref="A119:A131"/>
    <mergeCell ref="A6:A11"/>
    <mergeCell ref="A12:B12"/>
    <mergeCell ref="A13:A22"/>
    <mergeCell ref="A23:B23"/>
  </mergeCells>
  <conditionalFormatting sqref="F5:F11 F13:F22 F24:F35 F37:F52 F54:F65 F67:F77 F79:F89 F91:F103 F105:F117 F119:F131 F133:F141 F143:F146">
    <cfRule type="notContainsBlanks" dxfId="0" priority="1">
      <formula>LEN(TRIM(F5))&gt;0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"/>
  <sheetViews>
    <sheetView topLeftCell="A4" workbookViewId="0">
      <selection activeCell="M3" sqref="M3"/>
    </sheetView>
  </sheetViews>
  <sheetFormatPr defaultColWidth="14.42578125" defaultRowHeight="15" customHeight="1"/>
  <cols>
    <col min="3" max="3" width="6.140625" customWidth="1"/>
    <col min="4" max="4" width="5.42578125" customWidth="1"/>
    <col min="5" max="5" width="10" customWidth="1"/>
    <col min="6" max="6" width="14.140625" customWidth="1"/>
    <col min="7" max="7" width="10.85546875" customWidth="1"/>
    <col min="8" max="8" width="10.5703125" customWidth="1"/>
    <col min="11" max="11" width="24.7109375" customWidth="1"/>
  </cols>
  <sheetData>
    <row r="1" spans="1:12">
      <c r="C1" s="633" t="s">
        <v>8106</v>
      </c>
      <c r="D1" s="633"/>
      <c r="F1" s="239" t="s">
        <v>8107</v>
      </c>
      <c r="I1" s="634" t="s">
        <v>8108</v>
      </c>
      <c r="J1" s="634"/>
      <c r="K1" s="634"/>
      <c r="L1" s="634"/>
    </row>
    <row r="2" spans="1:12">
      <c r="A2" s="141" t="s">
        <v>8109</v>
      </c>
      <c r="B2" s="141" t="s">
        <v>8110</v>
      </c>
      <c r="C2" s="141" t="s">
        <v>83</v>
      </c>
      <c r="D2" s="141" t="s">
        <v>81</v>
      </c>
      <c r="E2" s="141" t="s">
        <v>3429</v>
      </c>
      <c r="F2" s="141" t="s">
        <v>8111</v>
      </c>
      <c r="G2" s="141" t="s">
        <v>8112</v>
      </c>
      <c r="H2" s="141" t="s">
        <v>27</v>
      </c>
      <c r="I2" s="141" t="s">
        <v>8113</v>
      </c>
      <c r="J2" s="141" t="s">
        <v>8111</v>
      </c>
      <c r="K2" s="436" t="s">
        <v>8114</v>
      </c>
      <c r="L2" s="439" t="s">
        <v>8847</v>
      </c>
    </row>
    <row r="3" spans="1:12">
      <c r="A3" s="73" t="s">
        <v>8115</v>
      </c>
      <c r="B3" s="73">
        <v>119</v>
      </c>
      <c r="C3" s="73">
        <v>7</v>
      </c>
      <c r="D3" s="73">
        <v>105</v>
      </c>
      <c r="E3" s="73">
        <v>0</v>
      </c>
      <c r="F3" s="73">
        <v>2</v>
      </c>
      <c r="G3" s="73">
        <v>6</v>
      </c>
      <c r="H3" s="73">
        <v>2</v>
      </c>
      <c r="I3" s="73">
        <v>65</v>
      </c>
      <c r="J3" s="73">
        <v>0</v>
      </c>
      <c r="K3" s="437">
        <v>1</v>
      </c>
      <c r="L3" s="327"/>
    </row>
    <row r="4" spans="1:12">
      <c r="A4" s="73" t="s">
        <v>8116</v>
      </c>
      <c r="B4" s="73">
        <v>233</v>
      </c>
      <c r="C4" s="73">
        <v>4</v>
      </c>
      <c r="D4" s="73">
        <v>203</v>
      </c>
      <c r="E4" s="73">
        <v>0</v>
      </c>
      <c r="F4" s="73">
        <v>5</v>
      </c>
      <c r="G4" s="73">
        <v>4</v>
      </c>
      <c r="H4" s="73">
        <v>3</v>
      </c>
      <c r="I4" s="73">
        <v>116</v>
      </c>
      <c r="J4" s="73">
        <v>1</v>
      </c>
      <c r="K4" s="437">
        <v>0</v>
      </c>
      <c r="L4" s="327"/>
    </row>
    <row r="5" spans="1:12">
      <c r="A5" s="73" t="s">
        <v>40</v>
      </c>
      <c r="B5" s="73">
        <v>436</v>
      </c>
      <c r="C5" s="73">
        <v>20</v>
      </c>
      <c r="D5" s="83">
        <v>301</v>
      </c>
      <c r="E5" s="83">
        <v>0</v>
      </c>
      <c r="F5" s="83"/>
      <c r="G5" s="83"/>
      <c r="H5" s="83"/>
      <c r="I5" s="83"/>
      <c r="J5" s="83"/>
      <c r="K5" s="438"/>
      <c r="L5" s="327"/>
    </row>
    <row r="6" spans="1:12">
      <c r="A6" s="73" t="s">
        <v>8117</v>
      </c>
      <c r="B6" s="83"/>
      <c r="C6" s="83"/>
      <c r="D6" s="83"/>
      <c r="E6" s="83"/>
      <c r="F6" s="83"/>
      <c r="G6" s="83"/>
      <c r="H6" s="83"/>
      <c r="I6" s="83"/>
      <c r="J6" s="83"/>
      <c r="K6" s="438"/>
      <c r="L6" s="327"/>
    </row>
    <row r="7" spans="1:12">
      <c r="A7" s="73" t="s">
        <v>8118</v>
      </c>
      <c r="B7" s="83"/>
      <c r="C7" s="83"/>
      <c r="D7" s="83"/>
      <c r="E7" s="83"/>
      <c r="F7" s="83"/>
      <c r="G7" s="83"/>
      <c r="H7" s="83"/>
      <c r="I7" s="83"/>
      <c r="J7" s="83"/>
      <c r="K7" s="438"/>
      <c r="L7" s="327"/>
    </row>
    <row r="8" spans="1:12">
      <c r="A8" s="73" t="s">
        <v>8119</v>
      </c>
      <c r="B8" s="83"/>
      <c r="C8" s="83"/>
      <c r="D8" s="83"/>
      <c r="E8" s="83"/>
      <c r="F8" s="83"/>
      <c r="G8" s="83"/>
      <c r="H8" s="83"/>
      <c r="I8" s="83"/>
      <c r="J8" s="83"/>
      <c r="K8" s="438"/>
      <c r="L8" s="327"/>
    </row>
    <row r="9" spans="1:12">
      <c r="A9" s="73" t="s">
        <v>8120</v>
      </c>
      <c r="B9" s="83"/>
      <c r="C9" s="83"/>
      <c r="D9" s="83"/>
      <c r="E9" s="83"/>
      <c r="F9" s="83"/>
      <c r="G9" s="83"/>
      <c r="H9" s="83"/>
      <c r="I9" s="83"/>
      <c r="J9" s="83"/>
      <c r="K9" s="438"/>
      <c r="L9" s="327"/>
    </row>
    <row r="10" spans="1:12">
      <c r="A10" s="73" t="s">
        <v>8121</v>
      </c>
      <c r="B10" s="83"/>
      <c r="C10" s="83"/>
      <c r="D10" s="83"/>
      <c r="E10" s="83"/>
      <c r="F10" s="83"/>
      <c r="G10" s="83"/>
      <c r="H10" s="83"/>
      <c r="I10" s="83"/>
      <c r="J10" s="83"/>
      <c r="K10" s="438"/>
      <c r="L10" s="327"/>
    </row>
    <row r="11" spans="1:12">
      <c r="A11" s="73" t="s">
        <v>8122</v>
      </c>
      <c r="B11" s="83"/>
      <c r="C11" s="83"/>
      <c r="D11" s="83"/>
      <c r="E11" s="83"/>
      <c r="F11" s="83"/>
      <c r="G11" s="83"/>
      <c r="H11" s="83"/>
      <c r="I11" s="83"/>
      <c r="J11" s="83"/>
      <c r="K11" s="438"/>
      <c r="L11" s="327"/>
    </row>
    <row r="12" spans="1:12">
      <c r="A12" s="73" t="s">
        <v>8123</v>
      </c>
      <c r="B12" s="83"/>
      <c r="C12" s="83"/>
      <c r="D12" s="83"/>
      <c r="E12" s="83"/>
      <c r="F12" s="83"/>
      <c r="G12" s="83"/>
      <c r="H12" s="83"/>
      <c r="I12" s="83"/>
      <c r="J12" s="83"/>
      <c r="K12" s="438"/>
      <c r="L12" s="327"/>
    </row>
    <row r="13" spans="1:12">
      <c r="A13" s="73" t="s">
        <v>8124</v>
      </c>
      <c r="B13" s="83"/>
      <c r="C13" s="83"/>
      <c r="D13" s="83"/>
      <c r="E13" s="83"/>
      <c r="F13" s="83"/>
      <c r="G13" s="83"/>
      <c r="H13" s="83"/>
      <c r="I13" s="83"/>
      <c r="J13" s="83"/>
      <c r="K13" s="438"/>
      <c r="L13" s="327"/>
    </row>
    <row r="14" spans="1:12">
      <c r="A14" s="73" t="s">
        <v>8125</v>
      </c>
      <c r="B14" s="83"/>
      <c r="C14" s="83"/>
      <c r="D14" s="83"/>
      <c r="E14" s="83"/>
      <c r="F14" s="83"/>
      <c r="G14" s="83"/>
      <c r="H14" s="83"/>
      <c r="I14" s="83"/>
      <c r="J14" s="83"/>
      <c r="K14" s="438"/>
      <c r="L14" s="327"/>
    </row>
  </sheetData>
  <mergeCells count="2">
    <mergeCell ref="C1:D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176</vt:i4>
      </vt:variant>
    </vt:vector>
  </HeadingPairs>
  <TitlesOfParts>
    <vt:vector size="176" baseType="lpstr">
      <vt:lpstr>Kangulamira 301</vt:lpstr>
      <vt:lpstr>Kangulamira Summary</vt:lpstr>
      <vt:lpstr>IRINGA HC II</vt:lpstr>
      <vt:lpstr>Iringa HC II Summary</vt:lpstr>
      <vt:lpstr>Iyingo PS</vt:lpstr>
      <vt:lpstr>IyingoPS Summary</vt:lpstr>
      <vt:lpstr>Bugonda Home</vt:lpstr>
      <vt:lpstr>Bugionda Home Summary</vt:lpstr>
      <vt:lpstr>Buyende Office</vt:lpstr>
      <vt:lpstr>Buyende office summary</vt:lpstr>
      <vt:lpstr>Kikaramoja 72</vt:lpstr>
      <vt:lpstr>Kikaramoja Summary</vt:lpstr>
      <vt:lpstr>NBS Station 132</vt:lpstr>
      <vt:lpstr>NBS Station Summary</vt:lpstr>
      <vt:lpstr>Nankoma HCIV 142</vt:lpstr>
      <vt:lpstr>Nankoma HCIV Summary</vt:lpstr>
      <vt:lpstr>Kakooge HCIII 212</vt:lpstr>
      <vt:lpstr>Kakooge HCIII Summary</vt:lpstr>
      <vt:lpstr>Kivejinja Hosp 222</vt:lpstr>
      <vt:lpstr>Kivejinja Hosp Summary</vt:lpstr>
      <vt:lpstr>RHHJ Feb</vt:lpstr>
      <vt:lpstr>RHHJ FEB Summary</vt:lpstr>
      <vt:lpstr>Ivukula HCIII 53</vt:lpstr>
      <vt:lpstr>Ivukula HCIII Summary</vt:lpstr>
      <vt:lpstr>Kitukiro PS 123</vt:lpstr>
      <vt:lpstr>Kitukiro PS Summary</vt:lpstr>
      <vt:lpstr>New Life 143</vt:lpstr>
      <vt:lpstr>New Life Summary</vt:lpstr>
      <vt:lpstr>Busuyi HCII 183</vt:lpstr>
      <vt:lpstr>Busuyi HCII Summary</vt:lpstr>
      <vt:lpstr>JTP 203 &amp; 213</vt:lpstr>
      <vt:lpstr>JTP Summary</vt:lpstr>
      <vt:lpstr>Kasubi HC III 253</vt:lpstr>
      <vt:lpstr>Kasubi HCIII Summary</vt:lpstr>
      <vt:lpstr>RHHJ Mar</vt:lpstr>
      <vt:lpstr>RHHJ Mar Summary</vt:lpstr>
      <vt:lpstr>Kikalu HC 11</vt:lpstr>
      <vt:lpstr>kIKALU HC Summary</vt:lpstr>
      <vt:lpstr>Hosana Faith Centre</vt:lpstr>
      <vt:lpstr>Hosana Faith Centre Summary</vt:lpstr>
      <vt:lpstr>St. Joseph HC</vt:lpstr>
      <vt:lpstr>St. Joseph Summary</vt:lpstr>
      <vt:lpstr>Vision of Africa</vt:lpstr>
      <vt:lpstr>Vision of Africa Summary</vt:lpstr>
      <vt:lpstr>Buwenge HC 1V</vt:lpstr>
      <vt:lpstr>Buwenge HC IV Summary</vt:lpstr>
      <vt:lpstr>St.Charles Lwanga Hospital </vt:lpstr>
      <vt:lpstr>St.Charles Lwanga Hospital Summ</vt:lpstr>
      <vt:lpstr>Nazigo HC 111</vt:lpstr>
      <vt:lpstr>Nazigo HC 111 Summary</vt:lpstr>
      <vt:lpstr>RHHJ April</vt:lpstr>
      <vt:lpstr>RHHJ Summary</vt:lpstr>
      <vt:lpstr>Buyende Office April</vt:lpstr>
      <vt:lpstr>Buyende Office April Summary</vt:lpstr>
      <vt:lpstr>Bugaya HC 4</vt:lpstr>
      <vt:lpstr>Bugaya HC 4 Summary</vt:lpstr>
      <vt:lpstr>Namaganda PS</vt:lpstr>
      <vt:lpstr>Namaganda PS Summary</vt:lpstr>
      <vt:lpstr>Sheet147</vt:lpstr>
      <vt:lpstr>Iyingo PS(2)</vt:lpstr>
      <vt:lpstr>Iyingo PS(2) Summary</vt:lpstr>
      <vt:lpstr>Buyende office May</vt:lpstr>
      <vt:lpstr>Buyende office May Summary 1</vt:lpstr>
      <vt:lpstr>Buyende office May Summary</vt:lpstr>
      <vt:lpstr>Buyende June</vt:lpstr>
      <vt:lpstr>Buyende June Summary</vt:lpstr>
      <vt:lpstr>Buyende July</vt:lpstr>
      <vt:lpstr>Buyende August </vt:lpstr>
      <vt:lpstr>Buyende August Summary</vt:lpstr>
      <vt:lpstr>Nkudu HC II</vt:lpstr>
      <vt:lpstr>Nkudu HC II Summary</vt:lpstr>
      <vt:lpstr>St Karoli PS Namaganda </vt:lpstr>
      <vt:lpstr>St Karoli PS Namaganda Summary</vt:lpstr>
      <vt:lpstr>Buyende July Summary</vt:lpstr>
      <vt:lpstr>Nkondo HC III</vt:lpstr>
      <vt:lpstr>Busaana HCIII</vt:lpstr>
      <vt:lpstr>Busaana Summary</vt:lpstr>
      <vt:lpstr>Buwenge  HCIII</vt:lpstr>
      <vt:lpstr>Buwenge  HCIII Summary</vt:lpstr>
      <vt:lpstr>Baale HC 1V</vt:lpstr>
      <vt:lpstr>Baale HC 1V Summary</vt:lpstr>
      <vt:lpstr>Hospice Clinic May</vt:lpstr>
      <vt:lpstr>Hospice Clinic May Summary</vt:lpstr>
      <vt:lpstr>Project Yesu Musima</vt:lpstr>
      <vt:lpstr>Project Yesu Musima Summary</vt:lpstr>
      <vt:lpstr>JCTK Clinic</vt:lpstr>
      <vt:lpstr>JCTK Clinic Summary</vt:lpstr>
      <vt:lpstr>Kyabirwa PS</vt:lpstr>
      <vt:lpstr>Kyabirwa PS Summary</vt:lpstr>
      <vt:lpstr>SD PCC</vt:lpstr>
      <vt:lpstr>SD PCC Summary</vt:lpstr>
      <vt:lpstr>LWATAMA HC 11</vt:lpstr>
      <vt:lpstr>LWATAMA HC 11 Summary</vt:lpstr>
      <vt:lpstr>Buwangala </vt:lpstr>
      <vt:lpstr>Buwangala Summary</vt:lpstr>
      <vt:lpstr>IIHS</vt:lpstr>
      <vt:lpstr>IIHS Summary</vt:lpstr>
      <vt:lpstr>Canaan HC 11</vt:lpstr>
      <vt:lpstr>Canaan HC 11 Summary</vt:lpstr>
      <vt:lpstr>Busedde HC 111</vt:lpstr>
      <vt:lpstr>Busedde HC 111 Summary</vt:lpstr>
      <vt:lpstr>Nazigo HC</vt:lpstr>
      <vt:lpstr>Nazigo HC Summary</vt:lpstr>
      <vt:lpstr>Buwenge HC 1V 3</vt:lpstr>
      <vt:lpstr>Buwenge HC 1V 3 Summary</vt:lpstr>
      <vt:lpstr>Wangobo HC 11</vt:lpstr>
      <vt:lpstr>Wangobo HC 11 Summary</vt:lpstr>
      <vt:lpstr>RHHJ June</vt:lpstr>
      <vt:lpstr>RHHJ June Summary</vt:lpstr>
      <vt:lpstr>RHHJ July</vt:lpstr>
      <vt:lpstr>RHHJ July Summary</vt:lpstr>
      <vt:lpstr>BUSOGA FORESRTY</vt:lpstr>
      <vt:lpstr>BUSOGA FORESRTY SUMMARY</vt:lpstr>
      <vt:lpstr>Bugweri</vt:lpstr>
      <vt:lpstr>Bugweri Summary</vt:lpstr>
      <vt:lpstr>IGENGE</vt:lpstr>
      <vt:lpstr>Igenge Summary</vt:lpstr>
      <vt:lpstr>JINJA CENTRAL MARKET</vt:lpstr>
      <vt:lpstr>Jinja Central Market Summary</vt:lpstr>
      <vt:lpstr>MULAMA</vt:lpstr>
      <vt:lpstr>Mulama Summary</vt:lpstr>
      <vt:lpstr>RHHJ August</vt:lpstr>
      <vt:lpstr>RHHJ August Summary</vt:lpstr>
      <vt:lpstr>Namagera PS</vt:lpstr>
      <vt:lpstr>Namagera Summary</vt:lpstr>
      <vt:lpstr>SDA Ivunamba</vt:lpstr>
      <vt:lpstr>SDA Ivanumba Summary</vt:lpstr>
      <vt:lpstr>Busana HC</vt:lpstr>
      <vt:lpstr>Busana HC Summary</vt:lpstr>
      <vt:lpstr>Makonge HCIII</vt:lpstr>
      <vt:lpstr>Makonge Summary</vt:lpstr>
      <vt:lpstr>St Jude PS Musoli</vt:lpstr>
      <vt:lpstr>St Jude Summary</vt:lpstr>
      <vt:lpstr>Nile Vocational</vt:lpstr>
      <vt:lpstr>Buyende October </vt:lpstr>
      <vt:lpstr>NVI Summary</vt:lpstr>
      <vt:lpstr>Wakawaka HCII</vt:lpstr>
      <vt:lpstr>Wakawaka Summary</vt:lpstr>
      <vt:lpstr>RHHJ Sept</vt:lpstr>
      <vt:lpstr>RHHJ Sept Summary</vt:lpstr>
      <vt:lpstr>Bukungu PS</vt:lpstr>
      <vt:lpstr>Bukungu Sept Summary</vt:lpstr>
      <vt:lpstr>Yalelo</vt:lpstr>
      <vt:lpstr>Yalelo Summary</vt:lpstr>
      <vt:lpstr>Kalalu PS</vt:lpstr>
      <vt:lpstr>Kalalu PS Summary</vt:lpstr>
      <vt:lpstr>Mark &amp; Kelly Petra Community</vt:lpstr>
      <vt:lpstr>Mark &amp; Kelly Petra Community Su</vt:lpstr>
      <vt:lpstr>Bukatube HCIII</vt:lpstr>
      <vt:lpstr>Bukatube HC III Summary</vt:lpstr>
      <vt:lpstr>Nabirumba PS</vt:lpstr>
      <vt:lpstr>Nabirumba PS Summary</vt:lpstr>
      <vt:lpstr>Buyinja HC 1V</vt:lpstr>
      <vt:lpstr>Buyinja HC 1V Summary</vt:lpstr>
      <vt:lpstr>Kakongoka P S</vt:lpstr>
      <vt:lpstr>Kakongoka Summary</vt:lpstr>
      <vt:lpstr>Nabisoigi H C III</vt:lpstr>
      <vt:lpstr>Nabisoigi Summary</vt:lpstr>
      <vt:lpstr>RHHJ OCT</vt:lpstr>
      <vt:lpstr>RHHJ Oct Summary</vt:lpstr>
      <vt:lpstr>Nilus</vt:lpstr>
      <vt:lpstr>Nilus Summary</vt:lpstr>
      <vt:lpstr>Buckly HS</vt:lpstr>
      <vt:lpstr>Buckly HS Summary</vt:lpstr>
      <vt:lpstr>Busesa HCIV</vt:lpstr>
      <vt:lpstr>Busesa HCIV Summary</vt:lpstr>
      <vt:lpstr>RHHJ Nov</vt:lpstr>
      <vt:lpstr>RHHJ Nov Summary</vt:lpstr>
      <vt:lpstr>Buyende Nov</vt:lpstr>
      <vt:lpstr>Buyende Nov Summary</vt:lpstr>
      <vt:lpstr>Kaliro HCIII</vt:lpstr>
      <vt:lpstr>Kaliro HCIII Summary</vt:lpstr>
      <vt:lpstr>RHHJ Dec</vt:lpstr>
      <vt:lpstr>RHHJ Dec Summary</vt:lpstr>
      <vt:lpstr>Annual Summary</vt:lpstr>
      <vt:lpstr>Quick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RHHJ DATA</cp:lastModifiedBy>
  <dcterms:created xsi:type="dcterms:W3CDTF">2024-01-15T12:11:40Z</dcterms:created>
  <dcterms:modified xsi:type="dcterms:W3CDTF">2024-12-13T13:56:30Z</dcterms:modified>
</cp:coreProperties>
</file>